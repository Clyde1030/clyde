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clyde\Excel Templates\"/>
    </mc:Choice>
  </mc:AlternateContent>
  <xr:revisionPtr revIDLastSave="0" documentId="13_ncr:1_{2B4A01E6-260C-4B9B-B676-0EE21C614673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Documentation" sheetId="8" r:id="rId1"/>
    <sheet name="Settings" sheetId="7" r:id="rId2"/>
    <sheet name="Pivot Table" sheetId="3" r:id="rId3"/>
    <sheet name="Original Data" sheetId="1" r:id="rId4"/>
  </sheets>
  <functionGroups builtInGroupCount="19"/>
  <definedNames>
    <definedName name="_xlnm._FilterDatabase" localSheetId="3" hidden="1">'Original Data'!$A$2:$AA$1005</definedName>
    <definedName name="dest">Settings!$D$12</definedName>
    <definedName name="filename">Settings!$D$14</definedName>
    <definedName name="idir">Settings!$D$9</definedName>
    <definedName name="ifile">Settings!$D$10</definedName>
    <definedName name="MonthApplied">Settings!$C$5</definedName>
    <definedName name="ProducerTable">Settings!$L$33:$M$46</definedName>
    <definedName name="YearApplied">Settings!$C$4</definedName>
  </definedNames>
  <calcPr calcId="19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  <c r="A5" i="3"/>
  <c r="D14" i="7"/>
  <c r="D12" i="7"/>
  <c r="D10" i="7"/>
  <c r="D9" i="7"/>
  <c r="P1" i="1"/>
  <c r="AA1" i="1" l="1"/>
  <c r="AB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Yu-Sheng Lee</author>
  </authors>
  <commentList>
    <comment ref="D853" authorId="0" shapeId="0" xr:uid="{048CB102-A231-472D-BEAD-0BE8E41D0FA7}">
      <text>
        <r>
          <rPr>
            <b/>
            <sz val="9"/>
            <color indexed="81"/>
            <rFont val="Tahoma"/>
            <family val="2"/>
          </rPr>
          <t>Yu-Sheng Lee: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<sst xmlns="http://schemas.openxmlformats.org/spreadsheetml/2006/main" count="102" uniqueCount="91">
  <si>
    <t>M Benefit Solutions</t>
  </si>
  <si>
    <t>Adj Prem</t>
  </si>
  <si>
    <t>Sum of Adj Prem</t>
  </si>
  <si>
    <t>Column Labels</t>
  </si>
  <si>
    <t xml:space="preserve"> Total</t>
  </si>
  <si>
    <t>(Includes M and Non-M Carrier sales)</t>
  </si>
  <si>
    <t>Joint Venture Partner</t>
  </si>
  <si>
    <t>% of total</t>
  </si>
  <si>
    <t>Policy Count</t>
  </si>
  <si>
    <t>orig adj prem</t>
  </si>
  <si>
    <t>use ProductionAndOverride</t>
  </si>
  <si>
    <t>Kristi Barens - MBS</t>
  </si>
  <si>
    <t>Wagner, Dan</t>
  </si>
  <si>
    <t>Mullin Barens Sanford</t>
  </si>
  <si>
    <t>Year</t>
  </si>
  <si>
    <t>Month</t>
  </si>
  <si>
    <t>Import Dir:</t>
  </si>
  <si>
    <t>Import File:</t>
  </si>
  <si>
    <t>Save Dir</t>
  </si>
  <si>
    <t>File Name:</t>
  </si>
  <si>
    <t>Producer Mapping</t>
  </si>
  <si>
    <t xml:space="preserve">Producer </t>
  </si>
  <si>
    <t>Member Firm</t>
  </si>
  <si>
    <t xml:space="preserve">select pm.ID, </t>
  </si>
  <si>
    <t xml:space="preserve">pm.NameLast, </t>
  </si>
  <si>
    <t xml:space="preserve">pm.NameFirst, </t>
  </si>
  <si>
    <t xml:space="preserve">pm.MemFirmID, </t>
  </si>
  <si>
    <t xml:space="preserve">pm.StartDate, </t>
  </si>
  <si>
    <t xml:space="preserve">pm.EndDate, </t>
  </si>
  <si>
    <t>c.[Name] as MemFirmName</t>
  </si>
  <si>
    <t xml:space="preserve">from Producer_Mapping pm </t>
  </si>
  <si>
    <t>inner join Company c on pm.MemFirmID = c.COID</t>
  </si>
  <si>
    <t xml:space="preserve">where pm.NameLast like '%Barens%' </t>
  </si>
  <si>
    <t xml:space="preserve">--and  pm.NameFirst like '%dan%' </t>
  </si>
  <si>
    <t>--and getdate() between StartDate and EndDate</t>
  </si>
  <si>
    <t>Gagnon, D. John</t>
  </si>
  <si>
    <t>Hauptman, David</t>
  </si>
  <si>
    <t>James Pittman</t>
  </si>
  <si>
    <t>McCullough, Mark</t>
  </si>
  <si>
    <t>Walton, Mark</t>
  </si>
  <si>
    <t>Pinnacle Financial Group</t>
  </si>
  <si>
    <t>Dinardi, Peter</t>
  </si>
  <si>
    <t>Jordan, Tom</t>
  </si>
  <si>
    <t>Kristi Barens</t>
  </si>
  <si>
    <t>Pittman, James</t>
  </si>
  <si>
    <t>Sinclair, Joseph</t>
  </si>
  <si>
    <t>Boulevard Financial, LLC</t>
  </si>
  <si>
    <t>Mullin Barens Sanford Financial &amp; Insurance Services, LLC</t>
  </si>
  <si>
    <t>BoliColi.com</t>
  </si>
  <si>
    <t>*update Producer Mapping L5 to M 17 if needed with this query</t>
  </si>
  <si>
    <t>Steps:</t>
  </si>
  <si>
    <r>
      <t xml:space="preserve">1. Go to [Settings] tab, update the </t>
    </r>
    <r>
      <rPr>
        <b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month</t>
    </r>
    <r>
      <rPr>
        <sz val="11"/>
        <color theme="1"/>
        <rFont val="Calibri"/>
        <family val="2"/>
        <scheme val="minor"/>
      </rPr>
      <t xml:space="preserve"> this report is generating</t>
    </r>
  </si>
  <si>
    <t>2. Make sure the import directory and filename are correct and existed</t>
  </si>
  <si>
    <t>4. Check if cell AB1 in [Original Data] is 0 and the cell color turns to green</t>
  </si>
  <si>
    <t>6. Check if total premium number in Pivot table lines up with that in [Original Data]</t>
  </si>
  <si>
    <t>7. Check if first column of Pivot table has all listed with member firm's name instead of individual producer's names</t>
  </si>
  <si>
    <r>
      <t xml:space="preserve">3. Press the </t>
    </r>
    <r>
      <rPr>
        <b/>
        <sz val="11"/>
        <color theme="1"/>
        <rFont val="Calibri"/>
        <family val="2"/>
        <scheme val="minor"/>
      </rPr>
      <t>Populate</t>
    </r>
    <r>
      <rPr>
        <sz val="11"/>
        <color theme="1"/>
        <rFont val="Calibri"/>
        <family val="2"/>
        <scheme val="minor"/>
      </rPr>
      <t xml:space="preserve"> button to generate the report in [Original Data] and [Pivot Table]</t>
    </r>
  </si>
  <si>
    <t>Purpose of this report:</t>
  </si>
  <si>
    <t xml:space="preserve">    The pdf file will be useful later when generating the SSR report. You will need to append the pdf file to SSR(but don't worry about SSR right now)</t>
  </si>
  <si>
    <t xml:space="preserve">    If the producer's name cannot be found in the existed Producer mapping table, execute the query and append new producer and member firm info to the bottom of the table</t>
  </si>
  <si>
    <r>
      <t xml:space="preserve">8. If the report looks good, press the </t>
    </r>
    <r>
      <rPr>
        <b/>
        <sz val="11"/>
        <color theme="1"/>
        <rFont val="Calibri"/>
        <family val="2"/>
        <scheme val="minor"/>
      </rPr>
      <t>export</t>
    </r>
    <r>
      <rPr>
        <sz val="11"/>
        <color theme="1"/>
        <rFont val="Calibri"/>
        <family val="2"/>
        <scheme val="minor"/>
      </rPr>
      <t xml:space="preserve"> button to save data in </t>
    </r>
    <r>
      <rPr>
        <sz val="11"/>
        <color theme="8"/>
        <rFont val="Calibri"/>
        <family val="2"/>
        <scheme val="minor"/>
      </rPr>
      <t>J:\Acctng\Production\2022\M Benefits Report</t>
    </r>
  </si>
  <si>
    <r>
      <t xml:space="preserve">    There should be </t>
    </r>
    <r>
      <rPr>
        <b/>
        <sz val="11"/>
        <color theme="8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files generated. One is an .xlsx workbook which contains [Original Data] tab. The other is just the pivot table in the pdf format. </t>
    </r>
  </si>
  <si>
    <t>5. According to Producer Mapping table in [Settings] tab, replace the producer name in column A of [Original Data] with its corresponding member firm</t>
  </si>
  <si>
    <r>
      <t xml:space="preserve">   Query will be executed with Server </t>
    </r>
    <r>
      <rPr>
        <sz val="11"/>
        <color theme="8"/>
        <rFont val="Calibri"/>
        <family val="2"/>
        <scheme val="minor"/>
      </rPr>
      <t>pdxvmdb11</t>
    </r>
    <r>
      <rPr>
        <sz val="11"/>
        <rFont val="Calibri"/>
        <family val="2"/>
        <scheme val="minor"/>
      </rPr>
      <t xml:space="preserve"> and on </t>
    </r>
    <r>
      <rPr>
        <sz val="11"/>
        <color theme="8"/>
        <rFont val="Calibri"/>
        <family val="2"/>
        <scheme val="minor"/>
      </rPr>
      <t>ProductionAndOverride</t>
    </r>
    <r>
      <rPr>
        <sz val="11"/>
        <rFont val="Calibri"/>
        <family val="2"/>
        <scheme val="minor"/>
      </rPr>
      <t xml:space="preserve"> database</t>
    </r>
  </si>
  <si>
    <t>----------------------------------------------------------------------------------------------&gt;</t>
  </si>
  <si>
    <t>AgencyName</t>
  </si>
  <si>
    <t>PolicyNumber</t>
  </si>
  <si>
    <t>Mode</t>
  </si>
  <si>
    <t>Product Type</t>
  </si>
  <si>
    <t>ProductName</t>
  </si>
  <si>
    <t>CarrierCode</t>
  </si>
  <si>
    <t>InsuredName</t>
  </si>
  <si>
    <t>PolicyOwner</t>
  </si>
  <si>
    <t>BusinessType</t>
  </si>
  <si>
    <t>IssueDate</t>
  </si>
  <si>
    <t>MonthEndDate</t>
  </si>
  <si>
    <t>TransactionNumber</t>
  </si>
  <si>
    <t>MBenCode</t>
  </si>
  <si>
    <t>Percentage</t>
  </si>
  <si>
    <t>Premium</t>
  </si>
  <si>
    <t>FaceAmount</t>
  </si>
  <si>
    <t>ProducerShare%</t>
  </si>
  <si>
    <t>PolicyCount</t>
  </si>
  <si>
    <t>Exchange1035</t>
  </si>
  <si>
    <t>InternalExchange</t>
  </si>
  <si>
    <t>1stYearComm</t>
  </si>
  <si>
    <t>ContractTerms</t>
  </si>
  <si>
    <t>AccrualDate</t>
  </si>
  <si>
    <t>McMillan, Russell</t>
  </si>
  <si>
    <t>*if there is new items added, remember to update the ProducerTable range in excel Alt + M + N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</si>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</sst>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rgb="FF696969"/>
      <name val="Arial"/>
      <family val="2"/>
    </font>
    <font>
      <sz val="12"/>
      <color rgb="FFFF0000"/>
      <name val="Arial"/>
      <family val="2"/>
    </font>
    <font>
      <b/>
      <sz val="9"/>
      <color rgb="FF696969"/>
      <name val="Arial"/>
      <family val="2"/>
    </font>
    <font>
      <sz val="12"/>
      <color indexed="8"/>
      <name val="Calibri"/>
      <family val="2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4" fontId="1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5">
    <xf numFmtId="0" fontId="0" fillId="0" borderId="0" xfId="0"/>
    <xf numFmtId="0" fontId="3" fillId="2" borderId="1" xfId="2" applyFont="1" applyFill="1" applyBorder="1" applyAlignment="1">
      <alignment horizontal="center"/>
    </xf>
    <xf numFmtId="0" fontId="0" fillId="3" borderId="0" xfId="0" applyFill="1"/>
    <xf numFmtId="0" fontId="5" fillId="3" borderId="0" xfId="0" applyFont="1" applyFill="1" applyAlignment="1">
      <alignment vertical="top" wrapText="1" readingOrder="1"/>
    </xf>
    <xf numFmtId="0" fontId="3" fillId="2" borderId="4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49" fontId="3" fillId="2" borderId="1" xfId="2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5" xfId="0" pivotButton="1" applyBorder="1"/>
    <xf numFmtId="0" fontId="0" fillId="0" borderId="6" xfId="0" applyBorder="1"/>
    <xf numFmtId="43" fontId="0" fillId="0" borderId="0" xfId="0" applyNumberFormat="1"/>
    <xf numFmtId="43" fontId="0" fillId="5" borderId="0" xfId="1" applyFont="1" applyFill="1"/>
    <xf numFmtId="0" fontId="0" fillId="5" borderId="0" xfId="0" applyFill="1"/>
    <xf numFmtId="165" fontId="0" fillId="5" borderId="0" xfId="1" applyNumberFormat="1" applyFont="1" applyFill="1"/>
    <xf numFmtId="0" fontId="8" fillId="0" borderId="0" xfId="0" applyFont="1"/>
    <xf numFmtId="0" fontId="0" fillId="6" borderId="0" xfId="0" applyFill="1"/>
    <xf numFmtId="0" fontId="0" fillId="6" borderId="0" xfId="0" quotePrefix="1" applyFill="1"/>
    <xf numFmtId="44" fontId="0" fillId="6" borderId="0" xfId="3" applyFont="1" applyFill="1"/>
    <xf numFmtId="0" fontId="7" fillId="7" borderId="0" xfId="2" applyFont="1" applyFill="1"/>
    <xf numFmtId="0" fontId="7" fillId="7" borderId="2" xfId="2" applyFont="1" applyFill="1" applyBorder="1" applyAlignment="1">
      <alignment horizontal="right"/>
    </xf>
    <xf numFmtId="0" fontId="7" fillId="7" borderId="2" xfId="2" applyFont="1" applyFill="1" applyBorder="1"/>
    <xf numFmtId="165" fontId="0" fillId="7" borderId="0" xfId="1" applyNumberFormat="1" applyFont="1" applyFill="1"/>
    <xf numFmtId="43" fontId="0" fillId="7" borderId="0" xfId="0" applyNumberFormat="1" applyFill="1"/>
    <xf numFmtId="0" fontId="0" fillId="7" borderId="0" xfId="0" applyFill="1"/>
    <xf numFmtId="165" fontId="0" fillId="7" borderId="0" xfId="0" applyNumberFormat="1" applyFill="1"/>
    <xf numFmtId="0" fontId="7" fillId="7" borderId="0" xfId="2" applyFont="1" applyFill="1" applyAlignment="1">
      <alignment horizontal="right"/>
    </xf>
    <xf numFmtId="49" fontId="0" fillId="7" borderId="0" xfId="0" applyNumberFormat="1" applyFill="1"/>
    <xf numFmtId="0" fontId="0" fillId="8" borderId="0" xfId="0" applyFill="1"/>
    <xf numFmtId="49" fontId="0" fillId="8" borderId="0" xfId="0" applyNumberFormat="1" applyFill="1"/>
    <xf numFmtId="165" fontId="0" fillId="8" borderId="0" xfId="1" applyNumberFormat="1" applyFont="1" applyFill="1"/>
    <xf numFmtId="43" fontId="0" fillId="8" borderId="0" xfId="0" applyNumberFormat="1" applyFill="1"/>
    <xf numFmtId="0" fontId="10" fillId="0" borderId="0" xfId="0" applyFont="1"/>
    <xf numFmtId="0" fontId="0" fillId="0" borderId="3" xfId="0" applyBorder="1"/>
    <xf numFmtId="0" fontId="10" fillId="0" borderId="3" xfId="0" applyFont="1" applyBorder="1"/>
    <xf numFmtId="0" fontId="0" fillId="5" borderId="0" xfId="0" quotePrefix="1" applyFill="1"/>
    <xf numFmtId="165" fontId="0" fillId="0" borderId="0" xfId="1" applyNumberFormat="1" applyFont="1" applyFill="1"/>
    <xf numFmtId="0" fontId="11" fillId="0" borderId="0" xfId="0" applyFont="1"/>
    <xf numFmtId="0" fontId="0" fillId="0" borderId="0" xfId="0" quotePrefix="1"/>
    <xf numFmtId="14" fontId="0" fillId="0" borderId="0" xfId="0" applyNumberFormat="1"/>
    <xf numFmtId="14" fontId="3" fillId="2" borderId="1" xfId="2" applyNumberFormat="1" applyFont="1" applyFill="1" applyBorder="1" applyAlignment="1">
      <alignment horizontal="center"/>
    </xf>
    <xf numFmtId="14" fontId="7" fillId="7" borderId="2" xfId="2" applyNumberFormat="1" applyFont="1" applyFill="1" applyBorder="1" applyAlignment="1">
      <alignment horizontal="right"/>
    </xf>
    <xf numFmtId="14" fontId="7" fillId="7" borderId="0" xfId="2" applyNumberFormat="1" applyFont="1" applyFill="1" applyAlignment="1">
      <alignment horizontal="right"/>
    </xf>
    <xf numFmtId="14" fontId="0" fillId="7" borderId="0" xfId="0" applyNumberFormat="1" applyFill="1"/>
    <xf numFmtId="14" fontId="0" fillId="8" borderId="0" xfId="0" applyNumberFormat="1" applyFill="1"/>
    <xf numFmtId="165" fontId="0" fillId="0" borderId="0" xfId="0" applyNumberFormat="1"/>
    <xf numFmtId="165" fontId="16" fillId="0" borderId="3" xfId="0" applyNumberFormat="1" applyFont="1" applyBorder="1"/>
    <xf numFmtId="0" fontId="16" fillId="0" borderId="3" xfId="0" applyFont="1" applyBorder="1" applyAlignment="1">
      <alignment horizontal="left"/>
    </xf>
    <xf numFmtId="0" fontId="16" fillId="4" borderId="3" xfId="0" applyFont="1" applyFill="1" applyBorder="1"/>
    <xf numFmtId="0" fontId="16" fillId="4" borderId="3" xfId="0" applyFont="1" applyFill="1" applyBorder="1" applyAlignment="1">
      <alignment horizontal="center" readingOrder="1"/>
    </xf>
    <xf numFmtId="165" fontId="0" fillId="8" borderId="0" xfId="0" applyNumberFormat="1" applyFill="1"/>
    <xf numFmtId="0" fontId="6" fillId="3" borderId="0" xfId="0" applyFont="1" applyFill="1" applyAlignment="1">
      <alignment horizontal="center" vertical="top" wrapText="1" readingOrder="1"/>
    </xf>
    <xf numFmtId="0" fontId="5" fillId="3" borderId="0" xfId="0" applyFont="1" applyFill="1" applyAlignment="1">
      <alignment horizontal="right" vertical="top" wrapText="1" readingOrder="1"/>
    </xf>
    <xf numFmtId="0" fontId="4" fillId="3" borderId="0" xfId="0" applyFont="1" applyFill="1" applyAlignment="1">
      <alignment horizontal="center" vertical="top" wrapText="1" readingOrder="1"/>
    </xf>
    <xf numFmtId="165" fontId="16" fillId="4" borderId="3" xfId="0" applyNumberFormat="1" applyFont="1" applyFill="1" applyBorder="1" applyAlignment="1"/>
    <xf numFmtId="0" fontId="16" fillId="4" borderId="3" xfId="0" applyFont="1" applyFill="1" applyBorder="1" applyAlignment="1"/>
  </cellXfs>
  <cellStyles count="7">
    <cellStyle name="Comma" xfId="1" builtinId="3"/>
    <cellStyle name="Comma 2" xfId="5" xr:uid="{A0175302-5574-49B8-8DB9-310618670C3C}"/>
    <cellStyle name="Currency" xfId="3" builtinId="4"/>
    <cellStyle name="Normal" xfId="0" builtinId="0"/>
    <cellStyle name="Normal 2" xfId="4" xr:uid="{F4B7CCE2-37B1-4328-9F8F-49149B99275A}"/>
    <cellStyle name="Normal_Sheet1" xfId="2" xr:uid="{00000000-0005-0000-0000-000002000000}"/>
    <cellStyle name="Percent 2" xfId="6" xr:uid="{9F78ED0A-AD93-4574-9B53-E81F931A8624}"/>
  </cellStyles>
  <dxfs count="90">
    <dxf>
      <numFmt numFmtId="35" formatCode="_(* #,##0.00_);_(* \(#,##0.00\);_(* &quot;-&quot;??_);_(@_)"/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(* #,##0_);_(* \(#,##0\);_(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alignment horizontal="center" readingOrder="1"/>
    </dxf>
    <dxf>
      <alignment horizontal="center" readingOrder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(* #,##0_);_(* \(#,##0\);_(* &quot;-&quot;??_);_(@_)"/>
    </dxf>
    <dxf>
      <alignment horizontal="center" readingOrder="1"/>
    </dxf>
    <dxf>
      <alignment horizontal="center" readingOrder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theme="1"/>
      </font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numFmt numFmtId="165" formatCode="_(* #,##0_);_(* \(#,##0\);_(* &quot;-&quot;??_);_(@_)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5" formatCode="_(* #,##0_);_(* \(#,##0\);_(* &quot;-&quot;??_);_(@_)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color theme="1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1"/>
    </dxf>
    <dxf>
      <alignment horizontal="center" readingOrder="1"/>
    </dxf>
    <dxf>
      <numFmt numFmtId="165" formatCode="_(* #,##0_);_(* \(#,##0\);_(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1"/>
    </dxf>
    <dxf>
      <alignment horizontal="center" readingOrder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numFmt numFmtId="165" formatCode="_(* #,##0_);_(* \(#,##0\);_(* &quot;-&quot;??_);_(@_)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235857</xdr:colOff>
      <xdr:row>9</xdr:row>
      <xdr:rowOff>172357</xdr:rowOff>
    </xdr:from>
    <xdr:to>
      <xdr:col>27</xdr:col>
      <xdr:colOff>54429</xdr:colOff>
      <xdr:row>26</xdr:row>
      <xdr:rowOff>163286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68214" y="1805214"/>
          <a:ext cx="5896429" cy="2893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Algorithm of [Origianl</a:t>
          </a:r>
          <a:r>
            <a:rPr lang="en-US" sz="1100" baseline="0"/>
            <a:t> Data] tab:</a:t>
          </a:r>
        </a:p>
        <a:p>
          <a:r>
            <a:rPr lang="en-US" sz="1100"/>
            <a:t>Filter on one policy in [Original</a:t>
          </a:r>
          <a:r>
            <a:rPr lang="en-US" sz="1100" baseline="0"/>
            <a:t> Data</a:t>
          </a:r>
          <a:r>
            <a:rPr lang="en-US" sz="1100"/>
            <a:t>],</a:t>
          </a:r>
          <a:r>
            <a:rPr lang="en-US" sz="1100" baseline="0"/>
            <a:t> you can see that </a:t>
          </a:r>
        </a:p>
        <a:p>
          <a:endParaRPr lang="en-US" sz="1100" baseline="0"/>
        </a:p>
        <a:p>
          <a:r>
            <a:rPr lang="en-US" sz="1100"/>
            <a:t>=IF(OR(Z629=0,COUNTIFS($A$3:$A$1005,"*McMillan, Russell*",$B$3:$B$1005,$B629)&gt;0),O629,0)</a:t>
          </a:r>
        </a:p>
        <a:p>
          <a:endParaRPr lang="en-US" sz="1100"/>
        </a:p>
        <a:p>
          <a:r>
            <a:rPr lang="en-US" sz="1100"/>
            <a:t>Logic of Adjusted Premium:</a:t>
          </a:r>
        </a:p>
        <a:p>
          <a:endParaRPr lang="en-US" sz="1100"/>
        </a:p>
        <a:p>
          <a:r>
            <a:rPr lang="en-US" sz="1100"/>
            <a:t>If this policy is totally sold by M ben and associated to no member firms, then use the original premium in column O, because M Ben owns all premium</a:t>
          </a:r>
        </a:p>
        <a:p>
          <a:endParaRPr lang="en-US" sz="1100"/>
        </a:p>
        <a:p>
          <a:r>
            <a:rPr lang="en-US" sz="1100"/>
            <a:t>If this policy is a "McMillan, Russell" policy, then use the original premium in column O, because M Ben owns all premium.</a:t>
          </a:r>
        </a:p>
        <a:p>
          <a:endParaRPr lang="en-US" sz="1100"/>
        </a:p>
        <a:p>
          <a:r>
            <a:rPr lang="en-US" sz="1100"/>
            <a:t>All other cases, Mben is 0</a:t>
          </a:r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17</xdr:row>
          <xdr:rowOff>158750</xdr:rowOff>
        </xdr:from>
        <xdr:to>
          <xdr:col>6</xdr:col>
          <xdr:colOff>63500</xdr:colOff>
          <xdr:row>25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298450</xdr:colOff>
          <xdr:row>17</xdr:row>
          <xdr:rowOff>177800</xdr:rowOff>
        </xdr:from>
        <xdr:to>
          <xdr:col>8</xdr:col>
          <xdr:colOff>2057400</xdr:colOff>
          <xdr:row>25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6351</xdr:colOff>
      <xdr:row>0</xdr:row>
      <xdr:rowOff>139699</xdr:rowOff>
    </xdr:from>
    <xdr:to>
      <xdr:col>2</xdr:col>
      <xdr:colOff>15874</xdr:colOff>
      <xdr:row>4</xdr:row>
      <xdr:rowOff>23812</xdr:rowOff>
    </xdr:to>
    <xdr:pic>
      <xdr:nvPicPr>
        <xdr:cNvPr id="2" name="Picture 1" descr="Shape&#10;&#10;Description automatically generated with medium confidenc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81405" b="-19632"/>
        <a:stretch/>
      </xdr:blipFill>
      <xdr:spPr bwMode="auto">
        <a:xfrm>
          <a:off x="641351" y="139699"/>
          <a:ext cx="620711" cy="6223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u-Sheng Lee" refreshedDate="45019.542418055556" createdVersion="8" refreshedVersion="8" minRefreshableVersion="3" recordCount="1622" xr:uid="{8B55DD5B-3A8F-4E09-922E-84CDC0C77715}">
  <cacheSource type="worksheet">
    <worksheetSource ref="A2:AA1624" sheet="Original Data"/>
  </cacheSource>
  <cacheFields count="27">
    <cacheField name="AgencyName" numFmtId="0">
      <sharedItems containsNonDate="0" containsBlank="1" count="14">
        <m/>
        <s v="Mullin Barens Sanford Financial &amp; Insurance Services, LLC" u="1"/>
        <s v="Pinnacle Financial Group" u="1"/>
        <s v="FNBB Capital Markets, LLC" u="1"/>
        <s v="Evergreen Consulting, Inc." u="1"/>
        <s v="JKJ Financial Services" u="1"/>
        <s v="Insurance Consulting Services, Inc." u="1"/>
        <s v="McMillan, Russell - ABC" u="1"/>
        <s v="Houghton Financial Partners" u="1"/>
        <s v="Boulevard Financial, LLC" u="1"/>
        <s v="Captrust Advisors" u="1"/>
        <s v="Carlson Hammond" u="1"/>
        <s v="M Benefit Solutions" u="1"/>
        <s v="BoliColi.com" u="1"/>
      </sharedItems>
    </cacheField>
    <cacheField name="PolicyNumber" numFmtId="0">
      <sharedItems containsNonDate="0" containsString="0" containsBlank="1"/>
    </cacheField>
    <cacheField name="Mode" numFmtId="0">
      <sharedItems containsNonDate="0" containsString="0" containsBlank="1"/>
    </cacheField>
    <cacheField name="Product Type" numFmtId="0">
      <sharedItems containsNonDate="0" containsString="0" containsBlank="1"/>
    </cacheField>
    <cacheField name="ProductName" numFmtId="0">
      <sharedItems containsNonDate="0" containsString="0" containsBlank="1"/>
    </cacheField>
    <cacheField name="CarrierCode" numFmtId="0">
      <sharedItems containsNonDate="0" containsString="0" containsBlank="1"/>
    </cacheField>
    <cacheField name="InsuredName" numFmtId="0">
      <sharedItems containsNonDate="0" containsString="0" containsBlank="1"/>
    </cacheField>
    <cacheField name="PolicyOwner" numFmtId="0">
      <sharedItems containsNonDate="0" containsString="0" containsBlank="1"/>
    </cacheField>
    <cacheField name="BusinessType" numFmtId="0">
      <sharedItems containsNonDate="0" containsBlank="1" count="5">
        <m/>
        <s v="" u="1"/>
        <s v="BOLI" u="1"/>
        <s v="COLI" u="1"/>
        <s v="CU" u="1"/>
      </sharedItems>
    </cacheField>
    <cacheField name="IssueDate" numFmtId="14">
      <sharedItems containsNonDate="0" containsString="0" containsBlank="1"/>
    </cacheField>
    <cacheField name="MonthEndDate" numFmtId="14">
      <sharedItems containsNonDate="0" containsString="0" containsBlank="1"/>
    </cacheField>
    <cacheField name="TransactionNumber" numFmtId="0">
      <sharedItems containsNonDate="0" containsString="0" containsBlank="1"/>
    </cacheField>
    <cacheField name="MBenCode" numFmtId="0">
      <sharedItems containsNonDate="0" containsString="0" containsBlank="1"/>
    </cacheField>
    <cacheField name="Percentage" numFmtId="0">
      <sharedItems containsNonDate="0" containsString="0" containsBlank="1"/>
    </cacheField>
    <cacheField name="Premium" numFmtId="0">
      <sharedItems containsNonDate="0" containsString="0" containsBlank="1"/>
    </cacheField>
    <cacheField name="FaceAmount" numFmtId="0">
      <sharedItems containsNonDate="0" containsString="0" containsBlank="1"/>
    </cacheField>
    <cacheField name="ProducerShare%" numFmtId="0">
      <sharedItems containsNonDate="0" containsString="0" containsBlank="1"/>
    </cacheField>
    <cacheField name="PolicyCount" numFmtId="0">
      <sharedItems containsNonDate="0" containsString="0" containsBlank="1"/>
    </cacheField>
    <cacheField name="Exchange1035" numFmtId="0">
      <sharedItems containsNonDate="0" containsString="0" containsBlank="1"/>
    </cacheField>
    <cacheField name="InternalExchange" numFmtId="0">
      <sharedItems containsNonDate="0" containsString="0" containsBlank="1"/>
    </cacheField>
    <cacheField name="1stYearComm" numFmtId="0">
      <sharedItems containsNonDate="0" containsString="0" containsBlank="1"/>
    </cacheField>
    <cacheField name="ContractTerms" numFmtId="0">
      <sharedItems containsNonDate="0" containsString="0" containsBlank="1"/>
    </cacheField>
    <cacheField name="AccrualDate" numFmtId="14">
      <sharedItems containsNonDate="0" containsString="0" containsBlank="1"/>
    </cacheField>
    <cacheField name="orig adj prem" numFmtId="165">
      <sharedItems containsNonDate="0" containsString="0" containsBlank="1"/>
    </cacheField>
    <cacheField name="% of total" numFmtId="43">
      <sharedItems containsNonDate="0" containsString="0" containsBlank="1"/>
    </cacheField>
    <cacheField name="Policy Count" numFmtId="0">
      <sharedItems containsNonDate="0" containsString="0" containsBlank="1"/>
    </cacheField>
    <cacheField name="Adj Prem" numFmtId="165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2"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  <r>
    <x v="0"/>
    <m/>
    <m/>
    <m/>
    <m/>
    <m/>
    <m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A1174-154E-420F-A857-64FB6FE40C26}" name="PivotTable1" cacheId="5" applyNumberFormats="0" applyBorderFormats="0" applyFontFormats="0" applyPatternFormats="0" applyAlignmentFormats="0" applyWidthHeightFormats="1" dataCaption="Values" grandTotalCaption=" Total" updatedVersion="8" minRefreshableVersion="3" useAutoFormatting="1" itemPrintTitles="1" createdVersion="5" indent="0" outline="1" outlineData="1" multipleFieldFilters="0" rowHeaderCaption="Joint Venture Partner">
  <location ref="C8:E11" firstHeaderRow="1" firstDataRow="2" firstDataCol="1"/>
  <pivotFields count="27">
    <pivotField axis="axisRow" showAll="0" sortType="ascending">
      <items count="15">
        <item m="1" x="13"/>
        <item m="1" x="9"/>
        <item m="1" x="10"/>
        <item m="1" x="11"/>
        <item m="1" x="4"/>
        <item m="1" x="3"/>
        <item m="1" x="8"/>
        <item m="1" x="6"/>
        <item m="1" x="5"/>
        <item m="1" x="12"/>
        <item m="1" x="7"/>
        <item m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2"/>
        <item m="1" x="4"/>
        <item m="1" x="1"/>
        <item x="0"/>
        <item t="default"/>
      </items>
    </pivotField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 defaultSubtotal="0"/>
    <pivotField showAll="0" defaultSubtotal="0"/>
    <pivotField showAll="0" defaultSubtotal="0"/>
    <pivotField dataField="1" numFmtId="165" showAll="0"/>
  </pivotFields>
  <rowFields count="1">
    <field x="0"/>
  </rowFields>
  <rowItems count="2">
    <i>
      <x v="13"/>
    </i>
    <i t="grand">
      <x/>
    </i>
  </rowItems>
  <colFields count="1">
    <field x="8"/>
  </colFields>
  <colItems count="2">
    <i>
      <x v="4"/>
    </i>
    <i t="grand">
      <x/>
    </i>
  </colItems>
  <dataFields count="1">
    <dataField name="Sum of Adj Prem" fld="26" baseField="0" baseItem="0" numFmtId="165"/>
  </dataFields>
  <formats count="43"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fieldPosition="0">
        <references count="1">
          <reference field="8" count="0"/>
        </references>
      </pivotArea>
    </format>
    <format dxfId="86">
      <pivotArea dataOnly="0" labelOnly="1" grandCol="1" outline="0" fieldPosition="0"/>
    </format>
    <format dxfId="85">
      <pivotArea grandRow="1" outline="0" collapsedLevelsAreSubtotals="1" fieldPosition="0"/>
    </format>
    <format dxfId="84">
      <pivotArea dataOnly="0" labelOnly="1" grandRow="1" outline="0" fieldPosition="0"/>
    </format>
    <format dxfId="83">
      <pivotArea outline="0" collapsedLevelsAreSubtotals="1" fieldPosition="0"/>
    </format>
    <format dxfId="82">
      <pivotArea grandRow="1" outline="0" collapsedLevelsAreSubtotals="1" fieldPosition="0"/>
    </format>
    <format dxfId="81">
      <pivotArea outline="0" collapsedLevelsAreSubtotals="1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fieldPosition="0">
        <references count="1">
          <reference field="8" count="0"/>
        </references>
      </pivotArea>
    </format>
    <format dxfId="78">
      <pivotArea dataOnly="0" labelOnly="1" grandCol="1" outline="0" fieldPosition="0"/>
    </format>
    <format dxfId="77">
      <pivotArea dataOnly="0" labelOnly="1" fieldPosition="0">
        <references count="1">
          <reference field="8" count="0"/>
        </references>
      </pivotArea>
    </format>
    <format dxfId="76">
      <pivotArea dataOnly="0" labelOnly="1" grandCol="1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8" count="0"/>
        </references>
      </pivotArea>
    </format>
    <format dxfId="70">
      <pivotArea dataOnly="0" labelOnly="1" grandCol="1" outline="0" fieldPosition="0"/>
    </format>
    <format dxfId="69">
      <pivotArea outline="0" collapsedLevelsAreSubtotals="1" fieldPosition="0"/>
    </format>
    <format dxfId="68">
      <pivotArea dataOnly="0" labelOnly="1" fieldPosition="0">
        <references count="1">
          <reference field="8" count="0"/>
        </references>
      </pivotArea>
    </format>
    <format dxfId="67">
      <pivotArea dataOnly="0" labelOnly="1" grandCol="1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1">
          <reference field="8" count="0"/>
        </references>
      </pivotArea>
    </format>
    <format dxfId="61">
      <pivotArea dataOnly="0" labelOnly="1" grandCol="1" outline="0" fieldPosition="0"/>
    </format>
    <format dxfId="60">
      <pivotArea field="0" type="button" dataOnly="0" labelOnly="1" outline="0" axis="axisRow" fieldPosition="0"/>
    </format>
    <format dxfId="59">
      <pivotArea dataOnly="0" labelOnly="1" fieldPosition="0">
        <references count="1">
          <reference field="8" count="0"/>
        </references>
      </pivotArea>
    </format>
    <format dxfId="58">
      <pivotArea dataOnly="0" labelOnly="1" grandCol="1" outline="0" fieldPosition="0"/>
    </format>
    <format dxfId="57">
      <pivotArea collapsedLevelsAreSubtotals="1" fieldPosition="0">
        <references count="1">
          <reference field="0" count="0"/>
        </references>
      </pivotArea>
    </format>
    <format dxfId="56">
      <pivotArea dataOnly="0" labelOnly="1" fieldPosition="0">
        <references count="1">
          <reference field="0" count="0"/>
        </references>
      </pivotArea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grandRow="1" outline="0" collapsedLevelsAreSubtotals="1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grandCol="1" outline="0" fieldPosition="0"/>
    </format>
  </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DC363-84AC-4BFD-8546-00915129FBA3}">
  <sheetPr codeName="Sheet3">
    <tabColor theme="4" tint="0.79998168889431442"/>
  </sheetPr>
  <dimension ref="B2:K31"/>
  <sheetViews>
    <sheetView zoomScale="110" zoomScaleNormal="110" workbookViewId="0">
      <selection activeCell="W34" sqref="W34"/>
    </sheetView>
  </sheetViews>
  <sheetFormatPr defaultRowHeight="14.5" x14ac:dyDescent="0.35"/>
  <sheetData>
    <row r="2" spans="2:11" x14ac:dyDescent="0.35">
      <c r="B2" t="s">
        <v>57</v>
      </c>
    </row>
    <row r="10" spans="2:11" x14ac:dyDescent="0.35">
      <c r="B10" t="s">
        <v>50</v>
      </c>
    </row>
    <row r="12" spans="2:11" x14ac:dyDescent="0.35">
      <c r="B12" t="s">
        <v>51</v>
      </c>
    </row>
    <row r="14" spans="2:11" x14ac:dyDescent="0.35">
      <c r="B14" t="s">
        <v>52</v>
      </c>
    </row>
    <row r="16" spans="2:11" x14ac:dyDescent="0.35">
      <c r="B16" t="s">
        <v>56</v>
      </c>
      <c r="K16" s="37" t="s">
        <v>64</v>
      </c>
    </row>
    <row r="18" spans="2:2" x14ac:dyDescent="0.35">
      <c r="B18" t="s">
        <v>53</v>
      </c>
    </row>
    <row r="20" spans="2:2" x14ac:dyDescent="0.35">
      <c r="B20" s="14" t="s">
        <v>62</v>
      </c>
    </row>
    <row r="21" spans="2:2" x14ac:dyDescent="0.35">
      <c r="B21" s="14" t="s">
        <v>59</v>
      </c>
    </row>
    <row r="22" spans="2:2" x14ac:dyDescent="0.35">
      <c r="B22" s="36" t="s">
        <v>63</v>
      </c>
    </row>
    <row r="23" spans="2:2" x14ac:dyDescent="0.35">
      <c r="B23" s="14"/>
    </row>
    <row r="24" spans="2:2" x14ac:dyDescent="0.35">
      <c r="B24" s="14"/>
    </row>
    <row r="25" spans="2:2" x14ac:dyDescent="0.35">
      <c r="B25" t="s">
        <v>54</v>
      </c>
    </row>
    <row r="27" spans="2:2" x14ac:dyDescent="0.35">
      <c r="B27" t="s">
        <v>55</v>
      </c>
    </row>
    <row r="29" spans="2:2" x14ac:dyDescent="0.35">
      <c r="B29" t="s">
        <v>60</v>
      </c>
    </row>
    <row r="30" spans="2:2" x14ac:dyDescent="0.35">
      <c r="B30" t="s">
        <v>61</v>
      </c>
    </row>
    <row r="31" spans="2:2" x14ac:dyDescent="0.35">
      <c r="B31" t="s">
        <v>58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F501-BDDA-48DF-84ED-74E6F1AB534F}">
  <sheetPr codeName="Sheet5">
    <tabColor theme="2" tint="-9.9978637043366805E-2"/>
  </sheetPr>
  <dimension ref="B3:P46"/>
  <sheetViews>
    <sheetView tabSelected="1" zoomScaleNormal="100" workbookViewId="0">
      <selection activeCell="P42" sqref="P42"/>
    </sheetView>
  </sheetViews>
  <sheetFormatPr defaultRowHeight="14.5" x14ac:dyDescent="0.35"/>
  <cols>
    <col min="3" max="3" width="12.26953125" customWidth="1"/>
    <col min="9" max="9" width="33.26953125" customWidth="1"/>
    <col min="12" max="13" width="20.36328125" customWidth="1"/>
  </cols>
  <sheetData>
    <row r="3" spans="2:12" x14ac:dyDescent="0.35">
      <c r="B3" s="15"/>
      <c r="C3" s="15"/>
      <c r="D3" s="15"/>
      <c r="E3" s="15"/>
      <c r="F3" s="15"/>
      <c r="G3" s="15"/>
      <c r="H3" s="15"/>
      <c r="I3" s="15"/>
    </row>
    <row r="4" spans="2:12" x14ac:dyDescent="0.35">
      <c r="B4" s="15" t="s">
        <v>14</v>
      </c>
      <c r="C4" s="15">
        <v>2022</v>
      </c>
      <c r="D4" s="15"/>
      <c r="E4" s="15"/>
      <c r="F4" s="15"/>
      <c r="G4" s="15"/>
      <c r="H4" s="15"/>
      <c r="I4" s="15"/>
    </row>
    <row r="5" spans="2:12" x14ac:dyDescent="0.35">
      <c r="B5" s="15" t="s">
        <v>15</v>
      </c>
      <c r="C5" s="16">
        <v>11</v>
      </c>
      <c r="D5" s="15"/>
      <c r="E5" s="15"/>
      <c r="F5" s="15"/>
      <c r="G5" s="15"/>
      <c r="H5" s="15"/>
      <c r="I5" s="15"/>
    </row>
    <row r="6" spans="2:12" x14ac:dyDescent="0.35">
      <c r="B6" s="15"/>
      <c r="C6" s="15"/>
      <c r="D6" s="15"/>
      <c r="E6" s="15"/>
      <c r="F6" s="15"/>
      <c r="G6" s="15"/>
      <c r="H6" s="15"/>
      <c r="I6" s="15"/>
    </row>
    <row r="7" spans="2:12" x14ac:dyDescent="0.35">
      <c r="B7" s="15"/>
      <c r="C7" s="15"/>
      <c r="D7" s="15"/>
      <c r="E7" s="15"/>
      <c r="F7" s="15"/>
      <c r="G7" s="15"/>
      <c r="H7" s="15"/>
      <c r="I7" s="15"/>
    </row>
    <row r="8" spans="2:12" x14ac:dyDescent="0.35">
      <c r="B8" s="15"/>
      <c r="C8" s="15"/>
      <c r="D8" s="15"/>
      <c r="E8" s="15"/>
      <c r="F8" s="15"/>
      <c r="G8" s="15"/>
      <c r="H8" s="15"/>
      <c r="I8" s="15"/>
    </row>
    <row r="9" spans="2:12" x14ac:dyDescent="0.35">
      <c r="B9" s="15"/>
      <c r="C9" s="15" t="s">
        <v>16</v>
      </c>
      <c r="D9" s="15" t="str">
        <f>"J:\Acctng\Production\"&amp;YearApplied&amp;"\Data\MBen"</f>
        <v>J:\Acctng\Production\2022\Data\MBen</v>
      </c>
      <c r="E9" s="15"/>
      <c r="F9" s="15"/>
      <c r="G9" s="15"/>
      <c r="H9" s="15"/>
      <c r="I9" s="15"/>
    </row>
    <row r="10" spans="2:12" x14ac:dyDescent="0.35">
      <c r="B10" s="15"/>
      <c r="C10" s="15" t="s">
        <v>17</v>
      </c>
      <c r="D10" s="15" t="str">
        <f>"2022 "&amp;RIGHT("00"&amp;MonthApplied,2)&amp;" Year To Date DataXfer.xlsx"</f>
        <v>2022 11 Year To Date DataXfer.xlsx</v>
      </c>
      <c r="E10" s="15"/>
      <c r="F10" s="15"/>
      <c r="G10" s="15"/>
      <c r="H10" s="15"/>
      <c r="I10" s="15"/>
    </row>
    <row r="11" spans="2:12" x14ac:dyDescent="0.35">
      <c r="B11" s="15"/>
      <c r="C11" s="15"/>
      <c r="D11" s="15"/>
      <c r="E11" s="15"/>
      <c r="F11" s="15"/>
      <c r="G11" s="15"/>
      <c r="H11" s="15"/>
      <c r="I11" s="15"/>
    </row>
    <row r="12" spans="2:12" x14ac:dyDescent="0.35">
      <c r="B12" s="15"/>
      <c r="C12" s="15" t="s">
        <v>18</v>
      </c>
      <c r="D12" s="15" t="str">
        <f>"J:\Acctng\Production\"&amp;YearApplied&amp;"\M Benefits Report\"&amp;RIGHT("00"&amp;MonthApplied,2)&amp;"\"</f>
        <v>J:\Acctng\Production\2022\M Benefits Report\11\</v>
      </c>
      <c r="E12" s="15"/>
      <c r="F12" s="15"/>
      <c r="G12" s="15"/>
      <c r="H12" s="15"/>
      <c r="I12" s="15"/>
    </row>
    <row r="13" spans="2:12" x14ac:dyDescent="0.35">
      <c r="B13" s="15"/>
      <c r="C13" s="15"/>
      <c r="D13" s="15"/>
      <c r="E13" s="15"/>
      <c r="F13" s="15"/>
      <c r="G13" s="15"/>
      <c r="H13" s="15"/>
      <c r="I13" s="15"/>
    </row>
    <row r="14" spans="2:12" x14ac:dyDescent="0.35">
      <c r="B14" s="15"/>
      <c r="C14" s="15" t="s">
        <v>19</v>
      </c>
      <c r="D14" s="15" t="str">
        <f>"M Benefit Solutions Production MF "&amp;RIGHT("00"&amp;MonthApplied,2)&amp;YearApplied</f>
        <v>M Benefit Solutions Production MF 112022</v>
      </c>
      <c r="E14" s="15"/>
      <c r="F14" s="15"/>
      <c r="G14" s="15"/>
      <c r="H14" s="15"/>
      <c r="I14" s="15"/>
    </row>
    <row r="15" spans="2:12" x14ac:dyDescent="0.35">
      <c r="B15" s="15"/>
      <c r="C15" s="15"/>
      <c r="D15" s="15"/>
      <c r="E15" s="15"/>
      <c r="F15" s="15"/>
      <c r="G15" s="15"/>
      <c r="H15" s="15"/>
      <c r="I15" s="15"/>
      <c r="L15" s="14" t="s">
        <v>49</v>
      </c>
    </row>
    <row r="16" spans="2:12" x14ac:dyDescent="0.35">
      <c r="B16" s="15"/>
      <c r="C16" s="15"/>
      <c r="D16" s="17"/>
      <c r="E16" s="15"/>
      <c r="F16" s="15"/>
      <c r="G16" s="15"/>
      <c r="H16" s="15"/>
      <c r="I16" s="15"/>
      <c r="L16" s="14" t="s">
        <v>89</v>
      </c>
    </row>
    <row r="17" spans="2:16" x14ac:dyDescent="0.35">
      <c r="B17" s="15"/>
      <c r="C17" s="15"/>
      <c r="D17" s="17"/>
      <c r="E17" s="15"/>
      <c r="F17" s="15"/>
      <c r="G17" s="15"/>
      <c r="H17" s="15"/>
      <c r="I17" s="15"/>
      <c r="L17" s="12" t="s">
        <v>10</v>
      </c>
      <c r="M17" s="12"/>
      <c r="N17" s="12"/>
      <c r="O17" s="12"/>
      <c r="P17" s="12"/>
    </row>
    <row r="18" spans="2:16" x14ac:dyDescent="0.35">
      <c r="B18" s="15"/>
      <c r="C18" s="15"/>
      <c r="D18" s="15"/>
      <c r="E18" s="15"/>
      <c r="F18" s="15"/>
      <c r="G18" s="15"/>
      <c r="H18" s="15"/>
      <c r="I18" s="15"/>
      <c r="L18" s="12" t="s">
        <v>23</v>
      </c>
      <c r="M18" s="12"/>
      <c r="N18" s="12"/>
      <c r="O18" s="12"/>
      <c r="P18" s="12"/>
    </row>
    <row r="19" spans="2:16" x14ac:dyDescent="0.35">
      <c r="B19" s="15"/>
      <c r="C19" s="15"/>
      <c r="D19" s="15"/>
      <c r="E19" s="15"/>
      <c r="F19" s="15"/>
      <c r="G19" s="15"/>
      <c r="H19" s="15"/>
      <c r="I19" s="15"/>
      <c r="L19" s="12"/>
      <c r="M19" s="12" t="s">
        <v>24</v>
      </c>
      <c r="N19" s="12"/>
      <c r="O19" s="12"/>
      <c r="P19" s="12"/>
    </row>
    <row r="20" spans="2:16" x14ac:dyDescent="0.35">
      <c r="B20" s="15"/>
      <c r="C20" s="15"/>
      <c r="D20" s="15"/>
      <c r="E20" s="15"/>
      <c r="F20" s="15"/>
      <c r="G20" s="15"/>
      <c r="H20" s="15"/>
      <c r="I20" s="15"/>
      <c r="L20" s="12"/>
      <c r="M20" s="12" t="s">
        <v>25</v>
      </c>
      <c r="N20" s="12"/>
      <c r="O20" s="12"/>
      <c r="P20" s="12"/>
    </row>
    <row r="21" spans="2:16" x14ac:dyDescent="0.35">
      <c r="B21" s="15"/>
      <c r="C21" s="15"/>
      <c r="D21" s="15"/>
      <c r="E21" s="15"/>
      <c r="F21" s="15"/>
      <c r="G21" s="15"/>
      <c r="H21" s="15"/>
      <c r="I21" s="15"/>
      <c r="L21" s="12"/>
      <c r="M21" s="12" t="s">
        <v>26</v>
      </c>
      <c r="N21" s="12"/>
      <c r="O21" s="12"/>
      <c r="P21" s="12"/>
    </row>
    <row r="22" spans="2:16" x14ac:dyDescent="0.35">
      <c r="B22" s="15"/>
      <c r="C22" s="15"/>
      <c r="D22" s="15"/>
      <c r="E22" s="15"/>
      <c r="F22" s="15"/>
      <c r="G22" s="15"/>
      <c r="H22" s="15"/>
      <c r="I22" s="15"/>
      <c r="L22" s="12"/>
      <c r="M22" s="12" t="s">
        <v>27</v>
      </c>
      <c r="N22" s="12"/>
      <c r="O22" s="12"/>
      <c r="P22" s="12"/>
    </row>
    <row r="23" spans="2:16" x14ac:dyDescent="0.35">
      <c r="B23" s="15"/>
      <c r="C23" s="15"/>
      <c r="D23" s="17"/>
      <c r="E23" s="15"/>
      <c r="F23" s="15"/>
      <c r="G23" s="15"/>
      <c r="H23" s="15"/>
      <c r="I23" s="15"/>
      <c r="L23" s="12"/>
      <c r="M23" s="12" t="s">
        <v>28</v>
      </c>
      <c r="N23" s="12"/>
      <c r="O23" s="12"/>
      <c r="P23" s="12"/>
    </row>
    <row r="24" spans="2:16" x14ac:dyDescent="0.35">
      <c r="B24" s="15"/>
      <c r="C24" s="15"/>
      <c r="D24" s="15"/>
      <c r="E24" s="15"/>
      <c r="F24" s="15"/>
      <c r="G24" s="15"/>
      <c r="H24" s="15"/>
      <c r="I24" s="15"/>
      <c r="L24" s="12"/>
      <c r="M24" s="12" t="s">
        <v>29</v>
      </c>
      <c r="N24" s="12"/>
      <c r="O24" s="12"/>
      <c r="P24" s="12"/>
    </row>
    <row r="25" spans="2:16" x14ac:dyDescent="0.35">
      <c r="B25" s="15"/>
      <c r="C25" s="15"/>
      <c r="D25" s="15"/>
      <c r="E25" s="15"/>
      <c r="F25" s="15"/>
      <c r="G25" s="15"/>
      <c r="H25" s="15"/>
      <c r="I25" s="15"/>
      <c r="L25" s="12" t="s">
        <v>30</v>
      </c>
      <c r="M25" s="12"/>
      <c r="N25" s="12"/>
      <c r="O25" s="12"/>
      <c r="P25" s="12"/>
    </row>
    <row r="26" spans="2:16" x14ac:dyDescent="0.35">
      <c r="B26" s="15"/>
      <c r="C26" s="15"/>
      <c r="D26" s="15"/>
      <c r="E26" s="15"/>
      <c r="F26" s="15"/>
      <c r="G26" s="15"/>
      <c r="H26" s="15"/>
      <c r="I26" s="15"/>
      <c r="L26" s="12" t="s">
        <v>31</v>
      </c>
      <c r="M26" s="12"/>
      <c r="N26" s="12"/>
      <c r="O26" s="12"/>
      <c r="P26" s="12"/>
    </row>
    <row r="27" spans="2:16" x14ac:dyDescent="0.35">
      <c r="B27" s="15"/>
      <c r="C27" s="15"/>
      <c r="D27" s="15"/>
      <c r="E27" s="15"/>
      <c r="F27" s="15"/>
      <c r="G27" s="15"/>
      <c r="H27" s="15"/>
      <c r="I27" s="15"/>
      <c r="L27" s="12" t="s">
        <v>32</v>
      </c>
      <c r="M27" s="12"/>
      <c r="N27" s="12"/>
      <c r="O27" s="12"/>
      <c r="P27" s="12"/>
    </row>
    <row r="28" spans="2:16" x14ac:dyDescent="0.35">
      <c r="B28" s="15"/>
      <c r="C28" s="15"/>
      <c r="D28" s="15"/>
      <c r="E28" s="15"/>
      <c r="F28" s="15"/>
      <c r="G28" s="15"/>
      <c r="H28" s="15"/>
      <c r="I28" s="15"/>
      <c r="L28" s="12" t="s">
        <v>33</v>
      </c>
      <c r="M28" s="12"/>
      <c r="N28" s="12"/>
      <c r="O28" s="12"/>
      <c r="P28" s="12"/>
    </row>
    <row r="29" spans="2:16" x14ac:dyDescent="0.35">
      <c r="B29" s="15"/>
      <c r="C29" s="15"/>
      <c r="D29" s="15"/>
      <c r="E29" s="15"/>
      <c r="F29" s="15"/>
      <c r="G29" s="15"/>
      <c r="H29" s="15"/>
      <c r="I29" s="15"/>
      <c r="L29" s="34" t="s">
        <v>34</v>
      </c>
      <c r="M29" s="12"/>
      <c r="N29" s="12"/>
      <c r="O29" s="12"/>
      <c r="P29" s="12"/>
    </row>
    <row r="30" spans="2:16" x14ac:dyDescent="0.35">
      <c r="L30" s="31" t="s">
        <v>20</v>
      </c>
    </row>
    <row r="32" spans="2:16" x14ac:dyDescent="0.35">
      <c r="L32" s="33" t="s">
        <v>21</v>
      </c>
      <c r="M32" s="33" t="s">
        <v>22</v>
      </c>
    </row>
    <row r="33" spans="12:13" x14ac:dyDescent="0.35">
      <c r="L33" s="32" t="s">
        <v>41</v>
      </c>
      <c r="M33" s="32" t="s">
        <v>0</v>
      </c>
    </row>
    <row r="34" spans="12:13" x14ac:dyDescent="0.35">
      <c r="L34" s="32" t="s">
        <v>42</v>
      </c>
      <c r="M34" s="32" t="s">
        <v>0</v>
      </c>
    </row>
    <row r="35" spans="12:13" x14ac:dyDescent="0.35">
      <c r="L35" s="32" t="s">
        <v>37</v>
      </c>
      <c r="M35" s="32" t="s">
        <v>0</v>
      </c>
    </row>
    <row r="36" spans="12:13" x14ac:dyDescent="0.35">
      <c r="L36" s="32" t="s">
        <v>88</v>
      </c>
      <c r="M36" s="32" t="s">
        <v>0</v>
      </c>
    </row>
    <row r="37" spans="12:13" x14ac:dyDescent="0.35">
      <c r="L37" s="32" t="s">
        <v>44</v>
      </c>
      <c r="M37" s="32" t="s">
        <v>0</v>
      </c>
    </row>
    <row r="38" spans="12:13" x14ac:dyDescent="0.35">
      <c r="L38" s="32" t="s">
        <v>45</v>
      </c>
      <c r="M38" s="32" t="s">
        <v>0</v>
      </c>
    </row>
    <row r="39" spans="12:13" x14ac:dyDescent="0.35">
      <c r="L39" s="32" t="s">
        <v>39</v>
      </c>
      <c r="M39" s="32" t="s">
        <v>0</v>
      </c>
    </row>
    <row r="40" spans="12:13" x14ac:dyDescent="0.35">
      <c r="L40" s="32" t="s">
        <v>12</v>
      </c>
      <c r="M40" s="32" t="s">
        <v>0</v>
      </c>
    </row>
    <row r="41" spans="12:13" x14ac:dyDescent="0.35">
      <c r="L41" s="32" t="s">
        <v>35</v>
      </c>
      <c r="M41" s="32" t="s">
        <v>48</v>
      </c>
    </row>
    <row r="42" spans="12:13" x14ac:dyDescent="0.35">
      <c r="L42" s="32" t="s">
        <v>36</v>
      </c>
      <c r="M42" s="32" t="s">
        <v>40</v>
      </c>
    </row>
    <row r="43" spans="12:13" x14ac:dyDescent="0.35">
      <c r="L43" s="32" t="s">
        <v>38</v>
      </c>
      <c r="M43" s="32" t="s">
        <v>46</v>
      </c>
    </row>
    <row r="44" spans="12:13" x14ac:dyDescent="0.35">
      <c r="L44" s="32" t="s">
        <v>43</v>
      </c>
      <c r="M44" s="32" t="s">
        <v>47</v>
      </c>
    </row>
    <row r="45" spans="12:13" x14ac:dyDescent="0.35">
      <c r="L45" s="32" t="s">
        <v>11</v>
      </c>
      <c r="M45" s="32" t="s">
        <v>47</v>
      </c>
    </row>
    <row r="46" spans="12:13" x14ac:dyDescent="0.35">
      <c r="L46" s="32" t="s">
        <v>13</v>
      </c>
      <c r="M46" s="32" t="s">
        <v>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_Data">
                <anchor moveWithCells="1" sizeWithCells="1">
                  <from>
                    <xdr:col>1</xdr:col>
                    <xdr:colOff>381000</xdr:colOff>
                    <xdr:row>17</xdr:row>
                    <xdr:rowOff>158750</xdr:rowOff>
                  </from>
                  <to>
                    <xdr:col>6</xdr:col>
                    <xdr:colOff>63500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">
                <anchor moveWithCells="1" sizeWithCells="1">
                  <from>
                    <xdr:col>6</xdr:col>
                    <xdr:colOff>298450</xdr:colOff>
                    <xdr:row>17</xdr:row>
                    <xdr:rowOff>177800</xdr:rowOff>
                  </from>
                  <to>
                    <xdr:col>8</xdr:col>
                    <xdr:colOff>2057400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V86"/>
  <sheetViews>
    <sheetView zoomScale="120" zoomScaleNormal="120" zoomScaleSheetLayoutView="115" workbookViewId="0">
      <selection activeCell="C13" sqref="C13"/>
    </sheetView>
  </sheetViews>
  <sheetFormatPr defaultRowHeight="14.5" x14ac:dyDescent="0.35"/>
  <cols>
    <col min="1" max="1" width="9.1796875" style="2"/>
    <col min="3" max="3" width="19.54296875" bestFit="1" customWidth="1"/>
    <col min="4" max="4" width="15.26953125" bestFit="1" customWidth="1"/>
    <col min="5" max="5" width="5.1796875" bestFit="1" customWidth="1"/>
    <col min="6" max="7" width="9.1796875" bestFit="1" customWidth="1"/>
    <col min="8" max="8" width="11" style="2" bestFit="1" customWidth="1"/>
    <col min="9" max="9" width="11" bestFit="1" customWidth="1"/>
    <col min="10" max="10" width="9.1796875" customWidth="1"/>
  </cols>
  <sheetData>
    <row r="1" spans="1:19" ht="15" customHeight="1" x14ac:dyDescent="0.35">
      <c r="B1" s="2"/>
      <c r="C1" s="2"/>
      <c r="D1" s="51"/>
      <c r="E1" s="51"/>
      <c r="F1" s="51"/>
      <c r="G1" s="51"/>
      <c r="H1" s="51"/>
      <c r="I1" s="51"/>
      <c r="J1" s="51"/>
      <c r="K1" s="3"/>
      <c r="L1" s="2"/>
      <c r="M1" s="2"/>
      <c r="N1" s="2"/>
      <c r="O1" s="2"/>
      <c r="P1" s="2"/>
      <c r="Q1" s="2"/>
      <c r="R1" s="2"/>
      <c r="S1" s="2"/>
    </row>
    <row r="2" spans="1:19" x14ac:dyDescent="0.35">
      <c r="B2" s="2"/>
      <c r="C2" s="2"/>
      <c r="D2" s="2"/>
      <c r="E2" s="2"/>
      <c r="F2" s="2"/>
      <c r="G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x14ac:dyDescent="0.35">
      <c r="B3" s="2"/>
      <c r="C3" s="2"/>
      <c r="D3" s="2"/>
      <c r="E3" s="2"/>
      <c r="F3" s="2"/>
      <c r="G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35">
      <c r="B4" s="2"/>
      <c r="C4" s="2"/>
      <c r="D4" s="2"/>
      <c r="E4" s="2"/>
      <c r="F4" s="2"/>
      <c r="G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18.75" customHeight="1" x14ac:dyDescent="0.35">
      <c r="A5" s="52" t="str">
        <f>"M Benefit Solutions Premium Breakdown by Partner - YTD"&amp;" "&amp;TEXT(INT(MonthApplied)*29,"mmmm")&amp;" "&amp;YearApplied</f>
        <v>M Benefit Solutions Premium Breakdown by Partner - YTD November 2022</v>
      </c>
      <c r="B5" s="52"/>
      <c r="C5" s="52"/>
      <c r="D5" s="52"/>
      <c r="E5" s="52"/>
      <c r="F5" s="52"/>
      <c r="G5" s="52"/>
      <c r="H5" s="52"/>
      <c r="I5" s="52"/>
      <c r="J5" s="52"/>
      <c r="K5" s="2"/>
      <c r="L5" s="2"/>
      <c r="M5" s="2"/>
      <c r="N5" s="2"/>
      <c r="O5" s="2"/>
      <c r="P5" s="2"/>
      <c r="Q5" s="2"/>
      <c r="R5" s="2"/>
      <c r="S5" s="2"/>
    </row>
    <row r="6" spans="1:19" x14ac:dyDescent="0.35">
      <c r="B6" s="2"/>
      <c r="C6" s="50" t="s">
        <v>5</v>
      </c>
      <c r="D6" s="50"/>
      <c r="E6" s="50"/>
      <c r="F6" s="50"/>
      <c r="G6" s="50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35">
      <c r="B7" s="2"/>
      <c r="C7" s="2"/>
      <c r="D7" s="2"/>
      <c r="E7" s="2"/>
      <c r="F7" s="2"/>
      <c r="G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ht="13" hidden="1" customHeight="1" x14ac:dyDescent="0.35">
      <c r="B8" s="2"/>
      <c r="C8" s="8" t="s">
        <v>2</v>
      </c>
      <c r="D8" s="8" t="s">
        <v>3</v>
      </c>
      <c r="E8" s="9"/>
      <c r="H8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35">
      <c r="B9" s="2"/>
      <c r="C9" s="47" t="s">
        <v>6</v>
      </c>
      <c r="D9" s="48" t="s">
        <v>90</v>
      </c>
      <c r="E9" s="48" t="s">
        <v>4</v>
      </c>
      <c r="H9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5">
      <c r="B10" s="2"/>
      <c r="C10" s="46" t="s">
        <v>90</v>
      </c>
      <c r="D10" s="45"/>
      <c r="E10" s="45"/>
      <c r="H10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35">
      <c r="B11" s="2"/>
      <c r="C11" s="54" t="s">
        <v>4</v>
      </c>
      <c r="D11" s="53"/>
      <c r="E11" s="53"/>
      <c r="H11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35">
      <c r="B12" s="2"/>
      <c r="H1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B13" s="2"/>
      <c r="H13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B14" s="2"/>
      <c r="H14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B15" s="2"/>
      <c r="H15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B16" s="2"/>
      <c r="H16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22" x14ac:dyDescent="0.35">
      <c r="B17" s="2"/>
      <c r="H17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22" x14ac:dyDescent="0.35">
      <c r="B18" s="2"/>
      <c r="H18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22" x14ac:dyDescent="0.35">
      <c r="B19" s="2"/>
      <c r="H19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22" x14ac:dyDescent="0.35">
      <c r="B20" s="2"/>
      <c r="H20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22" x14ac:dyDescent="0.35">
      <c r="B21" s="2"/>
      <c r="H21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22" x14ac:dyDescent="0.35">
      <c r="B22" s="2"/>
      <c r="H2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22" x14ac:dyDescent="0.35">
      <c r="B23" s="2"/>
      <c r="H23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22" s="2" customFormat="1" x14ac:dyDescent="0.35">
      <c r="C24"/>
      <c r="D24"/>
      <c r="E24"/>
      <c r="F24"/>
      <c r="G24"/>
      <c r="H24"/>
      <c r="I24"/>
    </row>
    <row r="25" spans="2:22" x14ac:dyDescent="0.35">
      <c r="B25" s="2"/>
      <c r="H25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2" x14ac:dyDescent="0.35">
      <c r="B26" s="2"/>
      <c r="H26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2" x14ac:dyDescent="0.35">
      <c r="B27" s="2"/>
      <c r="H27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2" x14ac:dyDescent="0.35">
      <c r="B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2" x14ac:dyDescent="0.35">
      <c r="B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2" x14ac:dyDescent="0.35">
      <c r="B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2:22" x14ac:dyDescent="0.35">
      <c r="B31" s="2"/>
      <c r="C31" s="2"/>
      <c r="D31" s="2"/>
      <c r="E31" s="2"/>
      <c r="F31" s="2"/>
      <c r="G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2:22" x14ac:dyDescent="0.35">
      <c r="B32" s="2"/>
      <c r="C32" s="2"/>
      <c r="D32" s="2"/>
      <c r="E32" s="2"/>
      <c r="F32" s="2"/>
      <c r="G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2:22" x14ac:dyDescent="0.35">
      <c r="B33" s="2"/>
      <c r="C33" s="2"/>
      <c r="D33" s="2"/>
      <c r="E33" s="2"/>
      <c r="F33" s="2"/>
      <c r="G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2:22" x14ac:dyDescent="0.35">
      <c r="B34" s="2"/>
      <c r="C34" s="2"/>
      <c r="D34" s="2"/>
      <c r="E34" s="2"/>
      <c r="F34" s="2"/>
      <c r="G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2:22" x14ac:dyDescent="0.35">
      <c r="B35" s="2"/>
      <c r="C35" s="2"/>
      <c r="D35" s="2"/>
      <c r="E35" s="2"/>
      <c r="F35" s="2"/>
      <c r="G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2:22" x14ac:dyDescent="0.35">
      <c r="B36" s="2"/>
      <c r="C36" s="2"/>
      <c r="D36" s="2"/>
      <c r="E36" s="2"/>
      <c r="F36" s="2"/>
      <c r="G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2:22" x14ac:dyDescent="0.35">
      <c r="B37" s="2"/>
      <c r="C37" s="2"/>
      <c r="D37" s="2"/>
      <c r="E37" s="2"/>
      <c r="F37" s="2"/>
      <c r="G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2:22" x14ac:dyDescent="0.35">
      <c r="B38" s="2"/>
      <c r="C38" s="2"/>
      <c r="D38" s="2"/>
      <c r="E38" s="2"/>
      <c r="F38" s="2"/>
      <c r="G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2:22" x14ac:dyDescent="0.35">
      <c r="B39" s="2"/>
      <c r="C39" s="2"/>
      <c r="D39" s="2"/>
      <c r="E39" s="2"/>
      <c r="F39" s="2"/>
      <c r="G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2:22" x14ac:dyDescent="0.35">
      <c r="B40" s="2"/>
      <c r="C40" s="2"/>
      <c r="D40" s="2"/>
      <c r="E40" s="2"/>
      <c r="F40" s="2"/>
      <c r="G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2:22" x14ac:dyDescent="0.35">
      <c r="B41" s="2"/>
      <c r="C41" s="2"/>
      <c r="D41" s="2"/>
      <c r="E41" s="2"/>
      <c r="F41" s="2"/>
      <c r="G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2:22" x14ac:dyDescent="0.35">
      <c r="B42" s="2"/>
      <c r="C42" s="2"/>
      <c r="D42" s="2"/>
      <c r="E42" s="2"/>
      <c r="F42" s="2"/>
      <c r="G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2:22" x14ac:dyDescent="0.35">
      <c r="B43" s="2"/>
      <c r="C43" s="2"/>
      <c r="D43" s="2"/>
      <c r="E43" s="2"/>
      <c r="F43" s="2"/>
      <c r="G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2:22" x14ac:dyDescent="0.35">
      <c r="B44" s="2"/>
      <c r="C44" s="2"/>
      <c r="D44" s="2"/>
      <c r="E44" s="2"/>
      <c r="F44" s="2"/>
      <c r="G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2:22" x14ac:dyDescent="0.35">
      <c r="B45" s="2"/>
      <c r="C45" s="2"/>
      <c r="D45" s="2"/>
      <c r="E45" s="2"/>
      <c r="F45" s="2"/>
      <c r="G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2:22" x14ac:dyDescent="0.35">
      <c r="B46" s="2"/>
      <c r="C46" s="2"/>
      <c r="D46" s="2"/>
      <c r="E46" s="2"/>
      <c r="F46" s="2"/>
      <c r="G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2:22" x14ac:dyDescent="0.35">
      <c r="B47" s="2"/>
      <c r="C47" s="2"/>
      <c r="D47" s="2"/>
      <c r="E47" s="2"/>
      <c r="F47" s="2"/>
      <c r="G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2:22" x14ac:dyDescent="0.35">
      <c r="B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2:22" x14ac:dyDescent="0.35">
      <c r="B49" s="2"/>
      <c r="C49" s="2"/>
      <c r="D49" s="2"/>
      <c r="E49" s="2"/>
      <c r="F49" s="2"/>
      <c r="G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2:22" x14ac:dyDescent="0.35">
      <c r="B50" s="2"/>
      <c r="C50" s="2"/>
      <c r="D50" s="2"/>
      <c r="E50" s="2"/>
      <c r="F50" s="2"/>
      <c r="G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2:22" x14ac:dyDescent="0.35">
      <c r="B51" s="2"/>
      <c r="C51" s="2"/>
      <c r="D51" s="2"/>
      <c r="E51" s="2"/>
      <c r="F51" s="2"/>
      <c r="G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2:22" x14ac:dyDescent="0.35">
      <c r="B52" s="2"/>
      <c r="C52" s="2"/>
      <c r="D52" s="2"/>
      <c r="E52" s="2"/>
      <c r="F52" s="2"/>
      <c r="G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2:22" x14ac:dyDescent="0.35">
      <c r="B53" s="2"/>
      <c r="C53" s="2"/>
      <c r="D53" s="2"/>
      <c r="E53" s="2"/>
      <c r="F53" s="2"/>
      <c r="G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2:22" x14ac:dyDescent="0.35">
      <c r="B54" s="2"/>
      <c r="C54" s="2"/>
      <c r="D54" s="2"/>
      <c r="E54" s="2"/>
      <c r="F54" s="2"/>
      <c r="G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2:22" x14ac:dyDescent="0.35">
      <c r="B55" s="2"/>
      <c r="C55" s="2"/>
      <c r="D55" s="2"/>
      <c r="E55" s="2"/>
      <c r="F55" s="2"/>
      <c r="G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2:22" x14ac:dyDescent="0.35">
      <c r="B56" s="2"/>
      <c r="C56" s="2"/>
      <c r="D56" s="2"/>
      <c r="E56" s="2"/>
      <c r="F56" s="2"/>
      <c r="G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2:22" x14ac:dyDescent="0.35">
      <c r="B57" s="2"/>
      <c r="C57" s="2"/>
      <c r="D57" s="2"/>
      <c r="E57" s="2"/>
      <c r="F57" s="2"/>
      <c r="G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2:22" x14ac:dyDescent="0.35">
      <c r="B58" s="2"/>
      <c r="C58" s="2"/>
      <c r="D58" s="2"/>
      <c r="E58" s="2"/>
      <c r="F58" s="2"/>
      <c r="G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2:22" x14ac:dyDescent="0.35">
      <c r="B59" s="2"/>
      <c r="C59" s="2"/>
      <c r="D59" s="2"/>
      <c r="E59" s="2"/>
      <c r="F59" s="2"/>
      <c r="G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2:22" x14ac:dyDescent="0.35">
      <c r="B60" s="2"/>
      <c r="C60" s="2"/>
      <c r="D60" s="2"/>
      <c r="E60" s="2"/>
      <c r="F60" s="2"/>
      <c r="G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2:22" x14ac:dyDescent="0.35">
      <c r="B61" s="2"/>
      <c r="C61" s="2"/>
      <c r="D61" s="2"/>
      <c r="E61" s="2"/>
      <c r="F61" s="2"/>
      <c r="G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2:22" x14ac:dyDescent="0.35">
      <c r="B62" s="2"/>
      <c r="C62" s="2"/>
      <c r="D62" s="2"/>
      <c r="E62" s="2"/>
      <c r="F62" s="2"/>
      <c r="G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2:22" x14ac:dyDescent="0.35">
      <c r="B63" s="2"/>
      <c r="C63" s="2"/>
      <c r="D63" s="2"/>
      <c r="E63" s="2"/>
      <c r="F63" s="2"/>
      <c r="G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2:22" x14ac:dyDescent="0.35">
      <c r="B64" s="2"/>
      <c r="C64" s="2"/>
      <c r="D64" s="2"/>
      <c r="E64" s="2"/>
      <c r="F64" s="2"/>
      <c r="G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2:22" x14ac:dyDescent="0.35">
      <c r="B65" s="2"/>
      <c r="C65" s="2"/>
      <c r="D65" s="2"/>
      <c r="E65" s="2"/>
      <c r="F65" s="2"/>
      <c r="G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2:22" x14ac:dyDescent="0.35">
      <c r="B66" s="2"/>
      <c r="C66" s="2"/>
      <c r="D66" s="2"/>
      <c r="E66" s="2"/>
      <c r="F66" s="2"/>
      <c r="G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2:22" x14ac:dyDescent="0.35">
      <c r="B67" s="2"/>
      <c r="C67" s="2"/>
      <c r="D67" s="2"/>
      <c r="E67" s="2"/>
      <c r="F67" s="2"/>
      <c r="G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2:22" x14ac:dyDescent="0.35">
      <c r="B68" s="2"/>
      <c r="C68" s="2"/>
      <c r="D68" s="2"/>
      <c r="E68" s="2"/>
      <c r="F68" s="2"/>
      <c r="G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2:22" x14ac:dyDescent="0.35">
      <c r="B69" s="2"/>
      <c r="C69" s="2"/>
      <c r="D69" s="2"/>
      <c r="E69" s="2"/>
      <c r="F69" s="2"/>
      <c r="G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2:22" x14ac:dyDescent="0.35">
      <c r="B70" s="2"/>
      <c r="C70" s="2"/>
      <c r="D70" s="2"/>
      <c r="E70" s="2"/>
      <c r="F70" s="2"/>
      <c r="G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2:22" x14ac:dyDescent="0.35">
      <c r="B71" s="2"/>
      <c r="C71" s="2"/>
      <c r="D71" s="2"/>
      <c r="E71" s="2"/>
      <c r="F71" s="2"/>
      <c r="G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2:22" x14ac:dyDescent="0.35">
      <c r="B72" s="2"/>
      <c r="C72" s="2"/>
      <c r="D72" s="2"/>
      <c r="E72" s="2"/>
      <c r="F72" s="2"/>
      <c r="G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2:22" x14ac:dyDescent="0.35">
      <c r="B73" s="2"/>
      <c r="C73" s="2"/>
      <c r="D73" s="2"/>
      <c r="E73" s="2"/>
      <c r="F73" s="2"/>
      <c r="G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2:22" x14ac:dyDescent="0.35">
      <c r="B74" s="2"/>
      <c r="C74" s="2"/>
      <c r="D74" s="2"/>
      <c r="E74" s="2"/>
      <c r="F74" s="2"/>
      <c r="G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2:22" x14ac:dyDescent="0.35">
      <c r="B75" s="2"/>
      <c r="C75" s="2"/>
      <c r="D75" s="2"/>
      <c r="E75" s="2"/>
      <c r="F75" s="2"/>
      <c r="G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2:22" x14ac:dyDescent="0.35">
      <c r="B76" s="2"/>
      <c r="C76" s="2"/>
      <c r="D76" s="2"/>
      <c r="E76" s="2"/>
      <c r="F76" s="2"/>
      <c r="G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2:22" x14ac:dyDescent="0.35">
      <c r="B77" s="2"/>
      <c r="C77" s="2"/>
      <c r="D77" s="2"/>
      <c r="E77" s="2"/>
      <c r="F77" s="2"/>
      <c r="G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2:22" x14ac:dyDescent="0.35">
      <c r="B78" s="2"/>
      <c r="C78" s="2"/>
      <c r="D78" s="2"/>
      <c r="E78" s="2"/>
      <c r="F78" s="2"/>
      <c r="G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2:22" x14ac:dyDescent="0.35">
      <c r="B79" s="2"/>
      <c r="C79" s="2"/>
      <c r="D79" s="2"/>
      <c r="E79" s="2"/>
      <c r="F79" s="2"/>
      <c r="G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2:22" x14ac:dyDescent="0.35">
      <c r="B80" s="2"/>
      <c r="C80" s="2"/>
      <c r="D80" s="2"/>
      <c r="E80" s="2"/>
      <c r="F80" s="2"/>
      <c r="G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2:22" x14ac:dyDescent="0.35">
      <c r="B81" s="2"/>
      <c r="C81" s="2"/>
      <c r="D81" s="2"/>
      <c r="E81" s="2"/>
      <c r="F81" s="2"/>
      <c r="G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2:22" x14ac:dyDescent="0.35">
      <c r="B82" s="2"/>
      <c r="C82" s="2"/>
      <c r="D82" s="2"/>
      <c r="E82" s="2"/>
      <c r="F82" s="2"/>
      <c r="G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2:22" x14ac:dyDescent="0.35">
      <c r="B83" s="2"/>
      <c r="C83" s="2"/>
      <c r="D83" s="2"/>
      <c r="E83" s="2"/>
      <c r="F83" s="2"/>
      <c r="G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2:22" x14ac:dyDescent="0.35">
      <c r="B84" s="2"/>
      <c r="C84" s="2"/>
      <c r="D84" s="2"/>
      <c r="E84" s="2"/>
      <c r="F84" s="2"/>
      <c r="G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2:22" x14ac:dyDescent="0.35">
      <c r="B85" s="2"/>
      <c r="C85" s="2"/>
      <c r="D85" s="2"/>
      <c r="E85" s="2"/>
      <c r="F85" s="2"/>
      <c r="G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2:22" x14ac:dyDescent="0.35">
      <c r="B86" s="2"/>
      <c r="C86" s="2"/>
      <c r="D86" s="2"/>
      <c r="E86" s="2"/>
      <c r="F86" s="2"/>
      <c r="G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</sheetData>
  <mergeCells count="3">
    <mergeCell ref="C6:G6"/>
    <mergeCell ref="D1:J1"/>
    <mergeCell ref="A5:J5"/>
  </mergeCells>
  <pageMargins left="0.7" right="0.7" top="0.75" bottom="0.75" header="0.3" footer="0.3"/>
  <pageSetup scale="96" orientation="landscape" r:id="rId2"/>
  <colBreaks count="1" manualBreakCount="1">
    <brk id="10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59999389629810485"/>
  </sheetPr>
  <dimension ref="A1:AD1624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4" sqref="A4"/>
    </sheetView>
  </sheetViews>
  <sheetFormatPr defaultRowHeight="14.5" x14ac:dyDescent="0.35"/>
  <cols>
    <col min="1" max="1" width="34.453125" bestFit="1" customWidth="1"/>
    <col min="2" max="2" width="19.1796875" style="7" bestFit="1" customWidth="1"/>
    <col min="3" max="3" width="11.7265625" bestFit="1" customWidth="1"/>
    <col min="4" max="4" width="18" bestFit="1" customWidth="1"/>
    <col min="5" max="5" width="49.453125" bestFit="1" customWidth="1"/>
    <col min="6" max="6" width="17.1796875" bestFit="1" customWidth="1"/>
    <col min="7" max="7" width="20.453125" bestFit="1" customWidth="1"/>
    <col min="8" max="8" width="46.453125" bestFit="1" customWidth="1"/>
    <col min="9" max="9" width="19.26953125" bestFit="1" customWidth="1"/>
    <col min="10" max="10" width="16" style="38" bestFit="1" customWidth="1"/>
    <col min="11" max="11" width="20.26953125" style="38" bestFit="1" customWidth="1"/>
    <col min="12" max="12" width="24.81640625" bestFit="1" customWidth="1"/>
    <col min="13" max="13" width="16.26953125" bestFit="1" customWidth="1"/>
    <col min="14" max="14" width="16.54296875" bestFit="1" customWidth="1"/>
    <col min="15" max="15" width="18.1796875" customWidth="1"/>
    <col min="16" max="16" width="17.81640625" bestFit="1" customWidth="1"/>
    <col min="17" max="17" width="21.26953125" bestFit="1" customWidth="1"/>
    <col min="18" max="18" width="17" bestFit="1" customWidth="1"/>
    <col min="19" max="19" width="19.1796875" bestFit="1" customWidth="1"/>
    <col min="20" max="20" width="22.453125" bestFit="1" customWidth="1"/>
    <col min="21" max="21" width="19" bestFit="1" customWidth="1"/>
    <col min="22" max="22" width="51.54296875" bestFit="1" customWidth="1"/>
    <col min="23" max="23" width="17.453125" style="38" bestFit="1" customWidth="1"/>
    <col min="24" max="24" width="17.453125" style="35" bestFit="1" customWidth="1"/>
    <col min="25" max="25" width="15.26953125" bestFit="1" customWidth="1"/>
    <col min="26" max="26" width="17.453125" bestFit="1" customWidth="1"/>
    <col min="27" max="27" width="16.90625" bestFit="1" customWidth="1"/>
    <col min="28" max="28" width="13.08984375" customWidth="1"/>
    <col min="29" max="29" width="11.81640625" bestFit="1" customWidth="1"/>
    <col min="30" max="30" width="11.08984375" bestFit="1" customWidth="1"/>
  </cols>
  <sheetData>
    <row r="1" spans="1:30" x14ac:dyDescent="0.35">
      <c r="O1" s="11">
        <f>SUM(O3:O1048576)</f>
        <v>0</v>
      </c>
      <c r="P1" s="10">
        <f>O1-GETPIVOTDATA("Adj Prem",'Pivot Table'!$C$8)</f>
        <v>0</v>
      </c>
      <c r="X1" s="13"/>
      <c r="Y1" s="12"/>
      <c r="Z1" s="12"/>
      <c r="AA1" s="11">
        <f>SUM(AA3:AA1048576)</f>
        <v>0</v>
      </c>
      <c r="AB1" s="10">
        <f>O1-AA1</f>
        <v>0</v>
      </c>
      <c r="AD1" s="10"/>
    </row>
    <row r="2" spans="1:30" x14ac:dyDescent="0.35">
      <c r="A2" s="1" t="s">
        <v>65</v>
      </c>
      <c r="B2" s="6" t="s">
        <v>66</v>
      </c>
      <c r="C2" s="1" t="s">
        <v>67</v>
      </c>
      <c r="D2" s="1" t="s">
        <v>68</v>
      </c>
      <c r="E2" s="1" t="s">
        <v>69</v>
      </c>
      <c r="F2" s="1" t="s">
        <v>70</v>
      </c>
      <c r="G2" s="1" t="s">
        <v>71</v>
      </c>
      <c r="H2" s="1" t="s">
        <v>72</v>
      </c>
      <c r="I2" s="1" t="s">
        <v>73</v>
      </c>
      <c r="J2" s="39" t="s">
        <v>74</v>
      </c>
      <c r="K2" s="39" t="s">
        <v>75</v>
      </c>
      <c r="L2" s="1" t="s">
        <v>76</v>
      </c>
      <c r="M2" s="1" t="s">
        <v>77</v>
      </c>
      <c r="N2" s="1" t="s">
        <v>78</v>
      </c>
      <c r="O2" s="1" t="s">
        <v>79</v>
      </c>
      <c r="P2" s="1" t="s">
        <v>80</v>
      </c>
      <c r="Q2" s="1" t="s">
        <v>81</v>
      </c>
      <c r="R2" s="1" t="s">
        <v>82</v>
      </c>
      <c r="S2" s="1" t="s">
        <v>83</v>
      </c>
      <c r="T2" s="1" t="s">
        <v>84</v>
      </c>
      <c r="U2" s="1" t="s">
        <v>85</v>
      </c>
      <c r="V2" s="1" t="s">
        <v>86</v>
      </c>
      <c r="W2" s="39" t="s">
        <v>87</v>
      </c>
      <c r="X2" s="39" t="s">
        <v>9</v>
      </c>
      <c r="Y2" s="4" t="s">
        <v>7</v>
      </c>
      <c r="Z2" s="4" t="s">
        <v>8</v>
      </c>
      <c r="AA2" s="5" t="s">
        <v>1</v>
      </c>
    </row>
    <row r="3" spans="1:30" ht="15.5" x14ac:dyDescent="0.35">
      <c r="A3" s="18"/>
      <c r="B3" s="18"/>
      <c r="C3" s="19"/>
      <c r="D3" s="20"/>
      <c r="E3" s="20"/>
      <c r="F3" s="20"/>
      <c r="G3" s="20"/>
      <c r="H3" s="20"/>
      <c r="I3" s="20"/>
      <c r="J3" s="40"/>
      <c r="K3" s="40"/>
      <c r="L3" s="20"/>
      <c r="M3" s="20"/>
      <c r="N3" s="19"/>
      <c r="O3" s="19"/>
      <c r="P3" s="19"/>
      <c r="Q3" s="19"/>
      <c r="R3" s="19"/>
      <c r="S3" s="19"/>
      <c r="T3" s="19"/>
      <c r="U3" s="19"/>
      <c r="V3" s="20"/>
      <c r="W3" s="40"/>
      <c r="X3" s="21"/>
      <c r="Y3" s="22"/>
      <c r="Z3" s="23"/>
      <c r="AA3" s="24"/>
      <c r="AB3" s="44"/>
    </row>
    <row r="4" spans="1:30" ht="15.5" x14ac:dyDescent="0.35">
      <c r="A4" s="18"/>
      <c r="B4" s="18"/>
      <c r="C4" s="25"/>
      <c r="D4" s="18"/>
      <c r="E4" s="18"/>
      <c r="F4" s="18"/>
      <c r="G4" s="18"/>
      <c r="H4" s="18"/>
      <c r="I4" s="18"/>
      <c r="J4" s="41"/>
      <c r="K4" s="41"/>
      <c r="L4" s="18"/>
      <c r="M4" s="18"/>
      <c r="N4" s="25"/>
      <c r="O4" s="25"/>
      <c r="P4" s="25"/>
      <c r="Q4" s="25"/>
      <c r="R4" s="25"/>
      <c r="S4" s="25"/>
      <c r="T4" s="25"/>
      <c r="U4" s="25"/>
      <c r="V4" s="18"/>
      <c r="W4" s="41"/>
      <c r="X4" s="21"/>
      <c r="Y4" s="22"/>
      <c r="Z4" s="23"/>
      <c r="AA4" s="24"/>
      <c r="AB4" s="44"/>
    </row>
    <row r="5" spans="1:30" ht="15.5" x14ac:dyDescent="0.35">
      <c r="A5" s="18"/>
      <c r="B5" s="18"/>
      <c r="C5" s="25"/>
      <c r="D5" s="18"/>
      <c r="E5" s="18"/>
      <c r="F5" s="18"/>
      <c r="G5" s="18"/>
      <c r="H5" s="18"/>
      <c r="I5" s="18"/>
      <c r="J5" s="41"/>
      <c r="K5" s="41"/>
      <c r="L5" s="18"/>
      <c r="M5" s="18"/>
      <c r="N5" s="25"/>
      <c r="O5" s="25"/>
      <c r="P5" s="25"/>
      <c r="Q5" s="25"/>
      <c r="R5" s="25"/>
      <c r="S5" s="25"/>
      <c r="T5" s="25"/>
      <c r="U5" s="25"/>
      <c r="V5" s="18"/>
      <c r="W5" s="41"/>
      <c r="X5" s="21"/>
      <c r="Y5" s="22"/>
      <c r="Z5" s="23"/>
      <c r="AA5" s="24"/>
      <c r="AB5" s="44"/>
    </row>
    <row r="6" spans="1:30" ht="15.5" x14ac:dyDescent="0.35">
      <c r="A6" s="18"/>
      <c r="B6" s="18"/>
      <c r="C6" s="25"/>
      <c r="D6" s="18"/>
      <c r="E6" s="18"/>
      <c r="F6" s="18"/>
      <c r="G6" s="18"/>
      <c r="H6" s="18"/>
      <c r="I6" s="18"/>
      <c r="J6" s="41"/>
      <c r="K6" s="41"/>
      <c r="L6" s="18"/>
      <c r="M6" s="18"/>
      <c r="N6" s="25"/>
      <c r="O6" s="25"/>
      <c r="P6" s="25"/>
      <c r="Q6" s="25"/>
      <c r="R6" s="25"/>
      <c r="S6" s="25"/>
      <c r="T6" s="25"/>
      <c r="U6" s="25"/>
      <c r="V6" s="18"/>
      <c r="W6" s="41"/>
      <c r="X6" s="21"/>
      <c r="Y6" s="22"/>
      <c r="Z6" s="23"/>
      <c r="AA6" s="24"/>
      <c r="AB6" s="44"/>
    </row>
    <row r="7" spans="1:30" ht="15.5" x14ac:dyDescent="0.35">
      <c r="A7" s="18"/>
      <c r="B7" s="18"/>
      <c r="C7" s="25"/>
      <c r="D7" s="18"/>
      <c r="E7" s="18"/>
      <c r="F7" s="18"/>
      <c r="G7" s="18"/>
      <c r="H7" s="18"/>
      <c r="I7" s="18"/>
      <c r="J7" s="41"/>
      <c r="K7" s="41"/>
      <c r="L7" s="18"/>
      <c r="M7" s="18"/>
      <c r="N7" s="25"/>
      <c r="O7" s="25"/>
      <c r="P7" s="25"/>
      <c r="Q7" s="25"/>
      <c r="R7" s="25"/>
      <c r="S7" s="25"/>
      <c r="T7" s="25"/>
      <c r="U7" s="25"/>
      <c r="V7" s="18"/>
      <c r="W7" s="41"/>
      <c r="X7" s="21"/>
      <c r="Y7" s="22"/>
      <c r="Z7" s="23"/>
      <c r="AA7" s="24"/>
      <c r="AB7" s="44"/>
    </row>
    <row r="8" spans="1:30" ht="15.5" x14ac:dyDescent="0.35">
      <c r="A8" s="18"/>
      <c r="B8" s="18"/>
      <c r="C8" s="25"/>
      <c r="D8" s="18"/>
      <c r="E8" s="18"/>
      <c r="F8" s="18"/>
      <c r="G8" s="18"/>
      <c r="H8" s="18"/>
      <c r="I8" s="18"/>
      <c r="J8" s="41"/>
      <c r="K8" s="41"/>
      <c r="L8" s="18"/>
      <c r="M8" s="18"/>
      <c r="N8" s="25"/>
      <c r="O8" s="25"/>
      <c r="P8" s="25"/>
      <c r="Q8" s="25"/>
      <c r="R8" s="25"/>
      <c r="S8" s="25"/>
      <c r="T8" s="25"/>
      <c r="U8" s="25"/>
      <c r="V8" s="18"/>
      <c r="W8" s="41"/>
      <c r="X8" s="21"/>
      <c r="Y8" s="22"/>
      <c r="Z8" s="23"/>
      <c r="AA8" s="24"/>
      <c r="AB8" s="44"/>
    </row>
    <row r="9" spans="1:30" ht="15.5" x14ac:dyDescent="0.35">
      <c r="A9" s="18"/>
      <c r="B9" s="18"/>
      <c r="C9" s="25"/>
      <c r="D9" s="18"/>
      <c r="E9" s="18"/>
      <c r="F9" s="18"/>
      <c r="G9" s="18"/>
      <c r="H9" s="18"/>
      <c r="I9" s="18"/>
      <c r="J9" s="41"/>
      <c r="K9" s="41"/>
      <c r="L9" s="18"/>
      <c r="M9" s="18"/>
      <c r="N9" s="25"/>
      <c r="O9" s="25"/>
      <c r="P9" s="25"/>
      <c r="Q9" s="25"/>
      <c r="R9" s="25"/>
      <c r="S9" s="25"/>
      <c r="T9" s="25"/>
      <c r="U9" s="25"/>
      <c r="V9" s="18"/>
      <c r="W9" s="41"/>
      <c r="X9" s="21"/>
      <c r="Y9" s="22"/>
      <c r="Z9" s="23"/>
      <c r="AA9" s="24"/>
      <c r="AB9" s="44"/>
    </row>
    <row r="10" spans="1:30" ht="15.5" x14ac:dyDescent="0.35">
      <c r="A10" s="18"/>
      <c r="B10" s="18"/>
      <c r="C10" s="25"/>
      <c r="D10" s="18"/>
      <c r="E10" s="18"/>
      <c r="F10" s="18"/>
      <c r="G10" s="18"/>
      <c r="H10" s="18"/>
      <c r="I10" s="18"/>
      <c r="J10" s="41"/>
      <c r="K10" s="41"/>
      <c r="L10" s="18"/>
      <c r="M10" s="18"/>
      <c r="N10" s="25"/>
      <c r="O10" s="25"/>
      <c r="P10" s="25"/>
      <c r="Q10" s="25"/>
      <c r="R10" s="25"/>
      <c r="S10" s="25"/>
      <c r="T10" s="25"/>
      <c r="U10" s="25"/>
      <c r="V10" s="18"/>
      <c r="W10" s="41"/>
      <c r="X10" s="21"/>
      <c r="Y10" s="22"/>
      <c r="Z10" s="23"/>
      <c r="AA10" s="24"/>
      <c r="AB10" s="44"/>
    </row>
    <row r="11" spans="1:30" ht="15.5" x14ac:dyDescent="0.35">
      <c r="A11" s="18"/>
      <c r="B11" s="18"/>
      <c r="C11" s="25"/>
      <c r="D11" s="18"/>
      <c r="E11" s="18"/>
      <c r="F11" s="18"/>
      <c r="G11" s="18"/>
      <c r="H11" s="18"/>
      <c r="I11" s="18"/>
      <c r="J11" s="41"/>
      <c r="K11" s="41"/>
      <c r="L11" s="18"/>
      <c r="M11" s="18"/>
      <c r="N11" s="25"/>
      <c r="O11" s="25"/>
      <c r="P11" s="25"/>
      <c r="Q11" s="25"/>
      <c r="R11" s="25"/>
      <c r="S11" s="25"/>
      <c r="T11" s="25"/>
      <c r="U11" s="25"/>
      <c r="V11" s="18"/>
      <c r="W11" s="41"/>
      <c r="X11" s="21"/>
      <c r="Y11" s="22"/>
      <c r="Z11" s="23"/>
      <c r="AA11" s="24"/>
      <c r="AB11" s="44"/>
    </row>
    <row r="12" spans="1:30" ht="15.5" x14ac:dyDescent="0.35">
      <c r="A12" s="18"/>
      <c r="B12" s="18"/>
      <c r="C12" s="25"/>
      <c r="D12" s="18"/>
      <c r="E12" s="18"/>
      <c r="F12" s="18"/>
      <c r="G12" s="18"/>
      <c r="H12" s="18"/>
      <c r="I12" s="18"/>
      <c r="J12" s="41"/>
      <c r="K12" s="41"/>
      <c r="L12" s="18"/>
      <c r="M12" s="18"/>
      <c r="N12" s="25"/>
      <c r="O12" s="25"/>
      <c r="P12" s="25"/>
      <c r="Q12" s="25"/>
      <c r="R12" s="25"/>
      <c r="S12" s="25"/>
      <c r="T12" s="25"/>
      <c r="U12" s="25"/>
      <c r="V12" s="18"/>
      <c r="W12" s="41"/>
      <c r="X12" s="21"/>
      <c r="Y12" s="22"/>
      <c r="Z12" s="23"/>
      <c r="AA12" s="24"/>
      <c r="AB12" s="44"/>
    </row>
    <row r="13" spans="1:30" ht="15.5" x14ac:dyDescent="0.35">
      <c r="A13" s="18"/>
      <c r="B13" s="18"/>
      <c r="C13" s="25"/>
      <c r="D13" s="18"/>
      <c r="E13" s="18"/>
      <c r="F13" s="18"/>
      <c r="G13" s="18"/>
      <c r="H13" s="18"/>
      <c r="I13" s="18"/>
      <c r="J13" s="41"/>
      <c r="K13" s="41"/>
      <c r="L13" s="18"/>
      <c r="M13" s="18"/>
      <c r="N13" s="25"/>
      <c r="O13" s="25"/>
      <c r="P13" s="25"/>
      <c r="Q13" s="25"/>
      <c r="R13" s="25"/>
      <c r="S13" s="25"/>
      <c r="T13" s="25"/>
      <c r="U13" s="25"/>
      <c r="V13" s="18"/>
      <c r="W13" s="41"/>
      <c r="X13" s="21"/>
      <c r="Y13" s="22"/>
      <c r="Z13" s="23"/>
      <c r="AA13" s="24"/>
      <c r="AB13" s="44"/>
    </row>
    <row r="14" spans="1:30" ht="15.5" x14ac:dyDescent="0.35">
      <c r="A14" s="18"/>
      <c r="B14" s="18"/>
      <c r="C14" s="25"/>
      <c r="D14" s="18"/>
      <c r="E14" s="18"/>
      <c r="F14" s="18"/>
      <c r="G14" s="18"/>
      <c r="H14" s="18"/>
      <c r="I14" s="18"/>
      <c r="J14" s="41"/>
      <c r="K14" s="41"/>
      <c r="L14" s="18"/>
      <c r="M14" s="18"/>
      <c r="N14" s="25"/>
      <c r="O14" s="25"/>
      <c r="P14" s="25"/>
      <c r="Q14" s="25"/>
      <c r="R14" s="25"/>
      <c r="S14" s="25"/>
      <c r="T14" s="25"/>
      <c r="U14" s="25"/>
      <c r="V14" s="18"/>
      <c r="W14" s="41"/>
      <c r="X14" s="21"/>
      <c r="Y14" s="22"/>
      <c r="Z14" s="23"/>
      <c r="AA14" s="24"/>
      <c r="AB14" s="44"/>
    </row>
    <row r="15" spans="1:30" ht="15.5" x14ac:dyDescent="0.35">
      <c r="A15" s="18"/>
      <c r="B15" s="18"/>
      <c r="C15" s="25"/>
      <c r="D15" s="18"/>
      <c r="E15" s="18"/>
      <c r="F15" s="18"/>
      <c r="G15" s="18"/>
      <c r="H15" s="18"/>
      <c r="I15" s="18"/>
      <c r="J15" s="41"/>
      <c r="K15" s="41"/>
      <c r="L15" s="18"/>
      <c r="M15" s="18"/>
      <c r="N15" s="25"/>
      <c r="O15" s="25"/>
      <c r="P15" s="25"/>
      <c r="Q15" s="25"/>
      <c r="R15" s="25"/>
      <c r="S15" s="25"/>
      <c r="T15" s="25"/>
      <c r="U15" s="25"/>
      <c r="V15" s="18"/>
      <c r="W15" s="41"/>
      <c r="X15" s="21"/>
      <c r="Y15" s="22"/>
      <c r="Z15" s="23"/>
      <c r="AA15" s="24"/>
      <c r="AB15" s="44"/>
    </row>
    <row r="16" spans="1:30" ht="15.5" x14ac:dyDescent="0.35">
      <c r="A16" s="18"/>
      <c r="B16" s="18"/>
      <c r="C16" s="25"/>
      <c r="D16" s="18"/>
      <c r="E16" s="18"/>
      <c r="F16" s="18"/>
      <c r="G16" s="18"/>
      <c r="H16" s="18"/>
      <c r="I16" s="18"/>
      <c r="J16" s="41"/>
      <c r="K16" s="41"/>
      <c r="L16" s="18"/>
      <c r="M16" s="18"/>
      <c r="N16" s="25"/>
      <c r="O16" s="25"/>
      <c r="P16" s="25"/>
      <c r="Q16" s="25"/>
      <c r="R16" s="25"/>
      <c r="S16" s="25"/>
      <c r="T16" s="25"/>
      <c r="U16" s="25"/>
      <c r="V16" s="18"/>
      <c r="W16" s="41"/>
      <c r="X16" s="21"/>
      <c r="Y16" s="22"/>
      <c r="Z16" s="23"/>
      <c r="AA16" s="24"/>
      <c r="AB16" s="44"/>
    </row>
    <row r="17" spans="1:28" ht="15.5" x14ac:dyDescent="0.35">
      <c r="A17" s="18"/>
      <c r="B17" s="18"/>
      <c r="C17" s="25"/>
      <c r="D17" s="18"/>
      <c r="E17" s="18"/>
      <c r="F17" s="18"/>
      <c r="G17" s="18"/>
      <c r="H17" s="18"/>
      <c r="I17" s="18"/>
      <c r="J17" s="41"/>
      <c r="K17" s="41"/>
      <c r="L17" s="18"/>
      <c r="M17" s="18"/>
      <c r="N17" s="25"/>
      <c r="O17" s="25"/>
      <c r="P17" s="25"/>
      <c r="Q17" s="25"/>
      <c r="R17" s="25"/>
      <c r="S17" s="25"/>
      <c r="T17" s="25"/>
      <c r="U17" s="25"/>
      <c r="V17" s="18"/>
      <c r="W17" s="41"/>
      <c r="X17" s="21"/>
      <c r="Y17" s="22"/>
      <c r="Z17" s="23"/>
      <c r="AA17" s="24"/>
      <c r="AB17" s="44"/>
    </row>
    <row r="18" spans="1:28" ht="15.5" x14ac:dyDescent="0.35">
      <c r="A18" s="18"/>
      <c r="B18" s="18"/>
      <c r="C18" s="25"/>
      <c r="D18" s="18"/>
      <c r="E18" s="18"/>
      <c r="F18" s="18"/>
      <c r="G18" s="18"/>
      <c r="H18" s="18"/>
      <c r="I18" s="18"/>
      <c r="J18" s="41"/>
      <c r="K18" s="41"/>
      <c r="L18" s="18"/>
      <c r="M18" s="18"/>
      <c r="N18" s="25"/>
      <c r="O18" s="25"/>
      <c r="P18" s="25"/>
      <c r="Q18" s="25"/>
      <c r="R18" s="25"/>
      <c r="S18" s="25"/>
      <c r="T18" s="25"/>
      <c r="U18" s="25"/>
      <c r="V18" s="18"/>
      <c r="W18" s="41"/>
      <c r="X18" s="21"/>
      <c r="Y18" s="22"/>
      <c r="Z18" s="23"/>
      <c r="AA18" s="24"/>
      <c r="AB18" s="44"/>
    </row>
    <row r="19" spans="1:28" ht="15.5" x14ac:dyDescent="0.35">
      <c r="A19" s="18"/>
      <c r="B19" s="18"/>
      <c r="C19" s="25"/>
      <c r="D19" s="18"/>
      <c r="E19" s="18"/>
      <c r="F19" s="18"/>
      <c r="G19" s="18"/>
      <c r="H19" s="18"/>
      <c r="I19" s="18"/>
      <c r="J19" s="41"/>
      <c r="K19" s="41"/>
      <c r="L19" s="18"/>
      <c r="M19" s="18"/>
      <c r="N19" s="25"/>
      <c r="O19" s="25"/>
      <c r="P19" s="25"/>
      <c r="Q19" s="25"/>
      <c r="R19" s="25"/>
      <c r="S19" s="25"/>
      <c r="T19" s="25"/>
      <c r="U19" s="25"/>
      <c r="V19" s="18"/>
      <c r="W19" s="41"/>
      <c r="X19" s="21"/>
      <c r="Y19" s="22"/>
      <c r="Z19" s="23"/>
      <c r="AA19" s="24"/>
      <c r="AB19" s="44"/>
    </row>
    <row r="20" spans="1:28" ht="15.5" x14ac:dyDescent="0.35">
      <c r="A20" s="18"/>
      <c r="B20" s="18"/>
      <c r="C20" s="25"/>
      <c r="D20" s="18"/>
      <c r="E20" s="18"/>
      <c r="F20" s="18"/>
      <c r="G20" s="18"/>
      <c r="H20" s="18"/>
      <c r="I20" s="18"/>
      <c r="J20" s="41"/>
      <c r="K20" s="41"/>
      <c r="L20" s="18"/>
      <c r="M20" s="18"/>
      <c r="N20" s="25"/>
      <c r="O20" s="25"/>
      <c r="P20" s="25"/>
      <c r="Q20" s="25"/>
      <c r="R20" s="25"/>
      <c r="S20" s="25"/>
      <c r="T20" s="25"/>
      <c r="U20" s="25"/>
      <c r="V20" s="18"/>
      <c r="W20" s="41"/>
      <c r="X20" s="21"/>
      <c r="Y20" s="22"/>
      <c r="Z20" s="23"/>
      <c r="AA20" s="24"/>
      <c r="AB20" s="44"/>
    </row>
    <row r="21" spans="1:28" ht="15.5" x14ac:dyDescent="0.35">
      <c r="A21" s="18"/>
      <c r="B21" s="18"/>
      <c r="C21" s="25"/>
      <c r="D21" s="18"/>
      <c r="E21" s="18"/>
      <c r="F21" s="18"/>
      <c r="G21" s="18"/>
      <c r="H21" s="18"/>
      <c r="I21" s="18"/>
      <c r="J21" s="41"/>
      <c r="K21" s="41"/>
      <c r="L21" s="18"/>
      <c r="M21" s="18"/>
      <c r="N21" s="25"/>
      <c r="O21" s="25"/>
      <c r="P21" s="25"/>
      <c r="Q21" s="25"/>
      <c r="R21" s="25"/>
      <c r="S21" s="25"/>
      <c r="T21" s="25"/>
      <c r="U21" s="25"/>
      <c r="V21" s="18"/>
      <c r="W21" s="41"/>
      <c r="X21" s="21"/>
      <c r="Y21" s="22"/>
      <c r="Z21" s="23"/>
      <c r="AA21" s="24"/>
      <c r="AB21" s="44"/>
    </row>
    <row r="22" spans="1:28" ht="15.5" x14ac:dyDescent="0.35">
      <c r="A22" s="18"/>
      <c r="B22" s="18"/>
      <c r="C22" s="25"/>
      <c r="D22" s="18"/>
      <c r="E22" s="18"/>
      <c r="F22" s="18"/>
      <c r="G22" s="18"/>
      <c r="H22" s="18"/>
      <c r="I22" s="18"/>
      <c r="J22" s="41"/>
      <c r="K22" s="41"/>
      <c r="L22" s="18"/>
      <c r="M22" s="18"/>
      <c r="N22" s="25"/>
      <c r="O22" s="25"/>
      <c r="P22" s="25"/>
      <c r="Q22" s="25"/>
      <c r="R22" s="25"/>
      <c r="S22" s="25"/>
      <c r="T22" s="25"/>
      <c r="U22" s="25"/>
      <c r="V22" s="18"/>
      <c r="W22" s="41"/>
      <c r="X22" s="21"/>
      <c r="Y22" s="22"/>
      <c r="Z22" s="23"/>
      <c r="AA22" s="24"/>
      <c r="AB22" s="44"/>
    </row>
    <row r="23" spans="1:28" ht="15.5" x14ac:dyDescent="0.35">
      <c r="A23" s="18"/>
      <c r="B23" s="18"/>
      <c r="C23" s="25"/>
      <c r="D23" s="18"/>
      <c r="E23" s="18"/>
      <c r="F23" s="18"/>
      <c r="G23" s="18"/>
      <c r="H23" s="18"/>
      <c r="I23" s="18"/>
      <c r="J23" s="41"/>
      <c r="K23" s="41"/>
      <c r="L23" s="18"/>
      <c r="M23" s="18"/>
      <c r="N23" s="25"/>
      <c r="O23" s="25"/>
      <c r="P23" s="25"/>
      <c r="Q23" s="25"/>
      <c r="R23" s="25"/>
      <c r="S23" s="25"/>
      <c r="T23" s="25"/>
      <c r="U23" s="25"/>
      <c r="V23" s="18"/>
      <c r="W23" s="41"/>
      <c r="X23" s="21"/>
      <c r="Y23" s="22"/>
      <c r="Z23" s="23"/>
      <c r="AA23" s="24"/>
      <c r="AB23" s="44"/>
    </row>
    <row r="24" spans="1:28" ht="15.5" x14ac:dyDescent="0.35">
      <c r="A24" s="18"/>
      <c r="B24" s="18"/>
      <c r="C24" s="25"/>
      <c r="D24" s="18"/>
      <c r="E24" s="18"/>
      <c r="F24" s="18"/>
      <c r="G24" s="18"/>
      <c r="H24" s="18"/>
      <c r="I24" s="18"/>
      <c r="J24" s="41"/>
      <c r="K24" s="41"/>
      <c r="L24" s="18"/>
      <c r="M24" s="18"/>
      <c r="N24" s="25"/>
      <c r="O24" s="25"/>
      <c r="P24" s="25"/>
      <c r="Q24" s="25"/>
      <c r="R24" s="25"/>
      <c r="S24" s="25"/>
      <c r="T24" s="25"/>
      <c r="U24" s="25"/>
      <c r="V24" s="18"/>
      <c r="W24" s="41"/>
      <c r="X24" s="21"/>
      <c r="Y24" s="22"/>
      <c r="Z24" s="23"/>
      <c r="AA24" s="24"/>
      <c r="AB24" s="44"/>
    </row>
    <row r="25" spans="1:28" ht="15.5" x14ac:dyDescent="0.35">
      <c r="A25" s="18"/>
      <c r="B25" s="18"/>
      <c r="C25" s="25"/>
      <c r="D25" s="18"/>
      <c r="E25" s="18"/>
      <c r="F25" s="18"/>
      <c r="G25" s="18"/>
      <c r="H25" s="18"/>
      <c r="I25" s="18"/>
      <c r="J25" s="41"/>
      <c r="K25" s="41"/>
      <c r="L25" s="18"/>
      <c r="M25" s="18"/>
      <c r="N25" s="25"/>
      <c r="O25" s="25"/>
      <c r="P25" s="25"/>
      <c r="Q25" s="25"/>
      <c r="R25" s="25"/>
      <c r="S25" s="25"/>
      <c r="T25" s="25"/>
      <c r="U25" s="25"/>
      <c r="V25" s="18"/>
      <c r="W25" s="41"/>
      <c r="X25" s="21"/>
      <c r="Y25" s="22"/>
      <c r="Z25" s="23"/>
      <c r="AA25" s="24"/>
      <c r="AB25" s="44"/>
    </row>
    <row r="26" spans="1:28" ht="15.5" x14ac:dyDescent="0.35">
      <c r="A26" s="18"/>
      <c r="B26" s="18"/>
      <c r="C26" s="25"/>
      <c r="D26" s="18"/>
      <c r="E26" s="18"/>
      <c r="F26" s="18"/>
      <c r="G26" s="18"/>
      <c r="H26" s="18"/>
      <c r="I26" s="18"/>
      <c r="J26" s="41"/>
      <c r="K26" s="41"/>
      <c r="L26" s="18"/>
      <c r="M26" s="18"/>
      <c r="N26" s="25"/>
      <c r="O26" s="25"/>
      <c r="P26" s="25"/>
      <c r="Q26" s="25"/>
      <c r="R26" s="25"/>
      <c r="S26" s="25"/>
      <c r="T26" s="25"/>
      <c r="U26" s="25"/>
      <c r="V26" s="18"/>
      <c r="W26" s="41"/>
      <c r="X26" s="21"/>
      <c r="Y26" s="22"/>
      <c r="Z26" s="23"/>
      <c r="AA26" s="24"/>
      <c r="AB26" s="44"/>
    </row>
    <row r="27" spans="1:28" ht="15.5" x14ac:dyDescent="0.35">
      <c r="A27" s="18"/>
      <c r="B27" s="18"/>
      <c r="C27" s="25"/>
      <c r="D27" s="18"/>
      <c r="E27" s="18"/>
      <c r="F27" s="18"/>
      <c r="G27" s="18"/>
      <c r="H27" s="18"/>
      <c r="I27" s="18"/>
      <c r="J27" s="41"/>
      <c r="K27" s="41"/>
      <c r="L27" s="18"/>
      <c r="M27" s="18"/>
      <c r="N27" s="25"/>
      <c r="O27" s="25"/>
      <c r="P27" s="25"/>
      <c r="Q27" s="25"/>
      <c r="R27" s="25"/>
      <c r="S27" s="25"/>
      <c r="T27" s="25"/>
      <c r="U27" s="25"/>
      <c r="V27" s="18"/>
      <c r="W27" s="41"/>
      <c r="X27" s="21"/>
      <c r="Y27" s="22"/>
      <c r="Z27" s="23"/>
      <c r="AA27" s="24"/>
      <c r="AB27" s="44"/>
    </row>
    <row r="28" spans="1:28" ht="15.5" x14ac:dyDescent="0.35">
      <c r="A28" s="18"/>
      <c r="B28" s="18"/>
      <c r="C28" s="25"/>
      <c r="D28" s="18"/>
      <c r="E28" s="18"/>
      <c r="F28" s="18"/>
      <c r="G28" s="18"/>
      <c r="H28" s="18"/>
      <c r="I28" s="18"/>
      <c r="J28" s="41"/>
      <c r="K28" s="41"/>
      <c r="L28" s="18"/>
      <c r="M28" s="18"/>
      <c r="N28" s="25"/>
      <c r="O28" s="25"/>
      <c r="P28" s="25"/>
      <c r="Q28" s="25"/>
      <c r="R28" s="25"/>
      <c r="S28" s="25"/>
      <c r="T28" s="25"/>
      <c r="U28" s="25"/>
      <c r="V28" s="18"/>
      <c r="W28" s="41"/>
      <c r="X28" s="21"/>
      <c r="Y28" s="22"/>
      <c r="Z28" s="23"/>
      <c r="AA28" s="24"/>
      <c r="AB28" s="44"/>
    </row>
    <row r="29" spans="1:28" ht="15.5" x14ac:dyDescent="0.35">
      <c r="A29" s="18"/>
      <c r="B29" s="18"/>
      <c r="C29" s="25"/>
      <c r="D29" s="18"/>
      <c r="E29" s="18"/>
      <c r="F29" s="18"/>
      <c r="G29" s="18"/>
      <c r="H29" s="18"/>
      <c r="I29" s="18"/>
      <c r="J29" s="41"/>
      <c r="K29" s="41"/>
      <c r="L29" s="18"/>
      <c r="M29" s="18"/>
      <c r="N29" s="25"/>
      <c r="O29" s="25"/>
      <c r="P29" s="25"/>
      <c r="Q29" s="25"/>
      <c r="R29" s="25"/>
      <c r="S29" s="25"/>
      <c r="T29" s="25"/>
      <c r="U29" s="25"/>
      <c r="V29" s="18"/>
      <c r="W29" s="41"/>
      <c r="X29" s="21"/>
      <c r="Y29" s="22"/>
      <c r="Z29" s="23"/>
      <c r="AA29" s="24"/>
      <c r="AB29" s="44"/>
    </row>
    <row r="30" spans="1:28" ht="15.5" x14ac:dyDescent="0.35">
      <c r="A30" s="18"/>
      <c r="B30" s="18"/>
      <c r="C30" s="25"/>
      <c r="D30" s="18"/>
      <c r="E30" s="18"/>
      <c r="F30" s="18"/>
      <c r="G30" s="18"/>
      <c r="H30" s="18"/>
      <c r="I30" s="18"/>
      <c r="J30" s="41"/>
      <c r="K30" s="41"/>
      <c r="L30" s="18"/>
      <c r="M30" s="18"/>
      <c r="N30" s="25"/>
      <c r="O30" s="25"/>
      <c r="P30" s="25"/>
      <c r="Q30" s="25"/>
      <c r="R30" s="25"/>
      <c r="S30" s="25"/>
      <c r="T30" s="25"/>
      <c r="U30" s="25"/>
      <c r="V30" s="18"/>
      <c r="W30" s="41"/>
      <c r="X30" s="21"/>
      <c r="Y30" s="22"/>
      <c r="Z30" s="23"/>
      <c r="AA30" s="24"/>
      <c r="AB30" s="44"/>
    </row>
    <row r="31" spans="1:28" ht="15.5" x14ac:dyDescent="0.35">
      <c r="A31" s="18"/>
      <c r="B31" s="18"/>
      <c r="C31" s="25"/>
      <c r="D31" s="18"/>
      <c r="E31" s="18"/>
      <c r="F31" s="18"/>
      <c r="G31" s="18"/>
      <c r="H31" s="18"/>
      <c r="I31" s="18"/>
      <c r="J31" s="41"/>
      <c r="K31" s="41"/>
      <c r="L31" s="18"/>
      <c r="M31" s="18"/>
      <c r="N31" s="25"/>
      <c r="O31" s="25"/>
      <c r="P31" s="25"/>
      <c r="Q31" s="25"/>
      <c r="R31" s="25"/>
      <c r="S31" s="25"/>
      <c r="T31" s="25"/>
      <c r="U31" s="25"/>
      <c r="V31" s="18"/>
      <c r="W31" s="41"/>
      <c r="X31" s="21"/>
      <c r="Y31" s="22"/>
      <c r="Z31" s="23"/>
      <c r="AA31" s="24"/>
      <c r="AB31" s="44"/>
    </row>
    <row r="32" spans="1:28" ht="15.5" x14ac:dyDescent="0.35">
      <c r="A32" s="18"/>
      <c r="B32" s="18"/>
      <c r="C32" s="25"/>
      <c r="D32" s="18"/>
      <c r="E32" s="18"/>
      <c r="F32" s="18"/>
      <c r="G32" s="18"/>
      <c r="H32" s="18"/>
      <c r="I32" s="18"/>
      <c r="J32" s="41"/>
      <c r="K32" s="41"/>
      <c r="L32" s="18"/>
      <c r="M32" s="18"/>
      <c r="N32" s="25"/>
      <c r="O32" s="25"/>
      <c r="P32" s="25"/>
      <c r="Q32" s="25"/>
      <c r="R32" s="25"/>
      <c r="S32" s="25"/>
      <c r="T32" s="25"/>
      <c r="U32" s="25"/>
      <c r="V32" s="18"/>
      <c r="W32" s="41"/>
      <c r="X32" s="21"/>
      <c r="Y32" s="22"/>
      <c r="Z32" s="23"/>
      <c r="AA32" s="24"/>
      <c r="AB32" s="44"/>
    </row>
    <row r="33" spans="1:28" ht="15.5" x14ac:dyDescent="0.35">
      <c r="A33" s="18"/>
      <c r="B33" s="18"/>
      <c r="C33" s="25"/>
      <c r="D33" s="18"/>
      <c r="E33" s="18"/>
      <c r="F33" s="18"/>
      <c r="G33" s="18"/>
      <c r="H33" s="18"/>
      <c r="I33" s="18"/>
      <c r="J33" s="41"/>
      <c r="K33" s="41"/>
      <c r="L33" s="18"/>
      <c r="M33" s="18"/>
      <c r="N33" s="25"/>
      <c r="O33" s="25"/>
      <c r="P33" s="25"/>
      <c r="Q33" s="25"/>
      <c r="R33" s="25"/>
      <c r="S33" s="25"/>
      <c r="T33" s="25"/>
      <c r="U33" s="25"/>
      <c r="V33" s="18"/>
      <c r="W33" s="41"/>
      <c r="X33" s="21"/>
      <c r="Y33" s="22"/>
      <c r="Z33" s="23"/>
      <c r="AA33" s="24"/>
      <c r="AB33" s="44"/>
    </row>
    <row r="34" spans="1:28" ht="15.5" x14ac:dyDescent="0.35">
      <c r="A34" s="18"/>
      <c r="B34" s="18"/>
      <c r="C34" s="25"/>
      <c r="D34" s="18"/>
      <c r="E34" s="18"/>
      <c r="F34" s="18"/>
      <c r="G34" s="18"/>
      <c r="H34" s="18"/>
      <c r="I34" s="18"/>
      <c r="J34" s="41"/>
      <c r="K34" s="41"/>
      <c r="L34" s="18"/>
      <c r="M34" s="18"/>
      <c r="N34" s="25"/>
      <c r="O34" s="25"/>
      <c r="P34" s="25"/>
      <c r="Q34" s="25"/>
      <c r="R34" s="25"/>
      <c r="S34" s="25"/>
      <c r="T34" s="25"/>
      <c r="U34" s="25"/>
      <c r="V34" s="18"/>
      <c r="W34" s="41"/>
      <c r="X34" s="21"/>
      <c r="Y34" s="22"/>
      <c r="Z34" s="23"/>
      <c r="AA34" s="24"/>
      <c r="AB34" s="44"/>
    </row>
    <row r="35" spans="1:28" ht="15.5" x14ac:dyDescent="0.35">
      <c r="A35" s="18"/>
      <c r="B35" s="18"/>
      <c r="C35" s="25"/>
      <c r="D35" s="18"/>
      <c r="E35" s="18"/>
      <c r="F35" s="18"/>
      <c r="G35" s="18"/>
      <c r="H35" s="18"/>
      <c r="I35" s="18"/>
      <c r="J35" s="41"/>
      <c r="K35" s="41"/>
      <c r="L35" s="18"/>
      <c r="M35" s="18"/>
      <c r="N35" s="25"/>
      <c r="O35" s="25"/>
      <c r="P35" s="25"/>
      <c r="Q35" s="25"/>
      <c r="R35" s="25"/>
      <c r="S35" s="25"/>
      <c r="T35" s="25"/>
      <c r="U35" s="25"/>
      <c r="V35" s="18"/>
      <c r="W35" s="41"/>
      <c r="X35" s="21"/>
      <c r="Y35" s="22"/>
      <c r="Z35" s="23"/>
      <c r="AA35" s="24"/>
      <c r="AB35" s="44"/>
    </row>
    <row r="36" spans="1:28" ht="15.5" x14ac:dyDescent="0.35">
      <c r="A36" s="18"/>
      <c r="B36" s="18"/>
      <c r="C36" s="25"/>
      <c r="D36" s="18"/>
      <c r="E36" s="18"/>
      <c r="F36" s="18"/>
      <c r="G36" s="18"/>
      <c r="H36" s="18"/>
      <c r="I36" s="18"/>
      <c r="J36" s="41"/>
      <c r="K36" s="41"/>
      <c r="L36" s="18"/>
      <c r="M36" s="18"/>
      <c r="N36" s="25"/>
      <c r="O36" s="25"/>
      <c r="P36" s="25"/>
      <c r="Q36" s="25"/>
      <c r="R36" s="25"/>
      <c r="S36" s="25"/>
      <c r="T36" s="25"/>
      <c r="U36" s="25"/>
      <c r="V36" s="18"/>
      <c r="W36" s="41"/>
      <c r="X36" s="21"/>
      <c r="Y36" s="22"/>
      <c r="Z36" s="23"/>
      <c r="AA36" s="24"/>
      <c r="AB36" s="44"/>
    </row>
    <row r="37" spans="1:28" ht="15.5" x14ac:dyDescent="0.35">
      <c r="A37" s="18"/>
      <c r="B37" s="18"/>
      <c r="C37" s="25"/>
      <c r="D37" s="18"/>
      <c r="E37" s="18"/>
      <c r="F37" s="18"/>
      <c r="G37" s="18"/>
      <c r="H37" s="18"/>
      <c r="I37" s="18"/>
      <c r="J37" s="41"/>
      <c r="K37" s="41"/>
      <c r="L37" s="18"/>
      <c r="M37" s="18"/>
      <c r="N37" s="25"/>
      <c r="O37" s="25"/>
      <c r="P37" s="25"/>
      <c r="Q37" s="25"/>
      <c r="R37" s="25"/>
      <c r="S37" s="25"/>
      <c r="T37" s="25"/>
      <c r="U37" s="25"/>
      <c r="V37" s="18"/>
      <c r="W37" s="41"/>
      <c r="X37" s="21"/>
      <c r="Y37" s="22"/>
      <c r="Z37" s="23"/>
      <c r="AA37" s="24"/>
      <c r="AB37" s="44"/>
    </row>
    <row r="38" spans="1:28" ht="15.5" x14ac:dyDescent="0.35">
      <c r="A38" s="18"/>
      <c r="B38" s="18"/>
      <c r="C38" s="25"/>
      <c r="D38" s="18"/>
      <c r="E38" s="18"/>
      <c r="F38" s="18"/>
      <c r="G38" s="18"/>
      <c r="H38" s="18"/>
      <c r="I38" s="18"/>
      <c r="J38" s="41"/>
      <c r="K38" s="41"/>
      <c r="L38" s="18"/>
      <c r="M38" s="18"/>
      <c r="N38" s="25"/>
      <c r="O38" s="25"/>
      <c r="P38" s="25"/>
      <c r="Q38" s="25"/>
      <c r="R38" s="25"/>
      <c r="S38" s="25"/>
      <c r="T38" s="25"/>
      <c r="U38" s="25"/>
      <c r="V38" s="18"/>
      <c r="W38" s="41"/>
      <c r="X38" s="21"/>
      <c r="Y38" s="22"/>
      <c r="Z38" s="23"/>
      <c r="AA38" s="24"/>
      <c r="AB38" s="44"/>
    </row>
    <row r="39" spans="1:28" ht="15.5" x14ac:dyDescent="0.35">
      <c r="A39" s="18"/>
      <c r="B39" s="18"/>
      <c r="C39" s="25"/>
      <c r="D39" s="18"/>
      <c r="E39" s="18"/>
      <c r="F39" s="18"/>
      <c r="G39" s="18"/>
      <c r="H39" s="18"/>
      <c r="I39" s="18"/>
      <c r="J39" s="41"/>
      <c r="K39" s="41"/>
      <c r="L39" s="18"/>
      <c r="M39" s="18"/>
      <c r="N39" s="25"/>
      <c r="O39" s="25"/>
      <c r="P39" s="25"/>
      <c r="Q39" s="25"/>
      <c r="R39" s="25"/>
      <c r="S39" s="25"/>
      <c r="T39" s="25"/>
      <c r="U39" s="25"/>
      <c r="V39" s="18"/>
      <c r="W39" s="41"/>
      <c r="X39" s="21"/>
      <c r="Y39" s="22"/>
      <c r="Z39" s="23"/>
      <c r="AA39" s="24"/>
      <c r="AB39" s="44"/>
    </row>
    <row r="40" spans="1:28" ht="15.5" x14ac:dyDescent="0.35">
      <c r="A40" s="18"/>
      <c r="B40" s="18"/>
      <c r="C40" s="25"/>
      <c r="D40" s="18"/>
      <c r="E40" s="18"/>
      <c r="F40" s="18"/>
      <c r="G40" s="18"/>
      <c r="H40" s="18"/>
      <c r="I40" s="18"/>
      <c r="J40" s="41"/>
      <c r="K40" s="41"/>
      <c r="L40" s="18"/>
      <c r="M40" s="18"/>
      <c r="N40" s="25"/>
      <c r="O40" s="25"/>
      <c r="P40" s="25"/>
      <c r="Q40" s="25"/>
      <c r="R40" s="25"/>
      <c r="S40" s="25"/>
      <c r="T40" s="25"/>
      <c r="U40" s="25"/>
      <c r="V40" s="18"/>
      <c r="W40" s="41"/>
      <c r="X40" s="21"/>
      <c r="Y40" s="22"/>
      <c r="Z40" s="23"/>
      <c r="AA40" s="24"/>
      <c r="AB40" s="44"/>
    </row>
    <row r="41" spans="1:28" ht="15.5" x14ac:dyDescent="0.35">
      <c r="A41" s="18"/>
      <c r="B41" s="18"/>
      <c r="C41" s="25"/>
      <c r="D41" s="18"/>
      <c r="E41" s="18"/>
      <c r="F41" s="18"/>
      <c r="G41" s="18"/>
      <c r="H41" s="18"/>
      <c r="I41" s="18"/>
      <c r="J41" s="41"/>
      <c r="K41" s="41"/>
      <c r="L41" s="18"/>
      <c r="M41" s="18"/>
      <c r="N41" s="25"/>
      <c r="O41" s="25"/>
      <c r="P41" s="25"/>
      <c r="Q41" s="25"/>
      <c r="R41" s="25"/>
      <c r="S41" s="25"/>
      <c r="T41" s="25"/>
      <c r="U41" s="25"/>
      <c r="V41" s="18"/>
      <c r="W41" s="41"/>
      <c r="X41" s="21"/>
      <c r="Y41" s="22"/>
      <c r="Z41" s="23"/>
      <c r="AA41" s="24"/>
      <c r="AB41" s="44"/>
    </row>
    <row r="42" spans="1:28" ht="15.5" x14ac:dyDescent="0.35">
      <c r="A42" s="18"/>
      <c r="B42" s="18"/>
      <c r="C42" s="25"/>
      <c r="D42" s="18"/>
      <c r="E42" s="18"/>
      <c r="F42" s="18"/>
      <c r="G42" s="18"/>
      <c r="H42" s="18"/>
      <c r="I42" s="18"/>
      <c r="J42" s="41"/>
      <c r="K42" s="41"/>
      <c r="L42" s="18"/>
      <c r="M42" s="18"/>
      <c r="N42" s="25"/>
      <c r="O42" s="25"/>
      <c r="P42" s="25"/>
      <c r="Q42" s="25"/>
      <c r="R42" s="25"/>
      <c r="S42" s="25"/>
      <c r="T42" s="25"/>
      <c r="U42" s="25"/>
      <c r="V42" s="18"/>
      <c r="W42" s="41"/>
      <c r="X42" s="21"/>
      <c r="Y42" s="22"/>
      <c r="Z42" s="23"/>
      <c r="AA42" s="24"/>
      <c r="AB42" s="44"/>
    </row>
    <row r="43" spans="1:28" ht="15.5" x14ac:dyDescent="0.35">
      <c r="A43" s="18"/>
      <c r="B43" s="18"/>
      <c r="C43" s="25"/>
      <c r="D43" s="18"/>
      <c r="E43" s="18"/>
      <c r="F43" s="18"/>
      <c r="G43" s="18"/>
      <c r="H43" s="18"/>
      <c r="I43" s="18"/>
      <c r="J43" s="41"/>
      <c r="K43" s="41"/>
      <c r="L43" s="18"/>
      <c r="M43" s="18"/>
      <c r="N43" s="25"/>
      <c r="O43" s="25"/>
      <c r="P43" s="25"/>
      <c r="Q43" s="25"/>
      <c r="R43" s="25"/>
      <c r="S43" s="25"/>
      <c r="T43" s="25"/>
      <c r="U43" s="25"/>
      <c r="V43" s="18"/>
      <c r="W43" s="41"/>
      <c r="X43" s="21"/>
      <c r="Y43" s="22"/>
      <c r="Z43" s="23"/>
      <c r="AA43" s="24"/>
      <c r="AB43" s="44"/>
    </row>
    <row r="44" spans="1:28" ht="15.5" x14ac:dyDescent="0.35">
      <c r="A44" s="18"/>
      <c r="B44" s="18"/>
      <c r="C44" s="25"/>
      <c r="D44" s="18"/>
      <c r="E44" s="18"/>
      <c r="F44" s="18"/>
      <c r="G44" s="18"/>
      <c r="H44" s="18"/>
      <c r="I44" s="18"/>
      <c r="J44" s="41"/>
      <c r="K44" s="41"/>
      <c r="L44" s="18"/>
      <c r="M44" s="18"/>
      <c r="N44" s="25"/>
      <c r="O44" s="25"/>
      <c r="P44" s="25"/>
      <c r="Q44" s="25"/>
      <c r="R44" s="25"/>
      <c r="S44" s="25"/>
      <c r="T44" s="25"/>
      <c r="U44" s="25"/>
      <c r="V44" s="18"/>
      <c r="W44" s="41"/>
      <c r="X44" s="21"/>
      <c r="Y44" s="22"/>
      <c r="Z44" s="23"/>
      <c r="AA44" s="24"/>
      <c r="AB44" s="44"/>
    </row>
    <row r="45" spans="1:28" ht="15.5" x14ac:dyDescent="0.35">
      <c r="A45" s="18"/>
      <c r="B45" s="18"/>
      <c r="C45" s="25"/>
      <c r="D45" s="18"/>
      <c r="E45" s="18"/>
      <c r="F45" s="18"/>
      <c r="G45" s="18"/>
      <c r="H45" s="18"/>
      <c r="I45" s="18"/>
      <c r="J45" s="41"/>
      <c r="K45" s="41"/>
      <c r="L45" s="18"/>
      <c r="M45" s="18"/>
      <c r="N45" s="25"/>
      <c r="O45" s="25"/>
      <c r="P45" s="25"/>
      <c r="Q45" s="25"/>
      <c r="R45" s="25"/>
      <c r="S45" s="25"/>
      <c r="T45" s="25"/>
      <c r="U45" s="25"/>
      <c r="V45" s="18"/>
      <c r="W45" s="41"/>
      <c r="X45" s="21"/>
      <c r="Y45" s="22"/>
      <c r="Z45" s="23"/>
      <c r="AA45" s="24"/>
      <c r="AB45" s="44"/>
    </row>
    <row r="46" spans="1:28" ht="15.5" x14ac:dyDescent="0.35">
      <c r="A46" s="18"/>
      <c r="B46" s="18"/>
      <c r="C46" s="25"/>
      <c r="D46" s="18"/>
      <c r="E46" s="18"/>
      <c r="F46" s="18"/>
      <c r="G46" s="18"/>
      <c r="H46" s="18"/>
      <c r="I46" s="18"/>
      <c r="J46" s="41"/>
      <c r="K46" s="41"/>
      <c r="L46" s="18"/>
      <c r="M46" s="18"/>
      <c r="N46" s="25"/>
      <c r="O46" s="25"/>
      <c r="P46" s="25"/>
      <c r="Q46" s="25"/>
      <c r="R46" s="25"/>
      <c r="S46" s="25"/>
      <c r="T46" s="25"/>
      <c r="U46" s="25"/>
      <c r="V46" s="18"/>
      <c r="W46" s="41"/>
      <c r="X46" s="21"/>
      <c r="Y46" s="22"/>
      <c r="Z46" s="23"/>
      <c r="AA46" s="24"/>
      <c r="AB46" s="44"/>
    </row>
    <row r="47" spans="1:28" ht="15.5" x14ac:dyDescent="0.35">
      <c r="A47" s="18"/>
      <c r="B47" s="18"/>
      <c r="C47" s="25"/>
      <c r="D47" s="18"/>
      <c r="E47" s="18"/>
      <c r="F47" s="18"/>
      <c r="G47" s="18"/>
      <c r="H47" s="18"/>
      <c r="I47" s="18"/>
      <c r="J47" s="41"/>
      <c r="K47" s="41"/>
      <c r="L47" s="18"/>
      <c r="M47" s="18"/>
      <c r="N47" s="25"/>
      <c r="O47" s="25"/>
      <c r="P47" s="25"/>
      <c r="Q47" s="25"/>
      <c r="R47" s="25"/>
      <c r="S47" s="25"/>
      <c r="T47" s="25"/>
      <c r="U47" s="25"/>
      <c r="V47" s="18"/>
      <c r="W47" s="41"/>
      <c r="X47" s="21"/>
      <c r="Y47" s="22"/>
      <c r="Z47" s="23"/>
      <c r="AA47" s="24"/>
      <c r="AB47" s="44"/>
    </row>
    <row r="48" spans="1:28" ht="15.5" x14ac:dyDescent="0.35">
      <c r="A48" s="18"/>
      <c r="B48" s="18"/>
      <c r="C48" s="25"/>
      <c r="D48" s="18"/>
      <c r="E48" s="18"/>
      <c r="F48" s="18"/>
      <c r="G48" s="18"/>
      <c r="H48" s="18"/>
      <c r="I48" s="18"/>
      <c r="J48" s="41"/>
      <c r="K48" s="41"/>
      <c r="L48" s="18"/>
      <c r="M48" s="18"/>
      <c r="N48" s="25"/>
      <c r="O48" s="25"/>
      <c r="P48" s="25"/>
      <c r="Q48" s="25"/>
      <c r="R48" s="25"/>
      <c r="S48" s="25"/>
      <c r="T48" s="25"/>
      <c r="U48" s="25"/>
      <c r="V48" s="18"/>
      <c r="W48" s="41"/>
      <c r="X48" s="21"/>
      <c r="Y48" s="22"/>
      <c r="Z48" s="23"/>
      <c r="AA48" s="24"/>
      <c r="AB48" s="44"/>
    </row>
    <row r="49" spans="1:28" ht="15.5" x14ac:dyDescent="0.35">
      <c r="A49" s="18"/>
      <c r="B49" s="18"/>
      <c r="C49" s="25"/>
      <c r="D49" s="18"/>
      <c r="E49" s="18"/>
      <c r="F49" s="18"/>
      <c r="G49" s="18"/>
      <c r="H49" s="18"/>
      <c r="I49" s="18"/>
      <c r="J49" s="41"/>
      <c r="K49" s="41"/>
      <c r="L49" s="18"/>
      <c r="M49" s="18"/>
      <c r="N49" s="25"/>
      <c r="O49" s="25"/>
      <c r="P49" s="25"/>
      <c r="Q49" s="25"/>
      <c r="R49" s="25"/>
      <c r="S49" s="25"/>
      <c r="T49" s="25"/>
      <c r="U49" s="25"/>
      <c r="V49" s="18"/>
      <c r="W49" s="41"/>
      <c r="X49" s="21"/>
      <c r="Y49" s="22"/>
      <c r="Z49" s="23"/>
      <c r="AA49" s="24"/>
      <c r="AB49" s="44"/>
    </row>
    <row r="50" spans="1:28" ht="15.5" x14ac:dyDescent="0.35">
      <c r="A50" s="18"/>
      <c r="B50" s="18"/>
      <c r="C50" s="25"/>
      <c r="D50" s="18"/>
      <c r="E50" s="18"/>
      <c r="F50" s="18"/>
      <c r="G50" s="18"/>
      <c r="H50" s="18"/>
      <c r="I50" s="18"/>
      <c r="J50" s="41"/>
      <c r="K50" s="41"/>
      <c r="L50" s="18"/>
      <c r="M50" s="18"/>
      <c r="N50" s="25"/>
      <c r="O50" s="25"/>
      <c r="P50" s="25"/>
      <c r="Q50" s="25"/>
      <c r="R50" s="25"/>
      <c r="S50" s="25"/>
      <c r="T50" s="25"/>
      <c r="U50" s="25"/>
      <c r="V50" s="18"/>
      <c r="W50" s="41"/>
      <c r="X50" s="21"/>
      <c r="Y50" s="22"/>
      <c r="Z50" s="23"/>
      <c r="AA50" s="24"/>
      <c r="AB50" s="44"/>
    </row>
    <row r="51" spans="1:28" ht="15.5" x14ac:dyDescent="0.35">
      <c r="A51" s="18"/>
      <c r="B51" s="18"/>
      <c r="C51" s="25"/>
      <c r="D51" s="18"/>
      <c r="E51" s="18"/>
      <c r="F51" s="18"/>
      <c r="G51" s="18"/>
      <c r="H51" s="18"/>
      <c r="I51" s="18"/>
      <c r="J51" s="41"/>
      <c r="K51" s="41"/>
      <c r="L51" s="18"/>
      <c r="M51" s="18"/>
      <c r="N51" s="25"/>
      <c r="O51" s="25"/>
      <c r="P51" s="25"/>
      <c r="Q51" s="25"/>
      <c r="R51" s="25"/>
      <c r="S51" s="25"/>
      <c r="T51" s="25"/>
      <c r="U51" s="25"/>
      <c r="V51" s="18"/>
      <c r="W51" s="41"/>
      <c r="X51" s="21"/>
      <c r="Y51" s="22"/>
      <c r="Z51" s="23"/>
      <c r="AA51" s="24"/>
      <c r="AB51" s="44"/>
    </row>
    <row r="52" spans="1:28" ht="15.5" x14ac:dyDescent="0.35">
      <c r="A52" s="18"/>
      <c r="B52" s="18"/>
      <c r="C52" s="25"/>
      <c r="D52" s="18"/>
      <c r="E52" s="18"/>
      <c r="F52" s="18"/>
      <c r="G52" s="18"/>
      <c r="H52" s="18"/>
      <c r="I52" s="18"/>
      <c r="J52" s="41"/>
      <c r="K52" s="41"/>
      <c r="L52" s="18"/>
      <c r="M52" s="18"/>
      <c r="N52" s="25"/>
      <c r="O52" s="25"/>
      <c r="P52" s="25"/>
      <c r="Q52" s="25"/>
      <c r="R52" s="25"/>
      <c r="S52" s="25"/>
      <c r="T52" s="25"/>
      <c r="U52" s="25"/>
      <c r="V52" s="18"/>
      <c r="W52" s="41"/>
      <c r="X52" s="21"/>
      <c r="Y52" s="22"/>
      <c r="Z52" s="23"/>
      <c r="AA52" s="24"/>
      <c r="AB52" s="44"/>
    </row>
    <row r="53" spans="1:28" ht="15.5" x14ac:dyDescent="0.35">
      <c r="A53" s="18"/>
      <c r="B53" s="18"/>
      <c r="C53" s="25"/>
      <c r="D53" s="18"/>
      <c r="E53" s="18"/>
      <c r="F53" s="18"/>
      <c r="G53" s="18"/>
      <c r="H53" s="18"/>
      <c r="I53" s="18"/>
      <c r="J53" s="41"/>
      <c r="K53" s="41"/>
      <c r="L53" s="18"/>
      <c r="M53" s="18"/>
      <c r="N53" s="25"/>
      <c r="O53" s="25"/>
      <c r="P53" s="25"/>
      <c r="Q53" s="25"/>
      <c r="R53" s="25"/>
      <c r="S53" s="25"/>
      <c r="T53" s="25"/>
      <c r="U53" s="25"/>
      <c r="V53" s="18"/>
      <c r="W53" s="41"/>
      <c r="X53" s="21"/>
      <c r="Y53" s="22"/>
      <c r="Z53" s="23"/>
      <c r="AA53" s="24"/>
      <c r="AB53" s="44"/>
    </row>
    <row r="54" spans="1:28" ht="15.5" x14ac:dyDescent="0.35">
      <c r="A54" s="18"/>
      <c r="B54" s="18"/>
      <c r="C54" s="25"/>
      <c r="D54" s="18"/>
      <c r="E54" s="18"/>
      <c r="F54" s="18"/>
      <c r="G54" s="18"/>
      <c r="H54" s="18"/>
      <c r="I54" s="18"/>
      <c r="J54" s="41"/>
      <c r="K54" s="41"/>
      <c r="L54" s="18"/>
      <c r="M54" s="18"/>
      <c r="N54" s="25"/>
      <c r="O54" s="25"/>
      <c r="P54" s="25"/>
      <c r="Q54" s="25"/>
      <c r="R54" s="25"/>
      <c r="S54" s="25"/>
      <c r="T54" s="25"/>
      <c r="U54" s="25"/>
      <c r="V54" s="18"/>
      <c r="W54" s="41"/>
      <c r="X54" s="21"/>
      <c r="Y54" s="22"/>
      <c r="Z54" s="23"/>
      <c r="AA54" s="24"/>
      <c r="AB54" s="44"/>
    </row>
    <row r="55" spans="1:28" ht="15.5" x14ac:dyDescent="0.35">
      <c r="A55" s="18"/>
      <c r="B55" s="18"/>
      <c r="C55" s="25"/>
      <c r="D55" s="18"/>
      <c r="E55" s="18"/>
      <c r="F55" s="18"/>
      <c r="G55" s="18"/>
      <c r="H55" s="18"/>
      <c r="I55" s="18"/>
      <c r="J55" s="41"/>
      <c r="K55" s="41"/>
      <c r="L55" s="18"/>
      <c r="M55" s="18"/>
      <c r="N55" s="25"/>
      <c r="O55" s="25"/>
      <c r="P55" s="25"/>
      <c r="Q55" s="25"/>
      <c r="R55" s="25"/>
      <c r="S55" s="25"/>
      <c r="T55" s="25"/>
      <c r="U55" s="25"/>
      <c r="V55" s="18"/>
      <c r="W55" s="41"/>
      <c r="X55" s="21"/>
      <c r="Y55" s="22"/>
      <c r="Z55" s="23"/>
      <c r="AA55" s="24"/>
      <c r="AB55" s="44"/>
    </row>
    <row r="56" spans="1:28" ht="15.5" x14ac:dyDescent="0.35">
      <c r="A56" s="18"/>
      <c r="B56" s="18"/>
      <c r="C56" s="25"/>
      <c r="D56" s="18"/>
      <c r="E56" s="18"/>
      <c r="F56" s="18"/>
      <c r="G56" s="18"/>
      <c r="H56" s="18"/>
      <c r="I56" s="18"/>
      <c r="J56" s="41"/>
      <c r="K56" s="41"/>
      <c r="L56" s="18"/>
      <c r="M56" s="18"/>
      <c r="N56" s="25"/>
      <c r="O56" s="25"/>
      <c r="P56" s="25"/>
      <c r="Q56" s="25"/>
      <c r="R56" s="25"/>
      <c r="S56" s="25"/>
      <c r="T56" s="25"/>
      <c r="U56" s="25"/>
      <c r="V56" s="18"/>
      <c r="W56" s="41"/>
      <c r="X56" s="21"/>
      <c r="Y56" s="22"/>
      <c r="Z56" s="23"/>
      <c r="AA56" s="24"/>
      <c r="AB56" s="44"/>
    </row>
    <row r="57" spans="1:28" ht="15.5" x14ac:dyDescent="0.35">
      <c r="A57" s="18"/>
      <c r="B57" s="18"/>
      <c r="C57" s="25"/>
      <c r="D57" s="18"/>
      <c r="E57" s="18"/>
      <c r="F57" s="18"/>
      <c r="G57" s="18"/>
      <c r="H57" s="18"/>
      <c r="I57" s="18"/>
      <c r="J57" s="41"/>
      <c r="K57" s="41"/>
      <c r="L57" s="18"/>
      <c r="M57" s="18"/>
      <c r="N57" s="25"/>
      <c r="O57" s="25"/>
      <c r="P57" s="25"/>
      <c r="Q57" s="25"/>
      <c r="R57" s="25"/>
      <c r="S57" s="25"/>
      <c r="T57" s="25"/>
      <c r="U57" s="25"/>
      <c r="V57" s="18"/>
      <c r="W57" s="41"/>
      <c r="X57" s="21"/>
      <c r="Y57" s="22"/>
      <c r="Z57" s="23"/>
      <c r="AA57" s="24"/>
      <c r="AB57" s="44"/>
    </row>
    <row r="58" spans="1:28" ht="15.5" x14ac:dyDescent="0.35">
      <c r="A58" s="18"/>
      <c r="B58" s="18"/>
      <c r="C58" s="25"/>
      <c r="D58" s="18"/>
      <c r="E58" s="18"/>
      <c r="F58" s="18"/>
      <c r="G58" s="18"/>
      <c r="H58" s="18"/>
      <c r="I58" s="18"/>
      <c r="J58" s="41"/>
      <c r="K58" s="41"/>
      <c r="L58" s="18"/>
      <c r="M58" s="18"/>
      <c r="N58" s="25"/>
      <c r="O58" s="25"/>
      <c r="P58" s="25"/>
      <c r="Q58" s="25"/>
      <c r="R58" s="25"/>
      <c r="S58" s="25"/>
      <c r="T58" s="25"/>
      <c r="U58" s="25"/>
      <c r="V58" s="18"/>
      <c r="W58" s="41"/>
      <c r="X58" s="21"/>
      <c r="Y58" s="22"/>
      <c r="Z58" s="23"/>
      <c r="AA58" s="24"/>
      <c r="AB58" s="44"/>
    </row>
    <row r="59" spans="1:28" ht="15.5" x14ac:dyDescent="0.35">
      <c r="A59" s="18"/>
      <c r="B59" s="18"/>
      <c r="C59" s="25"/>
      <c r="D59" s="18"/>
      <c r="E59" s="18"/>
      <c r="F59" s="18"/>
      <c r="G59" s="18"/>
      <c r="H59" s="18"/>
      <c r="I59" s="18"/>
      <c r="J59" s="41"/>
      <c r="K59" s="41"/>
      <c r="L59" s="18"/>
      <c r="M59" s="18"/>
      <c r="N59" s="25"/>
      <c r="O59" s="25"/>
      <c r="P59" s="25"/>
      <c r="Q59" s="25"/>
      <c r="R59" s="25"/>
      <c r="S59" s="25"/>
      <c r="T59" s="25"/>
      <c r="U59" s="25"/>
      <c r="V59" s="18"/>
      <c r="W59" s="41"/>
      <c r="X59" s="21"/>
      <c r="Y59" s="22"/>
      <c r="Z59" s="23"/>
      <c r="AA59" s="24"/>
      <c r="AB59" s="44"/>
    </row>
    <row r="60" spans="1:28" ht="15.5" x14ac:dyDescent="0.35">
      <c r="A60" s="18"/>
      <c r="B60" s="18"/>
      <c r="C60" s="25"/>
      <c r="D60" s="18"/>
      <c r="E60" s="18"/>
      <c r="F60" s="18"/>
      <c r="G60" s="18"/>
      <c r="H60" s="18"/>
      <c r="I60" s="18"/>
      <c r="J60" s="41"/>
      <c r="K60" s="41"/>
      <c r="L60" s="18"/>
      <c r="M60" s="18"/>
      <c r="N60" s="25"/>
      <c r="O60" s="25"/>
      <c r="P60" s="25"/>
      <c r="Q60" s="25"/>
      <c r="R60" s="25"/>
      <c r="S60" s="25"/>
      <c r="T60" s="25"/>
      <c r="U60" s="25"/>
      <c r="V60" s="18"/>
      <c r="W60" s="41"/>
      <c r="X60" s="21"/>
      <c r="Y60" s="22"/>
      <c r="Z60" s="23"/>
      <c r="AA60" s="24"/>
      <c r="AB60" s="44"/>
    </row>
    <row r="61" spans="1:28" ht="15.5" x14ac:dyDescent="0.35">
      <c r="A61" s="18"/>
      <c r="B61" s="18"/>
      <c r="C61" s="25"/>
      <c r="D61" s="18"/>
      <c r="E61" s="18"/>
      <c r="F61" s="18"/>
      <c r="G61" s="18"/>
      <c r="H61" s="18"/>
      <c r="I61" s="18"/>
      <c r="J61" s="41"/>
      <c r="K61" s="41"/>
      <c r="L61" s="18"/>
      <c r="M61" s="18"/>
      <c r="N61" s="25"/>
      <c r="O61" s="25"/>
      <c r="P61" s="25"/>
      <c r="Q61" s="25"/>
      <c r="R61" s="25"/>
      <c r="S61" s="25"/>
      <c r="T61" s="25"/>
      <c r="U61" s="25"/>
      <c r="V61" s="18"/>
      <c r="W61" s="41"/>
      <c r="X61" s="21"/>
      <c r="Y61" s="22"/>
      <c r="Z61" s="23"/>
      <c r="AA61" s="24"/>
      <c r="AB61" s="44"/>
    </row>
    <row r="62" spans="1:28" ht="15.5" x14ac:dyDescent="0.35">
      <c r="A62" s="18"/>
      <c r="B62" s="18"/>
      <c r="C62" s="25"/>
      <c r="D62" s="18"/>
      <c r="E62" s="18"/>
      <c r="F62" s="18"/>
      <c r="G62" s="18"/>
      <c r="H62" s="18"/>
      <c r="I62" s="18"/>
      <c r="J62" s="41"/>
      <c r="K62" s="41"/>
      <c r="L62" s="18"/>
      <c r="M62" s="18"/>
      <c r="N62" s="25"/>
      <c r="O62" s="25"/>
      <c r="P62" s="25"/>
      <c r="Q62" s="25"/>
      <c r="R62" s="25"/>
      <c r="S62" s="25"/>
      <c r="T62" s="25"/>
      <c r="U62" s="25"/>
      <c r="V62" s="18"/>
      <c r="W62" s="41"/>
      <c r="X62" s="21"/>
      <c r="Y62" s="22"/>
      <c r="Z62" s="23"/>
      <c r="AA62" s="24"/>
      <c r="AB62" s="44"/>
    </row>
    <row r="63" spans="1:28" ht="15.5" x14ac:dyDescent="0.35">
      <c r="A63" s="18"/>
      <c r="B63" s="18"/>
      <c r="C63" s="25"/>
      <c r="D63" s="18"/>
      <c r="E63" s="18"/>
      <c r="F63" s="18"/>
      <c r="G63" s="18"/>
      <c r="H63" s="18"/>
      <c r="I63" s="18"/>
      <c r="J63" s="41"/>
      <c r="K63" s="41"/>
      <c r="L63" s="18"/>
      <c r="M63" s="18"/>
      <c r="N63" s="25"/>
      <c r="O63" s="25"/>
      <c r="P63" s="25"/>
      <c r="Q63" s="25"/>
      <c r="R63" s="25"/>
      <c r="S63" s="25"/>
      <c r="T63" s="25"/>
      <c r="U63" s="25"/>
      <c r="V63" s="18"/>
      <c r="W63" s="41"/>
      <c r="X63" s="21"/>
      <c r="Y63" s="22"/>
      <c r="Z63" s="23"/>
      <c r="AA63" s="24"/>
      <c r="AB63" s="44"/>
    </row>
    <row r="64" spans="1:28" ht="15.5" x14ac:dyDescent="0.35">
      <c r="A64" s="18"/>
      <c r="B64" s="18"/>
      <c r="C64" s="25"/>
      <c r="D64" s="18"/>
      <c r="E64" s="18"/>
      <c r="F64" s="18"/>
      <c r="G64" s="18"/>
      <c r="H64" s="18"/>
      <c r="I64" s="18"/>
      <c r="J64" s="41"/>
      <c r="K64" s="41"/>
      <c r="L64" s="18"/>
      <c r="M64" s="18"/>
      <c r="N64" s="25"/>
      <c r="O64" s="25"/>
      <c r="P64" s="25"/>
      <c r="Q64" s="25"/>
      <c r="R64" s="25"/>
      <c r="S64" s="25"/>
      <c r="T64" s="25"/>
      <c r="U64" s="25"/>
      <c r="V64" s="18"/>
      <c r="W64" s="41"/>
      <c r="X64" s="21"/>
      <c r="Y64" s="22"/>
      <c r="Z64" s="23"/>
      <c r="AA64" s="24"/>
      <c r="AB64" s="44"/>
    </row>
    <row r="65" spans="1:28" ht="15.5" x14ac:dyDescent="0.35">
      <c r="A65" s="18"/>
      <c r="B65" s="18"/>
      <c r="C65" s="25"/>
      <c r="D65" s="18"/>
      <c r="E65" s="18"/>
      <c r="F65" s="18"/>
      <c r="G65" s="18"/>
      <c r="H65" s="18"/>
      <c r="I65" s="18"/>
      <c r="J65" s="41"/>
      <c r="K65" s="41"/>
      <c r="L65" s="18"/>
      <c r="M65" s="18"/>
      <c r="N65" s="25"/>
      <c r="O65" s="25"/>
      <c r="P65" s="25"/>
      <c r="Q65" s="25"/>
      <c r="R65" s="25"/>
      <c r="S65" s="25"/>
      <c r="T65" s="25"/>
      <c r="U65" s="25"/>
      <c r="V65" s="18"/>
      <c r="W65" s="41"/>
      <c r="X65" s="21"/>
      <c r="Y65" s="22"/>
      <c r="Z65" s="23"/>
      <c r="AA65" s="24"/>
      <c r="AB65" s="44"/>
    </row>
    <row r="66" spans="1:28" ht="15.5" x14ac:dyDescent="0.35">
      <c r="A66" s="18"/>
      <c r="B66" s="18"/>
      <c r="C66" s="25"/>
      <c r="D66" s="18"/>
      <c r="E66" s="18"/>
      <c r="F66" s="18"/>
      <c r="G66" s="18"/>
      <c r="H66" s="18"/>
      <c r="I66" s="18"/>
      <c r="J66" s="41"/>
      <c r="K66" s="41"/>
      <c r="L66" s="18"/>
      <c r="M66" s="18"/>
      <c r="N66" s="25"/>
      <c r="O66" s="25"/>
      <c r="P66" s="25"/>
      <c r="Q66" s="25"/>
      <c r="R66" s="25"/>
      <c r="S66" s="25"/>
      <c r="T66" s="25"/>
      <c r="U66" s="25"/>
      <c r="V66" s="18"/>
      <c r="W66" s="41"/>
      <c r="X66" s="21"/>
      <c r="Y66" s="22"/>
      <c r="Z66" s="23"/>
      <c r="AA66" s="24"/>
      <c r="AB66" s="44"/>
    </row>
    <row r="67" spans="1:28" ht="15.5" x14ac:dyDescent="0.35">
      <c r="A67" s="18"/>
      <c r="B67" s="18"/>
      <c r="C67" s="25"/>
      <c r="D67" s="18"/>
      <c r="E67" s="18"/>
      <c r="F67" s="18"/>
      <c r="G67" s="18"/>
      <c r="H67" s="18"/>
      <c r="I67" s="18"/>
      <c r="J67" s="41"/>
      <c r="K67" s="41"/>
      <c r="L67" s="18"/>
      <c r="M67" s="18"/>
      <c r="N67" s="25"/>
      <c r="O67" s="25"/>
      <c r="P67" s="25"/>
      <c r="Q67" s="25"/>
      <c r="R67" s="25"/>
      <c r="S67" s="25"/>
      <c r="T67" s="25"/>
      <c r="U67" s="25"/>
      <c r="V67" s="18"/>
      <c r="W67" s="41"/>
      <c r="X67" s="21"/>
      <c r="Y67" s="22"/>
      <c r="Z67" s="23"/>
      <c r="AA67" s="24"/>
      <c r="AB67" s="44"/>
    </row>
    <row r="68" spans="1:28" ht="15.5" x14ac:dyDescent="0.35">
      <c r="A68" s="18"/>
      <c r="B68" s="18"/>
      <c r="C68" s="25"/>
      <c r="D68" s="18"/>
      <c r="E68" s="18"/>
      <c r="F68" s="18"/>
      <c r="G68" s="18"/>
      <c r="H68" s="18"/>
      <c r="I68" s="18"/>
      <c r="J68" s="41"/>
      <c r="K68" s="41"/>
      <c r="L68" s="18"/>
      <c r="M68" s="18"/>
      <c r="N68" s="25"/>
      <c r="O68" s="25"/>
      <c r="P68" s="25"/>
      <c r="Q68" s="25"/>
      <c r="R68" s="25"/>
      <c r="S68" s="25"/>
      <c r="T68" s="25"/>
      <c r="U68" s="25"/>
      <c r="V68" s="18"/>
      <c r="W68" s="41"/>
      <c r="X68" s="21"/>
      <c r="Y68" s="22"/>
      <c r="Z68" s="23"/>
      <c r="AA68" s="24"/>
      <c r="AB68" s="44"/>
    </row>
    <row r="69" spans="1:28" ht="15.5" x14ac:dyDescent="0.35">
      <c r="A69" s="18"/>
      <c r="B69" s="18"/>
      <c r="C69" s="25"/>
      <c r="D69" s="18"/>
      <c r="E69" s="18"/>
      <c r="F69" s="18"/>
      <c r="G69" s="18"/>
      <c r="H69" s="18"/>
      <c r="I69" s="18"/>
      <c r="J69" s="41"/>
      <c r="K69" s="41"/>
      <c r="L69" s="18"/>
      <c r="M69" s="18"/>
      <c r="N69" s="25"/>
      <c r="O69" s="25"/>
      <c r="P69" s="25"/>
      <c r="Q69" s="25"/>
      <c r="R69" s="25"/>
      <c r="S69" s="25"/>
      <c r="T69" s="25"/>
      <c r="U69" s="25"/>
      <c r="V69" s="18"/>
      <c r="W69" s="41"/>
      <c r="X69" s="21"/>
      <c r="Y69" s="22"/>
      <c r="Z69" s="23"/>
      <c r="AA69" s="24"/>
      <c r="AB69" s="44"/>
    </row>
    <row r="70" spans="1:28" ht="15.5" x14ac:dyDescent="0.35">
      <c r="A70" s="18"/>
      <c r="B70" s="18"/>
      <c r="C70" s="25"/>
      <c r="D70" s="18"/>
      <c r="E70" s="18"/>
      <c r="F70" s="18"/>
      <c r="G70" s="18"/>
      <c r="H70" s="18"/>
      <c r="I70" s="18"/>
      <c r="J70" s="41"/>
      <c r="K70" s="41"/>
      <c r="L70" s="18"/>
      <c r="M70" s="18"/>
      <c r="N70" s="25"/>
      <c r="O70" s="25"/>
      <c r="P70" s="25"/>
      <c r="Q70" s="25"/>
      <c r="R70" s="25"/>
      <c r="S70" s="25"/>
      <c r="T70" s="25"/>
      <c r="U70" s="25"/>
      <c r="V70" s="18"/>
      <c r="W70" s="41"/>
      <c r="X70" s="21"/>
      <c r="Y70" s="22"/>
      <c r="Z70" s="23"/>
      <c r="AA70" s="24"/>
      <c r="AB70" s="44"/>
    </row>
    <row r="71" spans="1:28" ht="15.5" x14ac:dyDescent="0.35">
      <c r="A71" s="18"/>
      <c r="B71" s="18"/>
      <c r="C71" s="25"/>
      <c r="D71" s="18"/>
      <c r="E71" s="18"/>
      <c r="F71" s="18"/>
      <c r="G71" s="18"/>
      <c r="H71" s="18"/>
      <c r="I71" s="18"/>
      <c r="J71" s="41"/>
      <c r="K71" s="41"/>
      <c r="L71" s="18"/>
      <c r="M71" s="18"/>
      <c r="N71" s="25"/>
      <c r="O71" s="25"/>
      <c r="P71" s="25"/>
      <c r="Q71" s="25"/>
      <c r="R71" s="25"/>
      <c r="S71" s="25"/>
      <c r="T71" s="25"/>
      <c r="U71" s="25"/>
      <c r="V71" s="18"/>
      <c r="W71" s="41"/>
      <c r="X71" s="21"/>
      <c r="Y71" s="22"/>
      <c r="Z71" s="23"/>
      <c r="AA71" s="24"/>
      <c r="AB71" s="44"/>
    </row>
    <row r="72" spans="1:28" ht="15.5" x14ac:dyDescent="0.35">
      <c r="A72" s="18"/>
      <c r="B72" s="18"/>
      <c r="C72" s="25"/>
      <c r="D72" s="18"/>
      <c r="E72" s="18"/>
      <c r="F72" s="18"/>
      <c r="G72" s="18"/>
      <c r="H72" s="18"/>
      <c r="I72" s="18"/>
      <c r="J72" s="41"/>
      <c r="K72" s="41"/>
      <c r="L72" s="18"/>
      <c r="M72" s="18"/>
      <c r="N72" s="25"/>
      <c r="O72" s="25"/>
      <c r="P72" s="25"/>
      <c r="Q72" s="25"/>
      <c r="R72" s="25"/>
      <c r="S72" s="25"/>
      <c r="T72" s="25"/>
      <c r="U72" s="25"/>
      <c r="V72" s="18"/>
      <c r="W72" s="41"/>
      <c r="X72" s="21"/>
      <c r="Y72" s="22"/>
      <c r="Z72" s="23"/>
      <c r="AA72" s="24"/>
      <c r="AB72" s="44"/>
    </row>
    <row r="73" spans="1:28" ht="15.5" x14ac:dyDescent="0.35">
      <c r="A73" s="18"/>
      <c r="B73" s="18"/>
      <c r="C73" s="25"/>
      <c r="D73" s="18"/>
      <c r="E73" s="18"/>
      <c r="F73" s="18"/>
      <c r="G73" s="18"/>
      <c r="H73" s="18"/>
      <c r="I73" s="18"/>
      <c r="J73" s="41"/>
      <c r="K73" s="41"/>
      <c r="L73" s="18"/>
      <c r="M73" s="18"/>
      <c r="N73" s="25"/>
      <c r="O73" s="25"/>
      <c r="P73" s="25"/>
      <c r="Q73" s="25"/>
      <c r="R73" s="25"/>
      <c r="S73" s="25"/>
      <c r="T73" s="25"/>
      <c r="U73" s="25"/>
      <c r="V73" s="18"/>
      <c r="W73" s="41"/>
      <c r="X73" s="21"/>
      <c r="Y73" s="22"/>
      <c r="Z73" s="23"/>
      <c r="AA73" s="24"/>
      <c r="AB73" s="44"/>
    </row>
    <row r="74" spans="1:28" ht="15.5" x14ac:dyDescent="0.35">
      <c r="A74" s="18"/>
      <c r="B74" s="18"/>
      <c r="C74" s="25"/>
      <c r="D74" s="18"/>
      <c r="E74" s="18"/>
      <c r="F74" s="18"/>
      <c r="G74" s="18"/>
      <c r="H74" s="18"/>
      <c r="I74" s="18"/>
      <c r="J74" s="41"/>
      <c r="K74" s="41"/>
      <c r="L74" s="18"/>
      <c r="M74" s="18"/>
      <c r="N74" s="25"/>
      <c r="O74" s="25"/>
      <c r="P74" s="25"/>
      <c r="Q74" s="25"/>
      <c r="R74" s="25"/>
      <c r="S74" s="25"/>
      <c r="T74" s="25"/>
      <c r="U74" s="25"/>
      <c r="V74" s="18"/>
      <c r="W74" s="41"/>
      <c r="X74" s="21"/>
      <c r="Y74" s="22"/>
      <c r="Z74" s="23"/>
      <c r="AA74" s="24"/>
      <c r="AB74" s="44"/>
    </row>
    <row r="75" spans="1:28" ht="15.5" x14ac:dyDescent="0.35">
      <c r="A75" s="18"/>
      <c r="B75" s="18"/>
      <c r="C75" s="25"/>
      <c r="D75" s="18"/>
      <c r="E75" s="18"/>
      <c r="F75" s="18"/>
      <c r="G75" s="18"/>
      <c r="H75" s="18"/>
      <c r="I75" s="18"/>
      <c r="J75" s="41"/>
      <c r="K75" s="41"/>
      <c r="L75" s="18"/>
      <c r="M75" s="18"/>
      <c r="N75" s="25"/>
      <c r="O75" s="25"/>
      <c r="P75" s="25"/>
      <c r="Q75" s="25"/>
      <c r="R75" s="25"/>
      <c r="S75" s="25"/>
      <c r="T75" s="25"/>
      <c r="U75" s="25"/>
      <c r="V75" s="18"/>
      <c r="W75" s="41"/>
      <c r="X75" s="21"/>
      <c r="Y75" s="22"/>
      <c r="Z75" s="23"/>
      <c r="AA75" s="24"/>
      <c r="AB75" s="44"/>
    </row>
    <row r="76" spans="1:28" ht="15.5" x14ac:dyDescent="0.35">
      <c r="A76" s="18"/>
      <c r="B76" s="18"/>
      <c r="C76" s="25"/>
      <c r="D76" s="18"/>
      <c r="E76" s="18"/>
      <c r="F76" s="18"/>
      <c r="G76" s="18"/>
      <c r="H76" s="18"/>
      <c r="I76" s="18"/>
      <c r="J76" s="41"/>
      <c r="K76" s="41"/>
      <c r="L76" s="18"/>
      <c r="M76" s="18"/>
      <c r="N76" s="25"/>
      <c r="O76" s="25"/>
      <c r="P76" s="25"/>
      <c r="Q76" s="25"/>
      <c r="R76" s="25"/>
      <c r="S76" s="25"/>
      <c r="T76" s="25"/>
      <c r="U76" s="25"/>
      <c r="V76" s="18"/>
      <c r="W76" s="41"/>
      <c r="X76" s="21"/>
      <c r="Y76" s="22"/>
      <c r="Z76" s="23"/>
      <c r="AA76" s="24"/>
      <c r="AB76" s="44"/>
    </row>
    <row r="77" spans="1:28" ht="15.5" x14ac:dyDescent="0.35">
      <c r="A77" s="18"/>
      <c r="B77" s="18"/>
      <c r="C77" s="25"/>
      <c r="D77" s="18"/>
      <c r="E77" s="18"/>
      <c r="F77" s="18"/>
      <c r="G77" s="18"/>
      <c r="H77" s="18"/>
      <c r="I77" s="18"/>
      <c r="J77" s="41"/>
      <c r="K77" s="41"/>
      <c r="L77" s="18"/>
      <c r="M77" s="18"/>
      <c r="N77" s="25"/>
      <c r="O77" s="25"/>
      <c r="P77" s="25"/>
      <c r="Q77" s="25"/>
      <c r="R77" s="25"/>
      <c r="S77" s="25"/>
      <c r="T77" s="25"/>
      <c r="U77" s="25"/>
      <c r="V77" s="18"/>
      <c r="W77" s="41"/>
      <c r="X77" s="21"/>
      <c r="Y77" s="22"/>
      <c r="Z77" s="23"/>
      <c r="AA77" s="24"/>
      <c r="AB77" s="44"/>
    </row>
    <row r="78" spans="1:28" ht="15.5" x14ac:dyDescent="0.35">
      <c r="A78" s="18"/>
      <c r="B78" s="18"/>
      <c r="C78" s="25"/>
      <c r="D78" s="18"/>
      <c r="E78" s="18"/>
      <c r="F78" s="18"/>
      <c r="G78" s="18"/>
      <c r="H78" s="18"/>
      <c r="I78" s="18"/>
      <c r="J78" s="41"/>
      <c r="K78" s="41"/>
      <c r="L78" s="18"/>
      <c r="M78" s="18"/>
      <c r="N78" s="25"/>
      <c r="O78" s="25"/>
      <c r="P78" s="25"/>
      <c r="Q78" s="25"/>
      <c r="R78" s="25"/>
      <c r="S78" s="25"/>
      <c r="T78" s="25"/>
      <c r="U78" s="25"/>
      <c r="V78" s="18"/>
      <c r="W78" s="41"/>
      <c r="X78" s="21"/>
      <c r="Y78" s="22"/>
      <c r="Z78" s="23"/>
      <c r="AA78" s="24"/>
      <c r="AB78" s="44"/>
    </row>
    <row r="79" spans="1:28" ht="15.5" x14ac:dyDescent="0.35">
      <c r="A79" s="18"/>
      <c r="B79" s="18"/>
      <c r="C79" s="25"/>
      <c r="D79" s="18"/>
      <c r="E79" s="18"/>
      <c r="F79" s="18"/>
      <c r="G79" s="18"/>
      <c r="H79" s="18"/>
      <c r="I79" s="18"/>
      <c r="J79" s="41"/>
      <c r="K79" s="41"/>
      <c r="L79" s="18"/>
      <c r="M79" s="18"/>
      <c r="N79" s="25"/>
      <c r="O79" s="25"/>
      <c r="P79" s="25"/>
      <c r="Q79" s="25"/>
      <c r="R79" s="25"/>
      <c r="S79" s="25"/>
      <c r="T79" s="25"/>
      <c r="U79" s="25"/>
      <c r="V79" s="18"/>
      <c r="W79" s="41"/>
      <c r="X79" s="21"/>
      <c r="Y79" s="22"/>
      <c r="Z79" s="23"/>
      <c r="AA79" s="24"/>
      <c r="AB79" s="44"/>
    </row>
    <row r="80" spans="1:28" ht="15.5" x14ac:dyDescent="0.35">
      <c r="A80" s="18"/>
      <c r="B80" s="18"/>
      <c r="C80" s="25"/>
      <c r="D80" s="18"/>
      <c r="E80" s="18"/>
      <c r="F80" s="18"/>
      <c r="G80" s="18"/>
      <c r="H80" s="18"/>
      <c r="I80" s="18"/>
      <c r="J80" s="41"/>
      <c r="K80" s="41"/>
      <c r="L80" s="18"/>
      <c r="M80" s="18"/>
      <c r="N80" s="25"/>
      <c r="O80" s="25"/>
      <c r="P80" s="25"/>
      <c r="Q80" s="25"/>
      <c r="R80" s="25"/>
      <c r="S80" s="25"/>
      <c r="T80" s="25"/>
      <c r="U80" s="25"/>
      <c r="V80" s="18"/>
      <c r="W80" s="41"/>
      <c r="X80" s="21"/>
      <c r="Y80" s="22"/>
      <c r="Z80" s="23"/>
      <c r="AA80" s="24"/>
      <c r="AB80" s="44"/>
    </row>
    <row r="81" spans="1:28" ht="15.5" x14ac:dyDescent="0.35">
      <c r="A81" s="18"/>
      <c r="B81" s="18"/>
      <c r="C81" s="25"/>
      <c r="D81" s="18"/>
      <c r="E81" s="18"/>
      <c r="F81" s="18"/>
      <c r="G81" s="18"/>
      <c r="H81" s="18"/>
      <c r="I81" s="18"/>
      <c r="J81" s="41"/>
      <c r="K81" s="41"/>
      <c r="L81" s="18"/>
      <c r="M81" s="18"/>
      <c r="N81" s="25"/>
      <c r="O81" s="25"/>
      <c r="P81" s="25"/>
      <c r="Q81" s="25"/>
      <c r="R81" s="25"/>
      <c r="S81" s="25"/>
      <c r="T81" s="25"/>
      <c r="U81" s="25"/>
      <c r="V81" s="18"/>
      <c r="W81" s="41"/>
      <c r="X81" s="21"/>
      <c r="Y81" s="22"/>
      <c r="Z81" s="23"/>
      <c r="AA81" s="24"/>
      <c r="AB81" s="44"/>
    </row>
    <row r="82" spans="1:28" ht="15.5" x14ac:dyDescent="0.35">
      <c r="A82" s="18"/>
      <c r="B82" s="18"/>
      <c r="C82" s="25"/>
      <c r="D82" s="18"/>
      <c r="E82" s="18"/>
      <c r="F82" s="18"/>
      <c r="G82" s="18"/>
      <c r="H82" s="18"/>
      <c r="I82" s="18"/>
      <c r="J82" s="41"/>
      <c r="K82" s="41"/>
      <c r="L82" s="18"/>
      <c r="M82" s="18"/>
      <c r="N82" s="25"/>
      <c r="O82" s="25"/>
      <c r="P82" s="25"/>
      <c r="Q82" s="25"/>
      <c r="R82" s="25"/>
      <c r="S82" s="25"/>
      <c r="T82" s="25"/>
      <c r="U82" s="25"/>
      <c r="V82" s="18"/>
      <c r="W82" s="41"/>
      <c r="X82" s="21"/>
      <c r="Y82" s="22"/>
      <c r="Z82" s="23"/>
      <c r="AA82" s="24"/>
      <c r="AB82" s="44"/>
    </row>
    <row r="83" spans="1:28" ht="15.5" x14ac:dyDescent="0.35">
      <c r="A83" s="18"/>
      <c r="B83" s="18"/>
      <c r="C83" s="25"/>
      <c r="D83" s="18"/>
      <c r="E83" s="18"/>
      <c r="F83" s="18"/>
      <c r="G83" s="18"/>
      <c r="H83" s="18"/>
      <c r="I83" s="18"/>
      <c r="J83" s="41"/>
      <c r="K83" s="41"/>
      <c r="L83" s="18"/>
      <c r="M83" s="18"/>
      <c r="N83" s="25"/>
      <c r="O83" s="25"/>
      <c r="P83" s="25"/>
      <c r="Q83" s="25"/>
      <c r="R83" s="25"/>
      <c r="S83" s="25"/>
      <c r="T83" s="25"/>
      <c r="U83" s="25"/>
      <c r="V83" s="18"/>
      <c r="W83" s="41"/>
      <c r="X83" s="21"/>
      <c r="Y83" s="22"/>
      <c r="Z83" s="23"/>
      <c r="AA83" s="24"/>
      <c r="AB83" s="44"/>
    </row>
    <row r="84" spans="1:28" ht="15.5" x14ac:dyDescent="0.35">
      <c r="A84" s="18"/>
      <c r="B84" s="18"/>
      <c r="C84" s="25"/>
      <c r="D84" s="18"/>
      <c r="E84" s="18"/>
      <c r="F84" s="18"/>
      <c r="G84" s="18"/>
      <c r="H84" s="18"/>
      <c r="I84" s="18"/>
      <c r="J84" s="41"/>
      <c r="K84" s="41"/>
      <c r="L84" s="18"/>
      <c r="M84" s="18"/>
      <c r="N84" s="25"/>
      <c r="O84" s="25"/>
      <c r="P84" s="25"/>
      <c r="Q84" s="25"/>
      <c r="R84" s="25"/>
      <c r="S84" s="25"/>
      <c r="T84" s="25"/>
      <c r="U84" s="25"/>
      <c r="V84" s="18"/>
      <c r="W84" s="41"/>
      <c r="X84" s="21"/>
      <c r="Y84" s="22"/>
      <c r="Z84" s="23"/>
      <c r="AA84" s="24"/>
      <c r="AB84" s="44"/>
    </row>
    <row r="85" spans="1:28" ht="15.5" x14ac:dyDescent="0.35">
      <c r="A85" s="18"/>
      <c r="B85" s="18"/>
      <c r="C85" s="25"/>
      <c r="D85" s="18"/>
      <c r="E85" s="18"/>
      <c r="F85" s="18"/>
      <c r="G85" s="18"/>
      <c r="H85" s="18"/>
      <c r="I85" s="18"/>
      <c r="J85" s="41"/>
      <c r="K85" s="41"/>
      <c r="L85" s="18"/>
      <c r="M85" s="18"/>
      <c r="N85" s="25"/>
      <c r="O85" s="25"/>
      <c r="P85" s="25"/>
      <c r="Q85" s="25"/>
      <c r="R85" s="25"/>
      <c r="S85" s="25"/>
      <c r="T85" s="25"/>
      <c r="U85" s="25"/>
      <c r="V85" s="18"/>
      <c r="W85" s="41"/>
      <c r="X85" s="21"/>
      <c r="Y85" s="22"/>
      <c r="Z85" s="23"/>
      <c r="AA85" s="24"/>
      <c r="AB85" s="44"/>
    </row>
    <row r="86" spans="1:28" ht="15.5" x14ac:dyDescent="0.35">
      <c r="A86" s="18"/>
      <c r="B86" s="18"/>
      <c r="C86" s="25"/>
      <c r="D86" s="18"/>
      <c r="E86" s="18"/>
      <c r="F86" s="18"/>
      <c r="G86" s="18"/>
      <c r="H86" s="18"/>
      <c r="I86" s="18"/>
      <c r="J86" s="41"/>
      <c r="K86" s="41"/>
      <c r="L86" s="18"/>
      <c r="M86" s="18"/>
      <c r="N86" s="25"/>
      <c r="O86" s="25"/>
      <c r="P86" s="25"/>
      <c r="Q86" s="25"/>
      <c r="R86" s="25"/>
      <c r="S86" s="25"/>
      <c r="T86" s="25"/>
      <c r="U86" s="25"/>
      <c r="V86" s="18"/>
      <c r="W86" s="41"/>
      <c r="X86" s="21"/>
      <c r="Y86" s="22"/>
      <c r="Z86" s="23"/>
      <c r="AA86" s="24"/>
      <c r="AB86" s="44"/>
    </row>
    <row r="87" spans="1:28" ht="15.5" x14ac:dyDescent="0.35">
      <c r="A87" s="18"/>
      <c r="B87" s="18"/>
      <c r="C87" s="25"/>
      <c r="D87" s="18"/>
      <c r="E87" s="18"/>
      <c r="F87" s="18"/>
      <c r="G87" s="18"/>
      <c r="H87" s="18"/>
      <c r="I87" s="18"/>
      <c r="J87" s="41"/>
      <c r="K87" s="41"/>
      <c r="L87" s="18"/>
      <c r="M87" s="18"/>
      <c r="N87" s="25"/>
      <c r="O87" s="25"/>
      <c r="P87" s="25"/>
      <c r="Q87" s="25"/>
      <c r="R87" s="25"/>
      <c r="S87" s="25"/>
      <c r="T87" s="25"/>
      <c r="U87" s="25"/>
      <c r="V87" s="18"/>
      <c r="W87" s="41"/>
      <c r="X87" s="21"/>
      <c r="Y87" s="22"/>
      <c r="Z87" s="23"/>
      <c r="AA87" s="24"/>
      <c r="AB87" s="44"/>
    </row>
    <row r="88" spans="1:28" ht="15.5" x14ac:dyDescent="0.35">
      <c r="A88" s="18"/>
      <c r="B88" s="18"/>
      <c r="C88" s="25"/>
      <c r="D88" s="18"/>
      <c r="E88" s="18"/>
      <c r="F88" s="18"/>
      <c r="G88" s="18"/>
      <c r="H88" s="18"/>
      <c r="I88" s="18"/>
      <c r="J88" s="41"/>
      <c r="K88" s="41"/>
      <c r="L88" s="18"/>
      <c r="M88" s="18"/>
      <c r="N88" s="25"/>
      <c r="O88" s="25"/>
      <c r="P88" s="25"/>
      <c r="Q88" s="25"/>
      <c r="R88" s="25"/>
      <c r="S88" s="25"/>
      <c r="T88" s="25"/>
      <c r="U88" s="25"/>
      <c r="V88" s="18"/>
      <c r="W88" s="41"/>
      <c r="X88" s="21"/>
      <c r="Y88" s="22"/>
      <c r="Z88" s="23"/>
      <c r="AA88" s="24"/>
      <c r="AB88" s="44"/>
    </row>
    <row r="89" spans="1:28" ht="15.5" x14ac:dyDescent="0.35">
      <c r="A89" s="18"/>
      <c r="B89" s="18"/>
      <c r="C89" s="25"/>
      <c r="D89" s="18"/>
      <c r="E89" s="18"/>
      <c r="F89" s="18"/>
      <c r="G89" s="18"/>
      <c r="H89" s="18"/>
      <c r="I89" s="18"/>
      <c r="J89" s="41"/>
      <c r="K89" s="41"/>
      <c r="L89" s="18"/>
      <c r="M89" s="18"/>
      <c r="N89" s="25"/>
      <c r="O89" s="25"/>
      <c r="P89" s="25"/>
      <c r="Q89" s="25"/>
      <c r="R89" s="25"/>
      <c r="S89" s="25"/>
      <c r="T89" s="25"/>
      <c r="U89" s="25"/>
      <c r="V89" s="18"/>
      <c r="W89" s="41"/>
      <c r="X89" s="21"/>
      <c r="Y89" s="22"/>
      <c r="Z89" s="23"/>
      <c r="AA89" s="24"/>
      <c r="AB89" s="44"/>
    </row>
    <row r="90" spans="1:28" ht="15.5" x14ac:dyDescent="0.35">
      <c r="A90" s="18"/>
      <c r="B90" s="18"/>
      <c r="C90" s="25"/>
      <c r="D90" s="18"/>
      <c r="E90" s="18"/>
      <c r="F90" s="18"/>
      <c r="G90" s="18"/>
      <c r="H90" s="18"/>
      <c r="I90" s="18"/>
      <c r="J90" s="41"/>
      <c r="K90" s="41"/>
      <c r="L90" s="18"/>
      <c r="M90" s="18"/>
      <c r="N90" s="25"/>
      <c r="O90" s="25"/>
      <c r="P90" s="25"/>
      <c r="Q90" s="25"/>
      <c r="R90" s="25"/>
      <c r="S90" s="25"/>
      <c r="T90" s="25"/>
      <c r="U90" s="25"/>
      <c r="V90" s="18"/>
      <c r="W90" s="41"/>
      <c r="X90" s="21"/>
      <c r="Y90" s="22"/>
      <c r="Z90" s="23"/>
      <c r="AA90" s="24"/>
      <c r="AB90" s="44"/>
    </row>
    <row r="91" spans="1:28" ht="15.5" x14ac:dyDescent="0.35">
      <c r="A91" s="18"/>
      <c r="B91" s="18"/>
      <c r="C91" s="25"/>
      <c r="D91" s="18"/>
      <c r="E91" s="18"/>
      <c r="F91" s="18"/>
      <c r="G91" s="18"/>
      <c r="H91" s="18"/>
      <c r="I91" s="18"/>
      <c r="J91" s="41"/>
      <c r="K91" s="41"/>
      <c r="L91" s="18"/>
      <c r="M91" s="18"/>
      <c r="N91" s="25"/>
      <c r="O91" s="25"/>
      <c r="P91" s="25"/>
      <c r="Q91" s="25"/>
      <c r="R91" s="25"/>
      <c r="S91" s="25"/>
      <c r="T91" s="25"/>
      <c r="U91" s="25"/>
      <c r="V91" s="18"/>
      <c r="W91" s="41"/>
      <c r="X91" s="21"/>
      <c r="Y91" s="22"/>
      <c r="Z91" s="23"/>
      <c r="AA91" s="24"/>
      <c r="AB91" s="44"/>
    </row>
    <row r="92" spans="1:28" ht="15.5" x14ac:dyDescent="0.35">
      <c r="A92" s="18"/>
      <c r="B92" s="18"/>
      <c r="C92" s="25"/>
      <c r="D92" s="18"/>
      <c r="E92" s="18"/>
      <c r="F92" s="18"/>
      <c r="G92" s="18"/>
      <c r="H92" s="18"/>
      <c r="I92" s="18"/>
      <c r="J92" s="41"/>
      <c r="K92" s="41"/>
      <c r="L92" s="18"/>
      <c r="M92" s="18"/>
      <c r="N92" s="25"/>
      <c r="O92" s="25"/>
      <c r="P92" s="25"/>
      <c r="Q92" s="25"/>
      <c r="R92" s="25"/>
      <c r="S92" s="25"/>
      <c r="T92" s="25"/>
      <c r="U92" s="25"/>
      <c r="V92" s="18"/>
      <c r="W92" s="41"/>
      <c r="X92" s="21"/>
      <c r="Y92" s="22"/>
      <c r="Z92" s="23"/>
      <c r="AA92" s="24"/>
      <c r="AB92" s="44"/>
    </row>
    <row r="93" spans="1:28" ht="15.5" x14ac:dyDescent="0.35">
      <c r="A93" s="18"/>
      <c r="B93" s="18"/>
      <c r="C93" s="25"/>
      <c r="D93" s="18"/>
      <c r="E93" s="18"/>
      <c r="F93" s="18"/>
      <c r="G93" s="18"/>
      <c r="H93" s="18"/>
      <c r="I93" s="18"/>
      <c r="J93" s="41"/>
      <c r="K93" s="41"/>
      <c r="L93" s="18"/>
      <c r="M93" s="18"/>
      <c r="N93" s="25"/>
      <c r="O93" s="25"/>
      <c r="P93" s="25"/>
      <c r="Q93" s="25"/>
      <c r="R93" s="25"/>
      <c r="S93" s="25"/>
      <c r="T93" s="25"/>
      <c r="U93" s="25"/>
      <c r="V93" s="18"/>
      <c r="W93" s="41"/>
      <c r="X93" s="21"/>
      <c r="Y93" s="22"/>
      <c r="Z93" s="23"/>
      <c r="AA93" s="24"/>
      <c r="AB93" s="44"/>
    </row>
    <row r="94" spans="1:28" ht="15.5" x14ac:dyDescent="0.35">
      <c r="A94" s="18"/>
      <c r="B94" s="18"/>
      <c r="C94" s="25"/>
      <c r="D94" s="18"/>
      <c r="E94" s="18"/>
      <c r="F94" s="18"/>
      <c r="G94" s="18"/>
      <c r="H94" s="18"/>
      <c r="I94" s="18"/>
      <c r="J94" s="41"/>
      <c r="K94" s="41"/>
      <c r="L94" s="18"/>
      <c r="M94" s="18"/>
      <c r="N94" s="25"/>
      <c r="O94" s="25"/>
      <c r="P94" s="25"/>
      <c r="Q94" s="25"/>
      <c r="R94" s="25"/>
      <c r="S94" s="25"/>
      <c r="T94" s="25"/>
      <c r="U94" s="25"/>
      <c r="V94" s="18"/>
      <c r="W94" s="41"/>
      <c r="X94" s="21"/>
      <c r="Y94" s="22"/>
      <c r="Z94" s="23"/>
      <c r="AA94" s="24"/>
      <c r="AB94" s="44"/>
    </row>
    <row r="95" spans="1:28" ht="15.5" x14ac:dyDescent="0.35">
      <c r="A95" s="18"/>
      <c r="B95" s="18"/>
      <c r="C95" s="25"/>
      <c r="D95" s="18"/>
      <c r="E95" s="18"/>
      <c r="F95" s="18"/>
      <c r="G95" s="18"/>
      <c r="H95" s="18"/>
      <c r="I95" s="18"/>
      <c r="J95" s="41"/>
      <c r="K95" s="41"/>
      <c r="L95" s="18"/>
      <c r="M95" s="18"/>
      <c r="N95" s="25"/>
      <c r="O95" s="25"/>
      <c r="P95" s="25"/>
      <c r="Q95" s="25"/>
      <c r="R95" s="25"/>
      <c r="S95" s="25"/>
      <c r="T95" s="25"/>
      <c r="U95" s="25"/>
      <c r="V95" s="18"/>
      <c r="W95" s="41"/>
      <c r="X95" s="21"/>
      <c r="Y95" s="22"/>
      <c r="Z95" s="23"/>
      <c r="AA95" s="24"/>
      <c r="AB95" s="44"/>
    </row>
    <row r="96" spans="1:28" ht="15.5" x14ac:dyDescent="0.35">
      <c r="A96" s="18"/>
      <c r="B96" s="18"/>
      <c r="C96" s="25"/>
      <c r="D96" s="18"/>
      <c r="E96" s="18"/>
      <c r="F96" s="18"/>
      <c r="G96" s="18"/>
      <c r="H96" s="18"/>
      <c r="I96" s="18"/>
      <c r="J96" s="41"/>
      <c r="K96" s="41"/>
      <c r="L96" s="18"/>
      <c r="M96" s="18"/>
      <c r="N96" s="25"/>
      <c r="O96" s="25"/>
      <c r="P96" s="25"/>
      <c r="Q96" s="25"/>
      <c r="R96" s="25"/>
      <c r="S96" s="25"/>
      <c r="T96" s="25"/>
      <c r="U96" s="25"/>
      <c r="V96" s="18"/>
      <c r="W96" s="41"/>
      <c r="X96" s="21"/>
      <c r="Y96" s="22"/>
      <c r="Z96" s="23"/>
      <c r="AA96" s="24"/>
      <c r="AB96" s="44"/>
    </row>
    <row r="97" spans="1:28" ht="15.5" x14ac:dyDescent="0.35">
      <c r="A97" s="18"/>
      <c r="B97" s="18"/>
      <c r="C97" s="25"/>
      <c r="D97" s="18"/>
      <c r="E97" s="18"/>
      <c r="F97" s="18"/>
      <c r="G97" s="18"/>
      <c r="H97" s="18"/>
      <c r="I97" s="18"/>
      <c r="J97" s="41"/>
      <c r="K97" s="41"/>
      <c r="L97" s="18"/>
      <c r="M97" s="18"/>
      <c r="N97" s="25"/>
      <c r="O97" s="25"/>
      <c r="P97" s="25"/>
      <c r="Q97" s="25"/>
      <c r="R97" s="25"/>
      <c r="S97" s="25"/>
      <c r="T97" s="25"/>
      <c r="U97" s="25"/>
      <c r="V97" s="18"/>
      <c r="W97" s="41"/>
      <c r="X97" s="21"/>
      <c r="Y97" s="22"/>
      <c r="Z97" s="23"/>
      <c r="AA97" s="24"/>
      <c r="AB97" s="44"/>
    </row>
    <row r="98" spans="1:28" ht="15.5" x14ac:dyDescent="0.35">
      <c r="A98" s="18"/>
      <c r="B98" s="18"/>
      <c r="C98" s="25"/>
      <c r="D98" s="18"/>
      <c r="E98" s="18"/>
      <c r="F98" s="18"/>
      <c r="G98" s="18"/>
      <c r="H98" s="18"/>
      <c r="I98" s="18"/>
      <c r="J98" s="41"/>
      <c r="K98" s="41"/>
      <c r="L98" s="18"/>
      <c r="M98" s="18"/>
      <c r="N98" s="25"/>
      <c r="O98" s="25"/>
      <c r="P98" s="25"/>
      <c r="Q98" s="25"/>
      <c r="R98" s="25"/>
      <c r="S98" s="25"/>
      <c r="T98" s="25"/>
      <c r="U98" s="25"/>
      <c r="V98" s="18"/>
      <c r="W98" s="41"/>
      <c r="X98" s="21"/>
      <c r="Y98" s="22"/>
      <c r="Z98" s="23"/>
      <c r="AA98" s="24"/>
      <c r="AB98" s="44"/>
    </row>
    <row r="99" spans="1:28" ht="15.5" x14ac:dyDescent="0.35">
      <c r="A99" s="18"/>
      <c r="B99" s="18"/>
      <c r="C99" s="25"/>
      <c r="D99" s="18"/>
      <c r="E99" s="18"/>
      <c r="F99" s="18"/>
      <c r="G99" s="18"/>
      <c r="H99" s="18"/>
      <c r="I99" s="18"/>
      <c r="J99" s="41"/>
      <c r="K99" s="41"/>
      <c r="L99" s="18"/>
      <c r="M99" s="18"/>
      <c r="N99" s="25"/>
      <c r="O99" s="25"/>
      <c r="P99" s="25"/>
      <c r="Q99" s="25"/>
      <c r="R99" s="25"/>
      <c r="S99" s="25"/>
      <c r="T99" s="25"/>
      <c r="U99" s="25"/>
      <c r="V99" s="18"/>
      <c r="W99" s="41"/>
      <c r="X99" s="21"/>
      <c r="Y99" s="22"/>
      <c r="Z99" s="23"/>
      <c r="AA99" s="24"/>
      <c r="AB99" s="44"/>
    </row>
    <row r="100" spans="1:28" ht="15.5" x14ac:dyDescent="0.35">
      <c r="A100" s="18"/>
      <c r="B100" s="18"/>
      <c r="C100" s="25"/>
      <c r="D100" s="18"/>
      <c r="E100" s="18"/>
      <c r="F100" s="18"/>
      <c r="G100" s="18"/>
      <c r="H100" s="18"/>
      <c r="I100" s="18"/>
      <c r="J100" s="41"/>
      <c r="K100" s="41"/>
      <c r="L100" s="18"/>
      <c r="M100" s="18"/>
      <c r="N100" s="25"/>
      <c r="O100" s="25"/>
      <c r="P100" s="25"/>
      <c r="Q100" s="25"/>
      <c r="R100" s="25"/>
      <c r="S100" s="25"/>
      <c r="T100" s="25"/>
      <c r="U100" s="25"/>
      <c r="V100" s="18"/>
      <c r="W100" s="41"/>
      <c r="X100" s="21"/>
      <c r="Y100" s="22"/>
      <c r="Z100" s="23"/>
      <c r="AA100" s="24"/>
      <c r="AB100" s="44"/>
    </row>
    <row r="101" spans="1:28" ht="15.5" x14ac:dyDescent="0.35">
      <c r="A101" s="18"/>
      <c r="B101" s="18"/>
      <c r="C101" s="25"/>
      <c r="D101" s="18"/>
      <c r="E101" s="18"/>
      <c r="F101" s="18"/>
      <c r="G101" s="18"/>
      <c r="H101" s="18"/>
      <c r="I101" s="18"/>
      <c r="J101" s="41"/>
      <c r="K101" s="41"/>
      <c r="L101" s="18"/>
      <c r="M101" s="18"/>
      <c r="N101" s="25"/>
      <c r="O101" s="25"/>
      <c r="P101" s="25"/>
      <c r="Q101" s="25"/>
      <c r="R101" s="25"/>
      <c r="S101" s="25"/>
      <c r="T101" s="25"/>
      <c r="U101" s="25"/>
      <c r="V101" s="18"/>
      <c r="W101" s="41"/>
      <c r="X101" s="21"/>
      <c r="Y101" s="22"/>
      <c r="Z101" s="23"/>
      <c r="AA101" s="24"/>
      <c r="AB101" s="44"/>
    </row>
    <row r="102" spans="1:28" ht="15.5" x14ac:dyDescent="0.35">
      <c r="A102" s="18"/>
      <c r="B102" s="18"/>
      <c r="C102" s="25"/>
      <c r="D102" s="18"/>
      <c r="E102" s="18"/>
      <c r="F102" s="18"/>
      <c r="G102" s="18"/>
      <c r="H102" s="18"/>
      <c r="I102" s="18"/>
      <c r="J102" s="41"/>
      <c r="K102" s="41"/>
      <c r="L102" s="18"/>
      <c r="M102" s="18"/>
      <c r="N102" s="25"/>
      <c r="O102" s="25"/>
      <c r="P102" s="25"/>
      <c r="Q102" s="25"/>
      <c r="R102" s="25"/>
      <c r="S102" s="25"/>
      <c r="T102" s="25"/>
      <c r="U102" s="25"/>
      <c r="V102" s="18"/>
      <c r="W102" s="41"/>
      <c r="X102" s="21"/>
      <c r="Y102" s="22"/>
      <c r="Z102" s="23"/>
      <c r="AA102" s="24"/>
      <c r="AB102" s="44"/>
    </row>
    <row r="103" spans="1:28" ht="15.5" x14ac:dyDescent="0.35">
      <c r="A103" s="18"/>
      <c r="B103" s="18"/>
      <c r="C103" s="25"/>
      <c r="D103" s="18"/>
      <c r="E103" s="18"/>
      <c r="F103" s="18"/>
      <c r="G103" s="18"/>
      <c r="H103" s="18"/>
      <c r="I103" s="18"/>
      <c r="J103" s="41"/>
      <c r="K103" s="41"/>
      <c r="L103" s="18"/>
      <c r="M103" s="18"/>
      <c r="N103" s="25"/>
      <c r="O103" s="25"/>
      <c r="P103" s="25"/>
      <c r="Q103" s="25"/>
      <c r="R103" s="25"/>
      <c r="S103" s="25"/>
      <c r="T103" s="25"/>
      <c r="U103" s="25"/>
      <c r="V103" s="18"/>
      <c r="W103" s="41"/>
      <c r="X103" s="21"/>
      <c r="Y103" s="22"/>
      <c r="Z103" s="23"/>
      <c r="AA103" s="24"/>
      <c r="AB103" s="44"/>
    </row>
    <row r="104" spans="1:28" ht="15.5" x14ac:dyDescent="0.35">
      <c r="A104" s="18"/>
      <c r="B104" s="18"/>
      <c r="C104" s="25"/>
      <c r="D104" s="18"/>
      <c r="E104" s="18"/>
      <c r="F104" s="18"/>
      <c r="G104" s="18"/>
      <c r="H104" s="18"/>
      <c r="I104" s="18"/>
      <c r="J104" s="41"/>
      <c r="K104" s="41"/>
      <c r="L104" s="18"/>
      <c r="M104" s="18"/>
      <c r="N104" s="25"/>
      <c r="O104" s="25"/>
      <c r="P104" s="25"/>
      <c r="Q104" s="25"/>
      <c r="R104" s="25"/>
      <c r="S104" s="25"/>
      <c r="T104" s="25"/>
      <c r="U104" s="25"/>
      <c r="V104" s="18"/>
      <c r="W104" s="41"/>
      <c r="X104" s="21"/>
      <c r="Y104" s="22"/>
      <c r="Z104" s="23"/>
      <c r="AA104" s="24"/>
      <c r="AB104" s="44"/>
    </row>
    <row r="105" spans="1:28" ht="15.5" x14ac:dyDescent="0.35">
      <c r="A105" s="18"/>
      <c r="B105" s="18"/>
      <c r="C105" s="25"/>
      <c r="D105" s="18"/>
      <c r="E105" s="18"/>
      <c r="F105" s="18"/>
      <c r="G105" s="18"/>
      <c r="H105" s="18"/>
      <c r="I105" s="18"/>
      <c r="J105" s="41"/>
      <c r="K105" s="41"/>
      <c r="L105" s="18"/>
      <c r="M105" s="18"/>
      <c r="N105" s="25"/>
      <c r="O105" s="25"/>
      <c r="P105" s="25"/>
      <c r="Q105" s="25"/>
      <c r="R105" s="25"/>
      <c r="S105" s="25"/>
      <c r="T105" s="25"/>
      <c r="U105" s="25"/>
      <c r="V105" s="18"/>
      <c r="W105" s="41"/>
      <c r="X105" s="21"/>
      <c r="Y105" s="22"/>
      <c r="Z105" s="23"/>
      <c r="AA105" s="24"/>
      <c r="AB105" s="44"/>
    </row>
    <row r="106" spans="1:28" ht="15.5" x14ac:dyDescent="0.35">
      <c r="A106" s="18"/>
      <c r="B106" s="18"/>
      <c r="C106" s="25"/>
      <c r="D106" s="18"/>
      <c r="E106" s="18"/>
      <c r="F106" s="18"/>
      <c r="G106" s="18"/>
      <c r="H106" s="18"/>
      <c r="I106" s="18"/>
      <c r="J106" s="41"/>
      <c r="K106" s="41"/>
      <c r="L106" s="18"/>
      <c r="M106" s="18"/>
      <c r="N106" s="25"/>
      <c r="O106" s="25"/>
      <c r="P106" s="25"/>
      <c r="Q106" s="25"/>
      <c r="R106" s="25"/>
      <c r="S106" s="25"/>
      <c r="T106" s="25"/>
      <c r="U106" s="25"/>
      <c r="V106" s="18"/>
      <c r="W106" s="41"/>
      <c r="X106" s="21"/>
      <c r="Y106" s="22"/>
      <c r="Z106" s="23"/>
      <c r="AA106" s="24"/>
      <c r="AB106" s="44"/>
    </row>
    <row r="107" spans="1:28" ht="15.5" x14ac:dyDescent="0.35">
      <c r="A107" s="18"/>
      <c r="B107" s="18"/>
      <c r="C107" s="25"/>
      <c r="D107" s="18"/>
      <c r="E107" s="18"/>
      <c r="F107" s="18"/>
      <c r="G107" s="18"/>
      <c r="H107" s="18"/>
      <c r="I107" s="18"/>
      <c r="J107" s="41"/>
      <c r="K107" s="41"/>
      <c r="L107" s="18"/>
      <c r="M107" s="18"/>
      <c r="N107" s="25"/>
      <c r="O107" s="25"/>
      <c r="P107" s="25"/>
      <c r="Q107" s="25"/>
      <c r="R107" s="25"/>
      <c r="S107" s="25"/>
      <c r="T107" s="25"/>
      <c r="U107" s="25"/>
      <c r="V107" s="18"/>
      <c r="W107" s="41"/>
      <c r="X107" s="21"/>
      <c r="Y107" s="22"/>
      <c r="Z107" s="23"/>
      <c r="AA107" s="24"/>
      <c r="AB107" s="44"/>
    </row>
    <row r="108" spans="1:28" ht="15.5" x14ac:dyDescent="0.35">
      <c r="A108" s="18"/>
      <c r="B108" s="18"/>
      <c r="C108" s="25"/>
      <c r="D108" s="18"/>
      <c r="E108" s="18"/>
      <c r="F108" s="18"/>
      <c r="G108" s="18"/>
      <c r="H108" s="18"/>
      <c r="I108" s="18"/>
      <c r="J108" s="41"/>
      <c r="K108" s="41"/>
      <c r="L108" s="18"/>
      <c r="M108" s="18"/>
      <c r="N108" s="25"/>
      <c r="O108" s="25"/>
      <c r="P108" s="25"/>
      <c r="Q108" s="25"/>
      <c r="R108" s="25"/>
      <c r="S108" s="25"/>
      <c r="T108" s="25"/>
      <c r="U108" s="25"/>
      <c r="V108" s="18"/>
      <c r="W108" s="41"/>
      <c r="X108" s="21"/>
      <c r="Y108" s="22"/>
      <c r="Z108" s="23"/>
      <c r="AA108" s="24"/>
      <c r="AB108" s="44"/>
    </row>
    <row r="109" spans="1:28" ht="15.5" x14ac:dyDescent="0.35">
      <c r="A109" s="18"/>
      <c r="B109" s="18"/>
      <c r="C109" s="25"/>
      <c r="D109" s="18"/>
      <c r="E109" s="18"/>
      <c r="F109" s="18"/>
      <c r="G109" s="18"/>
      <c r="H109" s="18"/>
      <c r="I109" s="18"/>
      <c r="J109" s="41"/>
      <c r="K109" s="41"/>
      <c r="L109" s="18"/>
      <c r="M109" s="18"/>
      <c r="N109" s="25"/>
      <c r="O109" s="25"/>
      <c r="P109" s="25"/>
      <c r="Q109" s="25"/>
      <c r="R109" s="25"/>
      <c r="S109" s="25"/>
      <c r="T109" s="25"/>
      <c r="U109" s="25"/>
      <c r="V109" s="18"/>
      <c r="W109" s="41"/>
      <c r="X109" s="21"/>
      <c r="Y109" s="22"/>
      <c r="Z109" s="23"/>
      <c r="AA109" s="24"/>
      <c r="AB109" s="44"/>
    </row>
    <row r="110" spans="1:28" ht="15.5" x14ac:dyDescent="0.35">
      <c r="A110" s="18"/>
      <c r="B110" s="18"/>
      <c r="C110" s="25"/>
      <c r="D110" s="18"/>
      <c r="E110" s="18"/>
      <c r="F110" s="18"/>
      <c r="G110" s="18"/>
      <c r="H110" s="18"/>
      <c r="I110" s="18"/>
      <c r="J110" s="41"/>
      <c r="K110" s="41"/>
      <c r="L110" s="18"/>
      <c r="M110" s="18"/>
      <c r="N110" s="25"/>
      <c r="O110" s="25"/>
      <c r="P110" s="25"/>
      <c r="Q110" s="25"/>
      <c r="R110" s="25"/>
      <c r="S110" s="25"/>
      <c r="T110" s="25"/>
      <c r="U110" s="25"/>
      <c r="V110" s="18"/>
      <c r="W110" s="41"/>
      <c r="X110" s="21"/>
      <c r="Y110" s="22"/>
      <c r="Z110" s="23"/>
      <c r="AA110" s="24"/>
      <c r="AB110" s="44"/>
    </row>
    <row r="111" spans="1:28" ht="15.5" x14ac:dyDescent="0.35">
      <c r="A111" s="18"/>
      <c r="B111" s="18"/>
      <c r="C111" s="25"/>
      <c r="D111" s="18"/>
      <c r="E111" s="18"/>
      <c r="F111" s="18"/>
      <c r="G111" s="18"/>
      <c r="H111" s="18"/>
      <c r="I111" s="18"/>
      <c r="J111" s="41"/>
      <c r="K111" s="41"/>
      <c r="L111" s="18"/>
      <c r="M111" s="18"/>
      <c r="N111" s="25"/>
      <c r="O111" s="25"/>
      <c r="P111" s="25"/>
      <c r="Q111" s="25"/>
      <c r="R111" s="25"/>
      <c r="S111" s="25"/>
      <c r="T111" s="25"/>
      <c r="U111" s="25"/>
      <c r="V111" s="18"/>
      <c r="W111" s="41"/>
      <c r="X111" s="21"/>
      <c r="Y111" s="22"/>
      <c r="Z111" s="23"/>
      <c r="AA111" s="24"/>
      <c r="AB111" s="44"/>
    </row>
    <row r="112" spans="1:28" ht="15.5" x14ac:dyDescent="0.35">
      <c r="A112" s="18"/>
      <c r="B112" s="18"/>
      <c r="C112" s="25"/>
      <c r="D112" s="18"/>
      <c r="E112" s="18"/>
      <c r="F112" s="18"/>
      <c r="G112" s="18"/>
      <c r="H112" s="18"/>
      <c r="I112" s="18"/>
      <c r="J112" s="41"/>
      <c r="K112" s="41"/>
      <c r="L112" s="18"/>
      <c r="M112" s="18"/>
      <c r="N112" s="25"/>
      <c r="O112" s="25"/>
      <c r="P112" s="25"/>
      <c r="Q112" s="25"/>
      <c r="R112" s="25"/>
      <c r="S112" s="25"/>
      <c r="T112" s="25"/>
      <c r="U112" s="25"/>
      <c r="V112" s="18"/>
      <c r="W112" s="41"/>
      <c r="X112" s="21"/>
      <c r="Y112" s="22"/>
      <c r="Z112" s="23"/>
      <c r="AA112" s="24"/>
      <c r="AB112" s="44"/>
    </row>
    <row r="113" spans="1:28" ht="15.5" x14ac:dyDescent="0.35">
      <c r="A113" s="18"/>
      <c r="B113" s="18"/>
      <c r="C113" s="25"/>
      <c r="D113" s="18"/>
      <c r="E113" s="18"/>
      <c r="F113" s="18"/>
      <c r="G113" s="18"/>
      <c r="H113" s="18"/>
      <c r="I113" s="18"/>
      <c r="J113" s="41"/>
      <c r="K113" s="41"/>
      <c r="L113" s="18"/>
      <c r="M113" s="18"/>
      <c r="N113" s="25"/>
      <c r="O113" s="25"/>
      <c r="P113" s="25"/>
      <c r="Q113" s="25"/>
      <c r="R113" s="25"/>
      <c r="S113" s="25"/>
      <c r="T113" s="25"/>
      <c r="U113" s="25"/>
      <c r="V113" s="18"/>
      <c r="W113" s="41"/>
      <c r="X113" s="21"/>
      <c r="Y113" s="22"/>
      <c r="Z113" s="23"/>
      <c r="AA113" s="24"/>
      <c r="AB113" s="44"/>
    </row>
    <row r="114" spans="1:28" ht="15.5" x14ac:dyDescent="0.35">
      <c r="A114" s="18"/>
      <c r="B114" s="18"/>
      <c r="C114" s="25"/>
      <c r="D114" s="18"/>
      <c r="E114" s="18"/>
      <c r="F114" s="18"/>
      <c r="G114" s="18"/>
      <c r="H114" s="18"/>
      <c r="I114" s="18"/>
      <c r="J114" s="41"/>
      <c r="K114" s="41"/>
      <c r="L114" s="18"/>
      <c r="M114" s="18"/>
      <c r="N114" s="25"/>
      <c r="O114" s="25"/>
      <c r="P114" s="25"/>
      <c r="Q114" s="25"/>
      <c r="R114" s="25"/>
      <c r="S114" s="25"/>
      <c r="T114" s="25"/>
      <c r="U114" s="25"/>
      <c r="V114" s="18"/>
      <c r="W114" s="41"/>
      <c r="X114" s="21"/>
      <c r="Y114" s="22"/>
      <c r="Z114" s="23"/>
      <c r="AA114" s="24"/>
      <c r="AB114" s="44"/>
    </row>
    <row r="115" spans="1:28" ht="15.5" x14ac:dyDescent="0.35">
      <c r="A115" s="18"/>
      <c r="B115" s="18"/>
      <c r="C115" s="25"/>
      <c r="D115" s="18"/>
      <c r="E115" s="18"/>
      <c r="F115" s="18"/>
      <c r="G115" s="18"/>
      <c r="H115" s="18"/>
      <c r="I115" s="18"/>
      <c r="J115" s="41"/>
      <c r="K115" s="41"/>
      <c r="L115" s="18"/>
      <c r="M115" s="18"/>
      <c r="N115" s="25"/>
      <c r="O115" s="25"/>
      <c r="P115" s="25"/>
      <c r="Q115" s="25"/>
      <c r="R115" s="25"/>
      <c r="S115" s="25"/>
      <c r="T115" s="25"/>
      <c r="U115" s="25"/>
      <c r="V115" s="18"/>
      <c r="W115" s="41"/>
      <c r="X115" s="21"/>
      <c r="Y115" s="22"/>
      <c r="Z115" s="23"/>
      <c r="AA115" s="24"/>
      <c r="AB115" s="44"/>
    </row>
    <row r="116" spans="1:28" ht="15.5" x14ac:dyDescent="0.35">
      <c r="A116" s="18"/>
      <c r="B116" s="18"/>
      <c r="C116" s="25"/>
      <c r="D116" s="18"/>
      <c r="E116" s="18"/>
      <c r="F116" s="18"/>
      <c r="G116" s="18"/>
      <c r="H116" s="18"/>
      <c r="I116" s="18"/>
      <c r="J116" s="41"/>
      <c r="K116" s="41"/>
      <c r="L116" s="18"/>
      <c r="M116" s="18"/>
      <c r="N116" s="25"/>
      <c r="O116" s="25"/>
      <c r="P116" s="25"/>
      <c r="Q116" s="25"/>
      <c r="R116" s="25"/>
      <c r="S116" s="25"/>
      <c r="T116" s="25"/>
      <c r="U116" s="25"/>
      <c r="V116" s="18"/>
      <c r="W116" s="41"/>
      <c r="X116" s="21"/>
      <c r="Y116" s="22"/>
      <c r="Z116" s="23"/>
      <c r="AA116" s="24"/>
      <c r="AB116" s="44"/>
    </row>
    <row r="117" spans="1:28" ht="15.5" x14ac:dyDescent="0.35">
      <c r="A117" s="18"/>
      <c r="B117" s="18"/>
      <c r="C117" s="25"/>
      <c r="D117" s="18"/>
      <c r="E117" s="18"/>
      <c r="F117" s="18"/>
      <c r="G117" s="18"/>
      <c r="H117" s="18"/>
      <c r="I117" s="18"/>
      <c r="J117" s="41"/>
      <c r="K117" s="41"/>
      <c r="L117" s="18"/>
      <c r="M117" s="18"/>
      <c r="N117" s="25"/>
      <c r="O117" s="25"/>
      <c r="P117" s="25"/>
      <c r="Q117" s="25"/>
      <c r="R117" s="25"/>
      <c r="S117" s="25"/>
      <c r="T117" s="25"/>
      <c r="U117" s="25"/>
      <c r="V117" s="18"/>
      <c r="W117" s="41"/>
      <c r="X117" s="21"/>
      <c r="Y117" s="22"/>
      <c r="Z117" s="23"/>
      <c r="AA117" s="24"/>
      <c r="AB117" s="44"/>
    </row>
    <row r="118" spans="1:28" ht="15.5" x14ac:dyDescent="0.35">
      <c r="A118" s="18"/>
      <c r="B118" s="18"/>
      <c r="C118" s="25"/>
      <c r="D118" s="18"/>
      <c r="E118" s="18"/>
      <c r="F118" s="18"/>
      <c r="G118" s="18"/>
      <c r="H118" s="18"/>
      <c r="I118" s="18"/>
      <c r="J118" s="41"/>
      <c r="K118" s="41"/>
      <c r="L118" s="18"/>
      <c r="M118" s="18"/>
      <c r="N118" s="25"/>
      <c r="O118" s="25"/>
      <c r="P118" s="25"/>
      <c r="Q118" s="25"/>
      <c r="R118" s="25"/>
      <c r="S118" s="25"/>
      <c r="T118" s="25"/>
      <c r="U118" s="25"/>
      <c r="V118" s="18"/>
      <c r="W118" s="41"/>
      <c r="X118" s="21"/>
      <c r="Y118" s="22"/>
      <c r="Z118" s="23"/>
      <c r="AA118" s="24"/>
      <c r="AB118" s="44"/>
    </row>
    <row r="119" spans="1:28" ht="15.5" x14ac:dyDescent="0.35">
      <c r="A119" s="18"/>
      <c r="B119" s="18"/>
      <c r="C119" s="25"/>
      <c r="D119" s="18"/>
      <c r="E119" s="18"/>
      <c r="F119" s="18"/>
      <c r="G119" s="18"/>
      <c r="H119" s="18"/>
      <c r="I119" s="18"/>
      <c r="J119" s="41"/>
      <c r="K119" s="41"/>
      <c r="L119" s="18"/>
      <c r="M119" s="18"/>
      <c r="N119" s="25"/>
      <c r="O119" s="25"/>
      <c r="P119" s="25"/>
      <c r="Q119" s="25"/>
      <c r="R119" s="25"/>
      <c r="S119" s="25"/>
      <c r="T119" s="25"/>
      <c r="U119" s="25"/>
      <c r="V119" s="18"/>
      <c r="W119" s="41"/>
      <c r="X119" s="21"/>
      <c r="Y119" s="22"/>
      <c r="Z119" s="23"/>
      <c r="AA119" s="24"/>
      <c r="AB119" s="44"/>
    </row>
    <row r="120" spans="1:28" ht="15.5" x14ac:dyDescent="0.35">
      <c r="A120" s="18"/>
      <c r="B120" s="18"/>
      <c r="C120" s="25"/>
      <c r="D120" s="18"/>
      <c r="E120" s="18"/>
      <c r="F120" s="18"/>
      <c r="G120" s="18"/>
      <c r="H120" s="18"/>
      <c r="I120" s="18"/>
      <c r="J120" s="41"/>
      <c r="K120" s="41"/>
      <c r="L120" s="18"/>
      <c r="M120" s="18"/>
      <c r="N120" s="25"/>
      <c r="O120" s="25"/>
      <c r="P120" s="25"/>
      <c r="Q120" s="25"/>
      <c r="R120" s="25"/>
      <c r="S120" s="25"/>
      <c r="T120" s="25"/>
      <c r="U120" s="25"/>
      <c r="V120" s="18"/>
      <c r="W120" s="41"/>
      <c r="X120" s="21"/>
      <c r="Y120" s="22"/>
      <c r="Z120" s="23"/>
      <c r="AA120" s="24"/>
      <c r="AB120" s="44"/>
    </row>
    <row r="121" spans="1:28" ht="15.5" x14ac:dyDescent="0.35">
      <c r="A121" s="18"/>
      <c r="B121" s="18"/>
      <c r="C121" s="25"/>
      <c r="D121" s="18"/>
      <c r="E121" s="18"/>
      <c r="F121" s="18"/>
      <c r="G121" s="18"/>
      <c r="H121" s="18"/>
      <c r="I121" s="18"/>
      <c r="J121" s="41"/>
      <c r="K121" s="41"/>
      <c r="L121" s="18"/>
      <c r="M121" s="18"/>
      <c r="N121" s="25"/>
      <c r="O121" s="25"/>
      <c r="P121" s="25"/>
      <c r="Q121" s="25"/>
      <c r="R121" s="25"/>
      <c r="S121" s="25"/>
      <c r="T121" s="25"/>
      <c r="U121" s="25"/>
      <c r="V121" s="18"/>
      <c r="W121" s="41"/>
      <c r="X121" s="21"/>
      <c r="Y121" s="22"/>
      <c r="Z121" s="23"/>
      <c r="AA121" s="24"/>
      <c r="AB121" s="44"/>
    </row>
    <row r="122" spans="1:28" ht="15.5" x14ac:dyDescent="0.35">
      <c r="A122" s="18"/>
      <c r="B122" s="18"/>
      <c r="C122" s="25"/>
      <c r="D122" s="18"/>
      <c r="E122" s="18"/>
      <c r="F122" s="18"/>
      <c r="G122" s="18"/>
      <c r="H122" s="18"/>
      <c r="I122" s="18"/>
      <c r="J122" s="41"/>
      <c r="K122" s="41"/>
      <c r="L122" s="18"/>
      <c r="M122" s="18"/>
      <c r="N122" s="25"/>
      <c r="O122" s="25"/>
      <c r="P122" s="25"/>
      <c r="Q122" s="25"/>
      <c r="R122" s="25"/>
      <c r="S122" s="25"/>
      <c r="T122" s="25"/>
      <c r="U122" s="25"/>
      <c r="V122" s="18"/>
      <c r="W122" s="41"/>
      <c r="X122" s="21"/>
      <c r="Y122" s="22"/>
      <c r="Z122" s="23"/>
      <c r="AA122" s="24"/>
      <c r="AB122" s="44"/>
    </row>
    <row r="123" spans="1:28" ht="15.5" x14ac:dyDescent="0.35">
      <c r="A123" s="18"/>
      <c r="B123" s="18"/>
      <c r="C123" s="25"/>
      <c r="D123" s="18"/>
      <c r="E123" s="18"/>
      <c r="F123" s="18"/>
      <c r="G123" s="18"/>
      <c r="H123" s="18"/>
      <c r="I123" s="18"/>
      <c r="J123" s="41"/>
      <c r="K123" s="41"/>
      <c r="L123" s="18"/>
      <c r="M123" s="18"/>
      <c r="N123" s="25"/>
      <c r="O123" s="25"/>
      <c r="P123" s="25"/>
      <c r="Q123" s="25"/>
      <c r="R123" s="25"/>
      <c r="S123" s="25"/>
      <c r="T123" s="25"/>
      <c r="U123" s="25"/>
      <c r="V123" s="18"/>
      <c r="W123" s="41"/>
      <c r="X123" s="21"/>
      <c r="Y123" s="22"/>
      <c r="Z123" s="23"/>
      <c r="AA123" s="24"/>
      <c r="AB123" s="44"/>
    </row>
    <row r="124" spans="1:28" ht="15.5" x14ac:dyDescent="0.35">
      <c r="A124" s="18"/>
      <c r="B124" s="18"/>
      <c r="C124" s="25"/>
      <c r="D124" s="18"/>
      <c r="E124" s="18"/>
      <c r="F124" s="18"/>
      <c r="G124" s="18"/>
      <c r="H124" s="18"/>
      <c r="I124" s="18"/>
      <c r="J124" s="41"/>
      <c r="K124" s="41"/>
      <c r="L124" s="18"/>
      <c r="M124" s="18"/>
      <c r="N124" s="25"/>
      <c r="O124" s="25"/>
      <c r="P124" s="25"/>
      <c r="Q124" s="25"/>
      <c r="R124" s="25"/>
      <c r="S124" s="25"/>
      <c r="T124" s="25"/>
      <c r="U124" s="25"/>
      <c r="V124" s="18"/>
      <c r="W124" s="41"/>
      <c r="X124" s="21"/>
      <c r="Y124" s="22"/>
      <c r="Z124" s="23"/>
      <c r="AA124" s="24"/>
      <c r="AB124" s="44"/>
    </row>
    <row r="125" spans="1:28" ht="15.5" x14ac:dyDescent="0.35">
      <c r="A125" s="18"/>
      <c r="B125" s="18"/>
      <c r="C125" s="25"/>
      <c r="D125" s="18"/>
      <c r="E125" s="18"/>
      <c r="F125" s="18"/>
      <c r="G125" s="18"/>
      <c r="H125" s="18"/>
      <c r="I125" s="18"/>
      <c r="J125" s="41"/>
      <c r="K125" s="41"/>
      <c r="L125" s="18"/>
      <c r="M125" s="18"/>
      <c r="N125" s="25"/>
      <c r="O125" s="25"/>
      <c r="P125" s="25"/>
      <c r="Q125" s="25"/>
      <c r="R125" s="25"/>
      <c r="S125" s="25"/>
      <c r="T125" s="25"/>
      <c r="U125" s="25"/>
      <c r="V125" s="18"/>
      <c r="W125" s="41"/>
      <c r="X125" s="21"/>
      <c r="Y125" s="22"/>
      <c r="Z125" s="23"/>
      <c r="AA125" s="24"/>
      <c r="AB125" s="44"/>
    </row>
    <row r="126" spans="1:28" ht="15.5" x14ac:dyDescent="0.35">
      <c r="A126" s="18"/>
      <c r="B126" s="18"/>
      <c r="C126" s="25"/>
      <c r="D126" s="18"/>
      <c r="E126" s="18"/>
      <c r="F126" s="18"/>
      <c r="G126" s="18"/>
      <c r="H126" s="18"/>
      <c r="I126" s="18"/>
      <c r="J126" s="41"/>
      <c r="K126" s="41"/>
      <c r="L126" s="18"/>
      <c r="M126" s="18"/>
      <c r="N126" s="25"/>
      <c r="O126" s="25"/>
      <c r="P126" s="25"/>
      <c r="Q126" s="25"/>
      <c r="R126" s="25"/>
      <c r="S126" s="25"/>
      <c r="T126" s="25"/>
      <c r="U126" s="25"/>
      <c r="V126" s="18"/>
      <c r="W126" s="41"/>
      <c r="X126" s="21"/>
      <c r="Y126" s="22"/>
      <c r="Z126" s="23"/>
      <c r="AA126" s="24"/>
      <c r="AB126" s="44"/>
    </row>
    <row r="127" spans="1:28" ht="15.5" x14ac:dyDescent="0.35">
      <c r="A127" s="18"/>
      <c r="B127" s="18"/>
      <c r="C127" s="25"/>
      <c r="D127" s="18"/>
      <c r="E127" s="18"/>
      <c r="F127" s="18"/>
      <c r="G127" s="18"/>
      <c r="H127" s="18"/>
      <c r="I127" s="18"/>
      <c r="J127" s="41"/>
      <c r="K127" s="41"/>
      <c r="L127" s="18"/>
      <c r="M127" s="18"/>
      <c r="N127" s="25"/>
      <c r="O127" s="25"/>
      <c r="P127" s="25"/>
      <c r="Q127" s="25"/>
      <c r="R127" s="25"/>
      <c r="S127" s="25"/>
      <c r="T127" s="25"/>
      <c r="U127" s="25"/>
      <c r="V127" s="18"/>
      <c r="W127" s="41"/>
      <c r="X127" s="21"/>
      <c r="Y127" s="22"/>
      <c r="Z127" s="23"/>
      <c r="AA127" s="24"/>
      <c r="AB127" s="44"/>
    </row>
    <row r="128" spans="1:28" ht="15.5" x14ac:dyDescent="0.35">
      <c r="A128" s="18"/>
      <c r="B128" s="18"/>
      <c r="C128" s="25"/>
      <c r="D128" s="18"/>
      <c r="E128" s="18"/>
      <c r="F128" s="18"/>
      <c r="G128" s="18"/>
      <c r="H128" s="18"/>
      <c r="I128" s="18"/>
      <c r="J128" s="41"/>
      <c r="K128" s="41"/>
      <c r="L128" s="18"/>
      <c r="M128" s="18"/>
      <c r="N128" s="25"/>
      <c r="O128" s="25"/>
      <c r="P128" s="25"/>
      <c r="Q128" s="25"/>
      <c r="R128" s="25"/>
      <c r="S128" s="25"/>
      <c r="T128" s="25"/>
      <c r="U128" s="25"/>
      <c r="V128" s="18"/>
      <c r="W128" s="41"/>
      <c r="X128" s="21"/>
      <c r="Y128" s="22"/>
      <c r="Z128" s="23"/>
      <c r="AA128" s="24"/>
      <c r="AB128" s="44"/>
    </row>
    <row r="129" spans="1:28" ht="15.5" x14ac:dyDescent="0.35">
      <c r="A129" s="18"/>
      <c r="B129" s="18"/>
      <c r="C129" s="25"/>
      <c r="D129" s="18"/>
      <c r="E129" s="18"/>
      <c r="F129" s="18"/>
      <c r="G129" s="18"/>
      <c r="H129" s="18"/>
      <c r="I129" s="18"/>
      <c r="J129" s="41"/>
      <c r="K129" s="41"/>
      <c r="L129" s="18"/>
      <c r="M129" s="18"/>
      <c r="N129" s="25"/>
      <c r="O129" s="25"/>
      <c r="P129" s="25"/>
      <c r="Q129" s="25"/>
      <c r="R129" s="25"/>
      <c r="S129" s="25"/>
      <c r="T129" s="25"/>
      <c r="U129" s="25"/>
      <c r="V129" s="18"/>
      <c r="W129" s="41"/>
      <c r="X129" s="21"/>
      <c r="Y129" s="22"/>
      <c r="Z129" s="23"/>
      <c r="AA129" s="24"/>
      <c r="AB129" s="44"/>
    </row>
    <row r="130" spans="1:28" ht="15.5" x14ac:dyDescent="0.35">
      <c r="A130" s="18"/>
      <c r="B130" s="18"/>
      <c r="C130" s="25"/>
      <c r="D130" s="18"/>
      <c r="E130" s="18"/>
      <c r="F130" s="18"/>
      <c r="G130" s="18"/>
      <c r="H130" s="18"/>
      <c r="I130" s="18"/>
      <c r="J130" s="41"/>
      <c r="K130" s="41"/>
      <c r="L130" s="18"/>
      <c r="M130" s="18"/>
      <c r="N130" s="25"/>
      <c r="O130" s="25"/>
      <c r="P130" s="25"/>
      <c r="Q130" s="25"/>
      <c r="R130" s="25"/>
      <c r="S130" s="25"/>
      <c r="T130" s="25"/>
      <c r="U130" s="25"/>
      <c r="V130" s="18"/>
      <c r="W130" s="41"/>
      <c r="X130" s="21"/>
      <c r="Y130" s="22"/>
      <c r="Z130" s="23"/>
      <c r="AA130" s="24"/>
      <c r="AB130" s="44"/>
    </row>
    <row r="131" spans="1:28" ht="15.5" x14ac:dyDescent="0.35">
      <c r="A131" s="18"/>
      <c r="B131" s="18"/>
      <c r="C131" s="25"/>
      <c r="D131" s="18"/>
      <c r="E131" s="18"/>
      <c r="F131" s="18"/>
      <c r="G131" s="18"/>
      <c r="H131" s="18"/>
      <c r="I131" s="18"/>
      <c r="J131" s="41"/>
      <c r="K131" s="41"/>
      <c r="L131" s="18"/>
      <c r="M131" s="18"/>
      <c r="N131" s="25"/>
      <c r="O131" s="25"/>
      <c r="P131" s="25"/>
      <c r="Q131" s="25"/>
      <c r="R131" s="25"/>
      <c r="S131" s="25"/>
      <c r="T131" s="25"/>
      <c r="U131" s="25"/>
      <c r="V131" s="18"/>
      <c r="W131" s="41"/>
      <c r="X131" s="21"/>
      <c r="Y131" s="22"/>
      <c r="Z131" s="23"/>
      <c r="AA131" s="24"/>
      <c r="AB131" s="44"/>
    </row>
    <row r="132" spans="1:28" ht="15.5" x14ac:dyDescent="0.35">
      <c r="A132" s="18"/>
      <c r="B132" s="18"/>
      <c r="C132" s="25"/>
      <c r="D132" s="18"/>
      <c r="E132" s="18"/>
      <c r="F132" s="18"/>
      <c r="G132" s="18"/>
      <c r="H132" s="18"/>
      <c r="I132" s="18"/>
      <c r="J132" s="41"/>
      <c r="K132" s="41"/>
      <c r="L132" s="18"/>
      <c r="M132" s="18"/>
      <c r="N132" s="25"/>
      <c r="O132" s="25"/>
      <c r="P132" s="25"/>
      <c r="Q132" s="25"/>
      <c r="R132" s="25"/>
      <c r="S132" s="25"/>
      <c r="T132" s="25"/>
      <c r="U132" s="25"/>
      <c r="V132" s="18"/>
      <c r="W132" s="41"/>
      <c r="X132" s="21"/>
      <c r="Y132" s="22"/>
      <c r="Z132" s="23"/>
      <c r="AA132" s="24"/>
      <c r="AB132" s="44"/>
    </row>
    <row r="133" spans="1:28" ht="15.5" x14ac:dyDescent="0.35">
      <c r="A133" s="18"/>
      <c r="B133" s="18"/>
      <c r="C133" s="25"/>
      <c r="D133" s="18"/>
      <c r="E133" s="18"/>
      <c r="F133" s="18"/>
      <c r="G133" s="18"/>
      <c r="H133" s="18"/>
      <c r="I133" s="18"/>
      <c r="J133" s="41"/>
      <c r="K133" s="41"/>
      <c r="L133" s="18"/>
      <c r="M133" s="18"/>
      <c r="N133" s="25"/>
      <c r="O133" s="25"/>
      <c r="P133" s="25"/>
      <c r="Q133" s="25"/>
      <c r="R133" s="25"/>
      <c r="S133" s="25"/>
      <c r="T133" s="25"/>
      <c r="U133" s="25"/>
      <c r="V133" s="18"/>
      <c r="W133" s="41"/>
      <c r="X133" s="21"/>
      <c r="Y133" s="22"/>
      <c r="Z133" s="23"/>
      <c r="AA133" s="24"/>
      <c r="AB133" s="44"/>
    </row>
    <row r="134" spans="1:28" ht="15.5" x14ac:dyDescent="0.35">
      <c r="A134" s="18"/>
      <c r="B134" s="18"/>
      <c r="C134" s="25"/>
      <c r="D134" s="18"/>
      <c r="E134" s="18"/>
      <c r="F134" s="18"/>
      <c r="G134" s="18"/>
      <c r="H134" s="18"/>
      <c r="I134" s="18"/>
      <c r="J134" s="41"/>
      <c r="K134" s="41"/>
      <c r="L134" s="18"/>
      <c r="M134" s="18"/>
      <c r="N134" s="25"/>
      <c r="O134" s="25"/>
      <c r="P134" s="25"/>
      <c r="Q134" s="25"/>
      <c r="R134" s="25"/>
      <c r="S134" s="25"/>
      <c r="T134" s="25"/>
      <c r="U134" s="25"/>
      <c r="V134" s="18"/>
      <c r="W134" s="41"/>
      <c r="X134" s="21"/>
      <c r="Y134" s="22"/>
      <c r="Z134" s="23"/>
      <c r="AA134" s="24"/>
      <c r="AB134" s="44"/>
    </row>
    <row r="135" spans="1:28" ht="15.5" x14ac:dyDescent="0.35">
      <c r="A135" s="18"/>
      <c r="B135" s="18"/>
      <c r="C135" s="25"/>
      <c r="D135" s="18"/>
      <c r="E135" s="18"/>
      <c r="F135" s="18"/>
      <c r="G135" s="18"/>
      <c r="H135" s="18"/>
      <c r="I135" s="18"/>
      <c r="J135" s="41"/>
      <c r="K135" s="41"/>
      <c r="L135" s="18"/>
      <c r="M135" s="18"/>
      <c r="N135" s="25"/>
      <c r="O135" s="25"/>
      <c r="P135" s="25"/>
      <c r="Q135" s="25"/>
      <c r="R135" s="25"/>
      <c r="S135" s="25"/>
      <c r="T135" s="25"/>
      <c r="U135" s="25"/>
      <c r="V135" s="18"/>
      <c r="W135" s="41"/>
      <c r="X135" s="21"/>
      <c r="Y135" s="22"/>
      <c r="Z135" s="23"/>
      <c r="AA135" s="24"/>
      <c r="AB135" s="44"/>
    </row>
    <row r="136" spans="1:28" ht="15.5" x14ac:dyDescent="0.35">
      <c r="A136" s="18"/>
      <c r="B136" s="18"/>
      <c r="C136" s="25"/>
      <c r="D136" s="18"/>
      <c r="E136" s="18"/>
      <c r="F136" s="18"/>
      <c r="G136" s="18"/>
      <c r="H136" s="18"/>
      <c r="I136" s="18"/>
      <c r="J136" s="41"/>
      <c r="K136" s="41"/>
      <c r="L136" s="18"/>
      <c r="M136" s="18"/>
      <c r="N136" s="25"/>
      <c r="O136" s="25"/>
      <c r="P136" s="25"/>
      <c r="Q136" s="25"/>
      <c r="R136" s="25"/>
      <c r="S136" s="25"/>
      <c r="T136" s="25"/>
      <c r="U136" s="25"/>
      <c r="V136" s="18"/>
      <c r="W136" s="41"/>
      <c r="X136" s="21"/>
      <c r="Y136" s="22"/>
      <c r="Z136" s="23"/>
      <c r="AA136" s="24"/>
      <c r="AB136" s="44"/>
    </row>
    <row r="137" spans="1:28" ht="15.5" x14ac:dyDescent="0.35">
      <c r="A137" s="18"/>
      <c r="B137" s="18"/>
      <c r="C137" s="25"/>
      <c r="D137" s="18"/>
      <c r="E137" s="18"/>
      <c r="F137" s="18"/>
      <c r="G137" s="18"/>
      <c r="H137" s="18"/>
      <c r="I137" s="18"/>
      <c r="J137" s="41"/>
      <c r="K137" s="41"/>
      <c r="L137" s="18"/>
      <c r="M137" s="18"/>
      <c r="N137" s="25"/>
      <c r="O137" s="25"/>
      <c r="P137" s="25"/>
      <c r="Q137" s="25"/>
      <c r="R137" s="25"/>
      <c r="S137" s="25"/>
      <c r="T137" s="25"/>
      <c r="U137" s="25"/>
      <c r="V137" s="18"/>
      <c r="W137" s="41"/>
      <c r="X137" s="21"/>
      <c r="Y137" s="22"/>
      <c r="Z137" s="23"/>
      <c r="AA137" s="24"/>
      <c r="AB137" s="44"/>
    </row>
    <row r="138" spans="1:28" ht="15.5" x14ac:dyDescent="0.35">
      <c r="A138" s="18"/>
      <c r="B138" s="18"/>
      <c r="C138" s="25"/>
      <c r="D138" s="18"/>
      <c r="E138" s="18"/>
      <c r="F138" s="18"/>
      <c r="G138" s="18"/>
      <c r="H138" s="18"/>
      <c r="I138" s="18"/>
      <c r="J138" s="41"/>
      <c r="K138" s="41"/>
      <c r="L138" s="18"/>
      <c r="M138" s="18"/>
      <c r="N138" s="25"/>
      <c r="O138" s="25"/>
      <c r="P138" s="25"/>
      <c r="Q138" s="25"/>
      <c r="R138" s="25"/>
      <c r="S138" s="25"/>
      <c r="T138" s="25"/>
      <c r="U138" s="25"/>
      <c r="V138" s="18"/>
      <c r="W138" s="41"/>
      <c r="X138" s="21"/>
      <c r="Y138" s="22"/>
      <c r="Z138" s="23"/>
      <c r="AA138" s="24"/>
      <c r="AB138" s="44"/>
    </row>
    <row r="139" spans="1:28" ht="15.5" x14ac:dyDescent="0.35">
      <c r="A139" s="18"/>
      <c r="B139" s="18"/>
      <c r="C139" s="25"/>
      <c r="D139" s="18"/>
      <c r="E139" s="18"/>
      <c r="F139" s="18"/>
      <c r="G139" s="18"/>
      <c r="H139" s="18"/>
      <c r="I139" s="18"/>
      <c r="J139" s="41"/>
      <c r="K139" s="41"/>
      <c r="L139" s="18"/>
      <c r="M139" s="18"/>
      <c r="N139" s="25"/>
      <c r="O139" s="25"/>
      <c r="P139" s="25"/>
      <c r="Q139" s="25"/>
      <c r="R139" s="25"/>
      <c r="S139" s="25"/>
      <c r="T139" s="25"/>
      <c r="U139" s="25"/>
      <c r="V139" s="18"/>
      <c r="W139" s="41"/>
      <c r="X139" s="21"/>
      <c r="Y139" s="22"/>
      <c r="Z139" s="23"/>
      <c r="AA139" s="24"/>
      <c r="AB139" s="44"/>
    </row>
    <row r="140" spans="1:28" ht="15.5" x14ac:dyDescent="0.35">
      <c r="A140" s="18"/>
      <c r="B140" s="18"/>
      <c r="C140" s="25"/>
      <c r="D140" s="18"/>
      <c r="E140" s="18"/>
      <c r="F140" s="18"/>
      <c r="G140" s="18"/>
      <c r="H140" s="18"/>
      <c r="I140" s="18"/>
      <c r="J140" s="41"/>
      <c r="K140" s="41"/>
      <c r="L140" s="18"/>
      <c r="M140" s="18"/>
      <c r="N140" s="25"/>
      <c r="O140" s="25"/>
      <c r="P140" s="25"/>
      <c r="Q140" s="25"/>
      <c r="R140" s="25"/>
      <c r="S140" s="25"/>
      <c r="T140" s="25"/>
      <c r="U140" s="25"/>
      <c r="V140" s="18"/>
      <c r="W140" s="41"/>
      <c r="X140" s="21"/>
      <c r="Y140" s="22"/>
      <c r="Z140" s="23"/>
      <c r="AA140" s="24"/>
      <c r="AB140" s="44"/>
    </row>
    <row r="141" spans="1:28" ht="15.5" x14ac:dyDescent="0.35">
      <c r="A141" s="18"/>
      <c r="B141" s="18"/>
      <c r="C141" s="25"/>
      <c r="D141" s="18"/>
      <c r="E141" s="18"/>
      <c r="F141" s="18"/>
      <c r="G141" s="18"/>
      <c r="H141" s="18"/>
      <c r="I141" s="18"/>
      <c r="J141" s="41"/>
      <c r="K141" s="41"/>
      <c r="L141" s="18"/>
      <c r="M141" s="18"/>
      <c r="N141" s="25"/>
      <c r="O141" s="25"/>
      <c r="P141" s="25"/>
      <c r="Q141" s="25"/>
      <c r="R141" s="25"/>
      <c r="S141" s="25"/>
      <c r="T141" s="25"/>
      <c r="U141" s="25"/>
      <c r="V141" s="18"/>
      <c r="W141" s="41"/>
      <c r="X141" s="21"/>
      <c r="Y141" s="22"/>
      <c r="Z141" s="23"/>
      <c r="AA141" s="24"/>
      <c r="AB141" s="44"/>
    </row>
    <row r="142" spans="1:28" ht="15.5" x14ac:dyDescent="0.35">
      <c r="A142" s="18"/>
      <c r="B142" s="18"/>
      <c r="C142" s="25"/>
      <c r="D142" s="18"/>
      <c r="E142" s="18"/>
      <c r="F142" s="18"/>
      <c r="G142" s="18"/>
      <c r="H142" s="18"/>
      <c r="I142" s="18"/>
      <c r="J142" s="41"/>
      <c r="K142" s="41"/>
      <c r="L142" s="18"/>
      <c r="M142" s="18"/>
      <c r="N142" s="25"/>
      <c r="O142" s="25"/>
      <c r="P142" s="25"/>
      <c r="Q142" s="25"/>
      <c r="R142" s="25"/>
      <c r="S142" s="25"/>
      <c r="T142" s="25"/>
      <c r="U142" s="25"/>
      <c r="V142" s="18"/>
      <c r="W142" s="41"/>
      <c r="X142" s="21"/>
      <c r="Y142" s="22"/>
      <c r="Z142" s="23"/>
      <c r="AA142" s="24"/>
      <c r="AB142" s="44"/>
    </row>
    <row r="143" spans="1:28" ht="15.5" x14ac:dyDescent="0.35">
      <c r="A143" s="18"/>
      <c r="B143" s="18"/>
      <c r="C143" s="25"/>
      <c r="D143" s="18"/>
      <c r="E143" s="18"/>
      <c r="F143" s="18"/>
      <c r="G143" s="18"/>
      <c r="H143" s="18"/>
      <c r="I143" s="18"/>
      <c r="J143" s="41"/>
      <c r="K143" s="41"/>
      <c r="L143" s="18"/>
      <c r="M143" s="18"/>
      <c r="N143" s="25"/>
      <c r="O143" s="25"/>
      <c r="P143" s="25"/>
      <c r="Q143" s="25"/>
      <c r="R143" s="25"/>
      <c r="S143" s="25"/>
      <c r="T143" s="25"/>
      <c r="U143" s="25"/>
      <c r="V143" s="18"/>
      <c r="W143" s="41"/>
      <c r="X143" s="21"/>
      <c r="Y143" s="22"/>
      <c r="Z143" s="23"/>
      <c r="AA143" s="24"/>
      <c r="AB143" s="44"/>
    </row>
    <row r="144" spans="1:28" ht="15.5" x14ac:dyDescent="0.35">
      <c r="A144" s="18"/>
      <c r="B144" s="18"/>
      <c r="C144" s="25"/>
      <c r="D144" s="18"/>
      <c r="E144" s="18"/>
      <c r="F144" s="18"/>
      <c r="G144" s="18"/>
      <c r="H144" s="18"/>
      <c r="I144" s="18"/>
      <c r="J144" s="41"/>
      <c r="K144" s="41"/>
      <c r="L144" s="18"/>
      <c r="M144" s="18"/>
      <c r="N144" s="25"/>
      <c r="O144" s="25"/>
      <c r="P144" s="25"/>
      <c r="Q144" s="25"/>
      <c r="R144" s="25"/>
      <c r="S144" s="25"/>
      <c r="T144" s="25"/>
      <c r="U144" s="25"/>
      <c r="V144" s="18"/>
      <c r="W144" s="41"/>
      <c r="X144" s="21"/>
      <c r="Y144" s="22"/>
      <c r="Z144" s="23"/>
      <c r="AA144" s="24"/>
      <c r="AB144" s="44"/>
    </row>
    <row r="145" spans="1:28" ht="15.5" x14ac:dyDescent="0.35">
      <c r="A145" s="18"/>
      <c r="B145" s="18"/>
      <c r="C145" s="25"/>
      <c r="D145" s="18"/>
      <c r="E145" s="18"/>
      <c r="F145" s="18"/>
      <c r="G145" s="18"/>
      <c r="H145" s="18"/>
      <c r="I145" s="18"/>
      <c r="J145" s="41"/>
      <c r="K145" s="41"/>
      <c r="L145" s="18"/>
      <c r="M145" s="18"/>
      <c r="N145" s="25"/>
      <c r="O145" s="25"/>
      <c r="P145" s="25"/>
      <c r="Q145" s="25"/>
      <c r="R145" s="25"/>
      <c r="S145" s="25"/>
      <c r="T145" s="25"/>
      <c r="U145" s="25"/>
      <c r="V145" s="18"/>
      <c r="W145" s="41"/>
      <c r="X145" s="21"/>
      <c r="Y145" s="22"/>
      <c r="Z145" s="23"/>
      <c r="AA145" s="24"/>
      <c r="AB145" s="44"/>
    </row>
    <row r="146" spans="1:28" ht="15.5" x14ac:dyDescent="0.35">
      <c r="A146" s="18"/>
      <c r="B146" s="18"/>
      <c r="C146" s="25"/>
      <c r="D146" s="18"/>
      <c r="E146" s="18"/>
      <c r="F146" s="18"/>
      <c r="G146" s="18"/>
      <c r="H146" s="18"/>
      <c r="I146" s="18"/>
      <c r="J146" s="41"/>
      <c r="K146" s="41"/>
      <c r="L146" s="18"/>
      <c r="M146" s="18"/>
      <c r="N146" s="25"/>
      <c r="O146" s="25"/>
      <c r="P146" s="25"/>
      <c r="Q146" s="25"/>
      <c r="R146" s="25"/>
      <c r="S146" s="25"/>
      <c r="T146" s="25"/>
      <c r="U146" s="25"/>
      <c r="V146" s="18"/>
      <c r="W146" s="41"/>
      <c r="X146" s="21"/>
      <c r="Y146" s="22"/>
      <c r="Z146" s="23"/>
      <c r="AA146" s="24"/>
      <c r="AB146" s="44"/>
    </row>
    <row r="147" spans="1:28" ht="15.5" x14ac:dyDescent="0.35">
      <c r="A147" s="18"/>
      <c r="B147" s="18"/>
      <c r="C147" s="25"/>
      <c r="D147" s="18"/>
      <c r="E147" s="18"/>
      <c r="F147" s="18"/>
      <c r="G147" s="18"/>
      <c r="H147" s="18"/>
      <c r="I147" s="18"/>
      <c r="J147" s="41"/>
      <c r="K147" s="41"/>
      <c r="L147" s="18"/>
      <c r="M147" s="18"/>
      <c r="N147" s="25"/>
      <c r="O147" s="25"/>
      <c r="P147" s="25"/>
      <c r="Q147" s="25"/>
      <c r="R147" s="25"/>
      <c r="S147" s="25"/>
      <c r="T147" s="25"/>
      <c r="U147" s="25"/>
      <c r="V147" s="18"/>
      <c r="W147" s="41"/>
      <c r="X147" s="21"/>
      <c r="Y147" s="22"/>
      <c r="Z147" s="23"/>
      <c r="AA147" s="24"/>
      <c r="AB147" s="44"/>
    </row>
    <row r="148" spans="1:28" ht="15.5" x14ac:dyDescent="0.35">
      <c r="A148" s="18"/>
      <c r="B148" s="18"/>
      <c r="C148" s="25"/>
      <c r="D148" s="18"/>
      <c r="E148" s="18"/>
      <c r="F148" s="18"/>
      <c r="G148" s="18"/>
      <c r="H148" s="18"/>
      <c r="I148" s="18"/>
      <c r="J148" s="41"/>
      <c r="K148" s="41"/>
      <c r="L148" s="18"/>
      <c r="M148" s="18"/>
      <c r="N148" s="25"/>
      <c r="O148" s="25"/>
      <c r="P148" s="25"/>
      <c r="Q148" s="25"/>
      <c r="R148" s="25"/>
      <c r="S148" s="25"/>
      <c r="T148" s="25"/>
      <c r="U148" s="25"/>
      <c r="V148" s="18"/>
      <c r="W148" s="41"/>
      <c r="X148" s="21"/>
      <c r="Y148" s="22"/>
      <c r="Z148" s="23"/>
      <c r="AA148" s="24"/>
      <c r="AB148" s="44"/>
    </row>
    <row r="149" spans="1:28" ht="15.5" x14ac:dyDescent="0.35">
      <c r="A149" s="18"/>
      <c r="B149" s="18"/>
      <c r="C149" s="25"/>
      <c r="D149" s="18"/>
      <c r="E149" s="18"/>
      <c r="F149" s="18"/>
      <c r="G149" s="18"/>
      <c r="H149" s="18"/>
      <c r="I149" s="18"/>
      <c r="J149" s="41"/>
      <c r="K149" s="41"/>
      <c r="L149" s="18"/>
      <c r="M149" s="18"/>
      <c r="N149" s="25"/>
      <c r="O149" s="25"/>
      <c r="P149" s="25"/>
      <c r="Q149" s="25"/>
      <c r="R149" s="25"/>
      <c r="S149" s="25"/>
      <c r="T149" s="25"/>
      <c r="U149" s="25"/>
      <c r="V149" s="18"/>
      <c r="W149" s="41"/>
      <c r="X149" s="21"/>
      <c r="Y149" s="22"/>
      <c r="Z149" s="23"/>
      <c r="AA149" s="24"/>
      <c r="AB149" s="44"/>
    </row>
    <row r="150" spans="1:28" ht="15.5" x14ac:dyDescent="0.35">
      <c r="A150" s="18"/>
      <c r="B150" s="18"/>
      <c r="C150" s="25"/>
      <c r="D150" s="18"/>
      <c r="E150" s="18"/>
      <c r="F150" s="18"/>
      <c r="G150" s="18"/>
      <c r="H150" s="18"/>
      <c r="I150" s="18"/>
      <c r="J150" s="41"/>
      <c r="K150" s="41"/>
      <c r="L150" s="18"/>
      <c r="M150" s="18"/>
      <c r="N150" s="25"/>
      <c r="O150" s="25"/>
      <c r="P150" s="25"/>
      <c r="Q150" s="25"/>
      <c r="R150" s="25"/>
      <c r="S150" s="25"/>
      <c r="T150" s="25"/>
      <c r="U150" s="25"/>
      <c r="V150" s="18"/>
      <c r="W150" s="41"/>
      <c r="X150" s="21"/>
      <c r="Y150" s="22"/>
      <c r="Z150" s="23"/>
      <c r="AA150" s="24"/>
      <c r="AB150" s="44"/>
    </row>
    <row r="151" spans="1:28" ht="15.5" x14ac:dyDescent="0.35">
      <c r="A151" s="18"/>
      <c r="B151" s="18"/>
      <c r="C151" s="25"/>
      <c r="D151" s="18"/>
      <c r="E151" s="18"/>
      <c r="F151" s="18"/>
      <c r="G151" s="18"/>
      <c r="H151" s="18"/>
      <c r="I151" s="18"/>
      <c r="J151" s="41"/>
      <c r="K151" s="41"/>
      <c r="L151" s="18"/>
      <c r="M151" s="18"/>
      <c r="N151" s="25"/>
      <c r="O151" s="25"/>
      <c r="P151" s="25"/>
      <c r="Q151" s="25"/>
      <c r="R151" s="25"/>
      <c r="S151" s="25"/>
      <c r="T151" s="25"/>
      <c r="U151" s="25"/>
      <c r="V151" s="18"/>
      <c r="W151" s="41"/>
      <c r="X151" s="21"/>
      <c r="Y151" s="22"/>
      <c r="Z151" s="23"/>
      <c r="AA151" s="24"/>
      <c r="AB151" s="44"/>
    </row>
    <row r="152" spans="1:28" ht="15.5" x14ac:dyDescent="0.35">
      <c r="A152" s="18"/>
      <c r="B152" s="18"/>
      <c r="C152" s="25"/>
      <c r="D152" s="18"/>
      <c r="E152" s="18"/>
      <c r="F152" s="18"/>
      <c r="G152" s="18"/>
      <c r="H152" s="18"/>
      <c r="I152" s="18"/>
      <c r="J152" s="41"/>
      <c r="K152" s="41"/>
      <c r="L152" s="18"/>
      <c r="M152" s="18"/>
      <c r="N152" s="25"/>
      <c r="O152" s="25"/>
      <c r="P152" s="25"/>
      <c r="Q152" s="25"/>
      <c r="R152" s="25"/>
      <c r="S152" s="25"/>
      <c r="T152" s="25"/>
      <c r="U152" s="25"/>
      <c r="V152" s="18"/>
      <c r="W152" s="41"/>
      <c r="X152" s="21"/>
      <c r="Y152" s="22"/>
      <c r="Z152" s="23"/>
      <c r="AA152" s="24"/>
      <c r="AB152" s="44"/>
    </row>
    <row r="153" spans="1:28" ht="15.5" x14ac:dyDescent="0.35">
      <c r="A153" s="18"/>
      <c r="B153" s="18"/>
      <c r="C153" s="25"/>
      <c r="D153" s="18"/>
      <c r="E153" s="18"/>
      <c r="F153" s="18"/>
      <c r="G153" s="18"/>
      <c r="H153" s="18"/>
      <c r="I153" s="18"/>
      <c r="J153" s="41"/>
      <c r="K153" s="41"/>
      <c r="L153" s="18"/>
      <c r="M153" s="18"/>
      <c r="N153" s="25"/>
      <c r="O153" s="25"/>
      <c r="P153" s="25"/>
      <c r="Q153" s="25"/>
      <c r="R153" s="25"/>
      <c r="S153" s="25"/>
      <c r="T153" s="25"/>
      <c r="U153" s="25"/>
      <c r="V153" s="18"/>
      <c r="W153" s="41"/>
      <c r="X153" s="21"/>
      <c r="Y153" s="22"/>
      <c r="Z153" s="23"/>
      <c r="AA153" s="24"/>
      <c r="AB153" s="44"/>
    </row>
    <row r="154" spans="1:28" ht="15.5" x14ac:dyDescent="0.35">
      <c r="A154" s="18"/>
      <c r="B154" s="18"/>
      <c r="C154" s="25"/>
      <c r="D154" s="18"/>
      <c r="E154" s="18"/>
      <c r="F154" s="18"/>
      <c r="G154" s="18"/>
      <c r="H154" s="18"/>
      <c r="I154" s="18"/>
      <c r="J154" s="41"/>
      <c r="K154" s="41"/>
      <c r="L154" s="18"/>
      <c r="M154" s="18"/>
      <c r="N154" s="25"/>
      <c r="O154" s="25"/>
      <c r="P154" s="25"/>
      <c r="Q154" s="25"/>
      <c r="R154" s="25"/>
      <c r="S154" s="25"/>
      <c r="T154" s="25"/>
      <c r="U154" s="25"/>
      <c r="V154" s="18"/>
      <c r="W154" s="41"/>
      <c r="X154" s="21"/>
      <c r="Y154" s="22"/>
      <c r="Z154" s="23"/>
      <c r="AA154" s="24"/>
      <c r="AB154" s="44"/>
    </row>
    <row r="155" spans="1:28" ht="15.5" x14ac:dyDescent="0.35">
      <c r="A155" s="18"/>
      <c r="B155" s="18"/>
      <c r="C155" s="25"/>
      <c r="D155" s="18"/>
      <c r="E155" s="18"/>
      <c r="F155" s="18"/>
      <c r="G155" s="18"/>
      <c r="H155" s="18"/>
      <c r="I155" s="18"/>
      <c r="J155" s="41"/>
      <c r="K155" s="41"/>
      <c r="L155" s="18"/>
      <c r="M155" s="18"/>
      <c r="N155" s="25"/>
      <c r="O155" s="25"/>
      <c r="P155" s="25"/>
      <c r="Q155" s="25"/>
      <c r="R155" s="25"/>
      <c r="S155" s="25"/>
      <c r="T155" s="25"/>
      <c r="U155" s="25"/>
      <c r="V155" s="18"/>
      <c r="W155" s="41"/>
      <c r="X155" s="21"/>
      <c r="Y155" s="22"/>
      <c r="Z155" s="23"/>
      <c r="AA155" s="24"/>
      <c r="AB155" s="44"/>
    </row>
    <row r="156" spans="1:28" ht="15.5" x14ac:dyDescent="0.35">
      <c r="A156" s="18"/>
      <c r="B156" s="18"/>
      <c r="C156" s="25"/>
      <c r="D156" s="18"/>
      <c r="E156" s="18"/>
      <c r="F156" s="18"/>
      <c r="G156" s="18"/>
      <c r="H156" s="18"/>
      <c r="I156" s="18"/>
      <c r="J156" s="41"/>
      <c r="K156" s="41"/>
      <c r="L156" s="18"/>
      <c r="M156" s="18"/>
      <c r="N156" s="25"/>
      <c r="O156" s="25"/>
      <c r="P156" s="25"/>
      <c r="Q156" s="25"/>
      <c r="R156" s="25"/>
      <c r="S156" s="25"/>
      <c r="T156" s="25"/>
      <c r="U156" s="25"/>
      <c r="V156" s="18"/>
      <c r="W156" s="41"/>
      <c r="X156" s="21"/>
      <c r="Y156" s="22"/>
      <c r="Z156" s="23"/>
      <c r="AA156" s="24"/>
      <c r="AB156" s="44"/>
    </row>
    <row r="157" spans="1:28" ht="15.5" x14ac:dyDescent="0.35">
      <c r="A157" s="18"/>
      <c r="B157" s="18"/>
      <c r="C157" s="25"/>
      <c r="D157" s="18"/>
      <c r="E157" s="18"/>
      <c r="F157" s="18"/>
      <c r="G157" s="18"/>
      <c r="H157" s="18"/>
      <c r="I157" s="18"/>
      <c r="J157" s="41"/>
      <c r="K157" s="41"/>
      <c r="L157" s="18"/>
      <c r="M157" s="18"/>
      <c r="N157" s="25"/>
      <c r="O157" s="25"/>
      <c r="P157" s="25"/>
      <c r="Q157" s="25"/>
      <c r="R157" s="25"/>
      <c r="S157" s="25"/>
      <c r="T157" s="25"/>
      <c r="U157" s="25"/>
      <c r="V157" s="18"/>
      <c r="W157" s="41"/>
      <c r="X157" s="21"/>
      <c r="Y157" s="22"/>
      <c r="Z157" s="23"/>
      <c r="AA157" s="24"/>
      <c r="AB157" s="44"/>
    </row>
    <row r="158" spans="1:28" ht="15.5" x14ac:dyDescent="0.35">
      <c r="A158" s="18"/>
      <c r="B158" s="18"/>
      <c r="C158" s="25"/>
      <c r="D158" s="18"/>
      <c r="E158" s="18"/>
      <c r="F158" s="18"/>
      <c r="G158" s="18"/>
      <c r="H158" s="18"/>
      <c r="I158" s="18"/>
      <c r="J158" s="41"/>
      <c r="K158" s="41"/>
      <c r="L158" s="18"/>
      <c r="M158" s="18"/>
      <c r="N158" s="25"/>
      <c r="O158" s="25"/>
      <c r="P158" s="25"/>
      <c r="Q158" s="25"/>
      <c r="R158" s="25"/>
      <c r="S158" s="25"/>
      <c r="T158" s="25"/>
      <c r="U158" s="25"/>
      <c r="V158" s="18"/>
      <c r="W158" s="41"/>
      <c r="X158" s="21"/>
      <c r="Y158" s="22"/>
      <c r="Z158" s="23"/>
      <c r="AA158" s="24"/>
      <c r="AB158" s="44"/>
    </row>
    <row r="159" spans="1:28" ht="15.5" x14ac:dyDescent="0.35">
      <c r="A159" s="18"/>
      <c r="B159" s="18"/>
      <c r="C159" s="25"/>
      <c r="D159" s="18"/>
      <c r="E159" s="18"/>
      <c r="F159" s="18"/>
      <c r="G159" s="18"/>
      <c r="H159" s="18"/>
      <c r="I159" s="18"/>
      <c r="J159" s="41"/>
      <c r="K159" s="41"/>
      <c r="L159" s="18"/>
      <c r="M159" s="18"/>
      <c r="N159" s="25"/>
      <c r="O159" s="25"/>
      <c r="P159" s="25"/>
      <c r="Q159" s="25"/>
      <c r="R159" s="25"/>
      <c r="S159" s="25"/>
      <c r="T159" s="25"/>
      <c r="U159" s="25"/>
      <c r="V159" s="18"/>
      <c r="W159" s="41"/>
      <c r="X159" s="21"/>
      <c r="Y159" s="22"/>
      <c r="Z159" s="23"/>
      <c r="AA159" s="24"/>
      <c r="AB159" s="44"/>
    </row>
    <row r="160" spans="1:28" ht="15.5" x14ac:dyDescent="0.35">
      <c r="A160" s="18"/>
      <c r="B160" s="18"/>
      <c r="C160" s="25"/>
      <c r="D160" s="18"/>
      <c r="E160" s="18"/>
      <c r="F160" s="18"/>
      <c r="G160" s="18"/>
      <c r="H160" s="18"/>
      <c r="I160" s="18"/>
      <c r="J160" s="41"/>
      <c r="K160" s="41"/>
      <c r="L160" s="18"/>
      <c r="M160" s="18"/>
      <c r="N160" s="25"/>
      <c r="O160" s="25"/>
      <c r="P160" s="25"/>
      <c r="Q160" s="25"/>
      <c r="R160" s="25"/>
      <c r="S160" s="25"/>
      <c r="T160" s="25"/>
      <c r="U160" s="25"/>
      <c r="V160" s="18"/>
      <c r="W160" s="41"/>
      <c r="X160" s="21"/>
      <c r="Y160" s="22"/>
      <c r="Z160" s="23"/>
      <c r="AA160" s="24"/>
      <c r="AB160" s="44"/>
    </row>
    <row r="161" spans="1:28" ht="15.5" x14ac:dyDescent="0.35">
      <c r="A161" s="18"/>
      <c r="B161" s="18"/>
      <c r="C161" s="25"/>
      <c r="D161" s="18"/>
      <c r="E161" s="18"/>
      <c r="F161" s="18"/>
      <c r="G161" s="18"/>
      <c r="H161" s="18"/>
      <c r="I161" s="18"/>
      <c r="J161" s="41"/>
      <c r="K161" s="41"/>
      <c r="L161" s="18"/>
      <c r="M161" s="18"/>
      <c r="N161" s="25"/>
      <c r="O161" s="25"/>
      <c r="P161" s="25"/>
      <c r="Q161" s="25"/>
      <c r="R161" s="25"/>
      <c r="S161" s="25"/>
      <c r="T161" s="25"/>
      <c r="U161" s="25"/>
      <c r="V161" s="18"/>
      <c r="W161" s="41"/>
      <c r="X161" s="21"/>
      <c r="Y161" s="22"/>
      <c r="Z161" s="23"/>
      <c r="AA161" s="24"/>
      <c r="AB161" s="44"/>
    </row>
    <row r="162" spans="1:28" ht="15.5" x14ac:dyDescent="0.35">
      <c r="A162" s="18"/>
      <c r="B162" s="18"/>
      <c r="C162" s="25"/>
      <c r="D162" s="18"/>
      <c r="E162" s="18"/>
      <c r="F162" s="18"/>
      <c r="G162" s="18"/>
      <c r="H162" s="18"/>
      <c r="I162" s="18"/>
      <c r="J162" s="41"/>
      <c r="K162" s="41"/>
      <c r="L162" s="18"/>
      <c r="M162" s="18"/>
      <c r="N162" s="25"/>
      <c r="O162" s="25"/>
      <c r="P162" s="25"/>
      <c r="Q162" s="25"/>
      <c r="R162" s="25"/>
      <c r="S162" s="25"/>
      <c r="T162" s="25"/>
      <c r="U162" s="25"/>
      <c r="V162" s="18"/>
      <c r="W162" s="41"/>
      <c r="X162" s="21"/>
      <c r="Y162" s="22"/>
      <c r="Z162" s="23"/>
      <c r="AA162" s="24"/>
      <c r="AB162" s="44"/>
    </row>
    <row r="163" spans="1:28" ht="15.5" x14ac:dyDescent="0.35">
      <c r="A163" s="18"/>
      <c r="B163" s="18"/>
      <c r="C163" s="25"/>
      <c r="D163" s="18"/>
      <c r="E163" s="18"/>
      <c r="F163" s="18"/>
      <c r="G163" s="18"/>
      <c r="H163" s="18"/>
      <c r="I163" s="18"/>
      <c r="J163" s="41"/>
      <c r="K163" s="41"/>
      <c r="L163" s="18"/>
      <c r="M163" s="18"/>
      <c r="N163" s="25"/>
      <c r="O163" s="25"/>
      <c r="P163" s="25"/>
      <c r="Q163" s="25"/>
      <c r="R163" s="25"/>
      <c r="S163" s="25"/>
      <c r="T163" s="25"/>
      <c r="U163" s="25"/>
      <c r="V163" s="18"/>
      <c r="W163" s="41"/>
      <c r="X163" s="21"/>
      <c r="Y163" s="22"/>
      <c r="Z163" s="23"/>
      <c r="AA163" s="24"/>
      <c r="AB163" s="44"/>
    </row>
    <row r="164" spans="1:28" ht="15.5" x14ac:dyDescent="0.35">
      <c r="A164" s="18"/>
      <c r="B164" s="18"/>
      <c r="C164" s="25"/>
      <c r="D164" s="18"/>
      <c r="E164" s="18"/>
      <c r="F164" s="18"/>
      <c r="G164" s="18"/>
      <c r="H164" s="18"/>
      <c r="I164" s="18"/>
      <c r="J164" s="41"/>
      <c r="K164" s="41"/>
      <c r="L164" s="18"/>
      <c r="M164" s="18"/>
      <c r="N164" s="25"/>
      <c r="O164" s="25"/>
      <c r="P164" s="25"/>
      <c r="Q164" s="25"/>
      <c r="R164" s="25"/>
      <c r="S164" s="25"/>
      <c r="T164" s="25"/>
      <c r="U164" s="25"/>
      <c r="V164" s="18"/>
      <c r="W164" s="41"/>
      <c r="X164" s="21"/>
      <c r="Y164" s="22"/>
      <c r="Z164" s="23"/>
      <c r="AA164" s="24"/>
      <c r="AB164" s="44"/>
    </row>
    <row r="165" spans="1:28" ht="15.5" x14ac:dyDescent="0.35">
      <c r="A165" s="18"/>
      <c r="B165" s="18"/>
      <c r="C165" s="25"/>
      <c r="D165" s="18"/>
      <c r="E165" s="18"/>
      <c r="F165" s="18"/>
      <c r="G165" s="18"/>
      <c r="H165" s="18"/>
      <c r="I165" s="18"/>
      <c r="J165" s="41"/>
      <c r="K165" s="41"/>
      <c r="L165" s="18"/>
      <c r="M165" s="18"/>
      <c r="N165" s="25"/>
      <c r="O165" s="25"/>
      <c r="P165" s="25"/>
      <c r="Q165" s="25"/>
      <c r="R165" s="25"/>
      <c r="S165" s="25"/>
      <c r="T165" s="25"/>
      <c r="U165" s="25"/>
      <c r="V165" s="18"/>
      <c r="W165" s="41"/>
      <c r="X165" s="21"/>
      <c r="Y165" s="22"/>
      <c r="Z165" s="23"/>
      <c r="AA165" s="24"/>
      <c r="AB165" s="44"/>
    </row>
    <row r="166" spans="1:28" ht="15.5" x14ac:dyDescent="0.35">
      <c r="A166" s="18"/>
      <c r="B166" s="18"/>
      <c r="C166" s="25"/>
      <c r="D166" s="18"/>
      <c r="E166" s="18"/>
      <c r="F166" s="18"/>
      <c r="G166" s="18"/>
      <c r="H166" s="18"/>
      <c r="I166" s="18"/>
      <c r="J166" s="41"/>
      <c r="K166" s="41"/>
      <c r="L166" s="18"/>
      <c r="M166" s="18"/>
      <c r="N166" s="25"/>
      <c r="O166" s="25"/>
      <c r="P166" s="25"/>
      <c r="Q166" s="25"/>
      <c r="R166" s="25"/>
      <c r="S166" s="25"/>
      <c r="T166" s="25"/>
      <c r="U166" s="25"/>
      <c r="V166" s="18"/>
      <c r="W166" s="41"/>
      <c r="X166" s="21"/>
      <c r="Y166" s="22"/>
      <c r="Z166" s="23"/>
      <c r="AA166" s="24"/>
      <c r="AB166" s="44"/>
    </row>
    <row r="167" spans="1:28" ht="15.5" x14ac:dyDescent="0.35">
      <c r="A167" s="18"/>
      <c r="B167" s="18"/>
      <c r="C167" s="25"/>
      <c r="D167" s="18"/>
      <c r="E167" s="18"/>
      <c r="F167" s="18"/>
      <c r="G167" s="18"/>
      <c r="H167" s="18"/>
      <c r="I167" s="18"/>
      <c r="J167" s="41"/>
      <c r="K167" s="41"/>
      <c r="L167" s="18"/>
      <c r="M167" s="18"/>
      <c r="N167" s="25"/>
      <c r="O167" s="25"/>
      <c r="P167" s="25"/>
      <c r="Q167" s="25"/>
      <c r="R167" s="25"/>
      <c r="S167" s="25"/>
      <c r="T167" s="25"/>
      <c r="U167" s="25"/>
      <c r="V167" s="18"/>
      <c r="W167" s="41"/>
      <c r="X167" s="21"/>
      <c r="Y167" s="22"/>
      <c r="Z167" s="23"/>
      <c r="AA167" s="24"/>
      <c r="AB167" s="44"/>
    </row>
    <row r="168" spans="1:28" ht="15.5" x14ac:dyDescent="0.35">
      <c r="A168" s="18"/>
      <c r="B168" s="18"/>
      <c r="C168" s="25"/>
      <c r="D168" s="18"/>
      <c r="E168" s="18"/>
      <c r="F168" s="18"/>
      <c r="G168" s="18"/>
      <c r="H168" s="18"/>
      <c r="I168" s="18"/>
      <c r="J168" s="41"/>
      <c r="K168" s="41"/>
      <c r="L168" s="18"/>
      <c r="M168" s="18"/>
      <c r="N168" s="25"/>
      <c r="O168" s="25"/>
      <c r="P168" s="25"/>
      <c r="Q168" s="25"/>
      <c r="R168" s="25"/>
      <c r="S168" s="25"/>
      <c r="T168" s="25"/>
      <c r="U168" s="25"/>
      <c r="V168" s="18"/>
      <c r="W168" s="41"/>
      <c r="X168" s="21"/>
      <c r="Y168" s="22"/>
      <c r="Z168" s="23"/>
      <c r="AA168" s="24"/>
      <c r="AB168" s="44"/>
    </row>
    <row r="169" spans="1:28" ht="15.5" x14ac:dyDescent="0.35">
      <c r="A169" s="18"/>
      <c r="B169" s="18"/>
      <c r="C169" s="25"/>
      <c r="D169" s="18"/>
      <c r="E169" s="18"/>
      <c r="F169" s="18"/>
      <c r="G169" s="18"/>
      <c r="H169" s="18"/>
      <c r="I169" s="18"/>
      <c r="J169" s="41"/>
      <c r="K169" s="41"/>
      <c r="L169" s="18"/>
      <c r="M169" s="18"/>
      <c r="N169" s="25"/>
      <c r="O169" s="25"/>
      <c r="P169" s="25"/>
      <c r="Q169" s="25"/>
      <c r="R169" s="25"/>
      <c r="S169" s="25"/>
      <c r="T169" s="25"/>
      <c r="U169" s="25"/>
      <c r="V169" s="18"/>
      <c r="W169" s="41"/>
      <c r="X169" s="21"/>
      <c r="Y169" s="22"/>
      <c r="Z169" s="23"/>
      <c r="AA169" s="24"/>
      <c r="AB169" s="44"/>
    </row>
    <row r="170" spans="1:28" ht="15.5" x14ac:dyDescent="0.35">
      <c r="A170" s="18"/>
      <c r="B170" s="18"/>
      <c r="C170" s="25"/>
      <c r="D170" s="18"/>
      <c r="E170" s="18"/>
      <c r="F170" s="18"/>
      <c r="G170" s="18"/>
      <c r="H170" s="18"/>
      <c r="I170" s="18"/>
      <c r="J170" s="41"/>
      <c r="K170" s="41"/>
      <c r="L170" s="18"/>
      <c r="M170" s="18"/>
      <c r="N170" s="25"/>
      <c r="O170" s="25"/>
      <c r="P170" s="25"/>
      <c r="Q170" s="25"/>
      <c r="R170" s="25"/>
      <c r="S170" s="25"/>
      <c r="T170" s="25"/>
      <c r="U170" s="25"/>
      <c r="V170" s="18"/>
      <c r="W170" s="41"/>
      <c r="X170" s="21"/>
      <c r="Y170" s="22"/>
      <c r="Z170" s="23"/>
      <c r="AA170" s="24"/>
      <c r="AB170" s="44"/>
    </row>
    <row r="171" spans="1:28" ht="15.5" x14ac:dyDescent="0.35">
      <c r="A171" s="18"/>
      <c r="B171" s="18"/>
      <c r="C171" s="25"/>
      <c r="D171" s="18"/>
      <c r="E171" s="18"/>
      <c r="F171" s="18"/>
      <c r="G171" s="18"/>
      <c r="H171" s="18"/>
      <c r="I171" s="18"/>
      <c r="J171" s="41"/>
      <c r="K171" s="41"/>
      <c r="L171" s="18"/>
      <c r="M171" s="18"/>
      <c r="N171" s="25"/>
      <c r="O171" s="25"/>
      <c r="P171" s="25"/>
      <c r="Q171" s="25"/>
      <c r="R171" s="25"/>
      <c r="S171" s="25"/>
      <c r="T171" s="25"/>
      <c r="U171" s="25"/>
      <c r="V171" s="18"/>
      <c r="W171" s="41"/>
      <c r="X171" s="21"/>
      <c r="Y171" s="22"/>
      <c r="Z171" s="23"/>
      <c r="AA171" s="24"/>
      <c r="AB171" s="44"/>
    </row>
    <row r="172" spans="1:28" ht="15.5" x14ac:dyDescent="0.35">
      <c r="A172" s="18"/>
      <c r="B172" s="18"/>
      <c r="C172" s="25"/>
      <c r="D172" s="18"/>
      <c r="E172" s="18"/>
      <c r="F172" s="18"/>
      <c r="G172" s="18"/>
      <c r="H172" s="18"/>
      <c r="I172" s="18"/>
      <c r="J172" s="41"/>
      <c r="K172" s="41"/>
      <c r="L172" s="18"/>
      <c r="M172" s="18"/>
      <c r="N172" s="25"/>
      <c r="O172" s="25"/>
      <c r="P172" s="25"/>
      <c r="Q172" s="25"/>
      <c r="R172" s="25"/>
      <c r="S172" s="25"/>
      <c r="T172" s="25"/>
      <c r="U172" s="25"/>
      <c r="V172" s="18"/>
      <c r="W172" s="41"/>
      <c r="X172" s="21"/>
      <c r="Y172" s="22"/>
      <c r="Z172" s="23"/>
      <c r="AA172" s="24"/>
      <c r="AB172" s="44"/>
    </row>
    <row r="173" spans="1:28" ht="15.5" x14ac:dyDescent="0.35">
      <c r="A173" s="18"/>
      <c r="B173" s="18"/>
      <c r="C173" s="25"/>
      <c r="D173" s="18"/>
      <c r="E173" s="18"/>
      <c r="F173" s="18"/>
      <c r="G173" s="18"/>
      <c r="H173" s="18"/>
      <c r="I173" s="18"/>
      <c r="J173" s="41"/>
      <c r="K173" s="41"/>
      <c r="L173" s="18"/>
      <c r="M173" s="18"/>
      <c r="N173" s="25"/>
      <c r="O173" s="25"/>
      <c r="P173" s="25"/>
      <c r="Q173" s="25"/>
      <c r="R173" s="25"/>
      <c r="S173" s="25"/>
      <c r="T173" s="25"/>
      <c r="U173" s="25"/>
      <c r="V173" s="18"/>
      <c r="W173" s="41"/>
      <c r="X173" s="21"/>
      <c r="Y173" s="22"/>
      <c r="Z173" s="23"/>
      <c r="AA173" s="24"/>
      <c r="AB173" s="44"/>
    </row>
    <row r="174" spans="1:28" ht="15.5" x14ac:dyDescent="0.35">
      <c r="A174" s="18"/>
      <c r="B174" s="18"/>
      <c r="C174" s="25"/>
      <c r="D174" s="18"/>
      <c r="E174" s="18"/>
      <c r="F174" s="18"/>
      <c r="G174" s="18"/>
      <c r="H174" s="18"/>
      <c r="I174" s="18"/>
      <c r="J174" s="41"/>
      <c r="K174" s="41"/>
      <c r="L174" s="18"/>
      <c r="M174" s="18"/>
      <c r="N174" s="25"/>
      <c r="O174" s="25"/>
      <c r="P174" s="25"/>
      <c r="Q174" s="25"/>
      <c r="R174" s="25"/>
      <c r="S174" s="25"/>
      <c r="T174" s="25"/>
      <c r="U174" s="25"/>
      <c r="V174" s="18"/>
      <c r="W174" s="41"/>
      <c r="X174" s="21"/>
      <c r="Y174" s="22"/>
      <c r="Z174" s="23"/>
      <c r="AA174" s="24"/>
      <c r="AB174" s="44"/>
    </row>
    <row r="175" spans="1:28" ht="15.5" x14ac:dyDescent="0.35">
      <c r="A175" s="18"/>
      <c r="B175" s="18"/>
      <c r="C175" s="25"/>
      <c r="D175" s="18"/>
      <c r="E175" s="18"/>
      <c r="F175" s="18"/>
      <c r="G175" s="18"/>
      <c r="H175" s="18"/>
      <c r="I175" s="18"/>
      <c r="J175" s="41"/>
      <c r="K175" s="41"/>
      <c r="L175" s="18"/>
      <c r="M175" s="18"/>
      <c r="N175" s="25"/>
      <c r="O175" s="25"/>
      <c r="P175" s="25"/>
      <c r="Q175" s="25"/>
      <c r="R175" s="25"/>
      <c r="S175" s="25"/>
      <c r="T175" s="25"/>
      <c r="U175" s="25"/>
      <c r="V175" s="18"/>
      <c r="W175" s="41"/>
      <c r="X175" s="21"/>
      <c r="Y175" s="22"/>
      <c r="Z175" s="23"/>
      <c r="AA175" s="24"/>
      <c r="AB175" s="44"/>
    </row>
    <row r="176" spans="1:28" ht="15.5" x14ac:dyDescent="0.35">
      <c r="A176" s="18"/>
      <c r="B176" s="18"/>
      <c r="C176" s="25"/>
      <c r="D176" s="18"/>
      <c r="E176" s="18"/>
      <c r="F176" s="18"/>
      <c r="G176" s="18"/>
      <c r="H176" s="18"/>
      <c r="I176" s="18"/>
      <c r="J176" s="41"/>
      <c r="K176" s="41"/>
      <c r="L176" s="18"/>
      <c r="M176" s="18"/>
      <c r="N176" s="25"/>
      <c r="O176" s="25"/>
      <c r="P176" s="25"/>
      <c r="Q176" s="25"/>
      <c r="R176" s="25"/>
      <c r="S176" s="25"/>
      <c r="T176" s="25"/>
      <c r="U176" s="25"/>
      <c r="V176" s="18"/>
      <c r="W176" s="41"/>
      <c r="X176" s="21"/>
      <c r="Y176" s="22"/>
      <c r="Z176" s="23"/>
      <c r="AA176" s="24"/>
      <c r="AB176" s="44"/>
    </row>
    <row r="177" spans="1:28" ht="15.5" x14ac:dyDescent="0.35">
      <c r="A177" s="18"/>
      <c r="B177" s="18"/>
      <c r="C177" s="25"/>
      <c r="D177" s="18"/>
      <c r="E177" s="18"/>
      <c r="F177" s="18"/>
      <c r="G177" s="18"/>
      <c r="H177" s="18"/>
      <c r="I177" s="18"/>
      <c r="J177" s="41"/>
      <c r="K177" s="41"/>
      <c r="L177" s="18"/>
      <c r="M177" s="18"/>
      <c r="N177" s="25"/>
      <c r="O177" s="25"/>
      <c r="P177" s="25"/>
      <c r="Q177" s="25"/>
      <c r="R177" s="25"/>
      <c r="S177" s="25"/>
      <c r="T177" s="25"/>
      <c r="U177" s="25"/>
      <c r="V177" s="18"/>
      <c r="W177" s="41"/>
      <c r="X177" s="21"/>
      <c r="Y177" s="22"/>
      <c r="Z177" s="23"/>
      <c r="AA177" s="24"/>
      <c r="AB177" s="44"/>
    </row>
    <row r="178" spans="1:28" ht="15.5" x14ac:dyDescent="0.35">
      <c r="A178" s="18"/>
      <c r="B178" s="18"/>
      <c r="C178" s="25"/>
      <c r="D178" s="18"/>
      <c r="E178" s="18"/>
      <c r="F178" s="18"/>
      <c r="G178" s="18"/>
      <c r="H178" s="18"/>
      <c r="I178" s="18"/>
      <c r="J178" s="41"/>
      <c r="K178" s="41"/>
      <c r="L178" s="18"/>
      <c r="M178" s="18"/>
      <c r="N178" s="25"/>
      <c r="O178" s="25"/>
      <c r="P178" s="25"/>
      <c r="Q178" s="25"/>
      <c r="R178" s="25"/>
      <c r="S178" s="25"/>
      <c r="T178" s="25"/>
      <c r="U178" s="25"/>
      <c r="V178" s="18"/>
      <c r="W178" s="41"/>
      <c r="X178" s="21"/>
      <c r="Y178" s="22"/>
      <c r="Z178" s="23"/>
      <c r="AA178" s="24"/>
      <c r="AB178" s="44"/>
    </row>
    <row r="179" spans="1:28" ht="15.5" x14ac:dyDescent="0.35">
      <c r="A179" s="18"/>
      <c r="B179" s="18"/>
      <c r="C179" s="25"/>
      <c r="D179" s="18"/>
      <c r="E179" s="18"/>
      <c r="F179" s="18"/>
      <c r="G179" s="18"/>
      <c r="H179" s="18"/>
      <c r="I179" s="18"/>
      <c r="J179" s="41"/>
      <c r="K179" s="41"/>
      <c r="L179" s="18"/>
      <c r="M179" s="18"/>
      <c r="N179" s="25"/>
      <c r="O179" s="25"/>
      <c r="P179" s="25"/>
      <c r="Q179" s="25"/>
      <c r="R179" s="25"/>
      <c r="S179" s="25"/>
      <c r="T179" s="25"/>
      <c r="U179" s="25"/>
      <c r="V179" s="18"/>
      <c r="W179" s="41"/>
      <c r="X179" s="21"/>
      <c r="Y179" s="22"/>
      <c r="Z179" s="23"/>
      <c r="AA179" s="24"/>
      <c r="AB179" s="44"/>
    </row>
    <row r="180" spans="1:28" ht="15.5" x14ac:dyDescent="0.35">
      <c r="A180" s="18"/>
      <c r="B180" s="18"/>
      <c r="C180" s="25"/>
      <c r="D180" s="18"/>
      <c r="E180" s="18"/>
      <c r="F180" s="18"/>
      <c r="G180" s="18"/>
      <c r="H180" s="18"/>
      <c r="I180" s="18"/>
      <c r="J180" s="41"/>
      <c r="K180" s="41"/>
      <c r="L180" s="18"/>
      <c r="M180" s="18"/>
      <c r="N180" s="25"/>
      <c r="O180" s="25"/>
      <c r="P180" s="25"/>
      <c r="Q180" s="25"/>
      <c r="R180" s="25"/>
      <c r="S180" s="25"/>
      <c r="T180" s="25"/>
      <c r="U180" s="25"/>
      <c r="V180" s="18"/>
      <c r="W180" s="41"/>
      <c r="X180" s="21"/>
      <c r="Y180" s="22"/>
      <c r="Z180" s="23"/>
      <c r="AA180" s="24"/>
      <c r="AB180" s="44"/>
    </row>
    <row r="181" spans="1:28" ht="15.5" x14ac:dyDescent="0.35">
      <c r="A181" s="18"/>
      <c r="B181" s="18"/>
      <c r="C181" s="25"/>
      <c r="D181" s="18"/>
      <c r="E181" s="18"/>
      <c r="F181" s="18"/>
      <c r="G181" s="18"/>
      <c r="H181" s="18"/>
      <c r="I181" s="18"/>
      <c r="J181" s="41"/>
      <c r="K181" s="41"/>
      <c r="L181" s="18"/>
      <c r="M181" s="18"/>
      <c r="N181" s="25"/>
      <c r="O181" s="25"/>
      <c r="P181" s="25"/>
      <c r="Q181" s="25"/>
      <c r="R181" s="25"/>
      <c r="S181" s="25"/>
      <c r="T181" s="25"/>
      <c r="U181" s="25"/>
      <c r="V181" s="18"/>
      <c r="W181" s="41"/>
      <c r="X181" s="21"/>
      <c r="Y181" s="22"/>
      <c r="Z181" s="23"/>
      <c r="AA181" s="24"/>
      <c r="AB181" s="44"/>
    </row>
    <row r="182" spans="1:28" ht="15.5" x14ac:dyDescent="0.35">
      <c r="A182" s="18"/>
      <c r="B182" s="18"/>
      <c r="C182" s="25"/>
      <c r="D182" s="18"/>
      <c r="E182" s="18"/>
      <c r="F182" s="18"/>
      <c r="G182" s="18"/>
      <c r="H182" s="18"/>
      <c r="I182" s="18"/>
      <c r="J182" s="41"/>
      <c r="K182" s="41"/>
      <c r="L182" s="18"/>
      <c r="M182" s="18"/>
      <c r="N182" s="25"/>
      <c r="O182" s="25"/>
      <c r="P182" s="25"/>
      <c r="Q182" s="25"/>
      <c r="R182" s="25"/>
      <c r="S182" s="25"/>
      <c r="T182" s="25"/>
      <c r="U182" s="25"/>
      <c r="V182" s="18"/>
      <c r="W182" s="41"/>
      <c r="X182" s="21"/>
      <c r="Y182" s="22"/>
      <c r="Z182" s="23"/>
      <c r="AA182" s="24"/>
      <c r="AB182" s="44"/>
    </row>
    <row r="183" spans="1:28" ht="15.5" x14ac:dyDescent="0.35">
      <c r="A183" s="18"/>
      <c r="B183" s="18"/>
      <c r="C183" s="25"/>
      <c r="D183" s="18"/>
      <c r="E183" s="18"/>
      <c r="F183" s="18"/>
      <c r="G183" s="18"/>
      <c r="H183" s="18"/>
      <c r="I183" s="18"/>
      <c r="J183" s="41"/>
      <c r="K183" s="41"/>
      <c r="L183" s="18"/>
      <c r="M183" s="18"/>
      <c r="N183" s="25"/>
      <c r="O183" s="25"/>
      <c r="P183" s="25"/>
      <c r="Q183" s="25"/>
      <c r="R183" s="25"/>
      <c r="S183" s="25"/>
      <c r="T183" s="25"/>
      <c r="U183" s="25"/>
      <c r="V183" s="18"/>
      <c r="W183" s="41"/>
      <c r="X183" s="21"/>
      <c r="Y183" s="22"/>
      <c r="Z183" s="23"/>
      <c r="AA183" s="24"/>
      <c r="AB183" s="44"/>
    </row>
    <row r="184" spans="1:28" ht="15.5" x14ac:dyDescent="0.35">
      <c r="A184" s="18"/>
      <c r="B184" s="18"/>
      <c r="C184" s="25"/>
      <c r="D184" s="18"/>
      <c r="E184" s="18"/>
      <c r="F184" s="18"/>
      <c r="G184" s="18"/>
      <c r="H184" s="18"/>
      <c r="I184" s="18"/>
      <c r="J184" s="41"/>
      <c r="K184" s="41"/>
      <c r="L184" s="18"/>
      <c r="M184" s="18"/>
      <c r="N184" s="25"/>
      <c r="O184" s="25"/>
      <c r="P184" s="25"/>
      <c r="Q184" s="25"/>
      <c r="R184" s="25"/>
      <c r="S184" s="25"/>
      <c r="T184" s="25"/>
      <c r="U184" s="25"/>
      <c r="V184" s="18"/>
      <c r="W184" s="41"/>
      <c r="X184" s="21"/>
      <c r="Y184" s="22"/>
      <c r="Z184" s="23"/>
      <c r="AA184" s="24"/>
      <c r="AB184" s="44"/>
    </row>
    <row r="185" spans="1:28" ht="15.5" x14ac:dyDescent="0.35">
      <c r="A185" s="18"/>
      <c r="B185" s="18"/>
      <c r="C185" s="25"/>
      <c r="D185" s="18"/>
      <c r="E185" s="18"/>
      <c r="F185" s="18"/>
      <c r="G185" s="18"/>
      <c r="H185" s="18"/>
      <c r="I185" s="18"/>
      <c r="J185" s="41"/>
      <c r="K185" s="41"/>
      <c r="L185" s="18"/>
      <c r="M185" s="18"/>
      <c r="N185" s="25"/>
      <c r="O185" s="25"/>
      <c r="P185" s="25"/>
      <c r="Q185" s="25"/>
      <c r="R185" s="25"/>
      <c r="S185" s="25"/>
      <c r="T185" s="25"/>
      <c r="U185" s="25"/>
      <c r="V185" s="18"/>
      <c r="W185" s="41"/>
      <c r="X185" s="21"/>
      <c r="Y185" s="22"/>
      <c r="Z185" s="23"/>
      <c r="AA185" s="24"/>
      <c r="AB185" s="44"/>
    </row>
    <row r="186" spans="1:28" ht="15.5" x14ac:dyDescent="0.35">
      <c r="A186" s="18"/>
      <c r="B186" s="18"/>
      <c r="C186" s="25"/>
      <c r="D186" s="18"/>
      <c r="E186" s="18"/>
      <c r="F186" s="18"/>
      <c r="G186" s="18"/>
      <c r="H186" s="18"/>
      <c r="I186" s="18"/>
      <c r="J186" s="41"/>
      <c r="K186" s="41"/>
      <c r="L186" s="18"/>
      <c r="M186" s="18"/>
      <c r="N186" s="25"/>
      <c r="O186" s="25"/>
      <c r="P186" s="25"/>
      <c r="Q186" s="25"/>
      <c r="R186" s="25"/>
      <c r="S186" s="25"/>
      <c r="T186" s="25"/>
      <c r="U186" s="25"/>
      <c r="V186" s="18"/>
      <c r="W186" s="41"/>
      <c r="X186" s="21"/>
      <c r="Y186" s="22"/>
      <c r="Z186" s="23"/>
      <c r="AA186" s="24"/>
      <c r="AB186" s="44"/>
    </row>
    <row r="187" spans="1:28" ht="15.5" x14ac:dyDescent="0.35">
      <c r="A187" s="18"/>
      <c r="B187" s="18"/>
      <c r="C187" s="25"/>
      <c r="D187" s="18"/>
      <c r="E187" s="18"/>
      <c r="F187" s="18"/>
      <c r="G187" s="18"/>
      <c r="H187" s="18"/>
      <c r="I187" s="18"/>
      <c r="J187" s="41"/>
      <c r="K187" s="41"/>
      <c r="L187" s="18"/>
      <c r="M187" s="18"/>
      <c r="N187" s="25"/>
      <c r="O187" s="25"/>
      <c r="P187" s="25"/>
      <c r="Q187" s="25"/>
      <c r="R187" s="25"/>
      <c r="S187" s="25"/>
      <c r="T187" s="25"/>
      <c r="U187" s="25"/>
      <c r="V187" s="18"/>
      <c r="W187" s="41"/>
      <c r="X187" s="21"/>
      <c r="Y187" s="22"/>
      <c r="Z187" s="23"/>
      <c r="AA187" s="24"/>
      <c r="AB187" s="44"/>
    </row>
    <row r="188" spans="1:28" ht="15.5" x14ac:dyDescent="0.35">
      <c r="A188" s="18"/>
      <c r="B188" s="18"/>
      <c r="C188" s="25"/>
      <c r="D188" s="18"/>
      <c r="E188" s="18"/>
      <c r="F188" s="18"/>
      <c r="G188" s="18"/>
      <c r="H188" s="18"/>
      <c r="I188" s="18"/>
      <c r="J188" s="41"/>
      <c r="K188" s="41"/>
      <c r="L188" s="18"/>
      <c r="M188" s="18"/>
      <c r="N188" s="25"/>
      <c r="O188" s="25"/>
      <c r="P188" s="25"/>
      <c r="Q188" s="25"/>
      <c r="R188" s="25"/>
      <c r="S188" s="25"/>
      <c r="T188" s="25"/>
      <c r="U188" s="25"/>
      <c r="V188" s="18"/>
      <c r="W188" s="41"/>
      <c r="X188" s="21"/>
      <c r="Y188" s="22"/>
      <c r="Z188" s="23"/>
      <c r="AA188" s="24"/>
      <c r="AB188" s="44"/>
    </row>
    <row r="189" spans="1:28" ht="15.5" x14ac:dyDescent="0.35">
      <c r="A189" s="18"/>
      <c r="B189" s="18"/>
      <c r="C189" s="25"/>
      <c r="D189" s="18"/>
      <c r="E189" s="18"/>
      <c r="F189" s="18"/>
      <c r="G189" s="18"/>
      <c r="H189" s="18"/>
      <c r="I189" s="18"/>
      <c r="J189" s="41"/>
      <c r="K189" s="41"/>
      <c r="L189" s="18"/>
      <c r="M189" s="18"/>
      <c r="N189" s="25"/>
      <c r="O189" s="25"/>
      <c r="P189" s="25"/>
      <c r="Q189" s="25"/>
      <c r="R189" s="25"/>
      <c r="S189" s="25"/>
      <c r="T189" s="25"/>
      <c r="U189" s="25"/>
      <c r="V189" s="18"/>
      <c r="W189" s="41"/>
      <c r="X189" s="21"/>
      <c r="Y189" s="22"/>
      <c r="Z189" s="23"/>
      <c r="AA189" s="24"/>
      <c r="AB189" s="44"/>
    </row>
    <row r="190" spans="1:28" ht="15.5" x14ac:dyDescent="0.35">
      <c r="A190" s="18"/>
      <c r="B190" s="18"/>
      <c r="C190" s="25"/>
      <c r="D190" s="18"/>
      <c r="E190" s="18"/>
      <c r="F190" s="18"/>
      <c r="G190" s="18"/>
      <c r="H190" s="18"/>
      <c r="I190" s="18"/>
      <c r="J190" s="41"/>
      <c r="K190" s="41"/>
      <c r="L190" s="18"/>
      <c r="M190" s="18"/>
      <c r="N190" s="25"/>
      <c r="O190" s="25"/>
      <c r="P190" s="25"/>
      <c r="Q190" s="25"/>
      <c r="R190" s="25"/>
      <c r="S190" s="25"/>
      <c r="T190" s="25"/>
      <c r="U190" s="25"/>
      <c r="V190" s="18"/>
      <c r="W190" s="41"/>
      <c r="X190" s="21"/>
      <c r="Y190" s="22"/>
      <c r="Z190" s="23"/>
      <c r="AA190" s="24"/>
      <c r="AB190" s="44"/>
    </row>
    <row r="191" spans="1:28" ht="15.5" x14ac:dyDescent="0.35">
      <c r="A191" s="18"/>
      <c r="B191" s="18"/>
      <c r="C191" s="25"/>
      <c r="D191" s="18"/>
      <c r="E191" s="18"/>
      <c r="F191" s="18"/>
      <c r="G191" s="18"/>
      <c r="H191" s="18"/>
      <c r="I191" s="18"/>
      <c r="J191" s="41"/>
      <c r="K191" s="41"/>
      <c r="L191" s="18"/>
      <c r="M191" s="18"/>
      <c r="N191" s="25"/>
      <c r="O191" s="25"/>
      <c r="P191" s="25"/>
      <c r="Q191" s="25"/>
      <c r="R191" s="25"/>
      <c r="S191" s="25"/>
      <c r="T191" s="25"/>
      <c r="U191" s="25"/>
      <c r="V191" s="18"/>
      <c r="W191" s="41"/>
      <c r="X191" s="21"/>
      <c r="Y191" s="22"/>
      <c r="Z191" s="23"/>
      <c r="AA191" s="24"/>
      <c r="AB191" s="44"/>
    </row>
    <row r="192" spans="1:28" ht="15.5" x14ac:dyDescent="0.35">
      <c r="A192" s="18"/>
      <c r="B192" s="18"/>
      <c r="C192" s="25"/>
      <c r="D192" s="18"/>
      <c r="E192" s="18"/>
      <c r="F192" s="18"/>
      <c r="G192" s="18"/>
      <c r="H192" s="18"/>
      <c r="I192" s="18"/>
      <c r="J192" s="41"/>
      <c r="K192" s="41"/>
      <c r="L192" s="18"/>
      <c r="M192" s="18"/>
      <c r="N192" s="25"/>
      <c r="O192" s="25"/>
      <c r="P192" s="25"/>
      <c r="Q192" s="25"/>
      <c r="R192" s="25"/>
      <c r="S192" s="25"/>
      <c r="T192" s="25"/>
      <c r="U192" s="25"/>
      <c r="V192" s="18"/>
      <c r="W192" s="41"/>
      <c r="X192" s="21"/>
      <c r="Y192" s="22"/>
      <c r="Z192" s="23"/>
      <c r="AA192" s="24"/>
      <c r="AB192" s="44"/>
    </row>
    <row r="193" spans="1:28" ht="15.5" x14ac:dyDescent="0.35">
      <c r="A193" s="18"/>
      <c r="B193" s="18"/>
      <c r="C193" s="25"/>
      <c r="D193" s="18"/>
      <c r="E193" s="18"/>
      <c r="F193" s="18"/>
      <c r="G193" s="18"/>
      <c r="H193" s="18"/>
      <c r="I193" s="18"/>
      <c r="J193" s="41"/>
      <c r="K193" s="41"/>
      <c r="L193" s="18"/>
      <c r="M193" s="18"/>
      <c r="N193" s="25"/>
      <c r="O193" s="25"/>
      <c r="P193" s="25"/>
      <c r="Q193" s="25"/>
      <c r="R193" s="25"/>
      <c r="S193" s="25"/>
      <c r="T193" s="25"/>
      <c r="U193" s="25"/>
      <c r="V193" s="18"/>
      <c r="W193" s="41"/>
      <c r="X193" s="21"/>
      <c r="Y193" s="22"/>
      <c r="Z193" s="23"/>
      <c r="AA193" s="24"/>
      <c r="AB193" s="44"/>
    </row>
    <row r="194" spans="1:28" ht="15.5" x14ac:dyDescent="0.35">
      <c r="A194" s="18"/>
      <c r="B194" s="18"/>
      <c r="C194" s="25"/>
      <c r="D194" s="18"/>
      <c r="E194" s="18"/>
      <c r="F194" s="18"/>
      <c r="G194" s="18"/>
      <c r="H194" s="18"/>
      <c r="I194" s="18"/>
      <c r="J194" s="41"/>
      <c r="K194" s="41"/>
      <c r="L194" s="18"/>
      <c r="M194" s="18"/>
      <c r="N194" s="25"/>
      <c r="O194" s="25"/>
      <c r="P194" s="25"/>
      <c r="Q194" s="25"/>
      <c r="R194" s="25"/>
      <c r="S194" s="25"/>
      <c r="T194" s="25"/>
      <c r="U194" s="25"/>
      <c r="V194" s="18"/>
      <c r="W194" s="41"/>
      <c r="X194" s="21"/>
      <c r="Y194" s="22"/>
      <c r="Z194" s="23"/>
      <c r="AA194" s="24"/>
      <c r="AB194" s="44"/>
    </row>
    <row r="195" spans="1:28" ht="15.5" x14ac:dyDescent="0.35">
      <c r="A195" s="18"/>
      <c r="B195" s="18"/>
      <c r="C195" s="25"/>
      <c r="D195" s="18"/>
      <c r="E195" s="18"/>
      <c r="F195" s="18"/>
      <c r="G195" s="18"/>
      <c r="H195" s="18"/>
      <c r="I195" s="18"/>
      <c r="J195" s="41"/>
      <c r="K195" s="41"/>
      <c r="L195" s="18"/>
      <c r="M195" s="18"/>
      <c r="N195" s="25"/>
      <c r="O195" s="25"/>
      <c r="P195" s="25"/>
      <c r="Q195" s="25"/>
      <c r="R195" s="25"/>
      <c r="S195" s="25"/>
      <c r="T195" s="25"/>
      <c r="U195" s="25"/>
      <c r="V195" s="18"/>
      <c r="W195" s="41"/>
      <c r="X195" s="21"/>
      <c r="Y195" s="22"/>
      <c r="Z195" s="23"/>
      <c r="AA195" s="24"/>
      <c r="AB195" s="44"/>
    </row>
    <row r="196" spans="1:28" ht="15.5" x14ac:dyDescent="0.35">
      <c r="A196" s="18"/>
      <c r="B196" s="18"/>
      <c r="C196" s="25"/>
      <c r="D196" s="18"/>
      <c r="E196" s="18"/>
      <c r="F196" s="18"/>
      <c r="G196" s="18"/>
      <c r="H196" s="18"/>
      <c r="I196" s="18"/>
      <c r="J196" s="41"/>
      <c r="K196" s="41"/>
      <c r="L196" s="18"/>
      <c r="M196" s="18"/>
      <c r="N196" s="25"/>
      <c r="O196" s="25"/>
      <c r="P196" s="25"/>
      <c r="Q196" s="25"/>
      <c r="R196" s="25"/>
      <c r="S196" s="25"/>
      <c r="T196" s="25"/>
      <c r="U196" s="25"/>
      <c r="V196" s="18"/>
      <c r="W196" s="41"/>
      <c r="X196" s="21"/>
      <c r="Y196" s="22"/>
      <c r="Z196" s="23"/>
      <c r="AA196" s="24"/>
      <c r="AB196" s="44"/>
    </row>
    <row r="197" spans="1:28" ht="15.5" x14ac:dyDescent="0.35">
      <c r="A197" s="18"/>
      <c r="B197" s="18"/>
      <c r="C197" s="25"/>
      <c r="D197" s="18"/>
      <c r="E197" s="18"/>
      <c r="F197" s="18"/>
      <c r="G197" s="18"/>
      <c r="H197" s="18"/>
      <c r="I197" s="18"/>
      <c r="J197" s="41"/>
      <c r="K197" s="41"/>
      <c r="L197" s="18"/>
      <c r="M197" s="18"/>
      <c r="N197" s="25"/>
      <c r="O197" s="25"/>
      <c r="P197" s="25"/>
      <c r="Q197" s="25"/>
      <c r="R197" s="25"/>
      <c r="S197" s="25"/>
      <c r="T197" s="25"/>
      <c r="U197" s="25"/>
      <c r="V197" s="18"/>
      <c r="W197" s="41"/>
      <c r="X197" s="21"/>
      <c r="Y197" s="22"/>
      <c r="Z197" s="23"/>
      <c r="AA197" s="24"/>
      <c r="AB197" s="44"/>
    </row>
    <row r="198" spans="1:28" ht="15.5" x14ac:dyDescent="0.35">
      <c r="A198" s="18"/>
      <c r="B198" s="18"/>
      <c r="C198" s="25"/>
      <c r="D198" s="18"/>
      <c r="E198" s="18"/>
      <c r="F198" s="18"/>
      <c r="G198" s="18"/>
      <c r="H198" s="18"/>
      <c r="I198" s="18"/>
      <c r="J198" s="41"/>
      <c r="K198" s="41"/>
      <c r="L198" s="18"/>
      <c r="M198" s="18"/>
      <c r="N198" s="25"/>
      <c r="O198" s="25"/>
      <c r="P198" s="25"/>
      <c r="Q198" s="25"/>
      <c r="R198" s="25"/>
      <c r="S198" s="25"/>
      <c r="T198" s="25"/>
      <c r="U198" s="25"/>
      <c r="V198" s="18"/>
      <c r="W198" s="41"/>
      <c r="X198" s="21"/>
      <c r="Y198" s="22"/>
      <c r="Z198" s="23"/>
      <c r="AA198" s="24"/>
      <c r="AB198" s="44"/>
    </row>
    <row r="199" spans="1:28" ht="15.5" x14ac:dyDescent="0.35">
      <c r="A199" s="18"/>
      <c r="B199" s="18"/>
      <c r="C199" s="25"/>
      <c r="D199" s="18"/>
      <c r="E199" s="18"/>
      <c r="F199" s="18"/>
      <c r="G199" s="18"/>
      <c r="H199" s="18"/>
      <c r="I199" s="18"/>
      <c r="J199" s="41"/>
      <c r="K199" s="41"/>
      <c r="L199" s="18"/>
      <c r="M199" s="18"/>
      <c r="N199" s="25"/>
      <c r="O199" s="25"/>
      <c r="P199" s="25"/>
      <c r="Q199" s="25"/>
      <c r="R199" s="25"/>
      <c r="S199" s="25"/>
      <c r="T199" s="25"/>
      <c r="U199" s="25"/>
      <c r="V199" s="18"/>
      <c r="W199" s="41"/>
      <c r="X199" s="21"/>
      <c r="Y199" s="22"/>
      <c r="Z199" s="23"/>
      <c r="AA199" s="24"/>
      <c r="AB199" s="44"/>
    </row>
    <row r="200" spans="1:28" ht="15.5" x14ac:dyDescent="0.35">
      <c r="A200" s="18"/>
      <c r="B200" s="18"/>
      <c r="C200" s="25"/>
      <c r="D200" s="18"/>
      <c r="E200" s="18"/>
      <c r="F200" s="18"/>
      <c r="G200" s="18"/>
      <c r="H200" s="18"/>
      <c r="I200" s="18"/>
      <c r="J200" s="41"/>
      <c r="K200" s="41"/>
      <c r="L200" s="18"/>
      <c r="M200" s="18"/>
      <c r="N200" s="25"/>
      <c r="O200" s="25"/>
      <c r="P200" s="25"/>
      <c r="Q200" s="25"/>
      <c r="R200" s="25"/>
      <c r="S200" s="25"/>
      <c r="T200" s="25"/>
      <c r="U200" s="25"/>
      <c r="V200" s="18"/>
      <c r="W200" s="41"/>
      <c r="X200" s="21"/>
      <c r="Y200" s="22"/>
      <c r="Z200" s="23"/>
      <c r="AA200" s="24"/>
      <c r="AB200" s="44"/>
    </row>
    <row r="201" spans="1:28" ht="15.5" x14ac:dyDescent="0.35">
      <c r="A201" s="18"/>
      <c r="B201" s="18"/>
      <c r="C201" s="25"/>
      <c r="D201" s="18"/>
      <c r="E201" s="18"/>
      <c r="F201" s="18"/>
      <c r="G201" s="18"/>
      <c r="H201" s="18"/>
      <c r="I201" s="18"/>
      <c r="J201" s="41"/>
      <c r="K201" s="41"/>
      <c r="L201" s="18"/>
      <c r="M201" s="18"/>
      <c r="N201" s="25"/>
      <c r="O201" s="25"/>
      <c r="P201" s="25"/>
      <c r="Q201" s="25"/>
      <c r="R201" s="25"/>
      <c r="S201" s="25"/>
      <c r="T201" s="25"/>
      <c r="U201" s="25"/>
      <c r="V201" s="18"/>
      <c r="W201" s="41"/>
      <c r="X201" s="21"/>
      <c r="Y201" s="22"/>
      <c r="Z201" s="23"/>
      <c r="AA201" s="24"/>
      <c r="AB201" s="44"/>
    </row>
    <row r="202" spans="1:28" ht="15.5" x14ac:dyDescent="0.35">
      <c r="A202" s="18"/>
      <c r="B202" s="18"/>
      <c r="C202" s="25"/>
      <c r="D202" s="18"/>
      <c r="E202" s="18"/>
      <c r="F202" s="18"/>
      <c r="G202" s="18"/>
      <c r="H202" s="18"/>
      <c r="I202" s="18"/>
      <c r="J202" s="41"/>
      <c r="K202" s="41"/>
      <c r="L202" s="18"/>
      <c r="M202" s="18"/>
      <c r="N202" s="25"/>
      <c r="O202" s="25"/>
      <c r="P202" s="25"/>
      <c r="Q202" s="25"/>
      <c r="R202" s="25"/>
      <c r="S202" s="25"/>
      <c r="T202" s="25"/>
      <c r="U202" s="25"/>
      <c r="V202" s="18"/>
      <c r="W202" s="41"/>
      <c r="X202" s="21"/>
      <c r="Y202" s="22"/>
      <c r="Z202" s="23"/>
      <c r="AA202" s="24"/>
      <c r="AB202" s="44"/>
    </row>
    <row r="203" spans="1:28" ht="15.5" x14ac:dyDescent="0.35">
      <c r="A203" s="18"/>
      <c r="B203" s="18"/>
      <c r="C203" s="25"/>
      <c r="D203" s="18"/>
      <c r="E203" s="18"/>
      <c r="F203" s="18"/>
      <c r="G203" s="18"/>
      <c r="H203" s="18"/>
      <c r="I203" s="18"/>
      <c r="J203" s="41"/>
      <c r="K203" s="41"/>
      <c r="L203" s="18"/>
      <c r="M203" s="18"/>
      <c r="N203" s="25"/>
      <c r="O203" s="25"/>
      <c r="P203" s="25"/>
      <c r="Q203" s="25"/>
      <c r="R203" s="25"/>
      <c r="S203" s="25"/>
      <c r="T203" s="25"/>
      <c r="U203" s="25"/>
      <c r="V203" s="18"/>
      <c r="W203" s="41"/>
      <c r="X203" s="21"/>
      <c r="Y203" s="22"/>
      <c r="Z203" s="23"/>
      <c r="AA203" s="24"/>
      <c r="AB203" s="44"/>
    </row>
    <row r="204" spans="1:28" ht="15.5" x14ac:dyDescent="0.35">
      <c r="A204" s="18"/>
      <c r="B204" s="18"/>
      <c r="C204" s="25"/>
      <c r="D204" s="18"/>
      <c r="E204" s="18"/>
      <c r="F204" s="18"/>
      <c r="G204" s="18"/>
      <c r="H204" s="18"/>
      <c r="I204" s="18"/>
      <c r="J204" s="41"/>
      <c r="K204" s="41"/>
      <c r="L204" s="18"/>
      <c r="M204" s="18"/>
      <c r="N204" s="25"/>
      <c r="O204" s="25"/>
      <c r="P204" s="25"/>
      <c r="Q204" s="25"/>
      <c r="R204" s="25"/>
      <c r="S204" s="25"/>
      <c r="T204" s="25"/>
      <c r="U204" s="25"/>
      <c r="V204" s="18"/>
      <c r="W204" s="41"/>
      <c r="X204" s="21"/>
      <c r="Y204" s="22"/>
      <c r="Z204" s="23"/>
      <c r="AA204" s="24"/>
      <c r="AB204" s="44"/>
    </row>
    <row r="205" spans="1:28" ht="15.5" x14ac:dyDescent="0.35">
      <c r="A205" s="18"/>
      <c r="B205" s="18"/>
      <c r="C205" s="25"/>
      <c r="D205" s="18"/>
      <c r="E205" s="18"/>
      <c r="F205" s="18"/>
      <c r="G205" s="18"/>
      <c r="H205" s="18"/>
      <c r="I205" s="18"/>
      <c r="J205" s="41"/>
      <c r="K205" s="41"/>
      <c r="L205" s="18"/>
      <c r="M205" s="18"/>
      <c r="N205" s="25"/>
      <c r="O205" s="25"/>
      <c r="P205" s="25"/>
      <c r="Q205" s="25"/>
      <c r="R205" s="25"/>
      <c r="S205" s="25"/>
      <c r="T205" s="25"/>
      <c r="U205" s="25"/>
      <c r="V205" s="18"/>
      <c r="W205" s="41"/>
      <c r="X205" s="21"/>
      <c r="Y205" s="22"/>
      <c r="Z205" s="23"/>
      <c r="AA205" s="24"/>
      <c r="AB205" s="44"/>
    </row>
    <row r="206" spans="1:28" ht="15.5" x14ac:dyDescent="0.35">
      <c r="A206" s="18"/>
      <c r="B206" s="18"/>
      <c r="C206" s="25"/>
      <c r="D206" s="18"/>
      <c r="E206" s="18"/>
      <c r="F206" s="18"/>
      <c r="G206" s="18"/>
      <c r="H206" s="18"/>
      <c r="I206" s="18"/>
      <c r="J206" s="41"/>
      <c r="K206" s="41"/>
      <c r="L206" s="18"/>
      <c r="M206" s="18"/>
      <c r="N206" s="25"/>
      <c r="O206" s="25"/>
      <c r="P206" s="25"/>
      <c r="Q206" s="25"/>
      <c r="R206" s="25"/>
      <c r="S206" s="25"/>
      <c r="T206" s="25"/>
      <c r="U206" s="25"/>
      <c r="V206" s="18"/>
      <c r="W206" s="41"/>
      <c r="X206" s="21"/>
      <c r="Y206" s="22"/>
      <c r="Z206" s="23"/>
      <c r="AA206" s="24"/>
      <c r="AB206" s="44"/>
    </row>
    <row r="207" spans="1:28" ht="15.5" x14ac:dyDescent="0.35">
      <c r="A207" s="18"/>
      <c r="B207" s="18"/>
      <c r="C207" s="25"/>
      <c r="D207" s="18"/>
      <c r="E207" s="18"/>
      <c r="F207" s="18"/>
      <c r="G207" s="18"/>
      <c r="H207" s="18"/>
      <c r="I207" s="18"/>
      <c r="J207" s="41"/>
      <c r="K207" s="41"/>
      <c r="L207" s="18"/>
      <c r="M207" s="18"/>
      <c r="N207" s="25"/>
      <c r="O207" s="25"/>
      <c r="P207" s="25"/>
      <c r="Q207" s="25"/>
      <c r="R207" s="25"/>
      <c r="S207" s="25"/>
      <c r="T207" s="25"/>
      <c r="U207" s="25"/>
      <c r="V207" s="18"/>
      <c r="W207" s="41"/>
      <c r="X207" s="21"/>
      <c r="Y207" s="22"/>
      <c r="Z207" s="23"/>
      <c r="AA207" s="24"/>
      <c r="AB207" s="44"/>
    </row>
    <row r="208" spans="1:28" ht="15.5" x14ac:dyDescent="0.35">
      <c r="A208" s="18"/>
      <c r="B208" s="18"/>
      <c r="C208" s="25"/>
      <c r="D208" s="18"/>
      <c r="E208" s="18"/>
      <c r="F208" s="18"/>
      <c r="G208" s="18"/>
      <c r="H208" s="18"/>
      <c r="I208" s="18"/>
      <c r="J208" s="41"/>
      <c r="K208" s="41"/>
      <c r="L208" s="18"/>
      <c r="M208" s="18"/>
      <c r="N208" s="25"/>
      <c r="O208" s="25"/>
      <c r="P208" s="25"/>
      <c r="Q208" s="25"/>
      <c r="R208" s="25"/>
      <c r="S208" s="25"/>
      <c r="T208" s="25"/>
      <c r="U208" s="25"/>
      <c r="V208" s="18"/>
      <c r="W208" s="41"/>
      <c r="X208" s="21"/>
      <c r="Y208" s="22"/>
      <c r="Z208" s="23"/>
      <c r="AA208" s="24"/>
      <c r="AB208" s="44"/>
    </row>
    <row r="209" spans="1:28" ht="15.5" x14ac:dyDescent="0.35">
      <c r="A209" s="18"/>
      <c r="B209" s="18"/>
      <c r="C209" s="25"/>
      <c r="D209" s="18"/>
      <c r="E209" s="18"/>
      <c r="F209" s="18"/>
      <c r="G209" s="18"/>
      <c r="H209" s="18"/>
      <c r="I209" s="18"/>
      <c r="J209" s="41"/>
      <c r="K209" s="41"/>
      <c r="L209" s="18"/>
      <c r="M209" s="18"/>
      <c r="N209" s="25"/>
      <c r="O209" s="25"/>
      <c r="P209" s="25"/>
      <c r="Q209" s="25"/>
      <c r="R209" s="25"/>
      <c r="S209" s="25"/>
      <c r="T209" s="25"/>
      <c r="U209" s="25"/>
      <c r="V209" s="18"/>
      <c r="W209" s="41"/>
      <c r="X209" s="21"/>
      <c r="Y209" s="22"/>
      <c r="Z209" s="23"/>
      <c r="AA209" s="24"/>
      <c r="AB209" s="44"/>
    </row>
    <row r="210" spans="1:28" ht="15.5" x14ac:dyDescent="0.35">
      <c r="A210" s="18"/>
      <c r="B210" s="18"/>
      <c r="C210" s="25"/>
      <c r="D210" s="18"/>
      <c r="E210" s="18"/>
      <c r="F210" s="18"/>
      <c r="G210" s="18"/>
      <c r="H210" s="18"/>
      <c r="I210" s="18"/>
      <c r="J210" s="41"/>
      <c r="K210" s="41"/>
      <c r="L210" s="18"/>
      <c r="M210" s="18"/>
      <c r="N210" s="25"/>
      <c r="O210" s="25"/>
      <c r="P210" s="25"/>
      <c r="Q210" s="25"/>
      <c r="R210" s="25"/>
      <c r="S210" s="25"/>
      <c r="T210" s="25"/>
      <c r="U210" s="25"/>
      <c r="V210" s="18"/>
      <c r="W210" s="41"/>
      <c r="X210" s="21"/>
      <c r="Y210" s="22"/>
      <c r="Z210" s="23"/>
      <c r="AA210" s="24"/>
      <c r="AB210" s="44"/>
    </row>
    <row r="211" spans="1:28" ht="15.5" x14ac:dyDescent="0.35">
      <c r="A211" s="18"/>
      <c r="B211" s="18"/>
      <c r="C211" s="25"/>
      <c r="D211" s="18"/>
      <c r="E211" s="18"/>
      <c r="F211" s="18"/>
      <c r="G211" s="18"/>
      <c r="H211" s="18"/>
      <c r="I211" s="18"/>
      <c r="J211" s="41"/>
      <c r="K211" s="41"/>
      <c r="L211" s="18"/>
      <c r="M211" s="18"/>
      <c r="N211" s="25"/>
      <c r="O211" s="25"/>
      <c r="P211" s="25"/>
      <c r="Q211" s="25"/>
      <c r="R211" s="25"/>
      <c r="S211" s="25"/>
      <c r="T211" s="25"/>
      <c r="U211" s="25"/>
      <c r="V211" s="18"/>
      <c r="W211" s="41"/>
      <c r="X211" s="21"/>
      <c r="Y211" s="22"/>
      <c r="Z211" s="23"/>
      <c r="AA211" s="24"/>
      <c r="AB211" s="44"/>
    </row>
    <row r="212" spans="1:28" ht="15.5" x14ac:dyDescent="0.35">
      <c r="A212" s="18"/>
      <c r="B212" s="18"/>
      <c r="C212" s="25"/>
      <c r="D212" s="18"/>
      <c r="E212" s="18"/>
      <c r="F212" s="18"/>
      <c r="G212" s="18"/>
      <c r="H212" s="18"/>
      <c r="I212" s="18"/>
      <c r="J212" s="41"/>
      <c r="K212" s="41"/>
      <c r="L212" s="18"/>
      <c r="M212" s="18"/>
      <c r="N212" s="25"/>
      <c r="O212" s="25"/>
      <c r="P212" s="25"/>
      <c r="Q212" s="25"/>
      <c r="R212" s="25"/>
      <c r="S212" s="25"/>
      <c r="T212" s="25"/>
      <c r="U212" s="25"/>
      <c r="V212" s="18"/>
      <c r="W212" s="41"/>
      <c r="X212" s="21"/>
      <c r="Y212" s="22"/>
      <c r="Z212" s="23"/>
      <c r="AA212" s="24"/>
      <c r="AB212" s="44"/>
    </row>
    <row r="213" spans="1:28" ht="15.5" x14ac:dyDescent="0.35">
      <c r="A213" s="18"/>
      <c r="B213" s="18"/>
      <c r="C213" s="25"/>
      <c r="D213" s="18"/>
      <c r="E213" s="18"/>
      <c r="F213" s="18"/>
      <c r="G213" s="18"/>
      <c r="H213" s="18"/>
      <c r="I213" s="18"/>
      <c r="J213" s="41"/>
      <c r="K213" s="41"/>
      <c r="L213" s="18"/>
      <c r="M213" s="18"/>
      <c r="N213" s="25"/>
      <c r="O213" s="25"/>
      <c r="P213" s="25"/>
      <c r="Q213" s="25"/>
      <c r="R213" s="25"/>
      <c r="S213" s="25"/>
      <c r="T213" s="25"/>
      <c r="U213" s="25"/>
      <c r="V213" s="18"/>
      <c r="W213" s="41"/>
      <c r="X213" s="21"/>
      <c r="Y213" s="22"/>
      <c r="Z213" s="23"/>
      <c r="AA213" s="24"/>
      <c r="AB213" s="44"/>
    </row>
    <row r="214" spans="1:28" ht="15.5" x14ac:dyDescent="0.35">
      <c r="A214" s="18"/>
      <c r="B214" s="18"/>
      <c r="C214" s="25"/>
      <c r="D214" s="18"/>
      <c r="E214" s="18"/>
      <c r="F214" s="18"/>
      <c r="G214" s="18"/>
      <c r="H214" s="18"/>
      <c r="I214" s="18"/>
      <c r="J214" s="41"/>
      <c r="K214" s="41"/>
      <c r="L214" s="18"/>
      <c r="M214" s="18"/>
      <c r="N214" s="25"/>
      <c r="O214" s="25"/>
      <c r="P214" s="25"/>
      <c r="Q214" s="25"/>
      <c r="R214" s="25"/>
      <c r="S214" s="25"/>
      <c r="T214" s="25"/>
      <c r="U214" s="25"/>
      <c r="V214" s="18"/>
      <c r="W214" s="41"/>
      <c r="X214" s="21"/>
      <c r="Y214" s="22"/>
      <c r="Z214" s="23"/>
      <c r="AA214" s="24"/>
      <c r="AB214" s="44"/>
    </row>
    <row r="215" spans="1:28" ht="15.5" x14ac:dyDescent="0.35">
      <c r="A215" s="18"/>
      <c r="B215" s="18"/>
      <c r="C215" s="25"/>
      <c r="D215" s="18"/>
      <c r="E215" s="18"/>
      <c r="F215" s="18"/>
      <c r="G215" s="18"/>
      <c r="H215" s="18"/>
      <c r="I215" s="18"/>
      <c r="J215" s="41"/>
      <c r="K215" s="41"/>
      <c r="L215" s="18"/>
      <c r="M215" s="18"/>
      <c r="N215" s="25"/>
      <c r="O215" s="25"/>
      <c r="P215" s="25"/>
      <c r="Q215" s="25"/>
      <c r="R215" s="25"/>
      <c r="S215" s="25"/>
      <c r="T215" s="25"/>
      <c r="U215" s="25"/>
      <c r="V215" s="18"/>
      <c r="W215" s="41"/>
      <c r="X215" s="21"/>
      <c r="Y215" s="22"/>
      <c r="Z215" s="23"/>
      <c r="AA215" s="24"/>
      <c r="AB215" s="44"/>
    </row>
    <row r="216" spans="1:28" ht="15.5" x14ac:dyDescent="0.35">
      <c r="A216" s="18"/>
      <c r="B216" s="18"/>
      <c r="C216" s="25"/>
      <c r="D216" s="18"/>
      <c r="E216" s="18"/>
      <c r="F216" s="18"/>
      <c r="G216" s="18"/>
      <c r="H216" s="18"/>
      <c r="I216" s="18"/>
      <c r="J216" s="41"/>
      <c r="K216" s="41"/>
      <c r="L216" s="18"/>
      <c r="M216" s="18"/>
      <c r="N216" s="25"/>
      <c r="O216" s="25"/>
      <c r="P216" s="25"/>
      <c r="Q216" s="25"/>
      <c r="R216" s="25"/>
      <c r="S216" s="25"/>
      <c r="T216" s="25"/>
      <c r="U216" s="25"/>
      <c r="V216" s="18"/>
      <c r="W216" s="41"/>
      <c r="X216" s="21"/>
      <c r="Y216" s="22"/>
      <c r="Z216" s="23"/>
      <c r="AA216" s="24"/>
      <c r="AB216" s="44"/>
    </row>
    <row r="217" spans="1:28" ht="15.5" x14ac:dyDescent="0.35">
      <c r="A217" s="18"/>
      <c r="B217" s="18"/>
      <c r="C217" s="25"/>
      <c r="D217" s="18"/>
      <c r="E217" s="18"/>
      <c r="F217" s="18"/>
      <c r="G217" s="18"/>
      <c r="H217" s="18"/>
      <c r="I217" s="18"/>
      <c r="J217" s="41"/>
      <c r="K217" s="41"/>
      <c r="L217" s="18"/>
      <c r="M217" s="18"/>
      <c r="N217" s="25"/>
      <c r="O217" s="25"/>
      <c r="P217" s="25"/>
      <c r="Q217" s="25"/>
      <c r="R217" s="25"/>
      <c r="S217" s="25"/>
      <c r="T217" s="25"/>
      <c r="U217" s="25"/>
      <c r="V217" s="18"/>
      <c r="W217" s="41"/>
      <c r="X217" s="21"/>
      <c r="Y217" s="22"/>
      <c r="Z217" s="23"/>
      <c r="AA217" s="24"/>
      <c r="AB217" s="44"/>
    </row>
    <row r="218" spans="1:28" ht="15.5" x14ac:dyDescent="0.35">
      <c r="A218" s="18"/>
      <c r="B218" s="18"/>
      <c r="C218" s="25"/>
      <c r="D218" s="18"/>
      <c r="E218" s="18"/>
      <c r="F218" s="18"/>
      <c r="G218" s="18"/>
      <c r="H218" s="18"/>
      <c r="I218" s="18"/>
      <c r="J218" s="41"/>
      <c r="K218" s="41"/>
      <c r="L218" s="18"/>
      <c r="M218" s="18"/>
      <c r="N218" s="25"/>
      <c r="O218" s="25"/>
      <c r="P218" s="25"/>
      <c r="Q218" s="25"/>
      <c r="R218" s="25"/>
      <c r="S218" s="25"/>
      <c r="T218" s="25"/>
      <c r="U218" s="25"/>
      <c r="V218" s="18"/>
      <c r="W218" s="41"/>
      <c r="X218" s="21"/>
      <c r="Y218" s="22"/>
      <c r="Z218" s="23"/>
      <c r="AA218" s="24"/>
      <c r="AB218" s="44"/>
    </row>
    <row r="219" spans="1:28" ht="15.5" x14ac:dyDescent="0.35">
      <c r="A219" s="18"/>
      <c r="B219" s="18"/>
      <c r="C219" s="25"/>
      <c r="D219" s="18"/>
      <c r="E219" s="18"/>
      <c r="F219" s="18"/>
      <c r="G219" s="18"/>
      <c r="H219" s="18"/>
      <c r="I219" s="18"/>
      <c r="J219" s="41"/>
      <c r="K219" s="41"/>
      <c r="L219" s="18"/>
      <c r="M219" s="18"/>
      <c r="N219" s="25"/>
      <c r="O219" s="25"/>
      <c r="P219" s="25"/>
      <c r="Q219" s="25"/>
      <c r="R219" s="25"/>
      <c r="S219" s="25"/>
      <c r="T219" s="25"/>
      <c r="U219" s="25"/>
      <c r="V219" s="18"/>
      <c r="W219" s="41"/>
      <c r="X219" s="21"/>
      <c r="Y219" s="22"/>
      <c r="Z219" s="23"/>
      <c r="AA219" s="24"/>
      <c r="AB219" s="44"/>
    </row>
    <row r="220" spans="1:28" ht="15.5" x14ac:dyDescent="0.35">
      <c r="A220" s="18"/>
      <c r="B220" s="18"/>
      <c r="C220" s="25"/>
      <c r="D220" s="18"/>
      <c r="E220" s="18"/>
      <c r="F220" s="18"/>
      <c r="G220" s="18"/>
      <c r="H220" s="18"/>
      <c r="I220" s="18"/>
      <c r="J220" s="41"/>
      <c r="K220" s="41"/>
      <c r="L220" s="18"/>
      <c r="M220" s="18"/>
      <c r="N220" s="25"/>
      <c r="O220" s="25"/>
      <c r="P220" s="25"/>
      <c r="Q220" s="25"/>
      <c r="R220" s="25"/>
      <c r="S220" s="25"/>
      <c r="T220" s="25"/>
      <c r="U220" s="25"/>
      <c r="V220" s="18"/>
      <c r="W220" s="41"/>
      <c r="X220" s="21"/>
      <c r="Y220" s="22"/>
      <c r="Z220" s="23"/>
      <c r="AA220" s="24"/>
      <c r="AB220" s="44"/>
    </row>
    <row r="221" spans="1:28" ht="15.5" x14ac:dyDescent="0.35">
      <c r="A221" s="18"/>
      <c r="B221" s="18"/>
      <c r="C221" s="25"/>
      <c r="D221" s="18"/>
      <c r="E221" s="18"/>
      <c r="F221" s="18"/>
      <c r="G221" s="18"/>
      <c r="H221" s="18"/>
      <c r="I221" s="18"/>
      <c r="J221" s="41"/>
      <c r="K221" s="41"/>
      <c r="L221" s="18"/>
      <c r="M221" s="18"/>
      <c r="N221" s="25"/>
      <c r="O221" s="25"/>
      <c r="P221" s="25"/>
      <c r="Q221" s="25"/>
      <c r="R221" s="25"/>
      <c r="S221" s="25"/>
      <c r="T221" s="25"/>
      <c r="U221" s="25"/>
      <c r="V221" s="18"/>
      <c r="W221" s="41"/>
      <c r="X221" s="21"/>
      <c r="Y221" s="22"/>
      <c r="Z221" s="23"/>
      <c r="AA221" s="24"/>
      <c r="AB221" s="44"/>
    </row>
    <row r="222" spans="1:28" ht="15.5" x14ac:dyDescent="0.35">
      <c r="A222" s="18"/>
      <c r="B222" s="18"/>
      <c r="C222" s="25"/>
      <c r="D222" s="18"/>
      <c r="E222" s="18"/>
      <c r="F222" s="18"/>
      <c r="G222" s="18"/>
      <c r="H222" s="18"/>
      <c r="I222" s="18"/>
      <c r="J222" s="41"/>
      <c r="K222" s="41"/>
      <c r="L222" s="18"/>
      <c r="M222" s="18"/>
      <c r="N222" s="25"/>
      <c r="O222" s="25"/>
      <c r="P222" s="25"/>
      <c r="Q222" s="25"/>
      <c r="R222" s="25"/>
      <c r="S222" s="25"/>
      <c r="T222" s="25"/>
      <c r="U222" s="25"/>
      <c r="V222" s="18"/>
      <c r="W222" s="41"/>
      <c r="X222" s="21"/>
      <c r="Y222" s="22"/>
      <c r="Z222" s="23"/>
      <c r="AA222" s="24"/>
      <c r="AB222" s="44"/>
    </row>
    <row r="223" spans="1:28" ht="15.5" x14ac:dyDescent="0.35">
      <c r="A223" s="18"/>
      <c r="B223" s="18"/>
      <c r="C223" s="25"/>
      <c r="D223" s="18"/>
      <c r="E223" s="18"/>
      <c r="F223" s="18"/>
      <c r="G223" s="18"/>
      <c r="H223" s="18"/>
      <c r="I223" s="18"/>
      <c r="J223" s="41"/>
      <c r="K223" s="41"/>
      <c r="L223" s="18"/>
      <c r="M223" s="18"/>
      <c r="N223" s="25"/>
      <c r="O223" s="25"/>
      <c r="P223" s="25"/>
      <c r="Q223" s="25"/>
      <c r="R223" s="25"/>
      <c r="S223" s="25"/>
      <c r="T223" s="25"/>
      <c r="U223" s="25"/>
      <c r="V223" s="18"/>
      <c r="W223" s="41"/>
      <c r="X223" s="21"/>
      <c r="Y223" s="22"/>
      <c r="Z223" s="23"/>
      <c r="AA223" s="24"/>
      <c r="AB223" s="44"/>
    </row>
    <row r="224" spans="1:28" ht="15.5" x14ac:dyDescent="0.35">
      <c r="A224" s="18"/>
      <c r="B224" s="18"/>
      <c r="C224" s="25"/>
      <c r="D224" s="18"/>
      <c r="E224" s="18"/>
      <c r="F224" s="18"/>
      <c r="G224" s="18"/>
      <c r="H224" s="18"/>
      <c r="I224" s="18"/>
      <c r="J224" s="41"/>
      <c r="K224" s="41"/>
      <c r="L224" s="18"/>
      <c r="M224" s="18"/>
      <c r="N224" s="25"/>
      <c r="O224" s="25"/>
      <c r="P224" s="25"/>
      <c r="Q224" s="25"/>
      <c r="R224" s="25"/>
      <c r="S224" s="25"/>
      <c r="T224" s="25"/>
      <c r="U224" s="25"/>
      <c r="V224" s="18"/>
      <c r="W224" s="41"/>
      <c r="X224" s="21"/>
      <c r="Y224" s="22"/>
      <c r="Z224" s="23"/>
      <c r="AA224" s="24"/>
      <c r="AB224" s="44"/>
    </row>
    <row r="225" spans="1:28" ht="15.5" x14ac:dyDescent="0.35">
      <c r="A225" s="18"/>
      <c r="B225" s="18"/>
      <c r="C225" s="25"/>
      <c r="D225" s="18"/>
      <c r="E225" s="18"/>
      <c r="F225" s="18"/>
      <c r="G225" s="18"/>
      <c r="H225" s="18"/>
      <c r="I225" s="18"/>
      <c r="J225" s="41"/>
      <c r="K225" s="41"/>
      <c r="L225" s="18"/>
      <c r="M225" s="18"/>
      <c r="N225" s="25"/>
      <c r="O225" s="25"/>
      <c r="P225" s="25"/>
      <c r="Q225" s="25"/>
      <c r="R225" s="25"/>
      <c r="S225" s="25"/>
      <c r="T225" s="25"/>
      <c r="U225" s="25"/>
      <c r="V225" s="18"/>
      <c r="W225" s="41"/>
      <c r="X225" s="21"/>
      <c r="Y225" s="22"/>
      <c r="Z225" s="23"/>
      <c r="AA225" s="24"/>
      <c r="AB225" s="44"/>
    </row>
    <row r="226" spans="1:28" x14ac:dyDescent="0.35">
      <c r="A226" s="23"/>
      <c r="B226" s="26"/>
      <c r="C226" s="23"/>
      <c r="D226" s="23"/>
      <c r="E226" s="23"/>
      <c r="F226" s="23"/>
      <c r="G226" s="23"/>
      <c r="H226" s="23"/>
      <c r="I226" s="23"/>
      <c r="J226" s="42"/>
      <c r="K226" s="42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42"/>
      <c r="X226" s="21"/>
      <c r="Y226" s="22"/>
      <c r="Z226" s="23"/>
      <c r="AA226" s="24"/>
      <c r="AB226" s="44"/>
    </row>
    <row r="227" spans="1:28" x14ac:dyDescent="0.35">
      <c r="A227" s="23"/>
      <c r="B227" s="26"/>
      <c r="C227" s="23"/>
      <c r="D227" s="23"/>
      <c r="E227" s="23"/>
      <c r="F227" s="23"/>
      <c r="G227" s="23"/>
      <c r="H227" s="23"/>
      <c r="I227" s="23"/>
      <c r="J227" s="42"/>
      <c r="K227" s="42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42"/>
      <c r="X227" s="21"/>
      <c r="Y227" s="22"/>
      <c r="Z227" s="23"/>
      <c r="AA227" s="24"/>
      <c r="AB227" s="44"/>
    </row>
    <row r="228" spans="1:28" x14ac:dyDescent="0.35">
      <c r="A228" s="23"/>
      <c r="B228" s="26"/>
      <c r="C228" s="23"/>
      <c r="D228" s="23"/>
      <c r="E228" s="23"/>
      <c r="F228" s="23"/>
      <c r="G228" s="23"/>
      <c r="H228" s="23"/>
      <c r="I228" s="23"/>
      <c r="J228" s="42"/>
      <c r="K228" s="42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42"/>
      <c r="X228" s="21"/>
      <c r="Y228" s="22"/>
      <c r="Z228" s="23"/>
      <c r="AA228" s="24"/>
      <c r="AB228" s="44"/>
    </row>
    <row r="229" spans="1:28" x14ac:dyDescent="0.35">
      <c r="A229" s="23"/>
      <c r="B229" s="26"/>
      <c r="C229" s="23"/>
      <c r="D229" s="23"/>
      <c r="E229" s="23"/>
      <c r="F229" s="23"/>
      <c r="G229" s="23"/>
      <c r="H229" s="23"/>
      <c r="I229" s="23"/>
      <c r="J229" s="42"/>
      <c r="K229" s="42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42"/>
      <c r="X229" s="21"/>
      <c r="Y229" s="22"/>
      <c r="Z229" s="23"/>
      <c r="AA229" s="24"/>
      <c r="AB229" s="44"/>
    </row>
    <row r="230" spans="1:28" x14ac:dyDescent="0.35">
      <c r="A230" s="23"/>
      <c r="B230" s="26"/>
      <c r="C230" s="23"/>
      <c r="D230" s="23"/>
      <c r="E230" s="23"/>
      <c r="F230" s="23"/>
      <c r="G230" s="23"/>
      <c r="H230" s="23"/>
      <c r="I230" s="23"/>
      <c r="J230" s="42"/>
      <c r="K230" s="42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42"/>
      <c r="X230" s="21"/>
      <c r="Y230" s="22"/>
      <c r="Z230" s="23"/>
      <c r="AA230" s="24"/>
      <c r="AB230" s="44"/>
    </row>
    <row r="231" spans="1:28" x14ac:dyDescent="0.35">
      <c r="A231" s="23"/>
      <c r="B231" s="26"/>
      <c r="C231" s="23"/>
      <c r="D231" s="23"/>
      <c r="E231" s="23"/>
      <c r="F231" s="23"/>
      <c r="G231" s="23"/>
      <c r="H231" s="23"/>
      <c r="I231" s="23"/>
      <c r="J231" s="42"/>
      <c r="K231" s="42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42"/>
      <c r="X231" s="21"/>
      <c r="Y231" s="22"/>
      <c r="Z231" s="23"/>
      <c r="AA231" s="24"/>
      <c r="AB231" s="44"/>
    </row>
    <row r="232" spans="1:28" x14ac:dyDescent="0.35">
      <c r="A232" s="23"/>
      <c r="B232" s="26"/>
      <c r="C232" s="23"/>
      <c r="D232" s="23"/>
      <c r="E232" s="23"/>
      <c r="F232" s="23"/>
      <c r="G232" s="23"/>
      <c r="H232" s="23"/>
      <c r="I232" s="23"/>
      <c r="J232" s="42"/>
      <c r="K232" s="42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42"/>
      <c r="X232" s="21"/>
      <c r="Y232" s="22"/>
      <c r="Z232" s="23"/>
      <c r="AA232" s="24"/>
      <c r="AB232" s="44"/>
    </row>
    <row r="233" spans="1:28" x14ac:dyDescent="0.35">
      <c r="A233" s="23"/>
      <c r="B233" s="26"/>
      <c r="C233" s="23"/>
      <c r="D233" s="23"/>
      <c r="E233" s="23"/>
      <c r="F233" s="23"/>
      <c r="G233" s="23"/>
      <c r="H233" s="23"/>
      <c r="I233" s="23"/>
      <c r="J233" s="42"/>
      <c r="K233" s="42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42"/>
      <c r="X233" s="21"/>
      <c r="Y233" s="22"/>
      <c r="Z233" s="23"/>
      <c r="AA233" s="24"/>
      <c r="AB233" s="44"/>
    </row>
    <row r="234" spans="1:28" x14ac:dyDescent="0.35">
      <c r="A234" s="23"/>
      <c r="B234" s="26"/>
      <c r="C234" s="23"/>
      <c r="D234" s="23"/>
      <c r="E234" s="23"/>
      <c r="F234" s="23"/>
      <c r="G234" s="23"/>
      <c r="H234" s="23"/>
      <c r="I234" s="23"/>
      <c r="J234" s="42"/>
      <c r="K234" s="42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42"/>
      <c r="X234" s="21"/>
      <c r="Y234" s="22"/>
      <c r="Z234" s="23"/>
      <c r="AA234" s="24"/>
      <c r="AB234" s="44"/>
    </row>
    <row r="235" spans="1:28" x14ac:dyDescent="0.35">
      <c r="A235" s="23"/>
      <c r="B235" s="26"/>
      <c r="C235" s="23"/>
      <c r="D235" s="23"/>
      <c r="E235" s="23"/>
      <c r="F235" s="23"/>
      <c r="G235" s="23"/>
      <c r="H235" s="23"/>
      <c r="I235" s="23"/>
      <c r="J235" s="42"/>
      <c r="K235" s="42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42"/>
      <c r="X235" s="21"/>
      <c r="Y235" s="22"/>
      <c r="Z235" s="23"/>
      <c r="AA235" s="24"/>
      <c r="AB235" s="44"/>
    </row>
    <row r="236" spans="1:28" x14ac:dyDescent="0.35">
      <c r="A236" s="23"/>
      <c r="B236" s="26"/>
      <c r="C236" s="23"/>
      <c r="D236" s="23"/>
      <c r="E236" s="23"/>
      <c r="F236" s="23"/>
      <c r="G236" s="23"/>
      <c r="H236" s="23"/>
      <c r="I236" s="23"/>
      <c r="J236" s="42"/>
      <c r="K236" s="42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42"/>
      <c r="X236" s="21"/>
      <c r="Y236" s="22"/>
      <c r="Z236" s="23"/>
      <c r="AA236" s="24"/>
      <c r="AB236" s="44"/>
    </row>
    <row r="237" spans="1:28" x14ac:dyDescent="0.35">
      <c r="A237" s="23"/>
      <c r="B237" s="26"/>
      <c r="C237" s="23"/>
      <c r="D237" s="23"/>
      <c r="E237" s="23"/>
      <c r="F237" s="23"/>
      <c r="G237" s="23"/>
      <c r="H237" s="23"/>
      <c r="I237" s="23"/>
      <c r="J237" s="42"/>
      <c r="K237" s="42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42"/>
      <c r="X237" s="21"/>
      <c r="Y237" s="22"/>
      <c r="Z237" s="23"/>
      <c r="AA237" s="24"/>
      <c r="AB237" s="44"/>
    </row>
    <row r="238" spans="1:28" x14ac:dyDescent="0.35">
      <c r="A238" s="23"/>
      <c r="B238" s="26"/>
      <c r="C238" s="23"/>
      <c r="D238" s="23"/>
      <c r="E238" s="23"/>
      <c r="F238" s="23"/>
      <c r="G238" s="23"/>
      <c r="H238" s="23"/>
      <c r="I238" s="23"/>
      <c r="J238" s="42"/>
      <c r="K238" s="42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42"/>
      <c r="X238" s="21"/>
      <c r="Y238" s="22"/>
      <c r="Z238" s="23"/>
      <c r="AA238" s="24"/>
      <c r="AB238" s="44"/>
    </row>
    <row r="239" spans="1:28" x14ac:dyDescent="0.35">
      <c r="A239" s="23"/>
      <c r="B239" s="26"/>
      <c r="C239" s="23"/>
      <c r="D239" s="23"/>
      <c r="E239" s="23"/>
      <c r="F239" s="23"/>
      <c r="G239" s="23"/>
      <c r="H239" s="23"/>
      <c r="I239" s="23"/>
      <c r="J239" s="42"/>
      <c r="K239" s="42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42"/>
      <c r="X239" s="21"/>
      <c r="Y239" s="22"/>
      <c r="Z239" s="23"/>
      <c r="AA239" s="24"/>
      <c r="AB239" s="44"/>
    </row>
    <row r="240" spans="1:28" x14ac:dyDescent="0.35">
      <c r="A240" s="23"/>
      <c r="B240" s="26"/>
      <c r="C240" s="23"/>
      <c r="D240" s="23"/>
      <c r="E240" s="23"/>
      <c r="F240" s="23"/>
      <c r="G240" s="23"/>
      <c r="H240" s="23"/>
      <c r="I240" s="23"/>
      <c r="J240" s="42"/>
      <c r="K240" s="42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42"/>
      <c r="X240" s="21"/>
      <c r="Y240" s="22"/>
      <c r="Z240" s="23"/>
      <c r="AA240" s="24"/>
      <c r="AB240" s="44"/>
    </row>
    <row r="241" spans="1:28" x14ac:dyDescent="0.35">
      <c r="A241" s="23"/>
      <c r="B241" s="26"/>
      <c r="C241" s="23"/>
      <c r="D241" s="23"/>
      <c r="E241" s="23"/>
      <c r="F241" s="23"/>
      <c r="G241" s="23"/>
      <c r="H241" s="23"/>
      <c r="I241" s="23"/>
      <c r="J241" s="42"/>
      <c r="K241" s="42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42"/>
      <c r="X241" s="21"/>
      <c r="Y241" s="22"/>
      <c r="Z241" s="23"/>
      <c r="AA241" s="24"/>
      <c r="AB241" s="44"/>
    </row>
    <row r="242" spans="1:28" x14ac:dyDescent="0.35">
      <c r="A242" s="23"/>
      <c r="B242" s="26"/>
      <c r="C242" s="23"/>
      <c r="D242" s="23"/>
      <c r="E242" s="23"/>
      <c r="F242" s="23"/>
      <c r="G242" s="23"/>
      <c r="H242" s="23"/>
      <c r="I242" s="23"/>
      <c r="J242" s="42"/>
      <c r="K242" s="42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42"/>
      <c r="X242" s="21"/>
      <c r="Y242" s="22"/>
      <c r="Z242" s="23"/>
      <c r="AA242" s="24"/>
      <c r="AB242" s="44"/>
    </row>
    <row r="243" spans="1:28" x14ac:dyDescent="0.35">
      <c r="A243" s="23"/>
      <c r="B243" s="26"/>
      <c r="C243" s="23"/>
      <c r="D243" s="23"/>
      <c r="E243" s="23"/>
      <c r="F243" s="23"/>
      <c r="G243" s="23"/>
      <c r="H243" s="23"/>
      <c r="I243" s="23"/>
      <c r="J243" s="42"/>
      <c r="K243" s="42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42"/>
      <c r="X243" s="21"/>
      <c r="Y243" s="22"/>
      <c r="Z243" s="23"/>
      <c r="AA243" s="24"/>
      <c r="AB243" s="44"/>
    </row>
    <row r="244" spans="1:28" x14ac:dyDescent="0.35">
      <c r="A244" s="23"/>
      <c r="B244" s="26"/>
      <c r="C244" s="23"/>
      <c r="D244" s="23"/>
      <c r="E244" s="23"/>
      <c r="F244" s="23"/>
      <c r="G244" s="23"/>
      <c r="H244" s="23"/>
      <c r="I244" s="23"/>
      <c r="J244" s="42"/>
      <c r="K244" s="42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42"/>
      <c r="X244" s="21"/>
      <c r="Y244" s="22"/>
      <c r="Z244" s="23"/>
      <c r="AA244" s="24"/>
      <c r="AB244" s="44"/>
    </row>
    <row r="245" spans="1:28" x14ac:dyDescent="0.35">
      <c r="A245" s="23"/>
      <c r="B245" s="26"/>
      <c r="C245" s="23"/>
      <c r="D245" s="23"/>
      <c r="E245" s="23"/>
      <c r="F245" s="23"/>
      <c r="G245" s="23"/>
      <c r="H245" s="23"/>
      <c r="I245" s="23"/>
      <c r="J245" s="42"/>
      <c r="K245" s="42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42"/>
      <c r="X245" s="21"/>
      <c r="Y245" s="22"/>
      <c r="Z245" s="23"/>
      <c r="AA245" s="24"/>
      <c r="AB245" s="44"/>
    </row>
    <row r="246" spans="1:28" x14ac:dyDescent="0.35">
      <c r="A246" s="23"/>
      <c r="B246" s="26"/>
      <c r="C246" s="23"/>
      <c r="D246" s="23"/>
      <c r="E246" s="23"/>
      <c r="F246" s="23"/>
      <c r="G246" s="23"/>
      <c r="H246" s="23"/>
      <c r="I246" s="23"/>
      <c r="J246" s="42"/>
      <c r="K246" s="42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42"/>
      <c r="X246" s="21"/>
      <c r="Y246" s="22"/>
      <c r="Z246" s="23"/>
      <c r="AA246" s="24"/>
      <c r="AB246" s="44"/>
    </row>
    <row r="247" spans="1:28" x14ac:dyDescent="0.35">
      <c r="A247" s="23"/>
      <c r="B247" s="26"/>
      <c r="C247" s="23"/>
      <c r="D247" s="23"/>
      <c r="E247" s="23"/>
      <c r="F247" s="23"/>
      <c r="G247" s="23"/>
      <c r="H247" s="23"/>
      <c r="I247" s="23"/>
      <c r="J247" s="42"/>
      <c r="K247" s="42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42"/>
      <c r="X247" s="21"/>
      <c r="Y247" s="22"/>
      <c r="Z247" s="23"/>
      <c r="AA247" s="24"/>
      <c r="AB247" s="44"/>
    </row>
    <row r="248" spans="1:28" x14ac:dyDescent="0.35">
      <c r="A248" s="23"/>
      <c r="B248" s="26"/>
      <c r="C248" s="23"/>
      <c r="D248" s="23"/>
      <c r="E248" s="23"/>
      <c r="F248" s="23"/>
      <c r="G248" s="23"/>
      <c r="H248" s="23"/>
      <c r="I248" s="23"/>
      <c r="J248" s="42"/>
      <c r="K248" s="42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42"/>
      <c r="X248" s="21"/>
      <c r="Y248" s="22"/>
      <c r="Z248" s="23"/>
      <c r="AA248" s="24"/>
      <c r="AB248" s="44"/>
    </row>
    <row r="249" spans="1:28" x14ac:dyDescent="0.35">
      <c r="A249" s="23"/>
      <c r="B249" s="26"/>
      <c r="C249" s="23"/>
      <c r="D249" s="23"/>
      <c r="E249" s="23"/>
      <c r="F249" s="23"/>
      <c r="G249" s="23"/>
      <c r="H249" s="23"/>
      <c r="I249" s="23"/>
      <c r="J249" s="42"/>
      <c r="K249" s="42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42"/>
      <c r="X249" s="21"/>
      <c r="Y249" s="22"/>
      <c r="Z249" s="23"/>
      <c r="AA249" s="24"/>
      <c r="AB249" s="44"/>
    </row>
    <row r="250" spans="1:28" x14ac:dyDescent="0.35">
      <c r="A250" s="23"/>
      <c r="B250" s="26"/>
      <c r="C250" s="23"/>
      <c r="D250" s="23"/>
      <c r="E250" s="23"/>
      <c r="F250" s="23"/>
      <c r="G250" s="23"/>
      <c r="H250" s="23"/>
      <c r="I250" s="23"/>
      <c r="J250" s="42"/>
      <c r="K250" s="42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42"/>
      <c r="X250" s="21"/>
      <c r="Y250" s="22"/>
      <c r="Z250" s="23"/>
      <c r="AA250" s="24"/>
      <c r="AB250" s="44"/>
    </row>
    <row r="251" spans="1:28" x14ac:dyDescent="0.35">
      <c r="A251" s="23"/>
      <c r="B251" s="26"/>
      <c r="C251" s="23"/>
      <c r="D251" s="23"/>
      <c r="E251" s="23"/>
      <c r="F251" s="23"/>
      <c r="G251" s="23"/>
      <c r="H251" s="23"/>
      <c r="I251" s="23"/>
      <c r="J251" s="42"/>
      <c r="K251" s="42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42"/>
      <c r="X251" s="21"/>
      <c r="Y251" s="22"/>
      <c r="Z251" s="23"/>
      <c r="AA251" s="24"/>
      <c r="AB251" s="44"/>
    </row>
    <row r="252" spans="1:28" x14ac:dyDescent="0.35">
      <c r="A252" s="23"/>
      <c r="B252" s="26"/>
      <c r="C252" s="23"/>
      <c r="D252" s="23"/>
      <c r="E252" s="23"/>
      <c r="F252" s="23"/>
      <c r="G252" s="23"/>
      <c r="H252" s="23"/>
      <c r="I252" s="23"/>
      <c r="J252" s="42"/>
      <c r="K252" s="42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42"/>
      <c r="X252" s="21"/>
      <c r="Y252" s="22"/>
      <c r="Z252" s="23"/>
      <c r="AA252" s="24"/>
      <c r="AB252" s="44"/>
    </row>
    <row r="253" spans="1:28" x14ac:dyDescent="0.35">
      <c r="A253" s="23"/>
      <c r="B253" s="26"/>
      <c r="C253" s="23"/>
      <c r="D253" s="23"/>
      <c r="E253" s="23"/>
      <c r="F253" s="23"/>
      <c r="G253" s="23"/>
      <c r="H253" s="23"/>
      <c r="I253" s="23"/>
      <c r="J253" s="42"/>
      <c r="K253" s="42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42"/>
      <c r="X253" s="21"/>
      <c r="Y253" s="22"/>
      <c r="Z253" s="23"/>
      <c r="AA253" s="24"/>
      <c r="AB253" s="44"/>
    </row>
    <row r="254" spans="1:28" x14ac:dyDescent="0.35">
      <c r="A254" s="23"/>
      <c r="B254" s="26"/>
      <c r="C254" s="23"/>
      <c r="D254" s="23"/>
      <c r="E254" s="23"/>
      <c r="F254" s="23"/>
      <c r="G254" s="23"/>
      <c r="H254" s="23"/>
      <c r="I254" s="23"/>
      <c r="J254" s="42"/>
      <c r="K254" s="42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42"/>
      <c r="X254" s="21"/>
      <c r="Y254" s="22"/>
      <c r="Z254" s="23"/>
      <c r="AA254" s="24"/>
      <c r="AB254" s="44"/>
    </row>
    <row r="255" spans="1:28" x14ac:dyDescent="0.35">
      <c r="A255" s="23"/>
      <c r="B255" s="26"/>
      <c r="C255" s="23"/>
      <c r="D255" s="23"/>
      <c r="E255" s="23"/>
      <c r="F255" s="23"/>
      <c r="G255" s="23"/>
      <c r="H255" s="23"/>
      <c r="I255" s="23"/>
      <c r="J255" s="42"/>
      <c r="K255" s="42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42"/>
      <c r="X255" s="21"/>
      <c r="Y255" s="22"/>
      <c r="Z255" s="23"/>
      <c r="AA255" s="24"/>
      <c r="AB255" s="44"/>
    </row>
    <row r="256" spans="1:28" x14ac:dyDescent="0.35">
      <c r="A256" s="23"/>
      <c r="B256" s="26"/>
      <c r="C256" s="23"/>
      <c r="D256" s="23"/>
      <c r="E256" s="23"/>
      <c r="F256" s="23"/>
      <c r="G256" s="23"/>
      <c r="H256" s="23"/>
      <c r="I256" s="23"/>
      <c r="J256" s="42"/>
      <c r="K256" s="42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42"/>
      <c r="X256" s="21"/>
      <c r="Y256" s="22"/>
      <c r="Z256" s="23"/>
      <c r="AA256" s="24"/>
      <c r="AB256" s="44"/>
    </row>
    <row r="257" spans="1:28" x14ac:dyDescent="0.35">
      <c r="A257" s="23"/>
      <c r="B257" s="26"/>
      <c r="C257" s="23"/>
      <c r="D257" s="23"/>
      <c r="E257" s="23"/>
      <c r="F257" s="23"/>
      <c r="G257" s="23"/>
      <c r="H257" s="23"/>
      <c r="I257" s="23"/>
      <c r="J257" s="42"/>
      <c r="K257" s="42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42"/>
      <c r="X257" s="21"/>
      <c r="Y257" s="22"/>
      <c r="Z257" s="23"/>
      <c r="AA257" s="24"/>
      <c r="AB257" s="44"/>
    </row>
    <row r="258" spans="1:28" x14ac:dyDescent="0.35">
      <c r="A258" s="23"/>
      <c r="B258" s="26"/>
      <c r="C258" s="23"/>
      <c r="D258" s="23"/>
      <c r="E258" s="23"/>
      <c r="F258" s="23"/>
      <c r="G258" s="23"/>
      <c r="H258" s="23"/>
      <c r="I258" s="23"/>
      <c r="J258" s="42"/>
      <c r="K258" s="42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42"/>
      <c r="X258" s="21"/>
      <c r="Y258" s="22"/>
      <c r="Z258" s="23"/>
      <c r="AA258" s="24"/>
      <c r="AB258" s="44"/>
    </row>
    <row r="259" spans="1:28" x14ac:dyDescent="0.35">
      <c r="A259" s="23"/>
      <c r="B259" s="26"/>
      <c r="C259" s="23"/>
      <c r="D259" s="23"/>
      <c r="E259" s="23"/>
      <c r="F259" s="23"/>
      <c r="G259" s="23"/>
      <c r="H259" s="23"/>
      <c r="I259" s="23"/>
      <c r="J259" s="42"/>
      <c r="K259" s="42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42"/>
      <c r="X259" s="21"/>
      <c r="Y259" s="22"/>
      <c r="Z259" s="23"/>
      <c r="AA259" s="24"/>
      <c r="AB259" s="44"/>
    </row>
    <row r="260" spans="1:28" x14ac:dyDescent="0.35">
      <c r="A260" s="23"/>
      <c r="B260" s="26"/>
      <c r="C260" s="23"/>
      <c r="D260" s="23"/>
      <c r="E260" s="23"/>
      <c r="F260" s="23"/>
      <c r="G260" s="23"/>
      <c r="H260" s="23"/>
      <c r="I260" s="23"/>
      <c r="J260" s="42"/>
      <c r="K260" s="42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42"/>
      <c r="X260" s="21"/>
      <c r="Y260" s="22"/>
      <c r="Z260" s="23"/>
      <c r="AA260" s="24"/>
      <c r="AB260" s="44"/>
    </row>
    <row r="261" spans="1:28" x14ac:dyDescent="0.35">
      <c r="A261" s="23"/>
      <c r="B261" s="26"/>
      <c r="C261" s="23"/>
      <c r="D261" s="23"/>
      <c r="E261" s="23"/>
      <c r="F261" s="23"/>
      <c r="G261" s="23"/>
      <c r="H261" s="23"/>
      <c r="I261" s="23"/>
      <c r="J261" s="42"/>
      <c r="K261" s="42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42"/>
      <c r="X261" s="21"/>
      <c r="Y261" s="22"/>
      <c r="Z261" s="23"/>
      <c r="AA261" s="24"/>
      <c r="AB261" s="44"/>
    </row>
    <row r="262" spans="1:28" x14ac:dyDescent="0.35">
      <c r="A262" s="23"/>
      <c r="B262" s="26"/>
      <c r="C262" s="23"/>
      <c r="D262" s="23"/>
      <c r="E262" s="23"/>
      <c r="F262" s="23"/>
      <c r="G262" s="23"/>
      <c r="H262" s="23"/>
      <c r="I262" s="23"/>
      <c r="J262" s="42"/>
      <c r="K262" s="42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42"/>
      <c r="X262" s="21"/>
      <c r="Y262" s="22"/>
      <c r="Z262" s="23"/>
      <c r="AA262" s="24"/>
      <c r="AB262" s="44"/>
    </row>
    <row r="263" spans="1:28" x14ac:dyDescent="0.35">
      <c r="A263" s="23"/>
      <c r="B263" s="26"/>
      <c r="C263" s="23"/>
      <c r="D263" s="23"/>
      <c r="E263" s="23"/>
      <c r="F263" s="23"/>
      <c r="G263" s="23"/>
      <c r="H263" s="23"/>
      <c r="I263" s="23"/>
      <c r="J263" s="42"/>
      <c r="K263" s="42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42"/>
      <c r="X263" s="21"/>
      <c r="Y263" s="22"/>
      <c r="Z263" s="23"/>
      <c r="AA263" s="24"/>
      <c r="AB263" s="44"/>
    </row>
    <row r="264" spans="1:28" x14ac:dyDescent="0.35">
      <c r="A264" s="23"/>
      <c r="B264" s="26"/>
      <c r="C264" s="23"/>
      <c r="D264" s="23"/>
      <c r="E264" s="23"/>
      <c r="F264" s="23"/>
      <c r="G264" s="23"/>
      <c r="H264" s="23"/>
      <c r="I264" s="23"/>
      <c r="J264" s="42"/>
      <c r="K264" s="42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42"/>
      <c r="X264" s="21"/>
      <c r="Y264" s="22"/>
      <c r="Z264" s="23"/>
      <c r="AA264" s="24"/>
      <c r="AB264" s="44"/>
    </row>
    <row r="265" spans="1:28" x14ac:dyDescent="0.35">
      <c r="A265" s="23"/>
      <c r="B265" s="26"/>
      <c r="C265" s="23"/>
      <c r="D265" s="23"/>
      <c r="E265" s="23"/>
      <c r="F265" s="23"/>
      <c r="G265" s="23"/>
      <c r="H265" s="23"/>
      <c r="I265" s="23"/>
      <c r="J265" s="42"/>
      <c r="K265" s="42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42"/>
      <c r="X265" s="21"/>
      <c r="Y265" s="22"/>
      <c r="Z265" s="23"/>
      <c r="AA265" s="24"/>
      <c r="AB265" s="44"/>
    </row>
    <row r="266" spans="1:28" x14ac:dyDescent="0.35">
      <c r="A266" s="23"/>
      <c r="B266" s="26"/>
      <c r="C266" s="23"/>
      <c r="D266" s="23"/>
      <c r="E266" s="23"/>
      <c r="F266" s="23"/>
      <c r="G266" s="23"/>
      <c r="H266" s="23"/>
      <c r="I266" s="23"/>
      <c r="J266" s="42"/>
      <c r="K266" s="42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42"/>
      <c r="X266" s="21"/>
      <c r="Y266" s="22"/>
      <c r="Z266" s="23"/>
      <c r="AA266" s="24"/>
      <c r="AB266" s="44"/>
    </row>
    <row r="267" spans="1:28" x14ac:dyDescent="0.35">
      <c r="A267" s="23"/>
      <c r="B267" s="26"/>
      <c r="C267" s="23"/>
      <c r="D267" s="23"/>
      <c r="E267" s="23"/>
      <c r="F267" s="23"/>
      <c r="G267" s="23"/>
      <c r="H267" s="23"/>
      <c r="I267" s="23"/>
      <c r="J267" s="42"/>
      <c r="K267" s="42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42"/>
      <c r="X267" s="21"/>
      <c r="Y267" s="22"/>
      <c r="Z267" s="23"/>
      <c r="AA267" s="24"/>
      <c r="AB267" s="44"/>
    </row>
    <row r="268" spans="1:28" x14ac:dyDescent="0.35">
      <c r="A268" s="23"/>
      <c r="B268" s="26"/>
      <c r="C268" s="23"/>
      <c r="D268" s="23"/>
      <c r="E268" s="23"/>
      <c r="F268" s="23"/>
      <c r="G268" s="23"/>
      <c r="H268" s="23"/>
      <c r="I268" s="23"/>
      <c r="J268" s="42"/>
      <c r="K268" s="42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42"/>
      <c r="X268" s="21"/>
      <c r="Y268" s="22"/>
      <c r="Z268" s="23"/>
      <c r="AA268" s="24"/>
      <c r="AB268" s="44"/>
    </row>
    <row r="269" spans="1:28" x14ac:dyDescent="0.35">
      <c r="A269" s="23"/>
      <c r="B269" s="26"/>
      <c r="C269" s="23"/>
      <c r="D269" s="23"/>
      <c r="E269" s="23"/>
      <c r="F269" s="23"/>
      <c r="G269" s="23"/>
      <c r="H269" s="23"/>
      <c r="I269" s="23"/>
      <c r="J269" s="42"/>
      <c r="K269" s="42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42"/>
      <c r="X269" s="21"/>
      <c r="Y269" s="22"/>
      <c r="Z269" s="23"/>
      <c r="AA269" s="24"/>
      <c r="AB269" s="44"/>
    </row>
    <row r="270" spans="1:28" x14ac:dyDescent="0.35">
      <c r="A270" s="23"/>
      <c r="B270" s="26"/>
      <c r="C270" s="23"/>
      <c r="D270" s="23"/>
      <c r="E270" s="23"/>
      <c r="F270" s="23"/>
      <c r="G270" s="23"/>
      <c r="H270" s="23"/>
      <c r="I270" s="23"/>
      <c r="J270" s="42"/>
      <c r="K270" s="42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42"/>
      <c r="X270" s="21"/>
      <c r="Y270" s="22"/>
      <c r="Z270" s="23"/>
      <c r="AA270" s="24"/>
      <c r="AB270" s="44"/>
    </row>
    <row r="271" spans="1:28" x14ac:dyDescent="0.35">
      <c r="A271" s="23"/>
      <c r="B271" s="26"/>
      <c r="C271" s="23"/>
      <c r="D271" s="23"/>
      <c r="E271" s="23"/>
      <c r="F271" s="23"/>
      <c r="G271" s="23"/>
      <c r="H271" s="23"/>
      <c r="I271" s="23"/>
      <c r="J271" s="42"/>
      <c r="K271" s="42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42"/>
      <c r="X271" s="21"/>
      <c r="Y271" s="22"/>
      <c r="Z271" s="23"/>
      <c r="AA271" s="24"/>
      <c r="AB271" s="44"/>
    </row>
    <row r="272" spans="1:28" x14ac:dyDescent="0.35">
      <c r="A272" s="23"/>
      <c r="B272" s="26"/>
      <c r="C272" s="23"/>
      <c r="D272" s="23"/>
      <c r="E272" s="23"/>
      <c r="F272" s="23"/>
      <c r="G272" s="23"/>
      <c r="H272" s="23"/>
      <c r="I272" s="23"/>
      <c r="J272" s="42"/>
      <c r="K272" s="42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42"/>
      <c r="X272" s="21"/>
      <c r="Y272" s="22"/>
      <c r="Z272" s="23"/>
      <c r="AA272" s="24"/>
      <c r="AB272" s="44"/>
    </row>
    <row r="273" spans="1:28" x14ac:dyDescent="0.35">
      <c r="A273" s="23"/>
      <c r="B273" s="26"/>
      <c r="C273" s="23"/>
      <c r="D273" s="23"/>
      <c r="E273" s="23"/>
      <c r="F273" s="23"/>
      <c r="G273" s="23"/>
      <c r="H273" s="23"/>
      <c r="I273" s="23"/>
      <c r="J273" s="42"/>
      <c r="K273" s="42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42"/>
      <c r="X273" s="21"/>
      <c r="Y273" s="22"/>
      <c r="Z273" s="23"/>
      <c r="AA273" s="24"/>
      <c r="AB273" s="44"/>
    </row>
    <row r="274" spans="1:28" x14ac:dyDescent="0.35">
      <c r="A274" s="23"/>
      <c r="B274" s="26"/>
      <c r="C274" s="23"/>
      <c r="D274" s="23"/>
      <c r="E274" s="23"/>
      <c r="F274" s="23"/>
      <c r="G274" s="23"/>
      <c r="H274" s="23"/>
      <c r="I274" s="23"/>
      <c r="J274" s="42"/>
      <c r="K274" s="42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42"/>
      <c r="X274" s="21"/>
      <c r="Y274" s="22"/>
      <c r="Z274" s="23"/>
      <c r="AA274" s="24"/>
      <c r="AB274" s="44"/>
    </row>
    <row r="275" spans="1:28" x14ac:dyDescent="0.35">
      <c r="A275" s="23"/>
      <c r="B275" s="26"/>
      <c r="C275" s="23"/>
      <c r="D275" s="23"/>
      <c r="E275" s="23"/>
      <c r="F275" s="23"/>
      <c r="G275" s="23"/>
      <c r="H275" s="23"/>
      <c r="I275" s="23"/>
      <c r="J275" s="42"/>
      <c r="K275" s="42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42"/>
      <c r="X275" s="21"/>
      <c r="Y275" s="22"/>
      <c r="Z275" s="23"/>
      <c r="AA275" s="24"/>
      <c r="AB275" s="44"/>
    </row>
    <row r="276" spans="1:28" x14ac:dyDescent="0.35">
      <c r="A276" s="23"/>
      <c r="B276" s="26"/>
      <c r="C276" s="23"/>
      <c r="D276" s="23"/>
      <c r="E276" s="23"/>
      <c r="F276" s="23"/>
      <c r="G276" s="23"/>
      <c r="H276" s="23"/>
      <c r="I276" s="23"/>
      <c r="J276" s="42"/>
      <c r="K276" s="42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42"/>
      <c r="X276" s="21"/>
      <c r="Y276" s="22"/>
      <c r="Z276" s="23"/>
      <c r="AA276" s="24"/>
      <c r="AB276" s="44"/>
    </row>
    <row r="277" spans="1:28" x14ac:dyDescent="0.35">
      <c r="A277" s="23"/>
      <c r="B277" s="26"/>
      <c r="C277" s="23"/>
      <c r="D277" s="23"/>
      <c r="E277" s="23"/>
      <c r="F277" s="23"/>
      <c r="G277" s="23"/>
      <c r="H277" s="23"/>
      <c r="I277" s="23"/>
      <c r="J277" s="42"/>
      <c r="K277" s="42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42"/>
      <c r="X277" s="21"/>
      <c r="Y277" s="22"/>
      <c r="Z277" s="23"/>
      <c r="AA277" s="24"/>
      <c r="AB277" s="44"/>
    </row>
    <row r="278" spans="1:28" x14ac:dyDescent="0.35">
      <c r="A278" s="23"/>
      <c r="B278" s="26"/>
      <c r="C278" s="23"/>
      <c r="D278" s="23"/>
      <c r="E278" s="23"/>
      <c r="F278" s="23"/>
      <c r="G278" s="23"/>
      <c r="H278" s="23"/>
      <c r="I278" s="23"/>
      <c r="J278" s="42"/>
      <c r="K278" s="42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42"/>
      <c r="X278" s="21"/>
      <c r="Y278" s="22"/>
      <c r="Z278" s="23"/>
      <c r="AA278" s="24"/>
      <c r="AB278" s="44"/>
    </row>
    <row r="279" spans="1:28" x14ac:dyDescent="0.35">
      <c r="A279" s="23"/>
      <c r="B279" s="26"/>
      <c r="C279" s="23"/>
      <c r="D279" s="23"/>
      <c r="E279" s="23"/>
      <c r="F279" s="23"/>
      <c r="G279" s="23"/>
      <c r="H279" s="23"/>
      <c r="I279" s="23"/>
      <c r="J279" s="42"/>
      <c r="K279" s="42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42"/>
      <c r="X279" s="21"/>
      <c r="Y279" s="22"/>
      <c r="Z279" s="23"/>
      <c r="AA279" s="24"/>
      <c r="AB279" s="44"/>
    </row>
    <row r="280" spans="1:28" x14ac:dyDescent="0.35">
      <c r="A280" s="23"/>
      <c r="B280" s="26"/>
      <c r="C280" s="23"/>
      <c r="D280" s="23"/>
      <c r="E280" s="23"/>
      <c r="F280" s="23"/>
      <c r="G280" s="23"/>
      <c r="H280" s="23"/>
      <c r="I280" s="23"/>
      <c r="J280" s="42"/>
      <c r="K280" s="42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42"/>
      <c r="X280" s="21"/>
      <c r="Y280" s="22"/>
      <c r="Z280" s="23"/>
      <c r="AA280" s="24"/>
      <c r="AB280" s="44"/>
    </row>
    <row r="281" spans="1:28" x14ac:dyDescent="0.35">
      <c r="A281" s="23"/>
      <c r="B281" s="26"/>
      <c r="C281" s="23"/>
      <c r="D281" s="23"/>
      <c r="E281" s="23"/>
      <c r="F281" s="23"/>
      <c r="G281" s="23"/>
      <c r="H281" s="23"/>
      <c r="I281" s="23"/>
      <c r="J281" s="42"/>
      <c r="K281" s="42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42"/>
      <c r="X281" s="21"/>
      <c r="Y281" s="22"/>
      <c r="Z281" s="23"/>
      <c r="AA281" s="24"/>
      <c r="AB281" s="44"/>
    </row>
    <row r="282" spans="1:28" x14ac:dyDescent="0.35">
      <c r="A282" s="23"/>
      <c r="B282" s="26"/>
      <c r="C282" s="23"/>
      <c r="D282" s="23"/>
      <c r="E282" s="23"/>
      <c r="F282" s="23"/>
      <c r="G282" s="23"/>
      <c r="H282" s="23"/>
      <c r="I282" s="23"/>
      <c r="J282" s="42"/>
      <c r="K282" s="42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42"/>
      <c r="X282" s="21"/>
      <c r="Y282" s="22"/>
      <c r="Z282" s="23"/>
      <c r="AA282" s="24"/>
      <c r="AB282" s="44"/>
    </row>
    <row r="283" spans="1:28" x14ac:dyDescent="0.35">
      <c r="A283" s="23"/>
      <c r="B283" s="26"/>
      <c r="C283" s="23"/>
      <c r="D283" s="23"/>
      <c r="E283" s="23"/>
      <c r="F283" s="23"/>
      <c r="G283" s="23"/>
      <c r="H283" s="23"/>
      <c r="I283" s="23"/>
      <c r="J283" s="42"/>
      <c r="K283" s="42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42"/>
      <c r="X283" s="21"/>
      <c r="Y283" s="22"/>
      <c r="Z283" s="23"/>
      <c r="AA283" s="24"/>
      <c r="AB283" s="44"/>
    </row>
    <row r="284" spans="1:28" x14ac:dyDescent="0.35">
      <c r="A284" s="23"/>
      <c r="B284" s="26"/>
      <c r="C284" s="23"/>
      <c r="D284" s="23"/>
      <c r="E284" s="23"/>
      <c r="F284" s="23"/>
      <c r="G284" s="23"/>
      <c r="H284" s="23"/>
      <c r="I284" s="23"/>
      <c r="J284" s="42"/>
      <c r="K284" s="42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42"/>
      <c r="X284" s="21"/>
      <c r="Y284" s="22"/>
      <c r="Z284" s="23"/>
      <c r="AA284" s="24"/>
      <c r="AB284" s="44"/>
    </row>
    <row r="285" spans="1:28" x14ac:dyDescent="0.35">
      <c r="A285" s="23"/>
      <c r="B285" s="26"/>
      <c r="C285" s="23"/>
      <c r="D285" s="23"/>
      <c r="E285" s="23"/>
      <c r="F285" s="23"/>
      <c r="G285" s="23"/>
      <c r="H285" s="23"/>
      <c r="I285" s="23"/>
      <c r="J285" s="42"/>
      <c r="K285" s="42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42"/>
      <c r="X285" s="21"/>
      <c r="Y285" s="22"/>
      <c r="Z285" s="23"/>
      <c r="AA285" s="24"/>
      <c r="AB285" s="44"/>
    </row>
    <row r="286" spans="1:28" x14ac:dyDescent="0.35">
      <c r="A286" s="23"/>
      <c r="B286" s="26"/>
      <c r="C286" s="23"/>
      <c r="D286" s="23"/>
      <c r="E286" s="23"/>
      <c r="F286" s="23"/>
      <c r="G286" s="23"/>
      <c r="H286" s="23"/>
      <c r="I286" s="23"/>
      <c r="J286" s="42"/>
      <c r="K286" s="42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42"/>
      <c r="X286" s="21"/>
      <c r="Y286" s="22"/>
      <c r="Z286" s="23"/>
      <c r="AA286" s="24"/>
      <c r="AB286" s="44"/>
    </row>
    <row r="287" spans="1:28" x14ac:dyDescent="0.35">
      <c r="A287" s="23"/>
      <c r="B287" s="26"/>
      <c r="C287" s="23"/>
      <c r="D287" s="23"/>
      <c r="E287" s="23"/>
      <c r="F287" s="23"/>
      <c r="G287" s="23"/>
      <c r="H287" s="23"/>
      <c r="I287" s="23"/>
      <c r="J287" s="42"/>
      <c r="K287" s="42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42"/>
      <c r="X287" s="21"/>
      <c r="Y287" s="22"/>
      <c r="Z287" s="23"/>
      <c r="AA287" s="24"/>
      <c r="AB287" s="44"/>
    </row>
    <row r="288" spans="1:28" x14ac:dyDescent="0.35">
      <c r="A288" s="23"/>
      <c r="B288" s="26"/>
      <c r="C288" s="23"/>
      <c r="D288" s="23"/>
      <c r="E288" s="23"/>
      <c r="F288" s="23"/>
      <c r="G288" s="23"/>
      <c r="H288" s="23"/>
      <c r="I288" s="23"/>
      <c r="J288" s="42"/>
      <c r="K288" s="42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42"/>
      <c r="X288" s="21"/>
      <c r="Y288" s="22"/>
      <c r="Z288" s="23"/>
      <c r="AA288" s="24"/>
      <c r="AB288" s="44"/>
    </row>
    <row r="289" spans="1:28" x14ac:dyDescent="0.35">
      <c r="A289" s="23"/>
      <c r="B289" s="26"/>
      <c r="C289" s="23"/>
      <c r="D289" s="23"/>
      <c r="E289" s="23"/>
      <c r="F289" s="23"/>
      <c r="G289" s="23"/>
      <c r="H289" s="23"/>
      <c r="I289" s="23"/>
      <c r="J289" s="42"/>
      <c r="K289" s="42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42"/>
      <c r="X289" s="21"/>
      <c r="Y289" s="22"/>
      <c r="Z289" s="23"/>
      <c r="AA289" s="24"/>
      <c r="AB289" s="44"/>
    </row>
    <row r="290" spans="1:28" x14ac:dyDescent="0.35">
      <c r="A290" s="23"/>
      <c r="B290" s="26"/>
      <c r="C290" s="23"/>
      <c r="D290" s="23"/>
      <c r="E290" s="23"/>
      <c r="F290" s="23"/>
      <c r="G290" s="23"/>
      <c r="H290" s="23"/>
      <c r="I290" s="23"/>
      <c r="J290" s="42"/>
      <c r="K290" s="42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42"/>
      <c r="X290" s="21"/>
      <c r="Y290" s="22"/>
      <c r="Z290" s="23"/>
      <c r="AA290" s="24"/>
      <c r="AB290" s="44"/>
    </row>
    <row r="291" spans="1:28" x14ac:dyDescent="0.35">
      <c r="A291" s="23"/>
      <c r="B291" s="26"/>
      <c r="C291" s="23"/>
      <c r="D291" s="23"/>
      <c r="E291" s="23"/>
      <c r="F291" s="23"/>
      <c r="G291" s="23"/>
      <c r="H291" s="23"/>
      <c r="I291" s="23"/>
      <c r="J291" s="42"/>
      <c r="K291" s="42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42"/>
      <c r="X291" s="21"/>
      <c r="Y291" s="22"/>
      <c r="Z291" s="23"/>
      <c r="AA291" s="24"/>
      <c r="AB291" s="44"/>
    </row>
    <row r="292" spans="1:28" x14ac:dyDescent="0.35">
      <c r="A292" s="23"/>
      <c r="B292" s="26"/>
      <c r="C292" s="23"/>
      <c r="D292" s="23"/>
      <c r="E292" s="23"/>
      <c r="F292" s="23"/>
      <c r="G292" s="23"/>
      <c r="H292" s="23"/>
      <c r="I292" s="23"/>
      <c r="J292" s="42"/>
      <c r="K292" s="42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42"/>
      <c r="X292" s="21"/>
      <c r="Y292" s="22"/>
      <c r="Z292" s="23"/>
      <c r="AA292" s="24"/>
      <c r="AB292" s="44"/>
    </row>
    <row r="293" spans="1:28" x14ac:dyDescent="0.35">
      <c r="A293" s="23"/>
      <c r="B293" s="26"/>
      <c r="C293" s="23"/>
      <c r="D293" s="23"/>
      <c r="E293" s="23"/>
      <c r="F293" s="23"/>
      <c r="G293" s="23"/>
      <c r="H293" s="23"/>
      <c r="I293" s="23"/>
      <c r="J293" s="42"/>
      <c r="K293" s="42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42"/>
      <c r="X293" s="21"/>
      <c r="Y293" s="22"/>
      <c r="Z293" s="23"/>
      <c r="AA293" s="24"/>
      <c r="AB293" s="44"/>
    </row>
    <row r="294" spans="1:28" x14ac:dyDescent="0.35">
      <c r="A294" s="23"/>
      <c r="B294" s="26"/>
      <c r="C294" s="23"/>
      <c r="D294" s="23"/>
      <c r="E294" s="23"/>
      <c r="F294" s="23"/>
      <c r="G294" s="23"/>
      <c r="H294" s="23"/>
      <c r="I294" s="23"/>
      <c r="J294" s="42"/>
      <c r="K294" s="42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42"/>
      <c r="X294" s="21"/>
      <c r="Y294" s="22"/>
      <c r="Z294" s="23"/>
      <c r="AA294" s="24"/>
      <c r="AB294" s="44"/>
    </row>
    <row r="295" spans="1:28" x14ac:dyDescent="0.35">
      <c r="A295" s="23"/>
      <c r="B295" s="26"/>
      <c r="C295" s="23"/>
      <c r="D295" s="23"/>
      <c r="E295" s="23"/>
      <c r="F295" s="23"/>
      <c r="G295" s="23"/>
      <c r="H295" s="23"/>
      <c r="I295" s="23"/>
      <c r="J295" s="42"/>
      <c r="K295" s="42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42"/>
      <c r="X295" s="21"/>
      <c r="Y295" s="22"/>
      <c r="Z295" s="23"/>
      <c r="AA295" s="24"/>
      <c r="AB295" s="44"/>
    </row>
    <row r="296" spans="1:28" x14ac:dyDescent="0.35">
      <c r="A296" s="23"/>
      <c r="B296" s="26"/>
      <c r="C296" s="23"/>
      <c r="D296" s="23"/>
      <c r="E296" s="23"/>
      <c r="F296" s="23"/>
      <c r="G296" s="23"/>
      <c r="H296" s="23"/>
      <c r="I296" s="23"/>
      <c r="J296" s="42"/>
      <c r="K296" s="42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42"/>
      <c r="X296" s="21"/>
      <c r="Y296" s="22"/>
      <c r="Z296" s="23"/>
      <c r="AA296" s="24"/>
      <c r="AB296" s="44"/>
    </row>
    <row r="297" spans="1:28" x14ac:dyDescent="0.35">
      <c r="A297" s="23"/>
      <c r="B297" s="26"/>
      <c r="C297" s="23"/>
      <c r="D297" s="23"/>
      <c r="E297" s="23"/>
      <c r="F297" s="23"/>
      <c r="G297" s="23"/>
      <c r="H297" s="23"/>
      <c r="I297" s="23"/>
      <c r="J297" s="42"/>
      <c r="K297" s="42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42"/>
      <c r="X297" s="21"/>
      <c r="Y297" s="22"/>
      <c r="Z297" s="23"/>
      <c r="AA297" s="24"/>
      <c r="AB297" s="44"/>
    </row>
    <row r="298" spans="1:28" x14ac:dyDescent="0.35">
      <c r="A298" s="23"/>
      <c r="B298" s="26"/>
      <c r="C298" s="23"/>
      <c r="D298" s="23"/>
      <c r="E298" s="23"/>
      <c r="F298" s="23"/>
      <c r="G298" s="23"/>
      <c r="H298" s="23"/>
      <c r="I298" s="23"/>
      <c r="J298" s="42"/>
      <c r="K298" s="42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42"/>
      <c r="X298" s="21"/>
      <c r="Y298" s="22"/>
      <c r="Z298" s="23"/>
      <c r="AA298" s="24"/>
      <c r="AB298" s="44"/>
    </row>
    <row r="299" spans="1:28" x14ac:dyDescent="0.35">
      <c r="A299" s="23"/>
      <c r="B299" s="26"/>
      <c r="C299" s="23"/>
      <c r="D299" s="23"/>
      <c r="E299" s="23"/>
      <c r="F299" s="23"/>
      <c r="G299" s="23"/>
      <c r="H299" s="23"/>
      <c r="I299" s="23"/>
      <c r="J299" s="42"/>
      <c r="K299" s="42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42"/>
      <c r="X299" s="21"/>
      <c r="Y299" s="22"/>
      <c r="Z299" s="23"/>
      <c r="AA299" s="24"/>
      <c r="AB299" s="44"/>
    </row>
    <row r="300" spans="1:28" x14ac:dyDescent="0.35">
      <c r="A300" s="23"/>
      <c r="B300" s="26"/>
      <c r="C300" s="23"/>
      <c r="D300" s="23"/>
      <c r="E300" s="23"/>
      <c r="F300" s="23"/>
      <c r="G300" s="23"/>
      <c r="H300" s="23"/>
      <c r="I300" s="23"/>
      <c r="J300" s="42"/>
      <c r="K300" s="42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42"/>
      <c r="X300" s="21"/>
      <c r="Y300" s="22"/>
      <c r="Z300" s="23"/>
      <c r="AA300" s="24"/>
      <c r="AB300" s="44"/>
    </row>
    <row r="301" spans="1:28" x14ac:dyDescent="0.35">
      <c r="A301" s="23"/>
      <c r="B301" s="26"/>
      <c r="C301" s="23"/>
      <c r="D301" s="23"/>
      <c r="E301" s="23"/>
      <c r="F301" s="23"/>
      <c r="G301" s="23"/>
      <c r="H301" s="23"/>
      <c r="I301" s="23"/>
      <c r="J301" s="42"/>
      <c r="K301" s="42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42"/>
      <c r="X301" s="21"/>
      <c r="Y301" s="22"/>
      <c r="Z301" s="23"/>
      <c r="AA301" s="24"/>
      <c r="AB301" s="44"/>
    </row>
    <row r="302" spans="1:28" x14ac:dyDescent="0.35">
      <c r="A302" s="23"/>
      <c r="B302" s="26"/>
      <c r="C302" s="23"/>
      <c r="D302" s="23"/>
      <c r="E302" s="23"/>
      <c r="F302" s="23"/>
      <c r="G302" s="23"/>
      <c r="H302" s="23"/>
      <c r="I302" s="23"/>
      <c r="J302" s="42"/>
      <c r="K302" s="42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42"/>
      <c r="X302" s="21"/>
      <c r="Y302" s="22"/>
      <c r="Z302" s="23"/>
      <c r="AA302" s="24"/>
      <c r="AB302" s="44"/>
    </row>
    <row r="303" spans="1:28" x14ac:dyDescent="0.35">
      <c r="A303" s="23"/>
      <c r="B303" s="26"/>
      <c r="C303" s="23"/>
      <c r="D303" s="23"/>
      <c r="E303" s="23"/>
      <c r="F303" s="23"/>
      <c r="G303" s="23"/>
      <c r="H303" s="23"/>
      <c r="I303" s="23"/>
      <c r="J303" s="42"/>
      <c r="K303" s="42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42"/>
      <c r="X303" s="21"/>
      <c r="Y303" s="22"/>
      <c r="Z303" s="23"/>
      <c r="AA303" s="24"/>
      <c r="AB303" s="44"/>
    </row>
    <row r="304" spans="1:28" x14ac:dyDescent="0.35">
      <c r="A304" s="23"/>
      <c r="B304" s="26"/>
      <c r="C304" s="23"/>
      <c r="D304" s="23"/>
      <c r="E304" s="23"/>
      <c r="F304" s="23"/>
      <c r="G304" s="23"/>
      <c r="H304" s="23"/>
      <c r="I304" s="23"/>
      <c r="J304" s="42"/>
      <c r="K304" s="42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42"/>
      <c r="X304" s="21"/>
      <c r="Y304" s="22"/>
      <c r="Z304" s="23"/>
      <c r="AA304" s="24"/>
      <c r="AB304" s="44"/>
    </row>
    <row r="305" spans="1:28" x14ac:dyDescent="0.35">
      <c r="A305" s="23"/>
      <c r="B305" s="26"/>
      <c r="C305" s="23"/>
      <c r="D305" s="23"/>
      <c r="E305" s="23"/>
      <c r="F305" s="23"/>
      <c r="G305" s="23"/>
      <c r="H305" s="23"/>
      <c r="I305" s="23"/>
      <c r="J305" s="42"/>
      <c r="K305" s="42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42"/>
      <c r="X305" s="21"/>
      <c r="Y305" s="22"/>
      <c r="Z305" s="23"/>
      <c r="AA305" s="24"/>
      <c r="AB305" s="44"/>
    </row>
    <row r="306" spans="1:28" x14ac:dyDescent="0.35">
      <c r="A306" s="23"/>
      <c r="B306" s="26"/>
      <c r="C306" s="23"/>
      <c r="D306" s="23"/>
      <c r="E306" s="23"/>
      <c r="F306" s="23"/>
      <c r="G306" s="23"/>
      <c r="H306" s="23"/>
      <c r="I306" s="23"/>
      <c r="J306" s="42"/>
      <c r="K306" s="42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42"/>
      <c r="X306" s="21"/>
      <c r="Y306" s="22"/>
      <c r="Z306" s="23"/>
      <c r="AA306" s="24"/>
      <c r="AB306" s="44"/>
    </row>
    <row r="307" spans="1:28" x14ac:dyDescent="0.35">
      <c r="A307" s="23"/>
      <c r="B307" s="26"/>
      <c r="C307" s="23"/>
      <c r="D307" s="23"/>
      <c r="E307" s="23"/>
      <c r="F307" s="23"/>
      <c r="G307" s="23"/>
      <c r="H307" s="23"/>
      <c r="I307" s="23"/>
      <c r="J307" s="42"/>
      <c r="K307" s="42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42"/>
      <c r="X307" s="21"/>
      <c r="Y307" s="22"/>
      <c r="Z307" s="23"/>
      <c r="AA307" s="24"/>
      <c r="AB307" s="44"/>
    </row>
    <row r="308" spans="1:28" x14ac:dyDescent="0.35">
      <c r="A308" s="23"/>
      <c r="B308" s="26"/>
      <c r="C308" s="23"/>
      <c r="D308" s="23"/>
      <c r="E308" s="23"/>
      <c r="F308" s="23"/>
      <c r="G308" s="23"/>
      <c r="H308" s="23"/>
      <c r="I308" s="23"/>
      <c r="J308" s="42"/>
      <c r="K308" s="42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42"/>
      <c r="X308" s="21"/>
      <c r="Y308" s="22"/>
      <c r="Z308" s="23"/>
      <c r="AA308" s="24"/>
      <c r="AB308" s="44"/>
    </row>
    <row r="309" spans="1:28" x14ac:dyDescent="0.35">
      <c r="A309" s="23"/>
      <c r="B309" s="26"/>
      <c r="C309" s="23"/>
      <c r="D309" s="23"/>
      <c r="E309" s="23"/>
      <c r="F309" s="23"/>
      <c r="G309" s="23"/>
      <c r="H309" s="23"/>
      <c r="I309" s="23"/>
      <c r="J309" s="42"/>
      <c r="K309" s="42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42"/>
      <c r="X309" s="21"/>
      <c r="Y309" s="22"/>
      <c r="Z309" s="23"/>
      <c r="AA309" s="24"/>
      <c r="AB309" s="44"/>
    </row>
    <row r="310" spans="1:28" x14ac:dyDescent="0.35">
      <c r="A310" s="23"/>
      <c r="B310" s="26"/>
      <c r="C310" s="23"/>
      <c r="D310" s="23"/>
      <c r="E310" s="23"/>
      <c r="F310" s="23"/>
      <c r="G310" s="23"/>
      <c r="H310" s="23"/>
      <c r="I310" s="23"/>
      <c r="J310" s="42"/>
      <c r="K310" s="42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42"/>
      <c r="X310" s="21"/>
      <c r="Y310" s="22"/>
      <c r="Z310" s="23"/>
      <c r="AA310" s="24"/>
      <c r="AB310" s="44"/>
    </row>
    <row r="311" spans="1:28" x14ac:dyDescent="0.35">
      <c r="A311" s="23"/>
      <c r="B311" s="26"/>
      <c r="C311" s="23"/>
      <c r="D311" s="23"/>
      <c r="E311" s="23"/>
      <c r="F311" s="23"/>
      <c r="G311" s="23"/>
      <c r="H311" s="23"/>
      <c r="I311" s="23"/>
      <c r="J311" s="42"/>
      <c r="K311" s="42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42"/>
      <c r="X311" s="21"/>
      <c r="Y311" s="22"/>
      <c r="Z311" s="23"/>
      <c r="AA311" s="24"/>
      <c r="AB311" s="44"/>
    </row>
    <row r="312" spans="1:28" x14ac:dyDescent="0.35">
      <c r="A312" s="23"/>
      <c r="B312" s="26"/>
      <c r="C312" s="23"/>
      <c r="D312" s="23"/>
      <c r="E312" s="23"/>
      <c r="F312" s="23"/>
      <c r="G312" s="23"/>
      <c r="H312" s="23"/>
      <c r="I312" s="23"/>
      <c r="J312" s="42"/>
      <c r="K312" s="42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42"/>
      <c r="X312" s="21"/>
      <c r="Y312" s="22"/>
      <c r="Z312" s="23"/>
      <c r="AA312" s="24"/>
      <c r="AB312" s="44"/>
    </row>
    <row r="313" spans="1:28" x14ac:dyDescent="0.35">
      <c r="A313" s="23"/>
      <c r="B313" s="26"/>
      <c r="C313" s="23"/>
      <c r="D313" s="23"/>
      <c r="E313" s="23"/>
      <c r="F313" s="23"/>
      <c r="G313" s="23"/>
      <c r="H313" s="23"/>
      <c r="I313" s="23"/>
      <c r="J313" s="42"/>
      <c r="K313" s="42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42"/>
      <c r="X313" s="21"/>
      <c r="Y313" s="22"/>
      <c r="Z313" s="23"/>
      <c r="AA313" s="24"/>
      <c r="AB313" s="44"/>
    </row>
    <row r="314" spans="1:28" x14ac:dyDescent="0.35">
      <c r="A314" s="23"/>
      <c r="B314" s="26"/>
      <c r="C314" s="23"/>
      <c r="D314" s="23"/>
      <c r="E314" s="23"/>
      <c r="F314" s="23"/>
      <c r="G314" s="23"/>
      <c r="H314" s="23"/>
      <c r="I314" s="23"/>
      <c r="J314" s="42"/>
      <c r="K314" s="42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42"/>
      <c r="X314" s="21"/>
      <c r="Y314" s="22"/>
      <c r="Z314" s="23"/>
      <c r="AA314" s="24"/>
      <c r="AB314" s="44"/>
    </row>
    <row r="315" spans="1:28" x14ac:dyDescent="0.35">
      <c r="A315" s="23"/>
      <c r="B315" s="26"/>
      <c r="C315" s="23"/>
      <c r="D315" s="23"/>
      <c r="E315" s="23"/>
      <c r="F315" s="23"/>
      <c r="G315" s="23"/>
      <c r="H315" s="23"/>
      <c r="I315" s="23"/>
      <c r="J315" s="42"/>
      <c r="K315" s="42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42"/>
      <c r="X315" s="21"/>
      <c r="Y315" s="22"/>
      <c r="Z315" s="23"/>
      <c r="AA315" s="24"/>
      <c r="AB315" s="44"/>
    </row>
    <row r="316" spans="1:28" x14ac:dyDescent="0.35">
      <c r="A316" s="23"/>
      <c r="B316" s="26"/>
      <c r="C316" s="23"/>
      <c r="D316" s="23"/>
      <c r="E316" s="23"/>
      <c r="F316" s="23"/>
      <c r="G316" s="23"/>
      <c r="H316" s="23"/>
      <c r="I316" s="23"/>
      <c r="J316" s="42"/>
      <c r="K316" s="42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42"/>
      <c r="X316" s="21"/>
      <c r="Y316" s="22"/>
      <c r="Z316" s="23"/>
      <c r="AA316" s="24"/>
      <c r="AB316" s="44"/>
    </row>
    <row r="317" spans="1:28" x14ac:dyDescent="0.35">
      <c r="A317" s="23"/>
      <c r="B317" s="26"/>
      <c r="C317" s="23"/>
      <c r="D317" s="23"/>
      <c r="E317" s="23"/>
      <c r="F317" s="23"/>
      <c r="G317" s="23"/>
      <c r="H317" s="23"/>
      <c r="I317" s="23"/>
      <c r="J317" s="42"/>
      <c r="K317" s="42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42"/>
      <c r="X317" s="21"/>
      <c r="Y317" s="22"/>
      <c r="Z317" s="23"/>
      <c r="AA317" s="24"/>
      <c r="AB317" s="44"/>
    </row>
    <row r="318" spans="1:28" x14ac:dyDescent="0.35">
      <c r="A318" s="23"/>
      <c r="B318" s="26"/>
      <c r="C318" s="23"/>
      <c r="D318" s="23"/>
      <c r="E318" s="23"/>
      <c r="F318" s="23"/>
      <c r="G318" s="23"/>
      <c r="H318" s="23"/>
      <c r="I318" s="23"/>
      <c r="J318" s="42"/>
      <c r="K318" s="42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42"/>
      <c r="X318" s="21"/>
      <c r="Y318" s="22"/>
      <c r="Z318" s="23"/>
      <c r="AA318" s="24"/>
      <c r="AB318" s="44"/>
    </row>
    <row r="319" spans="1:28" x14ac:dyDescent="0.35">
      <c r="A319" s="23"/>
      <c r="B319" s="26"/>
      <c r="C319" s="23"/>
      <c r="D319" s="23"/>
      <c r="E319" s="23"/>
      <c r="F319" s="23"/>
      <c r="G319" s="23"/>
      <c r="H319" s="23"/>
      <c r="I319" s="23"/>
      <c r="J319" s="42"/>
      <c r="K319" s="42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42"/>
      <c r="X319" s="21"/>
      <c r="Y319" s="22"/>
      <c r="Z319" s="23"/>
      <c r="AA319" s="24"/>
      <c r="AB319" s="44"/>
    </row>
    <row r="320" spans="1:28" x14ac:dyDescent="0.35">
      <c r="A320" s="23"/>
      <c r="B320" s="26"/>
      <c r="C320" s="23"/>
      <c r="D320" s="23"/>
      <c r="E320" s="23"/>
      <c r="F320" s="23"/>
      <c r="G320" s="23"/>
      <c r="H320" s="23"/>
      <c r="I320" s="23"/>
      <c r="J320" s="42"/>
      <c r="K320" s="42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42"/>
      <c r="X320" s="21"/>
      <c r="Y320" s="22"/>
      <c r="Z320" s="23"/>
      <c r="AA320" s="24"/>
      <c r="AB320" s="44"/>
    </row>
    <row r="321" spans="1:28" x14ac:dyDescent="0.35">
      <c r="A321" s="23"/>
      <c r="B321" s="26"/>
      <c r="C321" s="23"/>
      <c r="D321" s="23"/>
      <c r="E321" s="23"/>
      <c r="F321" s="23"/>
      <c r="G321" s="23"/>
      <c r="H321" s="23"/>
      <c r="I321" s="23"/>
      <c r="J321" s="42"/>
      <c r="K321" s="42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42"/>
      <c r="X321" s="21"/>
      <c r="Y321" s="22"/>
      <c r="Z321" s="23"/>
      <c r="AA321" s="24"/>
      <c r="AB321" s="44"/>
    </row>
    <row r="322" spans="1:28" x14ac:dyDescent="0.35">
      <c r="A322" s="23"/>
      <c r="B322" s="26"/>
      <c r="C322" s="23"/>
      <c r="D322" s="23"/>
      <c r="E322" s="23"/>
      <c r="F322" s="23"/>
      <c r="G322" s="23"/>
      <c r="H322" s="23"/>
      <c r="I322" s="23"/>
      <c r="J322" s="42"/>
      <c r="K322" s="42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42"/>
      <c r="X322" s="21"/>
      <c r="Y322" s="22"/>
      <c r="Z322" s="23"/>
      <c r="AA322" s="24"/>
      <c r="AB322" s="44"/>
    </row>
    <row r="323" spans="1:28" x14ac:dyDescent="0.35">
      <c r="A323" s="23"/>
      <c r="B323" s="26"/>
      <c r="C323" s="23"/>
      <c r="D323" s="23"/>
      <c r="E323" s="23"/>
      <c r="F323" s="23"/>
      <c r="G323" s="23"/>
      <c r="H323" s="23"/>
      <c r="I323" s="23"/>
      <c r="J323" s="42"/>
      <c r="K323" s="42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42"/>
      <c r="X323" s="21"/>
      <c r="Y323" s="22"/>
      <c r="Z323" s="23"/>
      <c r="AA323" s="24"/>
      <c r="AB323" s="44"/>
    </row>
    <row r="324" spans="1:28" x14ac:dyDescent="0.35">
      <c r="A324" s="23"/>
      <c r="B324" s="26"/>
      <c r="C324" s="23"/>
      <c r="D324" s="23"/>
      <c r="E324" s="23"/>
      <c r="F324" s="23"/>
      <c r="G324" s="23"/>
      <c r="H324" s="23"/>
      <c r="I324" s="23"/>
      <c r="J324" s="42"/>
      <c r="K324" s="42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42"/>
      <c r="X324" s="21"/>
      <c r="Y324" s="22"/>
      <c r="Z324" s="23"/>
      <c r="AA324" s="24"/>
      <c r="AB324" s="44"/>
    </row>
    <row r="325" spans="1:28" x14ac:dyDescent="0.35">
      <c r="A325" s="23"/>
      <c r="B325" s="26"/>
      <c r="C325" s="23"/>
      <c r="D325" s="23"/>
      <c r="E325" s="23"/>
      <c r="F325" s="23"/>
      <c r="G325" s="23"/>
      <c r="H325" s="23"/>
      <c r="I325" s="23"/>
      <c r="J325" s="42"/>
      <c r="K325" s="42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42"/>
      <c r="X325" s="21"/>
      <c r="Y325" s="22"/>
      <c r="Z325" s="23"/>
      <c r="AA325" s="24"/>
      <c r="AB325" s="44"/>
    </row>
    <row r="326" spans="1:28" x14ac:dyDescent="0.35">
      <c r="A326" s="23"/>
      <c r="B326" s="26"/>
      <c r="C326" s="23"/>
      <c r="D326" s="23"/>
      <c r="E326" s="23"/>
      <c r="F326" s="23"/>
      <c r="G326" s="23"/>
      <c r="H326" s="23"/>
      <c r="I326" s="23"/>
      <c r="J326" s="42"/>
      <c r="K326" s="42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42"/>
      <c r="X326" s="21"/>
      <c r="Y326" s="22"/>
      <c r="Z326" s="23"/>
      <c r="AA326" s="24"/>
      <c r="AB326" s="44"/>
    </row>
    <row r="327" spans="1:28" x14ac:dyDescent="0.35">
      <c r="A327" s="23"/>
      <c r="B327" s="26"/>
      <c r="C327" s="23"/>
      <c r="D327" s="23"/>
      <c r="E327" s="23"/>
      <c r="F327" s="23"/>
      <c r="G327" s="23"/>
      <c r="H327" s="23"/>
      <c r="I327" s="23"/>
      <c r="J327" s="42"/>
      <c r="K327" s="42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42"/>
      <c r="X327" s="21"/>
      <c r="Y327" s="22"/>
      <c r="Z327" s="23"/>
      <c r="AA327" s="24"/>
      <c r="AB327" s="44"/>
    </row>
    <row r="328" spans="1:28" x14ac:dyDescent="0.35">
      <c r="A328" s="23"/>
      <c r="B328" s="26"/>
      <c r="C328" s="23"/>
      <c r="D328" s="23"/>
      <c r="E328" s="23"/>
      <c r="F328" s="23"/>
      <c r="G328" s="23"/>
      <c r="H328" s="23"/>
      <c r="I328" s="23"/>
      <c r="J328" s="42"/>
      <c r="K328" s="42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42"/>
      <c r="X328" s="21"/>
      <c r="Y328" s="22"/>
      <c r="Z328" s="23"/>
      <c r="AA328" s="24"/>
      <c r="AB328" s="44"/>
    </row>
    <row r="329" spans="1:28" x14ac:dyDescent="0.35">
      <c r="A329" s="23"/>
      <c r="B329" s="26"/>
      <c r="C329" s="23"/>
      <c r="D329" s="23"/>
      <c r="E329" s="23"/>
      <c r="F329" s="23"/>
      <c r="G329" s="23"/>
      <c r="H329" s="23"/>
      <c r="I329" s="23"/>
      <c r="J329" s="42"/>
      <c r="K329" s="42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42"/>
      <c r="X329" s="21"/>
      <c r="Y329" s="22"/>
      <c r="Z329" s="23"/>
      <c r="AA329" s="24"/>
      <c r="AB329" s="44"/>
    </row>
    <row r="330" spans="1:28" x14ac:dyDescent="0.35">
      <c r="A330" s="23"/>
      <c r="B330" s="26"/>
      <c r="C330" s="23"/>
      <c r="D330" s="23"/>
      <c r="E330" s="23"/>
      <c r="F330" s="23"/>
      <c r="G330" s="23"/>
      <c r="H330" s="23"/>
      <c r="I330" s="23"/>
      <c r="J330" s="42"/>
      <c r="K330" s="42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42"/>
      <c r="X330" s="21"/>
      <c r="Y330" s="22"/>
      <c r="Z330" s="23"/>
      <c r="AA330" s="24"/>
      <c r="AB330" s="44"/>
    </row>
    <row r="331" spans="1:28" x14ac:dyDescent="0.35">
      <c r="A331" s="23"/>
      <c r="B331" s="26"/>
      <c r="C331" s="23"/>
      <c r="D331" s="23"/>
      <c r="E331" s="23"/>
      <c r="F331" s="23"/>
      <c r="G331" s="23"/>
      <c r="H331" s="23"/>
      <c r="I331" s="23"/>
      <c r="J331" s="42"/>
      <c r="K331" s="42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42"/>
      <c r="X331" s="21"/>
      <c r="Y331" s="22"/>
      <c r="Z331" s="23"/>
      <c r="AA331" s="24"/>
      <c r="AB331" s="44"/>
    </row>
    <row r="332" spans="1:28" x14ac:dyDescent="0.35">
      <c r="A332" s="23"/>
      <c r="B332" s="26"/>
      <c r="C332" s="23"/>
      <c r="D332" s="23"/>
      <c r="E332" s="23"/>
      <c r="F332" s="23"/>
      <c r="G332" s="23"/>
      <c r="H332" s="23"/>
      <c r="I332" s="23"/>
      <c r="J332" s="42"/>
      <c r="K332" s="42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42"/>
      <c r="X332" s="21"/>
      <c r="Y332" s="22"/>
      <c r="Z332" s="23"/>
      <c r="AA332" s="24"/>
      <c r="AB332" s="44"/>
    </row>
    <row r="333" spans="1:28" x14ac:dyDescent="0.35">
      <c r="A333" s="23"/>
      <c r="B333" s="26"/>
      <c r="C333" s="23"/>
      <c r="D333" s="23"/>
      <c r="E333" s="23"/>
      <c r="F333" s="23"/>
      <c r="G333" s="23"/>
      <c r="H333" s="23"/>
      <c r="I333" s="23"/>
      <c r="J333" s="42"/>
      <c r="K333" s="42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42"/>
      <c r="X333" s="21"/>
      <c r="Y333" s="22"/>
      <c r="Z333" s="23"/>
      <c r="AA333" s="24"/>
      <c r="AB333" s="44"/>
    </row>
    <row r="334" spans="1:28" x14ac:dyDescent="0.35">
      <c r="A334" s="23"/>
      <c r="B334" s="26"/>
      <c r="C334" s="23"/>
      <c r="D334" s="23"/>
      <c r="E334" s="23"/>
      <c r="F334" s="23"/>
      <c r="G334" s="23"/>
      <c r="H334" s="23"/>
      <c r="I334" s="23"/>
      <c r="J334" s="42"/>
      <c r="K334" s="42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42"/>
      <c r="X334" s="21"/>
      <c r="Y334" s="22"/>
      <c r="Z334" s="23"/>
      <c r="AA334" s="24"/>
      <c r="AB334" s="44"/>
    </row>
    <row r="335" spans="1:28" x14ac:dyDescent="0.35">
      <c r="A335" s="23"/>
      <c r="B335" s="26"/>
      <c r="C335" s="23"/>
      <c r="D335" s="23"/>
      <c r="E335" s="23"/>
      <c r="F335" s="23"/>
      <c r="G335" s="23"/>
      <c r="H335" s="23"/>
      <c r="I335" s="23"/>
      <c r="J335" s="42"/>
      <c r="K335" s="42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42"/>
      <c r="X335" s="21"/>
      <c r="Y335" s="22"/>
      <c r="Z335" s="23"/>
      <c r="AA335" s="24"/>
      <c r="AB335" s="44"/>
    </row>
    <row r="336" spans="1:28" x14ac:dyDescent="0.35">
      <c r="A336" s="23"/>
      <c r="B336" s="26"/>
      <c r="C336" s="23"/>
      <c r="D336" s="23"/>
      <c r="E336" s="23"/>
      <c r="F336" s="23"/>
      <c r="G336" s="23"/>
      <c r="H336" s="23"/>
      <c r="I336" s="23"/>
      <c r="J336" s="42"/>
      <c r="K336" s="42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42"/>
      <c r="X336" s="21"/>
      <c r="Y336" s="22"/>
      <c r="Z336" s="23"/>
      <c r="AA336" s="24"/>
      <c r="AB336" s="44"/>
    </row>
    <row r="337" spans="1:28" x14ac:dyDescent="0.35">
      <c r="A337" s="23"/>
      <c r="B337" s="26"/>
      <c r="C337" s="23"/>
      <c r="D337" s="23"/>
      <c r="E337" s="23"/>
      <c r="F337" s="23"/>
      <c r="G337" s="23"/>
      <c r="H337" s="23"/>
      <c r="I337" s="23"/>
      <c r="J337" s="42"/>
      <c r="K337" s="42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42"/>
      <c r="X337" s="21"/>
      <c r="Y337" s="22"/>
      <c r="Z337" s="23"/>
      <c r="AA337" s="24"/>
      <c r="AB337" s="44"/>
    </row>
    <row r="338" spans="1:28" x14ac:dyDescent="0.35">
      <c r="A338" s="23"/>
      <c r="B338" s="26"/>
      <c r="C338" s="23"/>
      <c r="D338" s="23"/>
      <c r="E338" s="23"/>
      <c r="F338" s="23"/>
      <c r="G338" s="23"/>
      <c r="H338" s="23"/>
      <c r="I338" s="23"/>
      <c r="J338" s="42"/>
      <c r="K338" s="42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42"/>
      <c r="X338" s="21"/>
      <c r="Y338" s="22"/>
      <c r="Z338" s="23"/>
      <c r="AA338" s="24"/>
      <c r="AB338" s="44"/>
    </row>
    <row r="339" spans="1:28" x14ac:dyDescent="0.35">
      <c r="A339" s="23"/>
      <c r="B339" s="26"/>
      <c r="C339" s="23"/>
      <c r="D339" s="23"/>
      <c r="E339" s="23"/>
      <c r="F339" s="23"/>
      <c r="G339" s="23"/>
      <c r="H339" s="23"/>
      <c r="I339" s="23"/>
      <c r="J339" s="42"/>
      <c r="K339" s="42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42"/>
      <c r="X339" s="21"/>
      <c r="Y339" s="22"/>
      <c r="Z339" s="23"/>
      <c r="AA339" s="24"/>
      <c r="AB339" s="44"/>
    </row>
    <row r="340" spans="1:28" x14ac:dyDescent="0.35">
      <c r="A340" s="23"/>
      <c r="B340" s="26"/>
      <c r="C340" s="23"/>
      <c r="D340" s="23"/>
      <c r="E340" s="23"/>
      <c r="F340" s="23"/>
      <c r="G340" s="23"/>
      <c r="H340" s="23"/>
      <c r="I340" s="23"/>
      <c r="J340" s="42"/>
      <c r="K340" s="42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42"/>
      <c r="X340" s="21"/>
      <c r="Y340" s="22"/>
      <c r="Z340" s="23"/>
      <c r="AA340" s="24"/>
      <c r="AB340" s="44"/>
    </row>
    <row r="341" spans="1:28" x14ac:dyDescent="0.35">
      <c r="A341" s="23"/>
      <c r="B341" s="26"/>
      <c r="C341" s="23"/>
      <c r="D341" s="23"/>
      <c r="E341" s="23"/>
      <c r="F341" s="23"/>
      <c r="G341" s="23"/>
      <c r="H341" s="23"/>
      <c r="I341" s="23"/>
      <c r="J341" s="42"/>
      <c r="K341" s="42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42"/>
      <c r="X341" s="21"/>
      <c r="Y341" s="22"/>
      <c r="Z341" s="23"/>
      <c r="AA341" s="24"/>
      <c r="AB341" s="44"/>
    </row>
    <row r="342" spans="1:28" x14ac:dyDescent="0.35">
      <c r="A342" s="23"/>
      <c r="B342" s="26"/>
      <c r="C342" s="23"/>
      <c r="D342" s="23"/>
      <c r="E342" s="23"/>
      <c r="F342" s="23"/>
      <c r="G342" s="23"/>
      <c r="H342" s="23"/>
      <c r="I342" s="23"/>
      <c r="J342" s="42"/>
      <c r="K342" s="42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42"/>
      <c r="X342" s="21"/>
      <c r="Y342" s="22"/>
      <c r="Z342" s="23"/>
      <c r="AA342" s="24"/>
      <c r="AB342" s="44"/>
    </row>
    <row r="343" spans="1:28" x14ac:dyDescent="0.35">
      <c r="A343" s="23"/>
      <c r="B343" s="26"/>
      <c r="C343" s="23"/>
      <c r="D343" s="23"/>
      <c r="E343" s="23"/>
      <c r="F343" s="23"/>
      <c r="G343" s="23"/>
      <c r="H343" s="23"/>
      <c r="I343" s="23"/>
      <c r="J343" s="42"/>
      <c r="K343" s="42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42"/>
      <c r="X343" s="21"/>
      <c r="Y343" s="22"/>
      <c r="Z343" s="23"/>
      <c r="AA343" s="24"/>
      <c r="AB343" s="44"/>
    </row>
    <row r="344" spans="1:28" x14ac:dyDescent="0.35">
      <c r="A344" s="23"/>
      <c r="B344" s="26"/>
      <c r="C344" s="23"/>
      <c r="D344" s="23"/>
      <c r="E344" s="23"/>
      <c r="F344" s="23"/>
      <c r="G344" s="23"/>
      <c r="H344" s="23"/>
      <c r="I344" s="23"/>
      <c r="J344" s="42"/>
      <c r="K344" s="42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42"/>
      <c r="X344" s="21"/>
      <c r="Y344" s="22"/>
      <c r="Z344" s="23"/>
      <c r="AA344" s="24"/>
      <c r="AB344" s="44"/>
    </row>
    <row r="345" spans="1:28" x14ac:dyDescent="0.35">
      <c r="A345" s="23"/>
      <c r="B345" s="26"/>
      <c r="C345" s="23"/>
      <c r="D345" s="23"/>
      <c r="E345" s="23"/>
      <c r="F345" s="23"/>
      <c r="G345" s="23"/>
      <c r="H345" s="23"/>
      <c r="I345" s="23"/>
      <c r="J345" s="42"/>
      <c r="K345" s="42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42"/>
      <c r="X345" s="21"/>
      <c r="Y345" s="22"/>
      <c r="Z345" s="23"/>
      <c r="AA345" s="24"/>
      <c r="AB345" s="44"/>
    </row>
    <row r="346" spans="1:28" x14ac:dyDescent="0.35">
      <c r="A346" s="23"/>
      <c r="B346" s="26"/>
      <c r="C346" s="23"/>
      <c r="D346" s="23"/>
      <c r="E346" s="23"/>
      <c r="F346" s="23"/>
      <c r="G346" s="23"/>
      <c r="H346" s="23"/>
      <c r="I346" s="23"/>
      <c r="J346" s="42"/>
      <c r="K346" s="42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42"/>
      <c r="X346" s="21"/>
      <c r="Y346" s="22"/>
      <c r="Z346" s="23"/>
      <c r="AA346" s="24"/>
      <c r="AB346" s="44"/>
    </row>
    <row r="347" spans="1:28" x14ac:dyDescent="0.35">
      <c r="A347" s="23"/>
      <c r="B347" s="26"/>
      <c r="C347" s="23"/>
      <c r="D347" s="23"/>
      <c r="E347" s="23"/>
      <c r="F347" s="23"/>
      <c r="G347" s="23"/>
      <c r="H347" s="23"/>
      <c r="I347" s="23"/>
      <c r="J347" s="42"/>
      <c r="K347" s="42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42"/>
      <c r="X347" s="21"/>
      <c r="Y347" s="22"/>
      <c r="Z347" s="23"/>
      <c r="AA347" s="24"/>
      <c r="AB347" s="44"/>
    </row>
    <row r="348" spans="1:28" x14ac:dyDescent="0.35">
      <c r="A348" s="23"/>
      <c r="B348" s="26"/>
      <c r="C348" s="23"/>
      <c r="D348" s="23"/>
      <c r="E348" s="23"/>
      <c r="F348" s="23"/>
      <c r="G348" s="23"/>
      <c r="H348" s="23"/>
      <c r="I348" s="23"/>
      <c r="J348" s="42"/>
      <c r="K348" s="42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42"/>
      <c r="X348" s="21"/>
      <c r="Y348" s="22"/>
      <c r="Z348" s="23"/>
      <c r="AA348" s="24"/>
      <c r="AB348" s="44"/>
    </row>
    <row r="349" spans="1:28" x14ac:dyDescent="0.35">
      <c r="A349" s="23"/>
      <c r="B349" s="26"/>
      <c r="C349" s="23"/>
      <c r="D349" s="23"/>
      <c r="E349" s="23"/>
      <c r="F349" s="23"/>
      <c r="G349" s="23"/>
      <c r="H349" s="23"/>
      <c r="I349" s="23"/>
      <c r="J349" s="42"/>
      <c r="K349" s="42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42"/>
      <c r="X349" s="21"/>
      <c r="Y349" s="22"/>
      <c r="Z349" s="23"/>
      <c r="AA349" s="24"/>
      <c r="AB349" s="44"/>
    </row>
    <row r="350" spans="1:28" x14ac:dyDescent="0.35">
      <c r="A350" s="23"/>
      <c r="B350" s="26"/>
      <c r="C350" s="23"/>
      <c r="D350" s="23"/>
      <c r="E350" s="23"/>
      <c r="F350" s="23"/>
      <c r="G350" s="23"/>
      <c r="H350" s="23"/>
      <c r="I350" s="23"/>
      <c r="J350" s="42"/>
      <c r="K350" s="42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42"/>
      <c r="X350" s="21"/>
      <c r="Y350" s="22"/>
      <c r="Z350" s="23"/>
      <c r="AA350" s="24"/>
      <c r="AB350" s="44"/>
    </row>
    <row r="351" spans="1:28" x14ac:dyDescent="0.35">
      <c r="A351" s="23"/>
      <c r="B351" s="26"/>
      <c r="C351" s="23"/>
      <c r="D351" s="23"/>
      <c r="E351" s="23"/>
      <c r="F351" s="23"/>
      <c r="G351" s="23"/>
      <c r="H351" s="23"/>
      <c r="I351" s="23"/>
      <c r="J351" s="42"/>
      <c r="K351" s="42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42"/>
      <c r="X351" s="21"/>
      <c r="Y351" s="22"/>
      <c r="Z351" s="23"/>
      <c r="AA351" s="24"/>
      <c r="AB351" s="44"/>
    </row>
    <row r="352" spans="1:28" x14ac:dyDescent="0.35">
      <c r="A352" s="23"/>
      <c r="B352" s="26"/>
      <c r="C352" s="23"/>
      <c r="D352" s="23"/>
      <c r="E352" s="23"/>
      <c r="F352" s="23"/>
      <c r="G352" s="23"/>
      <c r="H352" s="23"/>
      <c r="I352" s="23"/>
      <c r="J352" s="42"/>
      <c r="K352" s="42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42"/>
      <c r="X352" s="21"/>
      <c r="Y352" s="22"/>
      <c r="Z352" s="23"/>
      <c r="AA352" s="24"/>
      <c r="AB352" s="44"/>
    </row>
    <row r="353" spans="1:28" x14ac:dyDescent="0.35">
      <c r="A353" s="23"/>
      <c r="B353" s="26"/>
      <c r="C353" s="23"/>
      <c r="D353" s="23"/>
      <c r="E353" s="23"/>
      <c r="F353" s="23"/>
      <c r="G353" s="23"/>
      <c r="H353" s="23"/>
      <c r="I353" s="23"/>
      <c r="J353" s="42"/>
      <c r="K353" s="42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42"/>
      <c r="X353" s="21"/>
      <c r="Y353" s="22"/>
      <c r="Z353" s="23"/>
      <c r="AA353" s="24"/>
      <c r="AB353" s="44"/>
    </row>
    <row r="354" spans="1:28" x14ac:dyDescent="0.35">
      <c r="A354" s="23"/>
      <c r="B354" s="26"/>
      <c r="C354" s="23"/>
      <c r="D354" s="23"/>
      <c r="E354" s="23"/>
      <c r="F354" s="23"/>
      <c r="G354" s="23"/>
      <c r="H354" s="23"/>
      <c r="I354" s="23"/>
      <c r="J354" s="42"/>
      <c r="K354" s="42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42"/>
      <c r="X354" s="21"/>
      <c r="Y354" s="22"/>
      <c r="Z354" s="23"/>
      <c r="AA354" s="24"/>
      <c r="AB354" s="44"/>
    </row>
    <row r="355" spans="1:28" x14ac:dyDescent="0.35">
      <c r="A355" s="23"/>
      <c r="B355" s="26"/>
      <c r="C355" s="23"/>
      <c r="D355" s="23"/>
      <c r="E355" s="23"/>
      <c r="F355" s="23"/>
      <c r="G355" s="23"/>
      <c r="H355" s="23"/>
      <c r="I355" s="23"/>
      <c r="J355" s="42"/>
      <c r="K355" s="42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42"/>
      <c r="X355" s="21"/>
      <c r="Y355" s="22"/>
      <c r="Z355" s="23"/>
      <c r="AA355" s="24"/>
      <c r="AB355" s="44"/>
    </row>
    <row r="356" spans="1:28" x14ac:dyDescent="0.35">
      <c r="A356" s="23"/>
      <c r="B356" s="26"/>
      <c r="C356" s="23"/>
      <c r="D356" s="23"/>
      <c r="E356" s="23"/>
      <c r="F356" s="23"/>
      <c r="G356" s="23"/>
      <c r="H356" s="23"/>
      <c r="I356" s="23"/>
      <c r="J356" s="42"/>
      <c r="K356" s="42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42"/>
      <c r="X356" s="21"/>
      <c r="Y356" s="22"/>
      <c r="Z356" s="23"/>
      <c r="AA356" s="24"/>
      <c r="AB356" s="44"/>
    </row>
    <row r="357" spans="1:28" x14ac:dyDescent="0.35">
      <c r="A357" s="23"/>
      <c r="B357" s="26"/>
      <c r="C357" s="23"/>
      <c r="D357" s="23"/>
      <c r="E357" s="23"/>
      <c r="F357" s="23"/>
      <c r="G357" s="23"/>
      <c r="H357" s="23"/>
      <c r="I357" s="23"/>
      <c r="J357" s="42"/>
      <c r="K357" s="42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42"/>
      <c r="X357" s="21"/>
      <c r="Y357" s="22"/>
      <c r="Z357" s="23"/>
      <c r="AA357" s="24"/>
      <c r="AB357" s="44"/>
    </row>
    <row r="358" spans="1:28" x14ac:dyDescent="0.35">
      <c r="A358" s="23"/>
      <c r="B358" s="26"/>
      <c r="C358" s="23"/>
      <c r="D358" s="23"/>
      <c r="E358" s="23"/>
      <c r="F358" s="23"/>
      <c r="G358" s="23"/>
      <c r="H358" s="23"/>
      <c r="I358" s="23"/>
      <c r="J358" s="42"/>
      <c r="K358" s="42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42"/>
      <c r="X358" s="21"/>
      <c r="Y358" s="22"/>
      <c r="Z358" s="23"/>
      <c r="AA358" s="24"/>
      <c r="AB358" s="44"/>
    </row>
    <row r="359" spans="1:28" x14ac:dyDescent="0.35">
      <c r="A359" s="23"/>
      <c r="B359" s="26"/>
      <c r="C359" s="23"/>
      <c r="D359" s="23"/>
      <c r="E359" s="23"/>
      <c r="F359" s="23"/>
      <c r="G359" s="23"/>
      <c r="H359" s="23"/>
      <c r="I359" s="23"/>
      <c r="J359" s="42"/>
      <c r="K359" s="42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42"/>
      <c r="X359" s="21"/>
      <c r="Y359" s="22"/>
      <c r="Z359" s="23"/>
      <c r="AA359" s="24"/>
      <c r="AB359" s="44"/>
    </row>
    <row r="360" spans="1:28" x14ac:dyDescent="0.35">
      <c r="A360" s="23"/>
      <c r="B360" s="26"/>
      <c r="C360" s="23"/>
      <c r="D360" s="23"/>
      <c r="E360" s="23"/>
      <c r="F360" s="23"/>
      <c r="G360" s="23"/>
      <c r="H360" s="23"/>
      <c r="I360" s="23"/>
      <c r="J360" s="42"/>
      <c r="K360" s="42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42"/>
      <c r="X360" s="21"/>
      <c r="Y360" s="22"/>
      <c r="Z360" s="23"/>
      <c r="AA360" s="24"/>
      <c r="AB360" s="44"/>
    </row>
    <row r="361" spans="1:28" x14ac:dyDescent="0.35">
      <c r="A361" s="23"/>
      <c r="B361" s="26"/>
      <c r="C361" s="23"/>
      <c r="D361" s="23"/>
      <c r="E361" s="23"/>
      <c r="F361" s="23"/>
      <c r="G361" s="23"/>
      <c r="H361" s="23"/>
      <c r="I361" s="23"/>
      <c r="J361" s="42"/>
      <c r="K361" s="42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42"/>
      <c r="X361" s="21"/>
      <c r="Y361" s="22"/>
      <c r="Z361" s="23"/>
      <c r="AA361" s="24"/>
      <c r="AB361" s="44"/>
    </row>
    <row r="362" spans="1:28" x14ac:dyDescent="0.35">
      <c r="A362" s="23"/>
      <c r="B362" s="26"/>
      <c r="C362" s="23"/>
      <c r="D362" s="23"/>
      <c r="E362" s="23"/>
      <c r="F362" s="23"/>
      <c r="G362" s="23"/>
      <c r="H362" s="23"/>
      <c r="I362" s="23"/>
      <c r="J362" s="42"/>
      <c r="K362" s="42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42"/>
      <c r="X362" s="21"/>
      <c r="Y362" s="22"/>
      <c r="Z362" s="23"/>
      <c r="AA362" s="24"/>
      <c r="AB362" s="44"/>
    </row>
    <row r="363" spans="1:28" x14ac:dyDescent="0.35">
      <c r="A363" s="23"/>
      <c r="B363" s="26"/>
      <c r="C363" s="23"/>
      <c r="D363" s="23"/>
      <c r="E363" s="23"/>
      <c r="F363" s="23"/>
      <c r="G363" s="23"/>
      <c r="H363" s="23"/>
      <c r="I363" s="23"/>
      <c r="J363" s="42"/>
      <c r="K363" s="42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42"/>
      <c r="X363" s="21"/>
      <c r="Y363" s="22"/>
      <c r="Z363" s="23"/>
      <c r="AA363" s="24"/>
      <c r="AB363" s="44"/>
    </row>
    <row r="364" spans="1:28" x14ac:dyDescent="0.35">
      <c r="A364" s="23"/>
      <c r="B364" s="26"/>
      <c r="C364" s="23"/>
      <c r="D364" s="23"/>
      <c r="E364" s="23"/>
      <c r="F364" s="23"/>
      <c r="G364" s="23"/>
      <c r="H364" s="23"/>
      <c r="I364" s="23"/>
      <c r="J364" s="42"/>
      <c r="K364" s="42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42"/>
      <c r="X364" s="21"/>
      <c r="Y364" s="22"/>
      <c r="Z364" s="23"/>
      <c r="AA364" s="24"/>
      <c r="AB364" s="44"/>
    </row>
    <row r="365" spans="1:28" x14ac:dyDescent="0.35">
      <c r="A365" s="23"/>
      <c r="B365" s="26"/>
      <c r="C365" s="23"/>
      <c r="D365" s="23"/>
      <c r="E365" s="23"/>
      <c r="F365" s="23"/>
      <c r="G365" s="23"/>
      <c r="H365" s="23"/>
      <c r="I365" s="23"/>
      <c r="J365" s="42"/>
      <c r="K365" s="42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42"/>
      <c r="X365" s="21"/>
      <c r="Y365" s="22"/>
      <c r="Z365" s="23"/>
      <c r="AA365" s="24"/>
      <c r="AB365" s="44"/>
    </row>
    <row r="366" spans="1:28" x14ac:dyDescent="0.35">
      <c r="A366" s="23"/>
      <c r="B366" s="26"/>
      <c r="C366" s="23"/>
      <c r="D366" s="23"/>
      <c r="E366" s="23"/>
      <c r="F366" s="23"/>
      <c r="G366" s="23"/>
      <c r="H366" s="23"/>
      <c r="I366" s="23"/>
      <c r="J366" s="42"/>
      <c r="K366" s="42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42"/>
      <c r="X366" s="21"/>
      <c r="Y366" s="22"/>
      <c r="Z366" s="23"/>
      <c r="AA366" s="24"/>
      <c r="AB366" s="44"/>
    </row>
    <row r="367" spans="1:28" x14ac:dyDescent="0.35">
      <c r="A367" s="23"/>
      <c r="B367" s="26"/>
      <c r="C367" s="23"/>
      <c r="D367" s="23"/>
      <c r="E367" s="23"/>
      <c r="F367" s="23"/>
      <c r="G367" s="23"/>
      <c r="H367" s="23"/>
      <c r="I367" s="23"/>
      <c r="J367" s="42"/>
      <c r="K367" s="42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42"/>
      <c r="X367" s="21"/>
      <c r="Y367" s="22"/>
      <c r="Z367" s="23"/>
      <c r="AA367" s="24"/>
      <c r="AB367" s="44"/>
    </row>
    <row r="368" spans="1:28" x14ac:dyDescent="0.35">
      <c r="A368" s="23"/>
      <c r="B368" s="26"/>
      <c r="C368" s="23"/>
      <c r="D368" s="23"/>
      <c r="E368" s="23"/>
      <c r="F368" s="23"/>
      <c r="G368" s="23"/>
      <c r="H368" s="23"/>
      <c r="I368" s="23"/>
      <c r="J368" s="42"/>
      <c r="K368" s="42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42"/>
      <c r="X368" s="21"/>
      <c r="Y368" s="22"/>
      <c r="Z368" s="23"/>
      <c r="AA368" s="24"/>
      <c r="AB368" s="44"/>
    </row>
    <row r="369" spans="1:28" x14ac:dyDescent="0.35">
      <c r="A369" s="23"/>
      <c r="B369" s="26"/>
      <c r="C369" s="23"/>
      <c r="D369" s="23"/>
      <c r="E369" s="23"/>
      <c r="F369" s="23"/>
      <c r="G369" s="23"/>
      <c r="H369" s="23"/>
      <c r="I369" s="23"/>
      <c r="J369" s="42"/>
      <c r="K369" s="42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42"/>
      <c r="X369" s="21"/>
      <c r="Y369" s="22"/>
      <c r="Z369" s="23"/>
      <c r="AA369" s="24"/>
      <c r="AB369" s="44"/>
    </row>
    <row r="370" spans="1:28" x14ac:dyDescent="0.35">
      <c r="A370" s="23"/>
      <c r="B370" s="26"/>
      <c r="C370" s="23"/>
      <c r="D370" s="23"/>
      <c r="E370" s="23"/>
      <c r="F370" s="23"/>
      <c r="G370" s="23"/>
      <c r="H370" s="23"/>
      <c r="I370" s="23"/>
      <c r="J370" s="42"/>
      <c r="K370" s="42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42"/>
      <c r="X370" s="21"/>
      <c r="Y370" s="22"/>
      <c r="Z370" s="23"/>
      <c r="AA370" s="24"/>
      <c r="AB370" s="44"/>
    </row>
    <row r="371" spans="1:28" x14ac:dyDescent="0.35">
      <c r="A371" s="23"/>
      <c r="B371" s="26"/>
      <c r="C371" s="23"/>
      <c r="D371" s="23"/>
      <c r="E371" s="23"/>
      <c r="F371" s="23"/>
      <c r="G371" s="23"/>
      <c r="H371" s="23"/>
      <c r="I371" s="23"/>
      <c r="J371" s="42"/>
      <c r="K371" s="42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42"/>
      <c r="X371" s="21"/>
      <c r="Y371" s="22"/>
      <c r="Z371" s="23"/>
      <c r="AA371" s="24"/>
      <c r="AB371" s="44"/>
    </row>
    <row r="372" spans="1:28" x14ac:dyDescent="0.35">
      <c r="A372" s="23"/>
      <c r="B372" s="26"/>
      <c r="C372" s="23"/>
      <c r="D372" s="23"/>
      <c r="E372" s="23"/>
      <c r="F372" s="23"/>
      <c r="G372" s="23"/>
      <c r="H372" s="23"/>
      <c r="I372" s="23"/>
      <c r="J372" s="42"/>
      <c r="K372" s="42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42"/>
      <c r="X372" s="21"/>
      <c r="Y372" s="22"/>
      <c r="Z372" s="23"/>
      <c r="AA372" s="24"/>
      <c r="AB372" s="44"/>
    </row>
    <row r="373" spans="1:28" x14ac:dyDescent="0.35">
      <c r="A373" s="23"/>
      <c r="B373" s="26"/>
      <c r="C373" s="23"/>
      <c r="D373" s="23"/>
      <c r="E373" s="23"/>
      <c r="F373" s="23"/>
      <c r="G373" s="23"/>
      <c r="H373" s="23"/>
      <c r="I373" s="23"/>
      <c r="J373" s="42"/>
      <c r="K373" s="42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42"/>
      <c r="X373" s="21"/>
      <c r="Y373" s="22"/>
      <c r="Z373" s="23"/>
      <c r="AA373" s="24"/>
      <c r="AB373" s="44"/>
    </row>
    <row r="374" spans="1:28" x14ac:dyDescent="0.35">
      <c r="A374" s="23"/>
      <c r="B374" s="26"/>
      <c r="C374" s="23"/>
      <c r="D374" s="23"/>
      <c r="E374" s="23"/>
      <c r="F374" s="23"/>
      <c r="G374" s="23"/>
      <c r="H374" s="23"/>
      <c r="I374" s="23"/>
      <c r="J374" s="42"/>
      <c r="K374" s="42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42"/>
      <c r="X374" s="21"/>
      <c r="Y374" s="22"/>
      <c r="Z374" s="23"/>
      <c r="AA374" s="24"/>
      <c r="AB374" s="44"/>
    </row>
    <row r="375" spans="1:28" x14ac:dyDescent="0.35">
      <c r="A375" s="23"/>
      <c r="B375" s="26"/>
      <c r="C375" s="23"/>
      <c r="D375" s="23"/>
      <c r="E375" s="23"/>
      <c r="F375" s="23"/>
      <c r="G375" s="23"/>
      <c r="H375" s="23"/>
      <c r="I375" s="23"/>
      <c r="J375" s="42"/>
      <c r="K375" s="42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42"/>
      <c r="X375" s="21"/>
      <c r="Y375" s="22"/>
      <c r="Z375" s="23"/>
      <c r="AA375" s="24"/>
      <c r="AB375" s="44"/>
    </row>
    <row r="376" spans="1:28" x14ac:dyDescent="0.35">
      <c r="A376" s="23"/>
      <c r="B376" s="26"/>
      <c r="C376" s="23"/>
      <c r="D376" s="23"/>
      <c r="E376" s="23"/>
      <c r="F376" s="23"/>
      <c r="G376" s="23"/>
      <c r="H376" s="23"/>
      <c r="I376" s="23"/>
      <c r="J376" s="42"/>
      <c r="K376" s="42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42"/>
      <c r="X376" s="21"/>
      <c r="Y376" s="22"/>
      <c r="Z376" s="23"/>
      <c r="AA376" s="24"/>
      <c r="AB376" s="44"/>
    </row>
    <row r="377" spans="1:28" x14ac:dyDescent="0.35">
      <c r="A377" s="23"/>
      <c r="B377" s="26"/>
      <c r="C377" s="23"/>
      <c r="D377" s="23"/>
      <c r="E377" s="23"/>
      <c r="F377" s="23"/>
      <c r="G377" s="23"/>
      <c r="H377" s="23"/>
      <c r="I377" s="23"/>
      <c r="J377" s="42"/>
      <c r="K377" s="42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42"/>
      <c r="X377" s="21"/>
      <c r="Y377" s="22"/>
      <c r="Z377" s="23"/>
      <c r="AA377" s="24"/>
      <c r="AB377" s="44"/>
    </row>
    <row r="378" spans="1:28" x14ac:dyDescent="0.35">
      <c r="A378" s="23"/>
      <c r="B378" s="26"/>
      <c r="C378" s="23"/>
      <c r="D378" s="23"/>
      <c r="E378" s="23"/>
      <c r="F378" s="23"/>
      <c r="G378" s="23"/>
      <c r="H378" s="23"/>
      <c r="I378" s="23"/>
      <c r="J378" s="42"/>
      <c r="K378" s="42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42"/>
      <c r="X378" s="21"/>
      <c r="Y378" s="22"/>
      <c r="Z378" s="23"/>
      <c r="AA378" s="24"/>
      <c r="AB378" s="44"/>
    </row>
    <row r="379" spans="1:28" x14ac:dyDescent="0.35">
      <c r="A379" s="23"/>
      <c r="B379" s="26"/>
      <c r="C379" s="23"/>
      <c r="D379" s="23"/>
      <c r="E379" s="23"/>
      <c r="F379" s="23"/>
      <c r="G379" s="23"/>
      <c r="H379" s="23"/>
      <c r="I379" s="23"/>
      <c r="J379" s="42"/>
      <c r="K379" s="42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42"/>
      <c r="X379" s="21"/>
      <c r="Y379" s="22"/>
      <c r="Z379" s="23"/>
      <c r="AA379" s="24"/>
      <c r="AB379" s="44"/>
    </row>
    <row r="380" spans="1:28" x14ac:dyDescent="0.35">
      <c r="A380" s="23"/>
      <c r="B380" s="26"/>
      <c r="C380" s="23"/>
      <c r="D380" s="23"/>
      <c r="E380" s="23"/>
      <c r="F380" s="23"/>
      <c r="G380" s="23"/>
      <c r="H380" s="23"/>
      <c r="I380" s="23"/>
      <c r="J380" s="42"/>
      <c r="K380" s="42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42"/>
      <c r="X380" s="21"/>
      <c r="Y380" s="22"/>
      <c r="Z380" s="23"/>
      <c r="AA380" s="24"/>
      <c r="AB380" s="44"/>
    </row>
    <row r="381" spans="1:28" x14ac:dyDescent="0.35">
      <c r="A381" s="23"/>
      <c r="B381" s="26"/>
      <c r="C381" s="23"/>
      <c r="D381" s="23"/>
      <c r="E381" s="23"/>
      <c r="F381" s="23"/>
      <c r="G381" s="23"/>
      <c r="H381" s="23"/>
      <c r="I381" s="23"/>
      <c r="J381" s="42"/>
      <c r="K381" s="42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42"/>
      <c r="X381" s="21"/>
      <c r="Y381" s="22"/>
      <c r="Z381" s="23"/>
      <c r="AA381" s="24"/>
      <c r="AB381" s="44"/>
    </row>
    <row r="382" spans="1:28" x14ac:dyDescent="0.35">
      <c r="A382" s="23"/>
      <c r="B382" s="26"/>
      <c r="C382" s="23"/>
      <c r="D382" s="23"/>
      <c r="E382" s="23"/>
      <c r="F382" s="23"/>
      <c r="G382" s="23"/>
      <c r="H382" s="23"/>
      <c r="I382" s="23"/>
      <c r="J382" s="42"/>
      <c r="K382" s="42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42"/>
      <c r="X382" s="21"/>
      <c r="Y382" s="22"/>
      <c r="Z382" s="23"/>
      <c r="AA382" s="24"/>
      <c r="AB382" s="44"/>
    </row>
    <row r="383" spans="1:28" x14ac:dyDescent="0.35">
      <c r="A383" s="23"/>
      <c r="B383" s="26"/>
      <c r="C383" s="23"/>
      <c r="D383" s="23"/>
      <c r="E383" s="23"/>
      <c r="F383" s="23"/>
      <c r="G383" s="23"/>
      <c r="H383" s="23"/>
      <c r="I383" s="23"/>
      <c r="J383" s="42"/>
      <c r="K383" s="42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42"/>
      <c r="X383" s="21"/>
      <c r="Y383" s="22"/>
      <c r="Z383" s="23"/>
      <c r="AA383" s="24"/>
      <c r="AB383" s="44"/>
    </row>
    <row r="384" spans="1:28" x14ac:dyDescent="0.35">
      <c r="A384" s="23"/>
      <c r="B384" s="26"/>
      <c r="C384" s="23"/>
      <c r="D384" s="23"/>
      <c r="E384" s="23"/>
      <c r="F384" s="23"/>
      <c r="G384" s="23"/>
      <c r="H384" s="23"/>
      <c r="I384" s="23"/>
      <c r="J384" s="42"/>
      <c r="K384" s="42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42"/>
      <c r="X384" s="21"/>
      <c r="Y384" s="22"/>
      <c r="Z384" s="23"/>
      <c r="AA384" s="24"/>
      <c r="AB384" s="44"/>
    </row>
    <row r="385" spans="1:28" x14ac:dyDescent="0.35">
      <c r="A385" s="23"/>
      <c r="B385" s="26"/>
      <c r="C385" s="23"/>
      <c r="D385" s="23"/>
      <c r="E385" s="23"/>
      <c r="F385" s="23"/>
      <c r="G385" s="23"/>
      <c r="H385" s="23"/>
      <c r="I385" s="23"/>
      <c r="J385" s="42"/>
      <c r="K385" s="42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42"/>
      <c r="X385" s="21"/>
      <c r="Y385" s="22"/>
      <c r="Z385" s="23"/>
      <c r="AA385" s="24"/>
      <c r="AB385" s="44"/>
    </row>
    <row r="386" spans="1:28" x14ac:dyDescent="0.35">
      <c r="A386" s="23"/>
      <c r="B386" s="26"/>
      <c r="C386" s="23"/>
      <c r="D386" s="23"/>
      <c r="E386" s="23"/>
      <c r="F386" s="23"/>
      <c r="G386" s="23"/>
      <c r="H386" s="23"/>
      <c r="I386" s="23"/>
      <c r="J386" s="42"/>
      <c r="K386" s="42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42"/>
      <c r="X386" s="21"/>
      <c r="Y386" s="22"/>
      <c r="Z386" s="23"/>
      <c r="AA386" s="24"/>
      <c r="AB386" s="44"/>
    </row>
    <row r="387" spans="1:28" x14ac:dyDescent="0.35">
      <c r="A387" s="23"/>
      <c r="B387" s="26"/>
      <c r="C387" s="23"/>
      <c r="D387" s="23"/>
      <c r="E387" s="23"/>
      <c r="F387" s="23"/>
      <c r="G387" s="23"/>
      <c r="H387" s="23"/>
      <c r="I387" s="23"/>
      <c r="J387" s="42"/>
      <c r="K387" s="42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42"/>
      <c r="X387" s="21"/>
      <c r="Y387" s="22"/>
      <c r="Z387" s="23"/>
      <c r="AA387" s="24"/>
      <c r="AB387" s="44"/>
    </row>
    <row r="388" spans="1:28" x14ac:dyDescent="0.35">
      <c r="A388" s="23"/>
      <c r="B388" s="26"/>
      <c r="C388" s="23"/>
      <c r="D388" s="23"/>
      <c r="E388" s="23"/>
      <c r="F388" s="23"/>
      <c r="G388" s="23"/>
      <c r="H388" s="23"/>
      <c r="I388" s="23"/>
      <c r="J388" s="42"/>
      <c r="K388" s="42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42"/>
      <c r="X388" s="21"/>
      <c r="Y388" s="22"/>
      <c r="Z388" s="23"/>
      <c r="AA388" s="24"/>
      <c r="AB388" s="44"/>
    </row>
    <row r="389" spans="1:28" x14ac:dyDescent="0.35">
      <c r="A389" s="23"/>
      <c r="B389" s="26"/>
      <c r="C389" s="23"/>
      <c r="D389" s="23"/>
      <c r="E389" s="23"/>
      <c r="F389" s="23"/>
      <c r="G389" s="23"/>
      <c r="H389" s="23"/>
      <c r="I389" s="23"/>
      <c r="J389" s="42"/>
      <c r="K389" s="42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42"/>
      <c r="X389" s="21"/>
      <c r="Y389" s="22"/>
      <c r="Z389" s="23"/>
      <c r="AA389" s="24"/>
      <c r="AB389" s="44"/>
    </row>
    <row r="390" spans="1:28" x14ac:dyDescent="0.35">
      <c r="A390" s="23"/>
      <c r="B390" s="26"/>
      <c r="C390" s="23"/>
      <c r="D390" s="23"/>
      <c r="E390" s="23"/>
      <c r="F390" s="23"/>
      <c r="G390" s="23"/>
      <c r="H390" s="23"/>
      <c r="I390" s="23"/>
      <c r="J390" s="42"/>
      <c r="K390" s="42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42"/>
      <c r="X390" s="21"/>
      <c r="Y390" s="22"/>
      <c r="Z390" s="23"/>
      <c r="AA390" s="24"/>
      <c r="AB390" s="44"/>
    </row>
    <row r="391" spans="1:28" x14ac:dyDescent="0.35">
      <c r="A391" s="23"/>
      <c r="B391" s="26"/>
      <c r="C391" s="23"/>
      <c r="D391" s="23"/>
      <c r="E391" s="23"/>
      <c r="F391" s="23"/>
      <c r="G391" s="23"/>
      <c r="H391" s="23"/>
      <c r="I391" s="23"/>
      <c r="J391" s="42"/>
      <c r="K391" s="42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42"/>
      <c r="X391" s="21"/>
      <c r="Y391" s="22"/>
      <c r="Z391" s="23"/>
      <c r="AA391" s="24"/>
      <c r="AB391" s="44"/>
    </row>
    <row r="392" spans="1:28" x14ac:dyDescent="0.35">
      <c r="A392" s="23"/>
      <c r="B392" s="26"/>
      <c r="C392" s="23"/>
      <c r="D392" s="23"/>
      <c r="E392" s="23"/>
      <c r="F392" s="23"/>
      <c r="G392" s="23"/>
      <c r="H392" s="23"/>
      <c r="I392" s="23"/>
      <c r="J392" s="42"/>
      <c r="K392" s="42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42"/>
      <c r="X392" s="21"/>
      <c r="Y392" s="22"/>
      <c r="Z392" s="23"/>
      <c r="AA392" s="24"/>
      <c r="AB392" s="44"/>
    </row>
    <row r="393" spans="1:28" x14ac:dyDescent="0.35">
      <c r="A393" s="23"/>
      <c r="B393" s="26"/>
      <c r="C393" s="23"/>
      <c r="D393" s="23"/>
      <c r="E393" s="23"/>
      <c r="F393" s="23"/>
      <c r="G393" s="23"/>
      <c r="H393" s="23"/>
      <c r="I393" s="23"/>
      <c r="J393" s="42"/>
      <c r="K393" s="42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42"/>
      <c r="X393" s="21"/>
      <c r="Y393" s="22"/>
      <c r="Z393" s="23"/>
      <c r="AA393" s="24"/>
      <c r="AB393" s="44"/>
    </row>
    <row r="394" spans="1:28" x14ac:dyDescent="0.35">
      <c r="A394" s="23"/>
      <c r="B394" s="26"/>
      <c r="C394" s="23"/>
      <c r="D394" s="23"/>
      <c r="E394" s="23"/>
      <c r="F394" s="23"/>
      <c r="G394" s="23"/>
      <c r="H394" s="23"/>
      <c r="I394" s="23"/>
      <c r="J394" s="42"/>
      <c r="K394" s="42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42"/>
      <c r="X394" s="21"/>
      <c r="Y394" s="22"/>
      <c r="Z394" s="23"/>
      <c r="AA394" s="24"/>
      <c r="AB394" s="44"/>
    </row>
    <row r="395" spans="1:28" x14ac:dyDescent="0.35">
      <c r="A395" s="23"/>
      <c r="B395" s="26"/>
      <c r="C395" s="23"/>
      <c r="D395" s="23"/>
      <c r="E395" s="23"/>
      <c r="F395" s="23"/>
      <c r="G395" s="23"/>
      <c r="H395" s="23"/>
      <c r="I395" s="23"/>
      <c r="J395" s="42"/>
      <c r="K395" s="42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42"/>
      <c r="X395" s="21"/>
      <c r="Y395" s="22"/>
      <c r="Z395" s="23"/>
      <c r="AA395" s="24"/>
      <c r="AB395" s="44"/>
    </row>
    <row r="396" spans="1:28" x14ac:dyDescent="0.35">
      <c r="A396" s="23"/>
      <c r="B396" s="26"/>
      <c r="C396" s="23"/>
      <c r="D396" s="23"/>
      <c r="E396" s="23"/>
      <c r="F396" s="23"/>
      <c r="G396" s="23"/>
      <c r="H396" s="23"/>
      <c r="I396" s="23"/>
      <c r="J396" s="42"/>
      <c r="K396" s="42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42"/>
      <c r="X396" s="21"/>
      <c r="Y396" s="22"/>
      <c r="Z396" s="23"/>
      <c r="AA396" s="24"/>
      <c r="AB396" s="44"/>
    </row>
    <row r="397" spans="1:28" x14ac:dyDescent="0.35">
      <c r="A397" s="23"/>
      <c r="B397" s="26"/>
      <c r="C397" s="23"/>
      <c r="D397" s="23"/>
      <c r="E397" s="23"/>
      <c r="F397" s="23"/>
      <c r="G397" s="23"/>
      <c r="H397" s="23"/>
      <c r="I397" s="23"/>
      <c r="J397" s="42"/>
      <c r="K397" s="42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42"/>
      <c r="X397" s="21"/>
      <c r="Y397" s="22"/>
      <c r="Z397" s="23"/>
      <c r="AA397" s="24"/>
      <c r="AB397" s="44"/>
    </row>
    <row r="398" spans="1:28" x14ac:dyDescent="0.35">
      <c r="A398" s="23"/>
      <c r="B398" s="26"/>
      <c r="C398" s="23"/>
      <c r="D398" s="23"/>
      <c r="E398" s="23"/>
      <c r="F398" s="23"/>
      <c r="G398" s="23"/>
      <c r="H398" s="23"/>
      <c r="I398" s="23"/>
      <c r="J398" s="42"/>
      <c r="K398" s="42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42"/>
      <c r="X398" s="21"/>
      <c r="Y398" s="22"/>
      <c r="Z398" s="23"/>
      <c r="AA398" s="24"/>
      <c r="AB398" s="44"/>
    </row>
    <row r="399" spans="1:28" x14ac:dyDescent="0.35">
      <c r="A399" s="23"/>
      <c r="B399" s="26"/>
      <c r="C399" s="23"/>
      <c r="D399" s="23"/>
      <c r="E399" s="23"/>
      <c r="F399" s="23"/>
      <c r="G399" s="23"/>
      <c r="H399" s="23"/>
      <c r="I399" s="23"/>
      <c r="J399" s="42"/>
      <c r="K399" s="42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42"/>
      <c r="X399" s="21"/>
      <c r="Y399" s="22"/>
      <c r="Z399" s="23"/>
      <c r="AA399" s="24"/>
      <c r="AB399" s="44"/>
    </row>
    <row r="400" spans="1:28" x14ac:dyDescent="0.35">
      <c r="A400" s="23"/>
      <c r="B400" s="26"/>
      <c r="C400" s="23"/>
      <c r="D400" s="23"/>
      <c r="E400" s="23"/>
      <c r="F400" s="23"/>
      <c r="G400" s="23"/>
      <c r="H400" s="23"/>
      <c r="I400" s="23"/>
      <c r="J400" s="42"/>
      <c r="K400" s="42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42"/>
      <c r="X400" s="21"/>
      <c r="Y400" s="22"/>
      <c r="Z400" s="23"/>
      <c r="AA400" s="24"/>
      <c r="AB400" s="44"/>
    </row>
    <row r="401" spans="1:28" x14ac:dyDescent="0.35">
      <c r="A401" s="23"/>
      <c r="B401" s="26"/>
      <c r="C401" s="23"/>
      <c r="D401" s="23"/>
      <c r="E401" s="23"/>
      <c r="F401" s="23"/>
      <c r="G401" s="23"/>
      <c r="H401" s="23"/>
      <c r="I401" s="23"/>
      <c r="J401" s="42"/>
      <c r="K401" s="42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42"/>
      <c r="X401" s="21"/>
      <c r="Y401" s="22"/>
      <c r="Z401" s="23"/>
      <c r="AA401" s="24"/>
      <c r="AB401" s="44"/>
    </row>
    <row r="402" spans="1:28" x14ac:dyDescent="0.35">
      <c r="A402" s="23"/>
      <c r="B402" s="26"/>
      <c r="C402" s="23"/>
      <c r="D402" s="23"/>
      <c r="E402" s="23"/>
      <c r="F402" s="23"/>
      <c r="G402" s="23"/>
      <c r="H402" s="23"/>
      <c r="I402" s="23"/>
      <c r="J402" s="42"/>
      <c r="K402" s="42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42"/>
      <c r="X402" s="21"/>
      <c r="Y402" s="22"/>
      <c r="Z402" s="23"/>
      <c r="AA402" s="24"/>
      <c r="AB402" s="44"/>
    </row>
    <row r="403" spans="1:28" x14ac:dyDescent="0.35">
      <c r="A403" s="23"/>
      <c r="B403" s="26"/>
      <c r="C403" s="23"/>
      <c r="D403" s="23"/>
      <c r="E403" s="23"/>
      <c r="F403" s="23"/>
      <c r="G403" s="23"/>
      <c r="H403" s="23"/>
      <c r="I403" s="23"/>
      <c r="J403" s="42"/>
      <c r="K403" s="42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42"/>
      <c r="X403" s="21"/>
      <c r="Y403" s="22"/>
      <c r="Z403" s="23"/>
      <c r="AA403" s="24"/>
      <c r="AB403" s="44"/>
    </row>
    <row r="404" spans="1:28" x14ac:dyDescent="0.35">
      <c r="A404" s="23"/>
      <c r="B404" s="26"/>
      <c r="C404" s="23"/>
      <c r="D404" s="23"/>
      <c r="E404" s="23"/>
      <c r="F404" s="23"/>
      <c r="G404" s="23"/>
      <c r="H404" s="23"/>
      <c r="I404" s="23"/>
      <c r="J404" s="42"/>
      <c r="K404" s="42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42"/>
      <c r="X404" s="21"/>
      <c r="Y404" s="22"/>
      <c r="Z404" s="23"/>
      <c r="AA404" s="24"/>
      <c r="AB404" s="44"/>
    </row>
    <row r="405" spans="1:28" x14ac:dyDescent="0.35">
      <c r="A405" s="23"/>
      <c r="B405" s="26"/>
      <c r="C405" s="23"/>
      <c r="D405" s="23"/>
      <c r="E405" s="23"/>
      <c r="F405" s="23"/>
      <c r="G405" s="23"/>
      <c r="H405" s="23"/>
      <c r="I405" s="23"/>
      <c r="J405" s="42"/>
      <c r="K405" s="42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42"/>
      <c r="X405" s="21"/>
      <c r="Y405" s="22"/>
      <c r="Z405" s="23"/>
      <c r="AA405" s="24"/>
      <c r="AB405" s="44"/>
    </row>
    <row r="406" spans="1:28" x14ac:dyDescent="0.35">
      <c r="A406" s="23"/>
      <c r="B406" s="26"/>
      <c r="C406" s="23"/>
      <c r="D406" s="23"/>
      <c r="E406" s="23"/>
      <c r="F406" s="23"/>
      <c r="G406" s="23"/>
      <c r="H406" s="23"/>
      <c r="I406" s="23"/>
      <c r="J406" s="42"/>
      <c r="K406" s="42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42"/>
      <c r="X406" s="21"/>
      <c r="Y406" s="22"/>
      <c r="Z406" s="23"/>
      <c r="AA406" s="24"/>
      <c r="AB406" s="44"/>
    </row>
    <row r="407" spans="1:28" x14ac:dyDescent="0.35">
      <c r="A407" s="23"/>
      <c r="B407" s="26"/>
      <c r="C407" s="23"/>
      <c r="D407" s="23"/>
      <c r="E407" s="23"/>
      <c r="F407" s="23"/>
      <c r="G407" s="23"/>
      <c r="H407" s="23"/>
      <c r="I407" s="23"/>
      <c r="J407" s="42"/>
      <c r="K407" s="42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42"/>
      <c r="X407" s="21"/>
      <c r="Y407" s="22"/>
      <c r="Z407" s="23"/>
      <c r="AA407" s="24"/>
      <c r="AB407" s="44"/>
    </row>
    <row r="408" spans="1:28" x14ac:dyDescent="0.35">
      <c r="A408" s="23"/>
      <c r="B408" s="26"/>
      <c r="C408" s="23"/>
      <c r="D408" s="23"/>
      <c r="E408" s="23"/>
      <c r="F408" s="23"/>
      <c r="G408" s="23"/>
      <c r="H408" s="23"/>
      <c r="I408" s="23"/>
      <c r="J408" s="42"/>
      <c r="K408" s="42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42"/>
      <c r="X408" s="21"/>
      <c r="Y408" s="22"/>
      <c r="Z408" s="23"/>
      <c r="AA408" s="24"/>
      <c r="AB408" s="44"/>
    </row>
    <row r="409" spans="1:28" x14ac:dyDescent="0.35">
      <c r="A409" s="23"/>
      <c r="B409" s="26"/>
      <c r="C409" s="23"/>
      <c r="D409" s="23"/>
      <c r="E409" s="23"/>
      <c r="F409" s="23"/>
      <c r="G409" s="23"/>
      <c r="H409" s="23"/>
      <c r="I409" s="23"/>
      <c r="J409" s="42"/>
      <c r="K409" s="42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42"/>
      <c r="X409" s="21"/>
      <c r="Y409" s="22"/>
      <c r="Z409" s="23"/>
      <c r="AA409" s="24"/>
      <c r="AB409" s="44"/>
    </row>
    <row r="410" spans="1:28" x14ac:dyDescent="0.35">
      <c r="A410" s="23"/>
      <c r="B410" s="26"/>
      <c r="C410" s="23"/>
      <c r="D410" s="23"/>
      <c r="E410" s="23"/>
      <c r="F410" s="23"/>
      <c r="G410" s="23"/>
      <c r="H410" s="23"/>
      <c r="I410" s="23"/>
      <c r="J410" s="42"/>
      <c r="K410" s="42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42"/>
      <c r="X410" s="21"/>
      <c r="Y410" s="22"/>
      <c r="Z410" s="23"/>
      <c r="AA410" s="24"/>
      <c r="AB410" s="44"/>
    </row>
    <row r="411" spans="1:28" x14ac:dyDescent="0.35">
      <c r="A411" s="23"/>
      <c r="B411" s="26"/>
      <c r="C411" s="23"/>
      <c r="D411" s="23"/>
      <c r="E411" s="23"/>
      <c r="F411" s="23"/>
      <c r="G411" s="23"/>
      <c r="H411" s="23"/>
      <c r="I411" s="23"/>
      <c r="J411" s="42"/>
      <c r="K411" s="42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42"/>
      <c r="X411" s="21"/>
      <c r="Y411" s="22"/>
      <c r="Z411" s="23"/>
      <c r="AA411" s="24"/>
      <c r="AB411" s="44"/>
    </row>
    <row r="412" spans="1:28" x14ac:dyDescent="0.35">
      <c r="A412" s="23"/>
      <c r="B412" s="26"/>
      <c r="C412" s="23"/>
      <c r="D412" s="23"/>
      <c r="E412" s="23"/>
      <c r="F412" s="23"/>
      <c r="G412" s="23"/>
      <c r="H412" s="23"/>
      <c r="I412" s="23"/>
      <c r="J412" s="42"/>
      <c r="K412" s="42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42"/>
      <c r="X412" s="21"/>
      <c r="Y412" s="22"/>
      <c r="Z412" s="23"/>
      <c r="AA412" s="24"/>
      <c r="AB412" s="44"/>
    </row>
    <row r="413" spans="1:28" x14ac:dyDescent="0.35">
      <c r="A413" s="23"/>
      <c r="B413" s="26"/>
      <c r="C413" s="23"/>
      <c r="D413" s="23"/>
      <c r="E413" s="23"/>
      <c r="F413" s="23"/>
      <c r="G413" s="23"/>
      <c r="H413" s="23"/>
      <c r="I413" s="23"/>
      <c r="J413" s="42"/>
      <c r="K413" s="42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42"/>
      <c r="X413" s="21"/>
      <c r="Y413" s="22"/>
      <c r="Z413" s="23"/>
      <c r="AA413" s="24"/>
      <c r="AB413" s="44"/>
    </row>
    <row r="414" spans="1:28" x14ac:dyDescent="0.35">
      <c r="A414" s="23"/>
      <c r="B414" s="26"/>
      <c r="C414" s="23"/>
      <c r="D414" s="23"/>
      <c r="E414" s="23"/>
      <c r="F414" s="23"/>
      <c r="G414" s="23"/>
      <c r="H414" s="23"/>
      <c r="I414" s="23"/>
      <c r="J414" s="42"/>
      <c r="K414" s="42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42"/>
      <c r="X414" s="21"/>
      <c r="Y414" s="22"/>
      <c r="Z414" s="23"/>
      <c r="AA414" s="24"/>
      <c r="AB414" s="44"/>
    </row>
    <row r="415" spans="1:28" x14ac:dyDescent="0.35">
      <c r="A415" s="23"/>
      <c r="B415" s="26"/>
      <c r="C415" s="23"/>
      <c r="D415" s="23"/>
      <c r="E415" s="23"/>
      <c r="F415" s="23"/>
      <c r="G415" s="23"/>
      <c r="H415" s="23"/>
      <c r="I415" s="23"/>
      <c r="J415" s="42"/>
      <c r="K415" s="42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42"/>
      <c r="X415" s="21"/>
      <c r="Y415" s="22"/>
      <c r="Z415" s="23"/>
      <c r="AA415" s="24"/>
      <c r="AB415" s="44"/>
    </row>
    <row r="416" spans="1:28" x14ac:dyDescent="0.35">
      <c r="A416" s="23"/>
      <c r="B416" s="26"/>
      <c r="C416" s="23"/>
      <c r="D416" s="23"/>
      <c r="E416" s="23"/>
      <c r="F416" s="23"/>
      <c r="G416" s="23"/>
      <c r="H416" s="23"/>
      <c r="I416" s="23"/>
      <c r="J416" s="42"/>
      <c r="K416" s="42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42"/>
      <c r="X416" s="21"/>
      <c r="Y416" s="22"/>
      <c r="Z416" s="23"/>
      <c r="AA416" s="24"/>
      <c r="AB416" s="44"/>
    </row>
    <row r="417" spans="1:28" x14ac:dyDescent="0.35">
      <c r="A417" s="23"/>
      <c r="B417" s="26"/>
      <c r="C417" s="23"/>
      <c r="D417" s="23"/>
      <c r="E417" s="23"/>
      <c r="F417" s="23"/>
      <c r="G417" s="23"/>
      <c r="H417" s="23"/>
      <c r="I417" s="23"/>
      <c r="J417" s="42"/>
      <c r="K417" s="42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42"/>
      <c r="X417" s="21"/>
      <c r="Y417" s="22"/>
      <c r="Z417" s="23"/>
      <c r="AA417" s="24"/>
      <c r="AB417" s="44"/>
    </row>
    <row r="418" spans="1:28" x14ac:dyDescent="0.35">
      <c r="A418" s="23"/>
      <c r="B418" s="26"/>
      <c r="C418" s="23"/>
      <c r="D418" s="23"/>
      <c r="E418" s="23"/>
      <c r="F418" s="23"/>
      <c r="G418" s="23"/>
      <c r="H418" s="23"/>
      <c r="I418" s="23"/>
      <c r="J418" s="42"/>
      <c r="K418" s="42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42"/>
      <c r="X418" s="21"/>
      <c r="Y418" s="22"/>
      <c r="Z418" s="23"/>
      <c r="AA418" s="24"/>
      <c r="AB418" s="44"/>
    </row>
    <row r="419" spans="1:28" x14ac:dyDescent="0.35">
      <c r="A419" s="23"/>
      <c r="B419" s="26"/>
      <c r="C419" s="23"/>
      <c r="D419" s="23"/>
      <c r="E419" s="23"/>
      <c r="F419" s="23"/>
      <c r="G419" s="23"/>
      <c r="H419" s="23"/>
      <c r="I419" s="23"/>
      <c r="J419" s="42"/>
      <c r="K419" s="42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42"/>
      <c r="X419" s="21"/>
      <c r="Y419" s="22"/>
      <c r="Z419" s="23"/>
      <c r="AA419" s="24"/>
      <c r="AB419" s="44"/>
    </row>
    <row r="420" spans="1:28" x14ac:dyDescent="0.35">
      <c r="A420" s="23"/>
      <c r="B420" s="26"/>
      <c r="C420" s="23"/>
      <c r="D420" s="23"/>
      <c r="E420" s="23"/>
      <c r="F420" s="23"/>
      <c r="G420" s="23"/>
      <c r="H420" s="23"/>
      <c r="I420" s="23"/>
      <c r="J420" s="42"/>
      <c r="K420" s="42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42"/>
      <c r="X420" s="21"/>
      <c r="Y420" s="22"/>
      <c r="Z420" s="23"/>
      <c r="AA420" s="24"/>
      <c r="AB420" s="44"/>
    </row>
    <row r="421" spans="1:28" x14ac:dyDescent="0.35">
      <c r="A421" s="23"/>
      <c r="B421" s="26"/>
      <c r="C421" s="23"/>
      <c r="D421" s="23"/>
      <c r="E421" s="23"/>
      <c r="F421" s="23"/>
      <c r="G421" s="23"/>
      <c r="H421" s="23"/>
      <c r="I421" s="23"/>
      <c r="J421" s="42"/>
      <c r="K421" s="42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42"/>
      <c r="X421" s="21"/>
      <c r="Y421" s="22"/>
      <c r="Z421" s="23"/>
      <c r="AA421" s="24"/>
      <c r="AB421" s="44"/>
    </row>
    <row r="422" spans="1:28" x14ac:dyDescent="0.35">
      <c r="A422" s="23"/>
      <c r="B422" s="26"/>
      <c r="C422" s="23"/>
      <c r="D422" s="23"/>
      <c r="E422" s="23"/>
      <c r="F422" s="23"/>
      <c r="G422" s="23"/>
      <c r="H422" s="23"/>
      <c r="I422" s="23"/>
      <c r="J422" s="42"/>
      <c r="K422" s="42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42"/>
      <c r="X422" s="21"/>
      <c r="Y422" s="22"/>
      <c r="Z422" s="23"/>
      <c r="AA422" s="24"/>
      <c r="AB422" s="44"/>
    </row>
    <row r="423" spans="1:28" x14ac:dyDescent="0.35">
      <c r="A423" s="23"/>
      <c r="B423" s="26"/>
      <c r="C423" s="23"/>
      <c r="D423" s="23"/>
      <c r="E423" s="23"/>
      <c r="F423" s="23"/>
      <c r="G423" s="23"/>
      <c r="H423" s="23"/>
      <c r="I423" s="23"/>
      <c r="J423" s="42"/>
      <c r="K423" s="42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42"/>
      <c r="X423" s="21"/>
      <c r="Y423" s="22"/>
      <c r="Z423" s="23"/>
      <c r="AA423" s="24"/>
      <c r="AB423" s="44"/>
    </row>
    <row r="424" spans="1:28" x14ac:dyDescent="0.35">
      <c r="A424" s="23"/>
      <c r="B424" s="26"/>
      <c r="C424" s="23"/>
      <c r="D424" s="23"/>
      <c r="E424" s="23"/>
      <c r="F424" s="23"/>
      <c r="G424" s="23"/>
      <c r="H424" s="23"/>
      <c r="I424" s="23"/>
      <c r="J424" s="42"/>
      <c r="K424" s="42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42"/>
      <c r="X424" s="21"/>
      <c r="Y424" s="22"/>
      <c r="Z424" s="23"/>
      <c r="AA424" s="24"/>
      <c r="AB424" s="44"/>
    </row>
    <row r="425" spans="1:28" x14ac:dyDescent="0.35">
      <c r="A425" s="23"/>
      <c r="B425" s="26"/>
      <c r="C425" s="23"/>
      <c r="D425" s="23"/>
      <c r="E425" s="23"/>
      <c r="F425" s="23"/>
      <c r="G425" s="23"/>
      <c r="H425" s="23"/>
      <c r="I425" s="23"/>
      <c r="J425" s="42"/>
      <c r="K425" s="42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42"/>
      <c r="X425" s="21"/>
      <c r="Y425" s="22"/>
      <c r="Z425" s="23"/>
      <c r="AA425" s="24"/>
      <c r="AB425" s="44"/>
    </row>
    <row r="426" spans="1:28" x14ac:dyDescent="0.35">
      <c r="A426" s="23"/>
      <c r="B426" s="26"/>
      <c r="C426" s="23"/>
      <c r="D426" s="23"/>
      <c r="E426" s="23"/>
      <c r="F426" s="23"/>
      <c r="G426" s="23"/>
      <c r="H426" s="23"/>
      <c r="I426" s="23"/>
      <c r="J426" s="42"/>
      <c r="K426" s="42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42"/>
      <c r="X426" s="21"/>
      <c r="Y426" s="22"/>
      <c r="Z426" s="23"/>
      <c r="AA426" s="24"/>
      <c r="AB426" s="44"/>
    </row>
    <row r="427" spans="1:28" x14ac:dyDescent="0.35">
      <c r="A427" s="23"/>
      <c r="B427" s="26"/>
      <c r="C427" s="23"/>
      <c r="D427" s="23"/>
      <c r="E427" s="23"/>
      <c r="F427" s="23"/>
      <c r="G427" s="23"/>
      <c r="H427" s="23"/>
      <c r="I427" s="23"/>
      <c r="J427" s="42"/>
      <c r="K427" s="42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42"/>
      <c r="X427" s="21"/>
      <c r="Y427" s="22"/>
      <c r="Z427" s="23"/>
      <c r="AA427" s="24"/>
      <c r="AB427" s="44"/>
    </row>
    <row r="428" spans="1:28" x14ac:dyDescent="0.35">
      <c r="A428" s="23"/>
      <c r="B428" s="26"/>
      <c r="C428" s="23"/>
      <c r="D428" s="23"/>
      <c r="E428" s="23"/>
      <c r="F428" s="23"/>
      <c r="G428" s="23"/>
      <c r="H428" s="23"/>
      <c r="I428" s="23"/>
      <c r="J428" s="42"/>
      <c r="K428" s="42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42"/>
      <c r="X428" s="21"/>
      <c r="Y428" s="22"/>
      <c r="Z428" s="23"/>
      <c r="AA428" s="24"/>
      <c r="AB428" s="44"/>
    </row>
    <row r="429" spans="1:28" x14ac:dyDescent="0.35">
      <c r="A429" s="23"/>
      <c r="B429" s="26"/>
      <c r="C429" s="23"/>
      <c r="D429" s="23"/>
      <c r="E429" s="23"/>
      <c r="F429" s="23"/>
      <c r="G429" s="23"/>
      <c r="H429" s="23"/>
      <c r="I429" s="23"/>
      <c r="J429" s="42"/>
      <c r="K429" s="42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42"/>
      <c r="X429" s="21"/>
      <c r="Y429" s="22"/>
      <c r="Z429" s="23"/>
      <c r="AA429" s="24"/>
      <c r="AB429" s="44"/>
    </row>
    <row r="430" spans="1:28" x14ac:dyDescent="0.35">
      <c r="A430" s="23"/>
      <c r="B430" s="26"/>
      <c r="C430" s="23"/>
      <c r="D430" s="23"/>
      <c r="E430" s="23"/>
      <c r="F430" s="23"/>
      <c r="G430" s="23"/>
      <c r="H430" s="23"/>
      <c r="I430" s="23"/>
      <c r="J430" s="42"/>
      <c r="K430" s="42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42"/>
      <c r="X430" s="21"/>
      <c r="Y430" s="22"/>
      <c r="Z430" s="23"/>
      <c r="AA430" s="24"/>
      <c r="AB430" s="44"/>
    </row>
    <row r="431" spans="1:28" x14ac:dyDescent="0.35">
      <c r="A431" s="23"/>
      <c r="B431" s="26"/>
      <c r="C431" s="23"/>
      <c r="D431" s="23"/>
      <c r="E431" s="23"/>
      <c r="F431" s="23"/>
      <c r="G431" s="23"/>
      <c r="H431" s="23"/>
      <c r="I431" s="23"/>
      <c r="J431" s="42"/>
      <c r="K431" s="42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42"/>
      <c r="X431" s="21"/>
      <c r="Y431" s="22"/>
      <c r="Z431" s="23"/>
      <c r="AA431" s="24"/>
      <c r="AB431" s="44"/>
    </row>
    <row r="432" spans="1:28" x14ac:dyDescent="0.35">
      <c r="A432" s="23"/>
      <c r="B432" s="26"/>
      <c r="C432" s="23"/>
      <c r="D432" s="23"/>
      <c r="E432" s="23"/>
      <c r="F432" s="23"/>
      <c r="G432" s="23"/>
      <c r="H432" s="23"/>
      <c r="I432" s="23"/>
      <c r="J432" s="42"/>
      <c r="K432" s="42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42"/>
      <c r="X432" s="21"/>
      <c r="Y432" s="22"/>
      <c r="Z432" s="23"/>
      <c r="AA432" s="24"/>
      <c r="AB432" s="44"/>
    </row>
    <row r="433" spans="1:28" x14ac:dyDescent="0.35">
      <c r="A433" s="23"/>
      <c r="B433" s="26"/>
      <c r="C433" s="23"/>
      <c r="D433" s="23"/>
      <c r="E433" s="23"/>
      <c r="F433" s="23"/>
      <c r="G433" s="23"/>
      <c r="H433" s="23"/>
      <c r="I433" s="23"/>
      <c r="J433" s="42"/>
      <c r="K433" s="42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42"/>
      <c r="X433" s="21"/>
      <c r="Y433" s="22"/>
      <c r="Z433" s="23"/>
      <c r="AA433" s="24"/>
      <c r="AB433" s="44"/>
    </row>
    <row r="434" spans="1:28" x14ac:dyDescent="0.35">
      <c r="A434" s="23"/>
      <c r="B434" s="26"/>
      <c r="C434" s="23"/>
      <c r="D434" s="23"/>
      <c r="E434" s="23"/>
      <c r="F434" s="23"/>
      <c r="G434" s="23"/>
      <c r="H434" s="23"/>
      <c r="I434" s="23"/>
      <c r="J434" s="42"/>
      <c r="K434" s="42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42"/>
      <c r="X434" s="21"/>
      <c r="Y434" s="22"/>
      <c r="Z434" s="23"/>
      <c r="AA434" s="24"/>
      <c r="AB434" s="44"/>
    </row>
    <row r="435" spans="1:28" x14ac:dyDescent="0.35">
      <c r="A435" s="23"/>
      <c r="B435" s="26"/>
      <c r="C435" s="23"/>
      <c r="D435" s="23"/>
      <c r="E435" s="23"/>
      <c r="F435" s="23"/>
      <c r="G435" s="23"/>
      <c r="H435" s="23"/>
      <c r="I435" s="23"/>
      <c r="J435" s="42"/>
      <c r="K435" s="42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42"/>
      <c r="X435" s="21"/>
      <c r="Y435" s="22"/>
      <c r="Z435" s="23"/>
      <c r="AA435" s="24"/>
      <c r="AB435" s="44"/>
    </row>
    <row r="436" spans="1:28" x14ac:dyDescent="0.35">
      <c r="A436" s="23"/>
      <c r="B436" s="26"/>
      <c r="C436" s="23"/>
      <c r="D436" s="23"/>
      <c r="E436" s="23"/>
      <c r="F436" s="23"/>
      <c r="G436" s="23"/>
      <c r="H436" s="23"/>
      <c r="I436" s="23"/>
      <c r="J436" s="42"/>
      <c r="K436" s="42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42"/>
      <c r="X436" s="21"/>
      <c r="Y436" s="22"/>
      <c r="Z436" s="23"/>
      <c r="AA436" s="24"/>
      <c r="AB436" s="44"/>
    </row>
    <row r="437" spans="1:28" x14ac:dyDescent="0.35">
      <c r="A437" s="23"/>
      <c r="B437" s="26"/>
      <c r="C437" s="23"/>
      <c r="D437" s="23"/>
      <c r="E437" s="23"/>
      <c r="F437" s="23"/>
      <c r="G437" s="23"/>
      <c r="H437" s="23"/>
      <c r="I437" s="23"/>
      <c r="J437" s="42"/>
      <c r="K437" s="42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42"/>
      <c r="X437" s="21"/>
      <c r="Y437" s="22"/>
      <c r="Z437" s="23"/>
      <c r="AA437" s="24"/>
      <c r="AB437" s="44"/>
    </row>
    <row r="438" spans="1:28" x14ac:dyDescent="0.35">
      <c r="A438" s="23"/>
      <c r="B438" s="26"/>
      <c r="C438" s="23"/>
      <c r="D438" s="23"/>
      <c r="E438" s="23"/>
      <c r="F438" s="23"/>
      <c r="G438" s="23"/>
      <c r="H438" s="23"/>
      <c r="I438" s="23"/>
      <c r="J438" s="42"/>
      <c r="K438" s="42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42"/>
      <c r="X438" s="21"/>
      <c r="Y438" s="22"/>
      <c r="Z438" s="23"/>
      <c r="AA438" s="24"/>
      <c r="AB438" s="44"/>
    </row>
    <row r="439" spans="1:28" x14ac:dyDescent="0.35">
      <c r="A439" s="23"/>
      <c r="B439" s="26"/>
      <c r="C439" s="23"/>
      <c r="D439" s="23"/>
      <c r="E439" s="23"/>
      <c r="F439" s="23"/>
      <c r="G439" s="23"/>
      <c r="H439" s="23"/>
      <c r="I439" s="23"/>
      <c r="J439" s="42"/>
      <c r="K439" s="42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42"/>
      <c r="X439" s="21"/>
      <c r="Y439" s="22"/>
      <c r="Z439" s="23"/>
      <c r="AA439" s="24"/>
      <c r="AB439" s="44"/>
    </row>
    <row r="440" spans="1:28" x14ac:dyDescent="0.35">
      <c r="A440" s="23"/>
      <c r="B440" s="26"/>
      <c r="C440" s="23"/>
      <c r="D440" s="23"/>
      <c r="E440" s="23"/>
      <c r="F440" s="23"/>
      <c r="G440" s="23"/>
      <c r="H440" s="23"/>
      <c r="I440" s="23"/>
      <c r="J440" s="42"/>
      <c r="K440" s="42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42"/>
      <c r="X440" s="21"/>
      <c r="Y440" s="22"/>
      <c r="Z440" s="23"/>
      <c r="AA440" s="24"/>
      <c r="AB440" s="44"/>
    </row>
    <row r="441" spans="1:28" x14ac:dyDescent="0.35">
      <c r="A441" s="23"/>
      <c r="B441" s="26"/>
      <c r="C441" s="23"/>
      <c r="D441" s="23"/>
      <c r="E441" s="23"/>
      <c r="F441" s="23"/>
      <c r="G441" s="23"/>
      <c r="H441" s="23"/>
      <c r="I441" s="23"/>
      <c r="J441" s="42"/>
      <c r="K441" s="42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42"/>
      <c r="X441" s="21"/>
      <c r="Y441" s="22"/>
      <c r="Z441" s="23"/>
      <c r="AA441" s="24"/>
      <c r="AB441" s="44"/>
    </row>
    <row r="442" spans="1:28" x14ac:dyDescent="0.35">
      <c r="A442" s="23"/>
      <c r="B442" s="26"/>
      <c r="C442" s="23"/>
      <c r="D442" s="23"/>
      <c r="E442" s="23"/>
      <c r="F442" s="23"/>
      <c r="G442" s="23"/>
      <c r="H442" s="23"/>
      <c r="I442" s="23"/>
      <c r="J442" s="42"/>
      <c r="K442" s="42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42"/>
      <c r="X442" s="21"/>
      <c r="Y442" s="22"/>
      <c r="Z442" s="23"/>
      <c r="AA442" s="24"/>
      <c r="AB442" s="44"/>
    </row>
    <row r="443" spans="1:28" x14ac:dyDescent="0.35">
      <c r="A443" s="23"/>
      <c r="B443" s="26"/>
      <c r="C443" s="23"/>
      <c r="D443" s="23"/>
      <c r="E443" s="23"/>
      <c r="F443" s="23"/>
      <c r="G443" s="23"/>
      <c r="H443" s="23"/>
      <c r="I443" s="23"/>
      <c r="J443" s="42"/>
      <c r="K443" s="42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42"/>
      <c r="X443" s="21"/>
      <c r="Y443" s="22"/>
      <c r="Z443" s="23"/>
      <c r="AA443" s="24"/>
      <c r="AB443" s="44"/>
    </row>
    <row r="444" spans="1:28" x14ac:dyDescent="0.35">
      <c r="A444" s="23"/>
      <c r="B444" s="26"/>
      <c r="C444" s="23"/>
      <c r="D444" s="23"/>
      <c r="E444" s="23"/>
      <c r="F444" s="23"/>
      <c r="G444" s="23"/>
      <c r="H444" s="23"/>
      <c r="I444" s="23"/>
      <c r="J444" s="42"/>
      <c r="K444" s="42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42"/>
      <c r="X444" s="21"/>
      <c r="Y444" s="22"/>
      <c r="Z444" s="23"/>
      <c r="AA444" s="24"/>
      <c r="AB444" s="44"/>
    </row>
    <row r="445" spans="1:28" x14ac:dyDescent="0.35">
      <c r="A445" s="23"/>
      <c r="B445" s="26"/>
      <c r="C445" s="23"/>
      <c r="D445" s="23"/>
      <c r="E445" s="23"/>
      <c r="F445" s="23"/>
      <c r="G445" s="23"/>
      <c r="H445" s="23"/>
      <c r="I445" s="23"/>
      <c r="J445" s="42"/>
      <c r="K445" s="42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42"/>
      <c r="X445" s="21"/>
      <c r="Y445" s="22"/>
      <c r="Z445" s="23"/>
      <c r="AA445" s="24"/>
      <c r="AB445" s="44"/>
    </row>
    <row r="446" spans="1:28" x14ac:dyDescent="0.35">
      <c r="A446" s="23"/>
      <c r="B446" s="26"/>
      <c r="C446" s="23"/>
      <c r="D446" s="23"/>
      <c r="E446" s="23"/>
      <c r="F446" s="23"/>
      <c r="G446" s="23"/>
      <c r="H446" s="23"/>
      <c r="I446" s="23"/>
      <c r="J446" s="42"/>
      <c r="K446" s="42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42"/>
      <c r="X446" s="21"/>
      <c r="Y446" s="22"/>
      <c r="Z446" s="23"/>
      <c r="AA446" s="24"/>
      <c r="AB446" s="44"/>
    </row>
    <row r="447" spans="1:28" x14ac:dyDescent="0.35">
      <c r="A447" s="23"/>
      <c r="B447" s="26"/>
      <c r="C447" s="23"/>
      <c r="D447" s="23"/>
      <c r="E447" s="23"/>
      <c r="F447" s="23"/>
      <c r="G447" s="23"/>
      <c r="H447" s="23"/>
      <c r="I447" s="23"/>
      <c r="J447" s="42"/>
      <c r="K447" s="42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42"/>
      <c r="X447" s="21"/>
      <c r="Y447" s="22"/>
      <c r="Z447" s="23"/>
      <c r="AA447" s="24"/>
      <c r="AB447" s="44"/>
    </row>
    <row r="448" spans="1:28" x14ac:dyDescent="0.35">
      <c r="A448" s="23"/>
      <c r="B448" s="26"/>
      <c r="C448" s="23"/>
      <c r="D448" s="23"/>
      <c r="E448" s="23"/>
      <c r="F448" s="23"/>
      <c r="G448" s="23"/>
      <c r="H448" s="23"/>
      <c r="I448" s="23"/>
      <c r="J448" s="42"/>
      <c r="K448" s="42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42"/>
      <c r="X448" s="21"/>
      <c r="Y448" s="22"/>
      <c r="Z448" s="23"/>
      <c r="AA448" s="24"/>
      <c r="AB448" s="44"/>
    </row>
    <row r="449" spans="1:28" x14ac:dyDescent="0.35">
      <c r="A449" s="23"/>
      <c r="B449" s="26"/>
      <c r="C449" s="23"/>
      <c r="D449" s="23"/>
      <c r="E449" s="23"/>
      <c r="F449" s="23"/>
      <c r="G449" s="23"/>
      <c r="H449" s="23"/>
      <c r="I449" s="23"/>
      <c r="J449" s="42"/>
      <c r="K449" s="42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42"/>
      <c r="X449" s="21"/>
      <c r="Y449" s="22"/>
      <c r="Z449" s="23"/>
      <c r="AA449" s="24"/>
      <c r="AB449" s="44"/>
    </row>
    <row r="450" spans="1:28" x14ac:dyDescent="0.35">
      <c r="A450" s="23"/>
      <c r="B450" s="26"/>
      <c r="C450" s="23"/>
      <c r="D450" s="23"/>
      <c r="E450" s="23"/>
      <c r="F450" s="23"/>
      <c r="G450" s="23"/>
      <c r="H450" s="23"/>
      <c r="I450" s="23"/>
      <c r="J450" s="42"/>
      <c r="K450" s="42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42"/>
      <c r="X450" s="21"/>
      <c r="Y450" s="22"/>
      <c r="Z450" s="23"/>
      <c r="AA450" s="24"/>
      <c r="AB450" s="44"/>
    </row>
    <row r="451" spans="1:28" x14ac:dyDescent="0.35">
      <c r="A451" s="23"/>
      <c r="B451" s="26"/>
      <c r="C451" s="23"/>
      <c r="D451" s="23"/>
      <c r="E451" s="23"/>
      <c r="F451" s="23"/>
      <c r="G451" s="23"/>
      <c r="H451" s="23"/>
      <c r="I451" s="23"/>
      <c r="J451" s="42"/>
      <c r="K451" s="42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42"/>
      <c r="X451" s="21"/>
      <c r="Y451" s="22"/>
      <c r="Z451" s="23"/>
      <c r="AA451" s="24"/>
      <c r="AB451" s="44"/>
    </row>
    <row r="452" spans="1:28" x14ac:dyDescent="0.35">
      <c r="A452" s="23"/>
      <c r="B452" s="26"/>
      <c r="C452" s="23"/>
      <c r="D452" s="23"/>
      <c r="E452" s="23"/>
      <c r="F452" s="23"/>
      <c r="G452" s="23"/>
      <c r="H452" s="23"/>
      <c r="I452" s="23"/>
      <c r="J452" s="42"/>
      <c r="K452" s="42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42"/>
      <c r="X452" s="21"/>
      <c r="Y452" s="22"/>
      <c r="Z452" s="23"/>
      <c r="AA452" s="24"/>
      <c r="AB452" s="44"/>
    </row>
    <row r="453" spans="1:28" x14ac:dyDescent="0.35">
      <c r="A453" s="23"/>
      <c r="B453" s="26"/>
      <c r="C453" s="23"/>
      <c r="D453" s="23"/>
      <c r="E453" s="23"/>
      <c r="F453" s="23"/>
      <c r="G453" s="23"/>
      <c r="H453" s="23"/>
      <c r="I453" s="23"/>
      <c r="J453" s="42"/>
      <c r="K453" s="42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42"/>
      <c r="X453" s="21"/>
      <c r="Y453" s="22"/>
      <c r="Z453" s="23"/>
      <c r="AA453" s="24"/>
      <c r="AB453" s="44"/>
    </row>
    <row r="454" spans="1:28" x14ac:dyDescent="0.35">
      <c r="A454" s="23"/>
      <c r="B454" s="26"/>
      <c r="C454" s="23"/>
      <c r="D454" s="23"/>
      <c r="E454" s="23"/>
      <c r="F454" s="23"/>
      <c r="G454" s="23"/>
      <c r="H454" s="23"/>
      <c r="I454" s="23"/>
      <c r="J454" s="42"/>
      <c r="K454" s="42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42"/>
      <c r="X454" s="21"/>
      <c r="Y454" s="22"/>
      <c r="Z454" s="23"/>
      <c r="AA454" s="24"/>
      <c r="AB454" s="44"/>
    </row>
    <row r="455" spans="1:28" x14ac:dyDescent="0.35">
      <c r="A455" s="23"/>
      <c r="B455" s="26"/>
      <c r="C455" s="23"/>
      <c r="D455" s="23"/>
      <c r="E455" s="23"/>
      <c r="F455" s="23"/>
      <c r="G455" s="23"/>
      <c r="H455" s="23"/>
      <c r="I455" s="23"/>
      <c r="J455" s="42"/>
      <c r="K455" s="42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42"/>
      <c r="X455" s="21"/>
      <c r="Y455" s="22"/>
      <c r="Z455" s="23"/>
      <c r="AA455" s="24"/>
      <c r="AB455" s="44"/>
    </row>
    <row r="456" spans="1:28" x14ac:dyDescent="0.35">
      <c r="A456" s="23"/>
      <c r="B456" s="26"/>
      <c r="C456" s="23"/>
      <c r="D456" s="23"/>
      <c r="E456" s="23"/>
      <c r="F456" s="23"/>
      <c r="G456" s="23"/>
      <c r="H456" s="23"/>
      <c r="I456" s="23"/>
      <c r="J456" s="42"/>
      <c r="K456" s="42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42"/>
      <c r="X456" s="21"/>
      <c r="Y456" s="22"/>
      <c r="Z456" s="23"/>
      <c r="AA456" s="24"/>
      <c r="AB456" s="44"/>
    </row>
    <row r="457" spans="1:28" x14ac:dyDescent="0.35">
      <c r="A457" s="23"/>
      <c r="B457" s="26"/>
      <c r="C457" s="23"/>
      <c r="D457" s="23"/>
      <c r="E457" s="23"/>
      <c r="F457" s="23"/>
      <c r="G457" s="23"/>
      <c r="H457" s="23"/>
      <c r="I457" s="23"/>
      <c r="J457" s="42"/>
      <c r="K457" s="42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42"/>
      <c r="X457" s="21"/>
      <c r="Y457" s="22"/>
      <c r="Z457" s="23"/>
      <c r="AA457" s="24"/>
      <c r="AB457" s="44"/>
    </row>
    <row r="458" spans="1:28" x14ac:dyDescent="0.35">
      <c r="A458" s="23"/>
      <c r="B458" s="26"/>
      <c r="C458" s="23"/>
      <c r="D458" s="23"/>
      <c r="E458" s="23"/>
      <c r="F458" s="23"/>
      <c r="G458" s="23"/>
      <c r="H458" s="23"/>
      <c r="I458" s="23"/>
      <c r="J458" s="42"/>
      <c r="K458" s="42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42"/>
      <c r="X458" s="21"/>
      <c r="Y458" s="22"/>
      <c r="Z458" s="23"/>
      <c r="AA458" s="24"/>
      <c r="AB458" s="44"/>
    </row>
    <row r="459" spans="1:28" x14ac:dyDescent="0.35">
      <c r="A459" s="23"/>
      <c r="B459" s="26"/>
      <c r="C459" s="23"/>
      <c r="D459" s="23"/>
      <c r="E459" s="23"/>
      <c r="F459" s="23"/>
      <c r="G459" s="23"/>
      <c r="H459" s="23"/>
      <c r="I459" s="23"/>
      <c r="J459" s="42"/>
      <c r="K459" s="42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42"/>
      <c r="X459" s="21"/>
      <c r="Y459" s="22"/>
      <c r="Z459" s="23"/>
      <c r="AA459" s="24"/>
      <c r="AB459" s="44"/>
    </row>
    <row r="460" spans="1:28" x14ac:dyDescent="0.35">
      <c r="A460" s="23"/>
      <c r="B460" s="26"/>
      <c r="C460" s="23"/>
      <c r="D460" s="23"/>
      <c r="E460" s="23"/>
      <c r="F460" s="23"/>
      <c r="G460" s="23"/>
      <c r="H460" s="23"/>
      <c r="I460" s="23"/>
      <c r="J460" s="42"/>
      <c r="K460" s="42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42"/>
      <c r="X460" s="21"/>
      <c r="Y460" s="22"/>
      <c r="Z460" s="23"/>
      <c r="AA460" s="24"/>
      <c r="AB460" s="44"/>
    </row>
    <row r="461" spans="1:28" x14ac:dyDescent="0.35">
      <c r="A461" s="23"/>
      <c r="B461" s="26"/>
      <c r="C461" s="23"/>
      <c r="D461" s="23"/>
      <c r="E461" s="23"/>
      <c r="F461" s="23"/>
      <c r="G461" s="23"/>
      <c r="H461" s="23"/>
      <c r="I461" s="23"/>
      <c r="J461" s="42"/>
      <c r="K461" s="42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42"/>
      <c r="X461" s="21"/>
      <c r="Y461" s="22"/>
      <c r="Z461" s="23"/>
      <c r="AA461" s="24"/>
      <c r="AB461" s="44"/>
    </row>
    <row r="462" spans="1:28" x14ac:dyDescent="0.35">
      <c r="A462" s="23"/>
      <c r="B462" s="26"/>
      <c r="C462" s="23"/>
      <c r="D462" s="23"/>
      <c r="E462" s="23"/>
      <c r="F462" s="23"/>
      <c r="G462" s="23"/>
      <c r="H462" s="23"/>
      <c r="I462" s="23"/>
      <c r="J462" s="42"/>
      <c r="K462" s="42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42"/>
      <c r="X462" s="21"/>
      <c r="Y462" s="22"/>
      <c r="Z462" s="23"/>
      <c r="AA462" s="24"/>
      <c r="AB462" s="44"/>
    </row>
    <row r="463" spans="1:28" x14ac:dyDescent="0.35">
      <c r="A463" s="23"/>
      <c r="B463" s="26"/>
      <c r="C463" s="23"/>
      <c r="D463" s="23"/>
      <c r="E463" s="23"/>
      <c r="F463" s="23"/>
      <c r="G463" s="23"/>
      <c r="H463" s="23"/>
      <c r="I463" s="23"/>
      <c r="J463" s="42"/>
      <c r="K463" s="42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42"/>
      <c r="X463" s="21"/>
      <c r="Y463" s="22"/>
      <c r="Z463" s="23"/>
      <c r="AA463" s="24"/>
      <c r="AB463" s="44"/>
    </row>
    <row r="464" spans="1:28" x14ac:dyDescent="0.35">
      <c r="A464" s="23"/>
      <c r="B464" s="26"/>
      <c r="C464" s="23"/>
      <c r="D464" s="23"/>
      <c r="E464" s="23"/>
      <c r="F464" s="23"/>
      <c r="G464" s="23"/>
      <c r="H464" s="23"/>
      <c r="I464" s="23"/>
      <c r="J464" s="42"/>
      <c r="K464" s="42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42"/>
      <c r="X464" s="21"/>
      <c r="Y464" s="22"/>
      <c r="Z464" s="23"/>
      <c r="AA464" s="24"/>
      <c r="AB464" s="44"/>
    </row>
    <row r="465" spans="1:28" x14ac:dyDescent="0.35">
      <c r="A465" s="23"/>
      <c r="B465" s="26"/>
      <c r="C465" s="23"/>
      <c r="D465" s="23"/>
      <c r="E465" s="23"/>
      <c r="F465" s="23"/>
      <c r="G465" s="23"/>
      <c r="H465" s="23"/>
      <c r="I465" s="23"/>
      <c r="J465" s="42"/>
      <c r="K465" s="42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42"/>
      <c r="X465" s="21"/>
      <c r="Y465" s="22"/>
      <c r="Z465" s="23"/>
      <c r="AA465" s="24"/>
      <c r="AB465" s="44"/>
    </row>
    <row r="466" spans="1:28" x14ac:dyDescent="0.35">
      <c r="A466" s="23"/>
      <c r="B466" s="26"/>
      <c r="C466" s="23"/>
      <c r="D466" s="23"/>
      <c r="E466" s="23"/>
      <c r="F466" s="23"/>
      <c r="G466" s="23"/>
      <c r="H466" s="23"/>
      <c r="I466" s="23"/>
      <c r="J466" s="42"/>
      <c r="K466" s="42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42"/>
      <c r="X466" s="21"/>
      <c r="Y466" s="22"/>
      <c r="Z466" s="23"/>
      <c r="AA466" s="24"/>
      <c r="AB466" s="44"/>
    </row>
    <row r="467" spans="1:28" x14ac:dyDescent="0.35">
      <c r="A467" s="23"/>
      <c r="B467" s="26"/>
      <c r="C467" s="23"/>
      <c r="D467" s="23"/>
      <c r="E467" s="23"/>
      <c r="F467" s="23"/>
      <c r="G467" s="23"/>
      <c r="H467" s="23"/>
      <c r="I467" s="23"/>
      <c r="J467" s="42"/>
      <c r="K467" s="42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42"/>
      <c r="X467" s="21"/>
      <c r="Y467" s="22"/>
      <c r="Z467" s="23"/>
      <c r="AA467" s="24"/>
      <c r="AB467" s="44"/>
    </row>
    <row r="468" spans="1:28" x14ac:dyDescent="0.35">
      <c r="A468" s="23"/>
      <c r="B468" s="26"/>
      <c r="C468" s="23"/>
      <c r="D468" s="23"/>
      <c r="E468" s="23"/>
      <c r="F468" s="23"/>
      <c r="G468" s="23"/>
      <c r="H468" s="23"/>
      <c r="I468" s="23"/>
      <c r="J468" s="42"/>
      <c r="K468" s="42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42"/>
      <c r="X468" s="21"/>
      <c r="Y468" s="22"/>
      <c r="Z468" s="23"/>
      <c r="AA468" s="24"/>
      <c r="AB468" s="44"/>
    </row>
    <row r="469" spans="1:28" x14ac:dyDescent="0.35">
      <c r="A469" s="23"/>
      <c r="B469" s="26"/>
      <c r="C469" s="23"/>
      <c r="D469" s="23"/>
      <c r="E469" s="23"/>
      <c r="F469" s="23"/>
      <c r="G469" s="23"/>
      <c r="H469" s="23"/>
      <c r="I469" s="23"/>
      <c r="J469" s="42"/>
      <c r="K469" s="42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42"/>
      <c r="X469" s="21"/>
      <c r="Y469" s="22"/>
      <c r="Z469" s="23"/>
      <c r="AA469" s="24"/>
      <c r="AB469" s="44"/>
    </row>
    <row r="470" spans="1:28" x14ac:dyDescent="0.35">
      <c r="A470" s="23"/>
      <c r="B470" s="26"/>
      <c r="C470" s="23"/>
      <c r="D470" s="23"/>
      <c r="E470" s="23"/>
      <c r="F470" s="23"/>
      <c r="G470" s="23"/>
      <c r="H470" s="23"/>
      <c r="I470" s="23"/>
      <c r="J470" s="42"/>
      <c r="K470" s="42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42"/>
      <c r="X470" s="21"/>
      <c r="Y470" s="22"/>
      <c r="Z470" s="23"/>
      <c r="AA470" s="24"/>
      <c r="AB470" s="44"/>
    </row>
    <row r="471" spans="1:28" x14ac:dyDescent="0.35">
      <c r="A471" s="23"/>
      <c r="B471" s="26"/>
      <c r="C471" s="23"/>
      <c r="D471" s="23"/>
      <c r="E471" s="23"/>
      <c r="F471" s="23"/>
      <c r="G471" s="23"/>
      <c r="H471" s="23"/>
      <c r="I471" s="23"/>
      <c r="J471" s="42"/>
      <c r="K471" s="42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42"/>
      <c r="X471" s="21"/>
      <c r="Y471" s="22"/>
      <c r="Z471" s="23"/>
      <c r="AA471" s="24"/>
      <c r="AB471" s="44"/>
    </row>
    <row r="472" spans="1:28" x14ac:dyDescent="0.35">
      <c r="A472" s="23"/>
      <c r="B472" s="26"/>
      <c r="C472" s="23"/>
      <c r="D472" s="23"/>
      <c r="E472" s="23"/>
      <c r="F472" s="23"/>
      <c r="G472" s="23"/>
      <c r="H472" s="23"/>
      <c r="I472" s="23"/>
      <c r="J472" s="42"/>
      <c r="K472" s="42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42"/>
      <c r="X472" s="21"/>
      <c r="Y472" s="22"/>
      <c r="Z472" s="23"/>
      <c r="AA472" s="24"/>
      <c r="AB472" s="44"/>
    </row>
    <row r="473" spans="1:28" x14ac:dyDescent="0.35">
      <c r="A473" s="23"/>
      <c r="B473" s="26"/>
      <c r="C473" s="23"/>
      <c r="D473" s="23"/>
      <c r="E473" s="23"/>
      <c r="F473" s="23"/>
      <c r="G473" s="23"/>
      <c r="H473" s="23"/>
      <c r="I473" s="23"/>
      <c r="J473" s="42"/>
      <c r="K473" s="42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42"/>
      <c r="X473" s="21"/>
      <c r="Y473" s="22"/>
      <c r="Z473" s="23"/>
      <c r="AA473" s="24"/>
      <c r="AB473" s="44"/>
    </row>
    <row r="474" spans="1:28" x14ac:dyDescent="0.35">
      <c r="A474" s="23"/>
      <c r="B474" s="26"/>
      <c r="C474" s="23"/>
      <c r="D474" s="23"/>
      <c r="E474" s="23"/>
      <c r="F474" s="23"/>
      <c r="G474" s="23"/>
      <c r="H474" s="23"/>
      <c r="I474" s="23"/>
      <c r="J474" s="42"/>
      <c r="K474" s="42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42"/>
      <c r="X474" s="21"/>
      <c r="Y474" s="22"/>
      <c r="Z474" s="23"/>
      <c r="AA474" s="24"/>
      <c r="AB474" s="44"/>
    </row>
    <row r="475" spans="1:28" x14ac:dyDescent="0.35">
      <c r="A475" s="23"/>
      <c r="B475" s="26"/>
      <c r="C475" s="23"/>
      <c r="D475" s="23"/>
      <c r="E475" s="23"/>
      <c r="F475" s="23"/>
      <c r="G475" s="23"/>
      <c r="H475" s="23"/>
      <c r="I475" s="23"/>
      <c r="J475" s="42"/>
      <c r="K475" s="42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42"/>
      <c r="X475" s="21"/>
      <c r="Y475" s="22"/>
      <c r="Z475" s="23"/>
      <c r="AA475" s="24"/>
      <c r="AB475" s="44"/>
    </row>
    <row r="476" spans="1:28" x14ac:dyDescent="0.35">
      <c r="A476" s="23"/>
      <c r="B476" s="26"/>
      <c r="C476" s="23"/>
      <c r="D476" s="23"/>
      <c r="E476" s="23"/>
      <c r="F476" s="23"/>
      <c r="G476" s="23"/>
      <c r="H476" s="23"/>
      <c r="I476" s="23"/>
      <c r="J476" s="42"/>
      <c r="K476" s="42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42"/>
      <c r="X476" s="21"/>
      <c r="Y476" s="22"/>
      <c r="Z476" s="23"/>
      <c r="AA476" s="24"/>
      <c r="AB476" s="44"/>
    </row>
    <row r="477" spans="1:28" x14ac:dyDescent="0.35">
      <c r="A477" s="23"/>
      <c r="B477" s="26"/>
      <c r="C477" s="23"/>
      <c r="D477" s="23"/>
      <c r="E477" s="23"/>
      <c r="F477" s="23"/>
      <c r="G477" s="23"/>
      <c r="H477" s="23"/>
      <c r="I477" s="23"/>
      <c r="J477" s="42"/>
      <c r="K477" s="42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42"/>
      <c r="X477" s="21"/>
      <c r="Y477" s="22"/>
      <c r="Z477" s="23"/>
      <c r="AA477" s="24"/>
      <c r="AB477" s="44"/>
    </row>
    <row r="478" spans="1:28" x14ac:dyDescent="0.35">
      <c r="A478" s="23"/>
      <c r="B478" s="26"/>
      <c r="C478" s="23"/>
      <c r="D478" s="23"/>
      <c r="E478" s="23"/>
      <c r="F478" s="23"/>
      <c r="G478" s="23"/>
      <c r="H478" s="23"/>
      <c r="I478" s="23"/>
      <c r="J478" s="42"/>
      <c r="K478" s="42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42"/>
      <c r="X478" s="21"/>
      <c r="Y478" s="22"/>
      <c r="Z478" s="23"/>
      <c r="AA478" s="24"/>
      <c r="AB478" s="44"/>
    </row>
    <row r="479" spans="1:28" x14ac:dyDescent="0.35">
      <c r="A479" s="23"/>
      <c r="B479" s="26"/>
      <c r="C479" s="23"/>
      <c r="D479" s="23"/>
      <c r="E479" s="23"/>
      <c r="F479" s="23"/>
      <c r="G479" s="23"/>
      <c r="H479" s="23"/>
      <c r="I479" s="23"/>
      <c r="J479" s="42"/>
      <c r="K479" s="42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42"/>
      <c r="X479" s="21"/>
      <c r="Y479" s="22"/>
      <c r="Z479" s="23"/>
      <c r="AA479" s="24"/>
      <c r="AB479" s="44"/>
    </row>
    <row r="480" spans="1:28" x14ac:dyDescent="0.35">
      <c r="A480" s="23"/>
      <c r="B480" s="26"/>
      <c r="C480" s="23"/>
      <c r="D480" s="23"/>
      <c r="E480" s="23"/>
      <c r="F480" s="23"/>
      <c r="G480" s="23"/>
      <c r="H480" s="23"/>
      <c r="I480" s="23"/>
      <c r="J480" s="42"/>
      <c r="K480" s="42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42"/>
      <c r="X480" s="21"/>
      <c r="Y480" s="22"/>
      <c r="Z480" s="23"/>
      <c r="AA480" s="24"/>
      <c r="AB480" s="44"/>
    </row>
    <row r="481" spans="1:28" x14ac:dyDescent="0.35">
      <c r="A481" s="23"/>
      <c r="B481" s="26"/>
      <c r="C481" s="23"/>
      <c r="D481" s="23"/>
      <c r="E481" s="23"/>
      <c r="F481" s="23"/>
      <c r="G481" s="23"/>
      <c r="H481" s="23"/>
      <c r="I481" s="23"/>
      <c r="J481" s="42"/>
      <c r="K481" s="42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42"/>
      <c r="X481" s="21"/>
      <c r="Y481" s="22"/>
      <c r="Z481" s="23"/>
      <c r="AA481" s="24"/>
      <c r="AB481" s="44"/>
    </row>
    <row r="482" spans="1:28" x14ac:dyDescent="0.35">
      <c r="A482" s="23"/>
      <c r="B482" s="26"/>
      <c r="C482" s="23"/>
      <c r="D482" s="23"/>
      <c r="E482" s="23"/>
      <c r="F482" s="23"/>
      <c r="G482" s="23"/>
      <c r="H482" s="23"/>
      <c r="I482" s="23"/>
      <c r="J482" s="42"/>
      <c r="K482" s="42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42"/>
      <c r="X482" s="21"/>
      <c r="Y482" s="22"/>
      <c r="Z482" s="23"/>
      <c r="AA482" s="24"/>
      <c r="AB482" s="44"/>
    </row>
    <row r="483" spans="1:28" x14ac:dyDescent="0.35">
      <c r="A483" s="23"/>
      <c r="B483" s="26"/>
      <c r="C483" s="23"/>
      <c r="D483" s="23"/>
      <c r="E483" s="23"/>
      <c r="F483" s="23"/>
      <c r="G483" s="23"/>
      <c r="H483" s="23"/>
      <c r="I483" s="23"/>
      <c r="J483" s="42"/>
      <c r="K483" s="42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42"/>
      <c r="X483" s="21"/>
      <c r="Y483" s="22"/>
      <c r="Z483" s="23"/>
      <c r="AA483" s="24"/>
      <c r="AB483" s="44"/>
    </row>
    <row r="484" spans="1:28" x14ac:dyDescent="0.35">
      <c r="A484" s="23"/>
      <c r="B484" s="26"/>
      <c r="C484" s="23"/>
      <c r="D484" s="23"/>
      <c r="E484" s="23"/>
      <c r="F484" s="23"/>
      <c r="G484" s="23"/>
      <c r="H484" s="23"/>
      <c r="I484" s="23"/>
      <c r="J484" s="42"/>
      <c r="K484" s="42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42"/>
      <c r="X484" s="21"/>
      <c r="Y484" s="22"/>
      <c r="Z484" s="23"/>
      <c r="AA484" s="24"/>
      <c r="AB484" s="44"/>
    </row>
    <row r="485" spans="1:28" x14ac:dyDescent="0.35">
      <c r="A485" s="23"/>
      <c r="B485" s="26"/>
      <c r="C485" s="23"/>
      <c r="D485" s="23"/>
      <c r="E485" s="23"/>
      <c r="F485" s="23"/>
      <c r="G485" s="23"/>
      <c r="H485" s="23"/>
      <c r="I485" s="23"/>
      <c r="J485" s="42"/>
      <c r="K485" s="42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42"/>
      <c r="X485" s="21"/>
      <c r="Y485" s="22"/>
      <c r="Z485" s="23"/>
      <c r="AA485" s="24"/>
      <c r="AB485" s="44"/>
    </row>
    <row r="486" spans="1:28" x14ac:dyDescent="0.35">
      <c r="A486" s="23"/>
      <c r="B486" s="26"/>
      <c r="C486" s="23"/>
      <c r="D486" s="23"/>
      <c r="E486" s="23"/>
      <c r="F486" s="23"/>
      <c r="G486" s="23"/>
      <c r="H486" s="23"/>
      <c r="I486" s="23"/>
      <c r="J486" s="42"/>
      <c r="K486" s="42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42"/>
      <c r="X486" s="21"/>
      <c r="Y486" s="22"/>
      <c r="Z486" s="23"/>
      <c r="AA486" s="24"/>
      <c r="AB486" s="44"/>
    </row>
    <row r="487" spans="1:28" x14ac:dyDescent="0.35">
      <c r="A487" s="23"/>
      <c r="B487" s="26"/>
      <c r="C487" s="23"/>
      <c r="D487" s="23"/>
      <c r="E487" s="23"/>
      <c r="F487" s="23"/>
      <c r="G487" s="23"/>
      <c r="H487" s="23"/>
      <c r="I487" s="23"/>
      <c r="J487" s="42"/>
      <c r="K487" s="42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42"/>
      <c r="X487" s="21"/>
      <c r="Y487" s="22"/>
      <c r="Z487" s="23"/>
      <c r="AA487" s="24"/>
      <c r="AB487" s="44"/>
    </row>
    <row r="488" spans="1:28" x14ac:dyDescent="0.35">
      <c r="A488" s="23"/>
      <c r="B488" s="26"/>
      <c r="C488" s="23"/>
      <c r="D488" s="23"/>
      <c r="E488" s="23"/>
      <c r="F488" s="23"/>
      <c r="G488" s="23"/>
      <c r="H488" s="23"/>
      <c r="I488" s="23"/>
      <c r="J488" s="42"/>
      <c r="K488" s="42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42"/>
      <c r="X488" s="21"/>
      <c r="Y488" s="22"/>
      <c r="Z488" s="23"/>
      <c r="AA488" s="24"/>
      <c r="AB488" s="44"/>
    </row>
    <row r="489" spans="1:28" x14ac:dyDescent="0.35">
      <c r="A489" s="23"/>
      <c r="B489" s="26"/>
      <c r="C489" s="23"/>
      <c r="D489" s="23"/>
      <c r="E489" s="23"/>
      <c r="F489" s="23"/>
      <c r="G489" s="23"/>
      <c r="H489" s="23"/>
      <c r="I489" s="23"/>
      <c r="J489" s="42"/>
      <c r="K489" s="42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42"/>
      <c r="X489" s="21"/>
      <c r="Y489" s="22"/>
      <c r="Z489" s="23"/>
      <c r="AA489" s="24"/>
      <c r="AB489" s="44"/>
    </row>
    <row r="490" spans="1:28" x14ac:dyDescent="0.35">
      <c r="A490" s="23"/>
      <c r="B490" s="26"/>
      <c r="C490" s="23"/>
      <c r="D490" s="23"/>
      <c r="E490" s="23"/>
      <c r="F490" s="23"/>
      <c r="G490" s="23"/>
      <c r="H490" s="23"/>
      <c r="I490" s="23"/>
      <c r="J490" s="42"/>
      <c r="K490" s="42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42"/>
      <c r="X490" s="21"/>
      <c r="Y490" s="22"/>
      <c r="Z490" s="23"/>
      <c r="AA490" s="24"/>
      <c r="AB490" s="44"/>
    </row>
    <row r="491" spans="1:28" x14ac:dyDescent="0.35">
      <c r="A491" s="23"/>
      <c r="B491" s="26"/>
      <c r="C491" s="23"/>
      <c r="D491" s="23"/>
      <c r="E491" s="23"/>
      <c r="F491" s="23"/>
      <c r="G491" s="23"/>
      <c r="H491" s="23"/>
      <c r="I491" s="23"/>
      <c r="J491" s="42"/>
      <c r="K491" s="42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42"/>
      <c r="X491" s="21"/>
      <c r="Y491" s="22"/>
      <c r="Z491" s="23"/>
      <c r="AA491" s="24"/>
      <c r="AB491" s="44"/>
    </row>
    <row r="492" spans="1:28" x14ac:dyDescent="0.35">
      <c r="A492" s="23"/>
      <c r="B492" s="26"/>
      <c r="C492" s="23"/>
      <c r="D492" s="23"/>
      <c r="E492" s="23"/>
      <c r="F492" s="23"/>
      <c r="G492" s="23"/>
      <c r="H492" s="23"/>
      <c r="I492" s="23"/>
      <c r="J492" s="42"/>
      <c r="K492" s="42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42"/>
      <c r="X492" s="21"/>
      <c r="Y492" s="22"/>
      <c r="Z492" s="23"/>
      <c r="AA492" s="24"/>
      <c r="AB492" s="44"/>
    </row>
    <row r="493" spans="1:28" x14ac:dyDescent="0.35">
      <c r="A493" s="23"/>
      <c r="B493" s="26"/>
      <c r="C493" s="23"/>
      <c r="D493" s="23"/>
      <c r="E493" s="23"/>
      <c r="F493" s="23"/>
      <c r="G493" s="23"/>
      <c r="H493" s="23"/>
      <c r="I493" s="23"/>
      <c r="J493" s="42"/>
      <c r="K493" s="42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42"/>
      <c r="X493" s="21"/>
      <c r="Y493" s="22"/>
      <c r="Z493" s="23"/>
      <c r="AA493" s="24"/>
      <c r="AB493" s="44"/>
    </row>
    <row r="494" spans="1:28" x14ac:dyDescent="0.35">
      <c r="A494" s="23"/>
      <c r="B494" s="26"/>
      <c r="C494" s="23"/>
      <c r="D494" s="23"/>
      <c r="E494" s="23"/>
      <c r="F494" s="23"/>
      <c r="G494" s="23"/>
      <c r="H494" s="23"/>
      <c r="I494" s="23"/>
      <c r="J494" s="42"/>
      <c r="K494" s="42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42"/>
      <c r="X494" s="21"/>
      <c r="Y494" s="22"/>
      <c r="Z494" s="23"/>
      <c r="AA494" s="24"/>
      <c r="AB494" s="44"/>
    </row>
    <row r="495" spans="1:28" x14ac:dyDescent="0.35">
      <c r="A495" s="23"/>
      <c r="B495" s="26"/>
      <c r="C495" s="23"/>
      <c r="D495" s="23"/>
      <c r="E495" s="23"/>
      <c r="F495" s="23"/>
      <c r="G495" s="23"/>
      <c r="H495" s="23"/>
      <c r="I495" s="23"/>
      <c r="J495" s="42"/>
      <c r="K495" s="42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42"/>
      <c r="X495" s="21"/>
      <c r="Y495" s="22"/>
      <c r="Z495" s="23"/>
      <c r="AA495" s="24"/>
      <c r="AB495" s="44"/>
    </row>
    <row r="496" spans="1:28" x14ac:dyDescent="0.35">
      <c r="A496" s="23"/>
      <c r="B496" s="26"/>
      <c r="C496" s="23"/>
      <c r="D496" s="23"/>
      <c r="E496" s="23"/>
      <c r="F496" s="23"/>
      <c r="G496" s="23"/>
      <c r="H496" s="23"/>
      <c r="I496" s="23"/>
      <c r="J496" s="42"/>
      <c r="K496" s="42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42"/>
      <c r="X496" s="21"/>
      <c r="Y496" s="22"/>
      <c r="Z496" s="23"/>
      <c r="AA496" s="24"/>
      <c r="AB496" s="44"/>
    </row>
    <row r="497" spans="1:28" x14ac:dyDescent="0.35">
      <c r="A497" s="23"/>
      <c r="B497" s="26"/>
      <c r="C497" s="23"/>
      <c r="D497" s="23"/>
      <c r="E497" s="23"/>
      <c r="F497" s="23"/>
      <c r="G497" s="23"/>
      <c r="H497" s="23"/>
      <c r="I497" s="23"/>
      <c r="J497" s="42"/>
      <c r="K497" s="42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42"/>
      <c r="X497" s="21"/>
      <c r="Y497" s="22"/>
      <c r="Z497" s="23"/>
      <c r="AA497" s="24"/>
      <c r="AB497" s="44"/>
    </row>
    <row r="498" spans="1:28" x14ac:dyDescent="0.35">
      <c r="A498" s="23"/>
      <c r="B498" s="26"/>
      <c r="C498" s="23"/>
      <c r="D498" s="23"/>
      <c r="E498" s="23"/>
      <c r="F498" s="23"/>
      <c r="G498" s="23"/>
      <c r="H498" s="23"/>
      <c r="I498" s="23"/>
      <c r="J498" s="42"/>
      <c r="K498" s="42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42"/>
      <c r="X498" s="21"/>
      <c r="Y498" s="22"/>
      <c r="Z498" s="23"/>
      <c r="AA498" s="24"/>
      <c r="AB498" s="44"/>
    </row>
    <row r="499" spans="1:28" x14ac:dyDescent="0.35">
      <c r="A499" s="23"/>
      <c r="B499" s="26"/>
      <c r="C499" s="23"/>
      <c r="D499" s="23"/>
      <c r="E499" s="23"/>
      <c r="F499" s="23"/>
      <c r="G499" s="23"/>
      <c r="H499" s="23"/>
      <c r="I499" s="23"/>
      <c r="J499" s="42"/>
      <c r="K499" s="42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42"/>
      <c r="X499" s="21"/>
      <c r="Y499" s="22"/>
      <c r="Z499" s="23"/>
      <c r="AA499" s="24"/>
      <c r="AB499" s="44"/>
    </row>
    <row r="500" spans="1:28" x14ac:dyDescent="0.35">
      <c r="A500" s="23"/>
      <c r="B500" s="26"/>
      <c r="C500" s="23"/>
      <c r="D500" s="23"/>
      <c r="E500" s="23"/>
      <c r="F500" s="23"/>
      <c r="G500" s="23"/>
      <c r="H500" s="23"/>
      <c r="I500" s="23"/>
      <c r="J500" s="42"/>
      <c r="K500" s="42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42"/>
      <c r="X500" s="21"/>
      <c r="Y500" s="22"/>
      <c r="Z500" s="23"/>
      <c r="AA500" s="24"/>
      <c r="AB500" s="44"/>
    </row>
    <row r="501" spans="1:28" x14ac:dyDescent="0.35">
      <c r="A501" s="23"/>
      <c r="B501" s="26"/>
      <c r="C501" s="23"/>
      <c r="D501" s="23"/>
      <c r="E501" s="23"/>
      <c r="F501" s="23"/>
      <c r="G501" s="23"/>
      <c r="H501" s="23"/>
      <c r="I501" s="23"/>
      <c r="J501" s="42"/>
      <c r="K501" s="42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42"/>
      <c r="X501" s="21"/>
      <c r="Y501" s="22"/>
      <c r="Z501" s="23"/>
      <c r="AA501" s="24"/>
      <c r="AB501" s="44"/>
    </row>
    <row r="502" spans="1:28" x14ac:dyDescent="0.35">
      <c r="A502" s="23"/>
      <c r="B502" s="26"/>
      <c r="C502" s="23"/>
      <c r="D502" s="23"/>
      <c r="E502" s="23"/>
      <c r="F502" s="23"/>
      <c r="G502" s="23"/>
      <c r="H502" s="23"/>
      <c r="I502" s="23"/>
      <c r="J502" s="42"/>
      <c r="K502" s="42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42"/>
      <c r="X502" s="21"/>
      <c r="Y502" s="22"/>
      <c r="Z502" s="23"/>
      <c r="AA502" s="24"/>
      <c r="AB502" s="44"/>
    </row>
    <row r="503" spans="1:28" x14ac:dyDescent="0.35">
      <c r="A503" s="23"/>
      <c r="B503" s="26"/>
      <c r="C503" s="23"/>
      <c r="D503" s="23"/>
      <c r="E503" s="23"/>
      <c r="F503" s="23"/>
      <c r="G503" s="23"/>
      <c r="H503" s="23"/>
      <c r="I503" s="23"/>
      <c r="J503" s="42"/>
      <c r="K503" s="42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42"/>
      <c r="X503" s="21"/>
      <c r="Y503" s="22"/>
      <c r="Z503" s="23"/>
      <c r="AA503" s="24"/>
      <c r="AB503" s="44"/>
    </row>
    <row r="504" spans="1:28" x14ac:dyDescent="0.35">
      <c r="A504" s="23"/>
      <c r="B504" s="26"/>
      <c r="C504" s="23"/>
      <c r="D504" s="23"/>
      <c r="E504" s="23"/>
      <c r="F504" s="23"/>
      <c r="G504" s="23"/>
      <c r="H504" s="23"/>
      <c r="I504" s="23"/>
      <c r="J504" s="42"/>
      <c r="K504" s="42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42"/>
      <c r="X504" s="21"/>
      <c r="Y504" s="22"/>
      <c r="Z504" s="23"/>
      <c r="AA504" s="24"/>
      <c r="AB504" s="44"/>
    </row>
    <row r="505" spans="1:28" x14ac:dyDescent="0.35">
      <c r="A505" s="23"/>
      <c r="B505" s="26"/>
      <c r="C505" s="23"/>
      <c r="D505" s="23"/>
      <c r="E505" s="23"/>
      <c r="F505" s="23"/>
      <c r="G505" s="23"/>
      <c r="H505" s="23"/>
      <c r="I505" s="23"/>
      <c r="J505" s="42"/>
      <c r="K505" s="42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42"/>
      <c r="X505" s="21"/>
      <c r="Y505" s="22"/>
      <c r="Z505" s="23"/>
      <c r="AA505" s="24"/>
      <c r="AB505" s="44"/>
    </row>
    <row r="506" spans="1:28" x14ac:dyDescent="0.35">
      <c r="A506" s="23"/>
      <c r="B506" s="26"/>
      <c r="C506" s="23"/>
      <c r="D506" s="23"/>
      <c r="E506" s="23"/>
      <c r="F506" s="23"/>
      <c r="G506" s="23"/>
      <c r="H506" s="23"/>
      <c r="I506" s="23"/>
      <c r="J506" s="42"/>
      <c r="K506" s="42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42"/>
      <c r="X506" s="21"/>
      <c r="Y506" s="22"/>
      <c r="Z506" s="23"/>
      <c r="AA506" s="24"/>
      <c r="AB506" s="44"/>
    </row>
    <row r="507" spans="1:28" x14ac:dyDescent="0.35">
      <c r="A507" s="23"/>
      <c r="B507" s="26"/>
      <c r="C507" s="23"/>
      <c r="D507" s="23"/>
      <c r="E507" s="23"/>
      <c r="F507" s="23"/>
      <c r="G507" s="23"/>
      <c r="H507" s="23"/>
      <c r="I507" s="23"/>
      <c r="J507" s="42"/>
      <c r="K507" s="42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42"/>
      <c r="X507" s="21"/>
      <c r="Y507" s="22"/>
      <c r="Z507" s="23"/>
      <c r="AA507" s="24"/>
      <c r="AB507" s="44"/>
    </row>
    <row r="508" spans="1:28" x14ac:dyDescent="0.35">
      <c r="A508" s="23"/>
      <c r="B508" s="26"/>
      <c r="C508" s="23"/>
      <c r="D508" s="23"/>
      <c r="E508" s="23"/>
      <c r="F508" s="23"/>
      <c r="G508" s="23"/>
      <c r="H508" s="23"/>
      <c r="I508" s="23"/>
      <c r="J508" s="42"/>
      <c r="K508" s="42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42"/>
      <c r="X508" s="21"/>
      <c r="Y508" s="22"/>
      <c r="Z508" s="23"/>
      <c r="AA508" s="24"/>
      <c r="AB508" s="44"/>
    </row>
    <row r="509" spans="1:28" x14ac:dyDescent="0.35">
      <c r="A509" s="23"/>
      <c r="B509" s="26"/>
      <c r="C509" s="23"/>
      <c r="D509" s="23"/>
      <c r="E509" s="23"/>
      <c r="F509" s="23"/>
      <c r="G509" s="23"/>
      <c r="H509" s="23"/>
      <c r="I509" s="23"/>
      <c r="J509" s="42"/>
      <c r="K509" s="42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42"/>
      <c r="X509" s="21"/>
      <c r="Y509" s="22"/>
      <c r="Z509" s="23"/>
      <c r="AA509" s="24"/>
      <c r="AB509" s="44"/>
    </row>
    <row r="510" spans="1:28" x14ac:dyDescent="0.35">
      <c r="A510" s="23"/>
      <c r="B510" s="26"/>
      <c r="C510" s="23"/>
      <c r="D510" s="23"/>
      <c r="E510" s="23"/>
      <c r="F510" s="23"/>
      <c r="G510" s="23"/>
      <c r="H510" s="23"/>
      <c r="I510" s="23"/>
      <c r="J510" s="42"/>
      <c r="K510" s="42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42"/>
      <c r="X510" s="21"/>
      <c r="Y510" s="22"/>
      <c r="Z510" s="23"/>
      <c r="AA510" s="24"/>
      <c r="AB510" s="44"/>
    </row>
    <row r="511" spans="1:28" x14ac:dyDescent="0.35">
      <c r="A511" s="23"/>
      <c r="B511" s="26"/>
      <c r="C511" s="23"/>
      <c r="D511" s="23"/>
      <c r="E511" s="23"/>
      <c r="F511" s="23"/>
      <c r="G511" s="23"/>
      <c r="H511" s="23"/>
      <c r="I511" s="23"/>
      <c r="J511" s="42"/>
      <c r="K511" s="42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42"/>
      <c r="X511" s="21"/>
      <c r="Y511" s="22"/>
      <c r="Z511" s="23"/>
      <c r="AA511" s="24"/>
      <c r="AB511" s="44"/>
    </row>
    <row r="512" spans="1:28" x14ac:dyDescent="0.35">
      <c r="A512" s="23"/>
      <c r="B512" s="26"/>
      <c r="C512" s="23"/>
      <c r="D512" s="23"/>
      <c r="E512" s="23"/>
      <c r="F512" s="23"/>
      <c r="G512" s="23"/>
      <c r="H512" s="23"/>
      <c r="I512" s="23"/>
      <c r="J512" s="42"/>
      <c r="K512" s="42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42"/>
      <c r="X512" s="21"/>
      <c r="Y512" s="22"/>
      <c r="Z512" s="23"/>
      <c r="AA512" s="24"/>
      <c r="AB512" s="44"/>
    </row>
    <row r="513" spans="1:28" x14ac:dyDescent="0.35">
      <c r="A513" s="23"/>
      <c r="B513" s="26"/>
      <c r="C513" s="23"/>
      <c r="D513" s="23"/>
      <c r="E513" s="23"/>
      <c r="F513" s="23"/>
      <c r="G513" s="23"/>
      <c r="H513" s="23"/>
      <c r="I513" s="23"/>
      <c r="J513" s="42"/>
      <c r="K513" s="42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42"/>
      <c r="X513" s="21"/>
      <c r="Y513" s="22"/>
      <c r="Z513" s="23"/>
      <c r="AA513" s="24"/>
      <c r="AB513" s="44"/>
    </row>
    <row r="514" spans="1:28" x14ac:dyDescent="0.35">
      <c r="A514" s="23"/>
      <c r="B514" s="26"/>
      <c r="C514" s="23"/>
      <c r="D514" s="23"/>
      <c r="E514" s="23"/>
      <c r="F514" s="23"/>
      <c r="G514" s="23"/>
      <c r="H514" s="23"/>
      <c r="I514" s="23"/>
      <c r="J514" s="42"/>
      <c r="K514" s="42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42"/>
      <c r="X514" s="21"/>
      <c r="Y514" s="22"/>
      <c r="Z514" s="23"/>
      <c r="AA514" s="24"/>
      <c r="AB514" s="44"/>
    </row>
    <row r="515" spans="1:28" x14ac:dyDescent="0.35">
      <c r="A515" s="23"/>
      <c r="B515" s="26"/>
      <c r="C515" s="23"/>
      <c r="D515" s="23"/>
      <c r="E515" s="23"/>
      <c r="F515" s="23"/>
      <c r="G515" s="23"/>
      <c r="H515" s="23"/>
      <c r="I515" s="23"/>
      <c r="J515" s="42"/>
      <c r="K515" s="42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42"/>
      <c r="X515" s="21"/>
      <c r="Y515" s="22"/>
      <c r="Z515" s="23"/>
      <c r="AA515" s="24"/>
      <c r="AB515" s="44"/>
    </row>
    <row r="516" spans="1:28" x14ac:dyDescent="0.35">
      <c r="A516" s="23"/>
      <c r="B516" s="26"/>
      <c r="C516" s="23"/>
      <c r="D516" s="23"/>
      <c r="E516" s="23"/>
      <c r="F516" s="23"/>
      <c r="G516" s="23"/>
      <c r="H516" s="23"/>
      <c r="I516" s="23"/>
      <c r="J516" s="42"/>
      <c r="K516" s="42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42"/>
      <c r="X516" s="21"/>
      <c r="Y516" s="22"/>
      <c r="Z516" s="23"/>
      <c r="AA516" s="24"/>
      <c r="AB516" s="44"/>
    </row>
    <row r="517" spans="1:28" x14ac:dyDescent="0.35">
      <c r="A517" s="23"/>
      <c r="B517" s="26"/>
      <c r="C517" s="23"/>
      <c r="D517" s="23"/>
      <c r="E517" s="23"/>
      <c r="F517" s="23"/>
      <c r="G517" s="23"/>
      <c r="H517" s="23"/>
      <c r="I517" s="23"/>
      <c r="J517" s="42"/>
      <c r="K517" s="42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42"/>
      <c r="X517" s="21"/>
      <c r="Y517" s="22"/>
      <c r="Z517" s="23"/>
      <c r="AA517" s="24"/>
      <c r="AB517" s="44"/>
    </row>
    <row r="518" spans="1:28" x14ac:dyDescent="0.35">
      <c r="A518" s="23"/>
      <c r="B518" s="26"/>
      <c r="C518" s="23"/>
      <c r="D518" s="23"/>
      <c r="E518" s="23"/>
      <c r="F518" s="23"/>
      <c r="G518" s="23"/>
      <c r="H518" s="23"/>
      <c r="I518" s="23"/>
      <c r="J518" s="42"/>
      <c r="K518" s="42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42"/>
      <c r="X518" s="21"/>
      <c r="Y518" s="22"/>
      <c r="Z518" s="23"/>
      <c r="AA518" s="24"/>
      <c r="AB518" s="44"/>
    </row>
    <row r="519" spans="1:28" x14ac:dyDescent="0.35">
      <c r="A519" s="23"/>
      <c r="B519" s="26"/>
      <c r="C519" s="23"/>
      <c r="D519" s="23"/>
      <c r="E519" s="23"/>
      <c r="F519" s="23"/>
      <c r="G519" s="23"/>
      <c r="H519" s="23"/>
      <c r="I519" s="23"/>
      <c r="J519" s="42"/>
      <c r="K519" s="42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42"/>
      <c r="X519" s="21"/>
      <c r="Y519" s="22"/>
      <c r="Z519" s="23"/>
      <c r="AA519" s="24"/>
      <c r="AB519" s="44"/>
    </row>
    <row r="520" spans="1:28" x14ac:dyDescent="0.35">
      <c r="A520" s="23"/>
      <c r="B520" s="26"/>
      <c r="C520" s="23"/>
      <c r="D520" s="23"/>
      <c r="E520" s="23"/>
      <c r="F520" s="23"/>
      <c r="G520" s="23"/>
      <c r="H520" s="23"/>
      <c r="I520" s="23"/>
      <c r="J520" s="42"/>
      <c r="K520" s="42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42"/>
      <c r="X520" s="21"/>
      <c r="Y520" s="22"/>
      <c r="Z520" s="23"/>
      <c r="AA520" s="24"/>
      <c r="AB520" s="44"/>
    </row>
    <row r="521" spans="1:28" x14ac:dyDescent="0.35">
      <c r="A521" s="23"/>
      <c r="B521" s="26"/>
      <c r="C521" s="23"/>
      <c r="D521" s="23"/>
      <c r="E521" s="23"/>
      <c r="F521" s="23"/>
      <c r="G521" s="23"/>
      <c r="H521" s="23"/>
      <c r="I521" s="23"/>
      <c r="J521" s="42"/>
      <c r="K521" s="42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42"/>
      <c r="X521" s="21"/>
      <c r="Y521" s="22"/>
      <c r="Z521" s="23"/>
      <c r="AA521" s="24"/>
      <c r="AB521" s="44"/>
    </row>
    <row r="522" spans="1:28" x14ac:dyDescent="0.35">
      <c r="A522" s="23"/>
      <c r="B522" s="26"/>
      <c r="C522" s="23"/>
      <c r="D522" s="23"/>
      <c r="E522" s="23"/>
      <c r="F522" s="23"/>
      <c r="G522" s="23"/>
      <c r="H522" s="23"/>
      <c r="I522" s="23"/>
      <c r="J522" s="42"/>
      <c r="K522" s="42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42"/>
      <c r="X522" s="21"/>
      <c r="Y522" s="22"/>
      <c r="Z522" s="23"/>
      <c r="AA522" s="24"/>
      <c r="AB522" s="44"/>
    </row>
    <row r="523" spans="1:28" x14ac:dyDescent="0.35">
      <c r="A523" s="23"/>
      <c r="B523" s="26"/>
      <c r="C523" s="23"/>
      <c r="D523" s="23"/>
      <c r="E523" s="23"/>
      <c r="F523" s="23"/>
      <c r="G523" s="23"/>
      <c r="H523" s="23"/>
      <c r="I523" s="23"/>
      <c r="J523" s="42"/>
      <c r="K523" s="42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42"/>
      <c r="X523" s="21"/>
      <c r="Y523" s="22"/>
      <c r="Z523" s="23"/>
      <c r="AA523" s="24"/>
      <c r="AB523" s="44"/>
    </row>
    <row r="524" spans="1:28" x14ac:dyDescent="0.35">
      <c r="A524" s="23"/>
      <c r="B524" s="26"/>
      <c r="C524" s="23"/>
      <c r="D524" s="23"/>
      <c r="E524" s="23"/>
      <c r="F524" s="23"/>
      <c r="G524" s="23"/>
      <c r="H524" s="23"/>
      <c r="I524" s="23"/>
      <c r="J524" s="42"/>
      <c r="K524" s="42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42"/>
      <c r="X524" s="21"/>
      <c r="Y524" s="22"/>
      <c r="Z524" s="23"/>
      <c r="AA524" s="24"/>
      <c r="AB524" s="44"/>
    </row>
    <row r="525" spans="1:28" x14ac:dyDescent="0.35">
      <c r="A525" s="23"/>
      <c r="B525" s="26"/>
      <c r="C525" s="23"/>
      <c r="D525" s="23"/>
      <c r="E525" s="23"/>
      <c r="F525" s="23"/>
      <c r="G525" s="23"/>
      <c r="H525" s="23"/>
      <c r="I525" s="23"/>
      <c r="J525" s="42"/>
      <c r="K525" s="42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42"/>
      <c r="X525" s="21"/>
      <c r="Y525" s="22"/>
      <c r="Z525" s="23"/>
      <c r="AA525" s="24"/>
      <c r="AB525" s="44"/>
    </row>
    <row r="526" spans="1:28" x14ac:dyDescent="0.35">
      <c r="A526" s="23"/>
      <c r="B526" s="26"/>
      <c r="C526" s="23"/>
      <c r="D526" s="23"/>
      <c r="E526" s="23"/>
      <c r="F526" s="23"/>
      <c r="G526" s="23"/>
      <c r="H526" s="23"/>
      <c r="I526" s="23"/>
      <c r="J526" s="42"/>
      <c r="K526" s="42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42"/>
      <c r="X526" s="21"/>
      <c r="Y526" s="22"/>
      <c r="Z526" s="23"/>
      <c r="AA526" s="24"/>
      <c r="AB526" s="44"/>
    </row>
    <row r="527" spans="1:28" x14ac:dyDescent="0.35">
      <c r="A527" s="23"/>
      <c r="B527" s="26"/>
      <c r="C527" s="23"/>
      <c r="D527" s="23"/>
      <c r="E527" s="23"/>
      <c r="F527" s="23"/>
      <c r="G527" s="23"/>
      <c r="H527" s="23"/>
      <c r="I527" s="23"/>
      <c r="J527" s="42"/>
      <c r="K527" s="42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42"/>
      <c r="X527" s="21"/>
      <c r="Y527" s="22"/>
      <c r="Z527" s="23"/>
      <c r="AA527" s="24"/>
      <c r="AB527" s="44"/>
    </row>
    <row r="528" spans="1:28" x14ac:dyDescent="0.35">
      <c r="A528" s="23"/>
      <c r="B528" s="26"/>
      <c r="C528" s="23"/>
      <c r="D528" s="23"/>
      <c r="E528" s="23"/>
      <c r="F528" s="23"/>
      <c r="G528" s="23"/>
      <c r="H528" s="23"/>
      <c r="I528" s="23"/>
      <c r="J528" s="42"/>
      <c r="K528" s="42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42"/>
      <c r="X528" s="21"/>
      <c r="Y528" s="22"/>
      <c r="Z528" s="23"/>
      <c r="AA528" s="24"/>
      <c r="AB528" s="44"/>
    </row>
    <row r="529" spans="1:28" x14ac:dyDescent="0.35">
      <c r="A529" s="23"/>
      <c r="B529" s="26"/>
      <c r="C529" s="23"/>
      <c r="D529" s="23"/>
      <c r="E529" s="23"/>
      <c r="F529" s="23"/>
      <c r="G529" s="23"/>
      <c r="H529" s="23"/>
      <c r="I529" s="23"/>
      <c r="J529" s="42"/>
      <c r="K529" s="42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42"/>
      <c r="X529" s="21"/>
      <c r="Y529" s="22"/>
      <c r="Z529" s="23"/>
      <c r="AA529" s="24"/>
      <c r="AB529" s="44"/>
    </row>
    <row r="530" spans="1:28" x14ac:dyDescent="0.35">
      <c r="A530" s="23"/>
      <c r="B530" s="26"/>
      <c r="C530" s="23"/>
      <c r="D530" s="23"/>
      <c r="E530" s="23"/>
      <c r="F530" s="23"/>
      <c r="G530" s="23"/>
      <c r="H530" s="23"/>
      <c r="I530" s="23"/>
      <c r="J530" s="42"/>
      <c r="K530" s="42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42"/>
      <c r="X530" s="21"/>
      <c r="Y530" s="22"/>
      <c r="Z530" s="23"/>
      <c r="AA530" s="24"/>
      <c r="AB530" s="44"/>
    </row>
    <row r="531" spans="1:28" x14ac:dyDescent="0.35">
      <c r="A531" s="23"/>
      <c r="B531" s="26"/>
      <c r="C531" s="23"/>
      <c r="D531" s="23"/>
      <c r="E531" s="23"/>
      <c r="F531" s="23"/>
      <c r="G531" s="23"/>
      <c r="H531" s="23"/>
      <c r="I531" s="23"/>
      <c r="J531" s="42"/>
      <c r="K531" s="42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42"/>
      <c r="X531" s="21"/>
      <c r="Y531" s="22"/>
      <c r="Z531" s="23"/>
      <c r="AA531" s="24"/>
      <c r="AB531" s="44"/>
    </row>
    <row r="532" spans="1:28" x14ac:dyDescent="0.35">
      <c r="A532" s="23"/>
      <c r="B532" s="26"/>
      <c r="C532" s="23"/>
      <c r="D532" s="23"/>
      <c r="E532" s="23"/>
      <c r="F532" s="23"/>
      <c r="G532" s="23"/>
      <c r="H532" s="23"/>
      <c r="I532" s="23"/>
      <c r="J532" s="42"/>
      <c r="K532" s="42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42"/>
      <c r="X532" s="21"/>
      <c r="Y532" s="22"/>
      <c r="Z532" s="23"/>
      <c r="AA532" s="24"/>
      <c r="AB532" s="44"/>
    </row>
    <row r="533" spans="1:28" x14ac:dyDescent="0.35">
      <c r="A533" s="23"/>
      <c r="B533" s="26"/>
      <c r="C533" s="23"/>
      <c r="D533" s="23"/>
      <c r="E533" s="23"/>
      <c r="F533" s="23"/>
      <c r="G533" s="23"/>
      <c r="H533" s="23"/>
      <c r="I533" s="23"/>
      <c r="J533" s="42"/>
      <c r="K533" s="42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42"/>
      <c r="X533" s="21"/>
      <c r="Y533" s="22"/>
      <c r="Z533" s="23"/>
      <c r="AA533" s="24"/>
      <c r="AB533" s="44"/>
    </row>
    <row r="534" spans="1:28" x14ac:dyDescent="0.35">
      <c r="A534" s="23"/>
      <c r="B534" s="26"/>
      <c r="C534" s="23"/>
      <c r="D534" s="23"/>
      <c r="E534" s="23"/>
      <c r="F534" s="23"/>
      <c r="G534" s="23"/>
      <c r="H534" s="23"/>
      <c r="I534" s="23"/>
      <c r="J534" s="42"/>
      <c r="K534" s="42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42"/>
      <c r="X534" s="21"/>
      <c r="Y534" s="22"/>
      <c r="Z534" s="23"/>
      <c r="AA534" s="24"/>
      <c r="AB534" s="44"/>
    </row>
    <row r="535" spans="1:28" x14ac:dyDescent="0.35">
      <c r="A535" s="23"/>
      <c r="B535" s="26"/>
      <c r="C535" s="23"/>
      <c r="D535" s="23"/>
      <c r="E535" s="23"/>
      <c r="F535" s="23"/>
      <c r="G535" s="23"/>
      <c r="H535" s="23"/>
      <c r="I535" s="23"/>
      <c r="J535" s="42"/>
      <c r="K535" s="42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42"/>
      <c r="X535" s="21"/>
      <c r="Y535" s="22"/>
      <c r="Z535" s="23"/>
      <c r="AA535" s="24"/>
      <c r="AB535" s="44"/>
    </row>
    <row r="536" spans="1:28" x14ac:dyDescent="0.35">
      <c r="A536" s="23"/>
      <c r="B536" s="26"/>
      <c r="C536" s="23"/>
      <c r="D536" s="23"/>
      <c r="E536" s="23"/>
      <c r="F536" s="23"/>
      <c r="G536" s="23"/>
      <c r="H536" s="23"/>
      <c r="I536" s="23"/>
      <c r="J536" s="42"/>
      <c r="K536" s="42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42"/>
      <c r="X536" s="21"/>
      <c r="Y536" s="22"/>
      <c r="Z536" s="23"/>
      <c r="AA536" s="24"/>
      <c r="AB536" s="44"/>
    </row>
    <row r="537" spans="1:28" x14ac:dyDescent="0.35">
      <c r="A537" s="23"/>
      <c r="B537" s="26"/>
      <c r="C537" s="23"/>
      <c r="D537" s="23"/>
      <c r="E537" s="23"/>
      <c r="F537" s="23"/>
      <c r="G537" s="23"/>
      <c r="H537" s="23"/>
      <c r="I537" s="23"/>
      <c r="J537" s="42"/>
      <c r="K537" s="42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42"/>
      <c r="X537" s="21"/>
      <c r="Y537" s="22"/>
      <c r="Z537" s="23"/>
      <c r="AA537" s="24"/>
      <c r="AB537" s="44"/>
    </row>
    <row r="538" spans="1:28" x14ac:dyDescent="0.35">
      <c r="A538" s="23"/>
      <c r="B538" s="26"/>
      <c r="C538" s="23"/>
      <c r="D538" s="23"/>
      <c r="E538" s="23"/>
      <c r="F538" s="23"/>
      <c r="G538" s="23"/>
      <c r="H538" s="23"/>
      <c r="I538" s="23"/>
      <c r="J538" s="42"/>
      <c r="K538" s="42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42"/>
      <c r="X538" s="21"/>
      <c r="Y538" s="22"/>
      <c r="Z538" s="23"/>
      <c r="AA538" s="24"/>
      <c r="AB538" s="44"/>
    </row>
    <row r="539" spans="1:28" x14ac:dyDescent="0.35">
      <c r="A539" s="23"/>
      <c r="B539" s="26"/>
      <c r="C539" s="23"/>
      <c r="D539" s="23"/>
      <c r="E539" s="23"/>
      <c r="F539" s="23"/>
      <c r="G539" s="23"/>
      <c r="H539" s="23"/>
      <c r="I539" s="23"/>
      <c r="J539" s="42"/>
      <c r="K539" s="42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42"/>
      <c r="X539" s="21"/>
      <c r="Y539" s="22"/>
      <c r="Z539" s="23"/>
      <c r="AA539" s="24"/>
      <c r="AB539" s="44"/>
    </row>
    <row r="540" spans="1:28" x14ac:dyDescent="0.35">
      <c r="A540" s="23"/>
      <c r="B540" s="26"/>
      <c r="C540" s="23"/>
      <c r="D540" s="23"/>
      <c r="E540" s="23"/>
      <c r="F540" s="23"/>
      <c r="G540" s="23"/>
      <c r="H540" s="23"/>
      <c r="I540" s="23"/>
      <c r="J540" s="42"/>
      <c r="K540" s="42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42"/>
      <c r="X540" s="21"/>
      <c r="Y540" s="22"/>
      <c r="Z540" s="23"/>
      <c r="AA540" s="24"/>
      <c r="AB540" s="44"/>
    </row>
    <row r="541" spans="1:28" x14ac:dyDescent="0.35">
      <c r="A541" s="23"/>
      <c r="B541" s="26"/>
      <c r="C541" s="23"/>
      <c r="D541" s="23"/>
      <c r="E541" s="23"/>
      <c r="F541" s="23"/>
      <c r="G541" s="23"/>
      <c r="H541" s="23"/>
      <c r="I541" s="23"/>
      <c r="J541" s="42"/>
      <c r="K541" s="42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42"/>
      <c r="X541" s="21"/>
      <c r="Y541" s="22"/>
      <c r="Z541" s="23"/>
      <c r="AA541" s="24"/>
      <c r="AB541" s="44"/>
    </row>
    <row r="542" spans="1:28" x14ac:dyDescent="0.35">
      <c r="A542" s="23"/>
      <c r="B542" s="26"/>
      <c r="C542" s="23"/>
      <c r="D542" s="23"/>
      <c r="E542" s="23"/>
      <c r="F542" s="23"/>
      <c r="G542" s="23"/>
      <c r="H542" s="23"/>
      <c r="I542" s="23"/>
      <c r="J542" s="42"/>
      <c r="K542" s="42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42"/>
      <c r="X542" s="21"/>
      <c r="Y542" s="22"/>
      <c r="Z542" s="23"/>
      <c r="AA542" s="24"/>
      <c r="AB542" s="44"/>
    </row>
    <row r="543" spans="1:28" x14ac:dyDescent="0.35">
      <c r="A543" s="23"/>
      <c r="B543" s="26"/>
      <c r="C543" s="23"/>
      <c r="D543" s="23"/>
      <c r="E543" s="23"/>
      <c r="F543" s="23"/>
      <c r="G543" s="23"/>
      <c r="H543" s="23"/>
      <c r="I543" s="23"/>
      <c r="J543" s="42"/>
      <c r="K543" s="42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42"/>
      <c r="X543" s="21"/>
      <c r="Y543" s="22"/>
      <c r="Z543" s="23"/>
      <c r="AA543" s="24"/>
      <c r="AB543" s="44"/>
    </row>
    <row r="544" spans="1:28" x14ac:dyDescent="0.35">
      <c r="A544" s="23"/>
      <c r="B544" s="26"/>
      <c r="C544" s="23"/>
      <c r="D544" s="23"/>
      <c r="E544" s="23"/>
      <c r="F544" s="23"/>
      <c r="G544" s="23"/>
      <c r="H544" s="23"/>
      <c r="I544" s="23"/>
      <c r="J544" s="42"/>
      <c r="K544" s="42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42"/>
      <c r="X544" s="21"/>
      <c r="Y544" s="22"/>
      <c r="Z544" s="23"/>
      <c r="AA544" s="24"/>
      <c r="AB544" s="44"/>
    </row>
    <row r="545" spans="1:28" x14ac:dyDescent="0.35">
      <c r="A545" s="23"/>
      <c r="B545" s="26"/>
      <c r="C545" s="23"/>
      <c r="D545" s="23"/>
      <c r="E545" s="23"/>
      <c r="F545" s="23"/>
      <c r="G545" s="23"/>
      <c r="H545" s="23"/>
      <c r="I545" s="23"/>
      <c r="J545" s="42"/>
      <c r="K545" s="42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42"/>
      <c r="X545" s="21"/>
      <c r="Y545" s="22"/>
      <c r="Z545" s="23"/>
      <c r="AA545" s="24"/>
      <c r="AB545" s="44"/>
    </row>
    <row r="546" spans="1:28" x14ac:dyDescent="0.35">
      <c r="A546" s="23"/>
      <c r="B546" s="26"/>
      <c r="C546" s="23"/>
      <c r="D546" s="23"/>
      <c r="E546" s="23"/>
      <c r="F546" s="23"/>
      <c r="G546" s="23"/>
      <c r="H546" s="23"/>
      <c r="I546" s="23"/>
      <c r="J546" s="42"/>
      <c r="K546" s="42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42"/>
      <c r="X546" s="21"/>
      <c r="Y546" s="22"/>
      <c r="Z546" s="23"/>
      <c r="AA546" s="24"/>
      <c r="AB546" s="44"/>
    </row>
    <row r="547" spans="1:28" x14ac:dyDescent="0.35">
      <c r="A547" s="23"/>
      <c r="B547" s="26"/>
      <c r="C547" s="23"/>
      <c r="D547" s="23"/>
      <c r="E547" s="23"/>
      <c r="F547" s="23"/>
      <c r="G547" s="23"/>
      <c r="H547" s="23"/>
      <c r="I547" s="23"/>
      <c r="J547" s="42"/>
      <c r="K547" s="42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42"/>
      <c r="X547" s="21"/>
      <c r="Y547" s="22"/>
      <c r="Z547" s="23"/>
      <c r="AA547" s="24"/>
      <c r="AB547" s="44"/>
    </row>
    <row r="548" spans="1:28" x14ac:dyDescent="0.35">
      <c r="A548" s="23"/>
      <c r="B548" s="26"/>
      <c r="C548" s="23"/>
      <c r="D548" s="23"/>
      <c r="E548" s="23"/>
      <c r="F548" s="23"/>
      <c r="G548" s="23"/>
      <c r="H548" s="23"/>
      <c r="I548" s="23"/>
      <c r="J548" s="42"/>
      <c r="K548" s="42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42"/>
      <c r="X548" s="21"/>
      <c r="Y548" s="22"/>
      <c r="Z548" s="23"/>
      <c r="AA548" s="24"/>
      <c r="AB548" s="44"/>
    </row>
    <row r="549" spans="1:28" x14ac:dyDescent="0.35">
      <c r="A549" s="23"/>
      <c r="B549" s="26"/>
      <c r="C549" s="23"/>
      <c r="D549" s="23"/>
      <c r="E549" s="23"/>
      <c r="F549" s="23"/>
      <c r="G549" s="23"/>
      <c r="H549" s="23"/>
      <c r="I549" s="23"/>
      <c r="J549" s="42"/>
      <c r="K549" s="42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42"/>
      <c r="X549" s="21"/>
      <c r="Y549" s="22"/>
      <c r="Z549" s="23"/>
      <c r="AA549" s="24"/>
      <c r="AB549" s="44"/>
    </row>
    <row r="550" spans="1:28" x14ac:dyDescent="0.35">
      <c r="A550" s="23"/>
      <c r="B550" s="26"/>
      <c r="C550" s="23"/>
      <c r="D550" s="23"/>
      <c r="E550" s="23"/>
      <c r="F550" s="23"/>
      <c r="G550" s="23"/>
      <c r="H550" s="23"/>
      <c r="I550" s="23"/>
      <c r="J550" s="42"/>
      <c r="K550" s="42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42"/>
      <c r="X550" s="21"/>
      <c r="Y550" s="22"/>
      <c r="Z550" s="23"/>
      <c r="AA550" s="24"/>
      <c r="AB550" s="44"/>
    </row>
    <row r="551" spans="1:28" x14ac:dyDescent="0.35">
      <c r="A551" s="23"/>
      <c r="B551" s="26"/>
      <c r="C551" s="23"/>
      <c r="D551" s="23"/>
      <c r="E551" s="23"/>
      <c r="F551" s="23"/>
      <c r="G551" s="23"/>
      <c r="H551" s="23"/>
      <c r="I551" s="23"/>
      <c r="J551" s="42"/>
      <c r="K551" s="42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42"/>
      <c r="X551" s="21"/>
      <c r="Y551" s="22"/>
      <c r="Z551" s="23"/>
      <c r="AA551" s="24"/>
      <c r="AB551" s="44"/>
    </row>
    <row r="552" spans="1:28" x14ac:dyDescent="0.35">
      <c r="A552" s="23"/>
      <c r="B552" s="26"/>
      <c r="C552" s="23"/>
      <c r="D552" s="23"/>
      <c r="E552" s="23"/>
      <c r="F552" s="23"/>
      <c r="G552" s="23"/>
      <c r="H552" s="23"/>
      <c r="I552" s="23"/>
      <c r="J552" s="42"/>
      <c r="K552" s="42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42"/>
      <c r="X552" s="21"/>
      <c r="Y552" s="22"/>
      <c r="Z552" s="23"/>
      <c r="AA552" s="24"/>
      <c r="AB552" s="44"/>
    </row>
    <row r="553" spans="1:28" x14ac:dyDescent="0.35">
      <c r="A553" s="23"/>
      <c r="B553" s="26"/>
      <c r="C553" s="23"/>
      <c r="D553" s="23"/>
      <c r="E553" s="23"/>
      <c r="F553" s="23"/>
      <c r="G553" s="23"/>
      <c r="H553" s="23"/>
      <c r="I553" s="23"/>
      <c r="J553" s="42"/>
      <c r="K553" s="42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42"/>
      <c r="X553" s="21"/>
      <c r="Y553" s="22"/>
      <c r="Z553" s="23"/>
      <c r="AA553" s="24"/>
      <c r="AB553" s="44"/>
    </row>
    <row r="554" spans="1:28" x14ac:dyDescent="0.35">
      <c r="A554" s="23"/>
      <c r="B554" s="26"/>
      <c r="C554" s="23"/>
      <c r="D554" s="23"/>
      <c r="E554" s="23"/>
      <c r="F554" s="23"/>
      <c r="G554" s="23"/>
      <c r="H554" s="23"/>
      <c r="I554" s="23"/>
      <c r="J554" s="42"/>
      <c r="K554" s="42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42"/>
      <c r="X554" s="21"/>
      <c r="Y554" s="22"/>
      <c r="Z554" s="23"/>
      <c r="AA554" s="24"/>
      <c r="AB554" s="44"/>
    </row>
    <row r="555" spans="1:28" x14ac:dyDescent="0.35">
      <c r="A555" s="23"/>
      <c r="B555" s="26"/>
      <c r="C555" s="23"/>
      <c r="D555" s="23"/>
      <c r="E555" s="23"/>
      <c r="F555" s="23"/>
      <c r="G555" s="23"/>
      <c r="H555" s="23"/>
      <c r="I555" s="23"/>
      <c r="J555" s="42"/>
      <c r="K555" s="42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42"/>
      <c r="X555" s="21"/>
      <c r="Y555" s="22"/>
      <c r="Z555" s="23"/>
      <c r="AA555" s="24"/>
      <c r="AB555" s="44"/>
    </row>
    <row r="556" spans="1:28" x14ac:dyDescent="0.35">
      <c r="A556" s="23"/>
      <c r="B556" s="26"/>
      <c r="C556" s="23"/>
      <c r="D556" s="23"/>
      <c r="E556" s="23"/>
      <c r="F556" s="23"/>
      <c r="G556" s="23"/>
      <c r="H556" s="23"/>
      <c r="I556" s="23"/>
      <c r="J556" s="42"/>
      <c r="K556" s="42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42"/>
      <c r="X556" s="21"/>
      <c r="Y556" s="22"/>
      <c r="Z556" s="23"/>
      <c r="AA556" s="24"/>
      <c r="AB556" s="44"/>
    </row>
    <row r="557" spans="1:28" x14ac:dyDescent="0.35">
      <c r="A557" s="23"/>
      <c r="B557" s="26"/>
      <c r="C557" s="23"/>
      <c r="D557" s="23"/>
      <c r="E557" s="23"/>
      <c r="F557" s="23"/>
      <c r="G557" s="23"/>
      <c r="H557" s="23"/>
      <c r="I557" s="23"/>
      <c r="J557" s="42"/>
      <c r="K557" s="42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42"/>
      <c r="X557" s="21"/>
      <c r="Y557" s="22"/>
      <c r="Z557" s="23"/>
      <c r="AA557" s="24"/>
      <c r="AB557" s="44"/>
    </row>
    <row r="558" spans="1:28" x14ac:dyDescent="0.35">
      <c r="A558" s="23"/>
      <c r="B558" s="26"/>
      <c r="C558" s="23"/>
      <c r="D558" s="23"/>
      <c r="E558" s="23"/>
      <c r="F558" s="23"/>
      <c r="G558" s="23"/>
      <c r="H558" s="23"/>
      <c r="I558" s="23"/>
      <c r="J558" s="42"/>
      <c r="K558" s="42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42"/>
      <c r="X558" s="21"/>
      <c r="Y558" s="22"/>
      <c r="Z558" s="23"/>
      <c r="AA558" s="24"/>
      <c r="AB558" s="44"/>
    </row>
    <row r="559" spans="1:28" x14ac:dyDescent="0.35">
      <c r="A559" s="23"/>
      <c r="B559" s="26"/>
      <c r="C559" s="23"/>
      <c r="D559" s="23"/>
      <c r="E559" s="23"/>
      <c r="F559" s="23"/>
      <c r="G559" s="23"/>
      <c r="H559" s="23"/>
      <c r="I559" s="23"/>
      <c r="J559" s="42"/>
      <c r="K559" s="42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42"/>
      <c r="X559" s="21"/>
      <c r="Y559" s="22"/>
      <c r="Z559" s="23"/>
      <c r="AA559" s="24"/>
      <c r="AB559" s="44"/>
    </row>
    <row r="560" spans="1:28" x14ac:dyDescent="0.35">
      <c r="A560" s="23"/>
      <c r="B560" s="26"/>
      <c r="C560" s="23"/>
      <c r="D560" s="23"/>
      <c r="E560" s="23"/>
      <c r="F560" s="23"/>
      <c r="G560" s="23"/>
      <c r="H560" s="23"/>
      <c r="I560" s="23"/>
      <c r="J560" s="42"/>
      <c r="K560" s="42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42"/>
      <c r="X560" s="21"/>
      <c r="Y560" s="22"/>
      <c r="Z560" s="23"/>
      <c r="AA560" s="24"/>
      <c r="AB560" s="44"/>
    </row>
    <row r="561" spans="1:28" x14ac:dyDescent="0.35">
      <c r="A561" s="23"/>
      <c r="B561" s="26"/>
      <c r="C561" s="23"/>
      <c r="D561" s="23"/>
      <c r="E561" s="23"/>
      <c r="F561" s="23"/>
      <c r="G561" s="23"/>
      <c r="H561" s="23"/>
      <c r="I561" s="23"/>
      <c r="J561" s="42"/>
      <c r="K561" s="42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42"/>
      <c r="X561" s="21"/>
      <c r="Y561" s="22"/>
      <c r="Z561" s="23"/>
      <c r="AA561" s="24"/>
      <c r="AB561" s="44"/>
    </row>
    <row r="562" spans="1:28" x14ac:dyDescent="0.35">
      <c r="A562" s="23"/>
      <c r="B562" s="26"/>
      <c r="C562" s="23"/>
      <c r="D562" s="23"/>
      <c r="E562" s="23"/>
      <c r="F562" s="23"/>
      <c r="G562" s="23"/>
      <c r="H562" s="23"/>
      <c r="I562" s="23"/>
      <c r="J562" s="42"/>
      <c r="K562" s="42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42"/>
      <c r="X562" s="21"/>
      <c r="Y562" s="22"/>
      <c r="Z562" s="23"/>
      <c r="AA562" s="24"/>
      <c r="AB562" s="44"/>
    </row>
    <row r="563" spans="1:28" x14ac:dyDescent="0.35">
      <c r="A563" s="23"/>
      <c r="B563" s="26"/>
      <c r="C563" s="23"/>
      <c r="D563" s="23"/>
      <c r="E563" s="23"/>
      <c r="F563" s="23"/>
      <c r="G563" s="23"/>
      <c r="H563" s="23"/>
      <c r="I563" s="23"/>
      <c r="J563" s="42"/>
      <c r="K563" s="42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42"/>
      <c r="X563" s="21"/>
      <c r="Y563" s="22"/>
      <c r="Z563" s="23"/>
      <c r="AA563" s="24"/>
      <c r="AB563" s="44"/>
    </row>
    <row r="564" spans="1:28" x14ac:dyDescent="0.35">
      <c r="A564" s="23"/>
      <c r="B564" s="26"/>
      <c r="C564" s="23"/>
      <c r="D564" s="23"/>
      <c r="E564" s="23"/>
      <c r="F564" s="23"/>
      <c r="G564" s="23"/>
      <c r="H564" s="23"/>
      <c r="I564" s="23"/>
      <c r="J564" s="42"/>
      <c r="K564" s="42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42"/>
      <c r="X564" s="21"/>
      <c r="Y564" s="22"/>
      <c r="Z564" s="23"/>
      <c r="AA564" s="24"/>
      <c r="AB564" s="44"/>
    </row>
    <row r="565" spans="1:28" x14ac:dyDescent="0.35">
      <c r="A565" s="23"/>
      <c r="B565" s="26"/>
      <c r="C565" s="23"/>
      <c r="D565" s="23"/>
      <c r="E565" s="23"/>
      <c r="F565" s="23"/>
      <c r="G565" s="23"/>
      <c r="H565" s="23"/>
      <c r="I565" s="23"/>
      <c r="J565" s="42"/>
      <c r="K565" s="42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42"/>
      <c r="X565" s="21"/>
      <c r="Y565" s="22"/>
      <c r="Z565" s="23"/>
      <c r="AA565" s="24"/>
      <c r="AB565" s="44"/>
    </row>
    <row r="566" spans="1:28" x14ac:dyDescent="0.35">
      <c r="A566" s="23"/>
      <c r="B566" s="26"/>
      <c r="C566" s="23"/>
      <c r="D566" s="23"/>
      <c r="E566" s="23"/>
      <c r="F566" s="23"/>
      <c r="G566" s="23"/>
      <c r="H566" s="23"/>
      <c r="I566" s="23"/>
      <c r="J566" s="42"/>
      <c r="K566" s="42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42"/>
      <c r="X566" s="21"/>
      <c r="Y566" s="22"/>
      <c r="Z566" s="23"/>
      <c r="AA566" s="24"/>
      <c r="AB566" s="44"/>
    </row>
    <row r="567" spans="1:28" x14ac:dyDescent="0.35">
      <c r="A567" s="23"/>
      <c r="B567" s="26"/>
      <c r="C567" s="23"/>
      <c r="D567" s="23"/>
      <c r="E567" s="23"/>
      <c r="F567" s="23"/>
      <c r="G567" s="23"/>
      <c r="H567" s="23"/>
      <c r="I567" s="23"/>
      <c r="J567" s="42"/>
      <c r="K567" s="42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42"/>
      <c r="X567" s="21"/>
      <c r="Y567" s="22"/>
      <c r="Z567" s="23"/>
      <c r="AA567" s="24"/>
      <c r="AB567" s="44"/>
    </row>
    <row r="568" spans="1:28" x14ac:dyDescent="0.35">
      <c r="A568" s="23"/>
      <c r="B568" s="26"/>
      <c r="C568" s="23"/>
      <c r="D568" s="23"/>
      <c r="E568" s="23"/>
      <c r="F568" s="23"/>
      <c r="G568" s="23"/>
      <c r="H568" s="23"/>
      <c r="I568" s="23"/>
      <c r="J568" s="42"/>
      <c r="K568" s="42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42"/>
      <c r="X568" s="21"/>
      <c r="Y568" s="22"/>
      <c r="Z568" s="23"/>
      <c r="AA568" s="24"/>
      <c r="AB568" s="44"/>
    </row>
    <row r="569" spans="1:28" x14ac:dyDescent="0.35">
      <c r="A569" s="23"/>
      <c r="B569" s="26"/>
      <c r="C569" s="23"/>
      <c r="D569" s="23"/>
      <c r="E569" s="23"/>
      <c r="F569" s="23"/>
      <c r="G569" s="23"/>
      <c r="H569" s="23"/>
      <c r="I569" s="23"/>
      <c r="J569" s="42"/>
      <c r="K569" s="42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42"/>
      <c r="X569" s="21"/>
      <c r="Y569" s="22"/>
      <c r="Z569" s="23"/>
      <c r="AA569" s="24"/>
      <c r="AB569" s="44"/>
    </row>
    <row r="570" spans="1:28" x14ac:dyDescent="0.35">
      <c r="A570" s="23"/>
      <c r="B570" s="26"/>
      <c r="C570" s="23"/>
      <c r="D570" s="23"/>
      <c r="E570" s="23"/>
      <c r="F570" s="23"/>
      <c r="G570" s="23"/>
      <c r="H570" s="23"/>
      <c r="I570" s="23"/>
      <c r="J570" s="42"/>
      <c r="K570" s="42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42"/>
      <c r="X570" s="21"/>
      <c r="Y570" s="22"/>
      <c r="Z570" s="23"/>
      <c r="AA570" s="24"/>
      <c r="AB570" s="44"/>
    </row>
    <row r="571" spans="1:28" x14ac:dyDescent="0.35">
      <c r="A571" s="23"/>
      <c r="B571" s="26"/>
      <c r="C571" s="23"/>
      <c r="D571" s="23"/>
      <c r="E571" s="23"/>
      <c r="F571" s="23"/>
      <c r="G571" s="23"/>
      <c r="H571" s="23"/>
      <c r="I571" s="23"/>
      <c r="J571" s="42"/>
      <c r="K571" s="42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42"/>
      <c r="X571" s="21"/>
      <c r="Y571" s="22"/>
      <c r="Z571" s="23"/>
      <c r="AA571" s="24"/>
      <c r="AB571" s="44"/>
    </row>
    <row r="572" spans="1:28" x14ac:dyDescent="0.35">
      <c r="A572" s="23"/>
      <c r="B572" s="26"/>
      <c r="C572" s="23"/>
      <c r="D572" s="23"/>
      <c r="E572" s="23"/>
      <c r="F572" s="23"/>
      <c r="G572" s="23"/>
      <c r="H572" s="23"/>
      <c r="I572" s="23"/>
      <c r="J572" s="42"/>
      <c r="K572" s="42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42"/>
      <c r="X572" s="21"/>
      <c r="Y572" s="22"/>
      <c r="Z572" s="23"/>
      <c r="AA572" s="24"/>
      <c r="AB572" s="44"/>
    </row>
    <row r="573" spans="1:28" x14ac:dyDescent="0.35">
      <c r="A573" s="23"/>
      <c r="B573" s="26"/>
      <c r="C573" s="23"/>
      <c r="D573" s="23"/>
      <c r="E573" s="23"/>
      <c r="F573" s="23"/>
      <c r="G573" s="23"/>
      <c r="H573" s="23"/>
      <c r="I573" s="23"/>
      <c r="J573" s="42"/>
      <c r="K573" s="42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42"/>
      <c r="X573" s="21"/>
      <c r="Y573" s="22"/>
      <c r="Z573" s="23"/>
      <c r="AA573" s="24"/>
      <c r="AB573" s="44"/>
    </row>
    <row r="574" spans="1:28" x14ac:dyDescent="0.35">
      <c r="A574" s="23"/>
      <c r="B574" s="26"/>
      <c r="C574" s="23"/>
      <c r="D574" s="23"/>
      <c r="E574" s="23"/>
      <c r="F574" s="23"/>
      <c r="G574" s="23"/>
      <c r="H574" s="23"/>
      <c r="I574" s="23"/>
      <c r="J574" s="42"/>
      <c r="K574" s="42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42"/>
      <c r="X574" s="21"/>
      <c r="Y574" s="22"/>
      <c r="Z574" s="23"/>
      <c r="AA574" s="24"/>
      <c r="AB574" s="44"/>
    </row>
    <row r="575" spans="1:28" x14ac:dyDescent="0.35">
      <c r="A575" s="23"/>
      <c r="B575" s="26"/>
      <c r="C575" s="23"/>
      <c r="D575" s="23"/>
      <c r="E575" s="23"/>
      <c r="F575" s="23"/>
      <c r="G575" s="23"/>
      <c r="H575" s="23"/>
      <c r="I575" s="23"/>
      <c r="J575" s="42"/>
      <c r="K575" s="42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42"/>
      <c r="X575" s="21"/>
      <c r="Y575" s="22"/>
      <c r="Z575" s="23"/>
      <c r="AA575" s="24"/>
      <c r="AB575" s="44"/>
    </row>
    <row r="576" spans="1:28" x14ac:dyDescent="0.35">
      <c r="A576" s="23"/>
      <c r="B576" s="26"/>
      <c r="C576" s="23"/>
      <c r="D576" s="23"/>
      <c r="E576" s="23"/>
      <c r="F576" s="23"/>
      <c r="G576" s="23"/>
      <c r="H576" s="23"/>
      <c r="I576" s="23"/>
      <c r="J576" s="42"/>
      <c r="K576" s="42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42"/>
      <c r="X576" s="21"/>
      <c r="Y576" s="22"/>
      <c r="Z576" s="23"/>
      <c r="AA576" s="24"/>
      <c r="AB576" s="44"/>
    </row>
    <row r="577" spans="1:28" x14ac:dyDescent="0.35">
      <c r="A577" s="23"/>
      <c r="B577" s="26"/>
      <c r="C577" s="23"/>
      <c r="D577" s="23"/>
      <c r="E577" s="23"/>
      <c r="F577" s="23"/>
      <c r="G577" s="23"/>
      <c r="H577" s="23"/>
      <c r="I577" s="23"/>
      <c r="J577" s="42"/>
      <c r="K577" s="42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42"/>
      <c r="X577" s="21"/>
      <c r="Y577" s="22"/>
      <c r="Z577" s="23"/>
      <c r="AA577" s="24"/>
      <c r="AB577" s="44"/>
    </row>
    <row r="578" spans="1:28" x14ac:dyDescent="0.35">
      <c r="A578" s="23"/>
      <c r="B578" s="26"/>
      <c r="C578" s="23"/>
      <c r="D578" s="23"/>
      <c r="E578" s="23"/>
      <c r="F578" s="23"/>
      <c r="G578" s="23"/>
      <c r="H578" s="23"/>
      <c r="I578" s="23"/>
      <c r="J578" s="42"/>
      <c r="K578" s="42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42"/>
      <c r="X578" s="21"/>
      <c r="Y578" s="22"/>
      <c r="Z578" s="23"/>
      <c r="AA578" s="24"/>
      <c r="AB578" s="44"/>
    </row>
    <row r="579" spans="1:28" x14ac:dyDescent="0.35">
      <c r="A579" s="23"/>
      <c r="B579" s="26"/>
      <c r="C579" s="23"/>
      <c r="D579" s="23"/>
      <c r="E579" s="23"/>
      <c r="F579" s="23"/>
      <c r="G579" s="23"/>
      <c r="H579" s="23"/>
      <c r="I579" s="23"/>
      <c r="J579" s="42"/>
      <c r="K579" s="42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42"/>
      <c r="X579" s="21"/>
      <c r="Y579" s="22"/>
      <c r="Z579" s="23"/>
      <c r="AA579" s="24"/>
      <c r="AB579" s="44"/>
    </row>
    <row r="580" spans="1:28" x14ac:dyDescent="0.35">
      <c r="A580" s="23"/>
      <c r="B580" s="26"/>
      <c r="C580" s="23"/>
      <c r="D580" s="23"/>
      <c r="E580" s="23"/>
      <c r="F580" s="23"/>
      <c r="G580" s="23"/>
      <c r="H580" s="23"/>
      <c r="I580" s="23"/>
      <c r="J580" s="42"/>
      <c r="K580" s="42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42"/>
      <c r="X580" s="21"/>
      <c r="Y580" s="22"/>
      <c r="Z580" s="23"/>
      <c r="AA580" s="24"/>
      <c r="AB580" s="44"/>
    </row>
    <row r="581" spans="1:28" x14ac:dyDescent="0.35">
      <c r="A581" s="23"/>
      <c r="B581" s="26"/>
      <c r="C581" s="23"/>
      <c r="D581" s="23"/>
      <c r="E581" s="23"/>
      <c r="F581" s="23"/>
      <c r="G581" s="23"/>
      <c r="H581" s="23"/>
      <c r="I581" s="23"/>
      <c r="J581" s="42"/>
      <c r="K581" s="42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42"/>
      <c r="X581" s="21"/>
      <c r="Y581" s="22"/>
      <c r="Z581" s="23"/>
      <c r="AA581" s="24"/>
      <c r="AB581" s="44"/>
    </row>
    <row r="582" spans="1:28" x14ac:dyDescent="0.35">
      <c r="A582" s="23"/>
      <c r="B582" s="26"/>
      <c r="C582" s="23"/>
      <c r="D582" s="23"/>
      <c r="E582" s="23"/>
      <c r="F582" s="23"/>
      <c r="G582" s="23"/>
      <c r="H582" s="23"/>
      <c r="I582" s="23"/>
      <c r="J582" s="42"/>
      <c r="K582" s="42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42"/>
      <c r="X582" s="21"/>
      <c r="Y582" s="22"/>
      <c r="Z582" s="23"/>
      <c r="AA582" s="24"/>
      <c r="AB582" s="44"/>
    </row>
    <row r="583" spans="1:28" x14ac:dyDescent="0.35">
      <c r="A583" s="23"/>
      <c r="B583" s="26"/>
      <c r="C583" s="23"/>
      <c r="D583" s="23"/>
      <c r="E583" s="23"/>
      <c r="F583" s="23"/>
      <c r="G583" s="23"/>
      <c r="H583" s="23"/>
      <c r="I583" s="23"/>
      <c r="J583" s="42"/>
      <c r="K583" s="42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42"/>
      <c r="X583" s="21"/>
      <c r="Y583" s="22"/>
      <c r="Z583" s="23"/>
      <c r="AA583" s="24"/>
      <c r="AB583" s="44"/>
    </row>
    <row r="584" spans="1:28" x14ac:dyDescent="0.35">
      <c r="A584" s="23"/>
      <c r="B584" s="26"/>
      <c r="C584" s="23"/>
      <c r="D584" s="23"/>
      <c r="E584" s="23"/>
      <c r="F584" s="23"/>
      <c r="G584" s="23"/>
      <c r="H584" s="23"/>
      <c r="I584" s="23"/>
      <c r="J584" s="42"/>
      <c r="K584" s="42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42"/>
      <c r="X584" s="21"/>
      <c r="Y584" s="22"/>
      <c r="Z584" s="23"/>
      <c r="AA584" s="24"/>
      <c r="AB584" s="44"/>
    </row>
    <row r="585" spans="1:28" x14ac:dyDescent="0.35">
      <c r="A585" s="23"/>
      <c r="B585" s="26"/>
      <c r="C585" s="23"/>
      <c r="D585" s="23"/>
      <c r="E585" s="23"/>
      <c r="F585" s="23"/>
      <c r="G585" s="23"/>
      <c r="H585" s="23"/>
      <c r="I585" s="23"/>
      <c r="J585" s="42"/>
      <c r="K585" s="42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42"/>
      <c r="X585" s="21"/>
      <c r="Y585" s="22"/>
      <c r="Z585" s="23"/>
      <c r="AA585" s="24"/>
      <c r="AB585" s="44"/>
    </row>
    <row r="586" spans="1:28" x14ac:dyDescent="0.35">
      <c r="A586" s="23"/>
      <c r="B586" s="26"/>
      <c r="C586" s="23"/>
      <c r="D586" s="23"/>
      <c r="E586" s="23"/>
      <c r="F586" s="23"/>
      <c r="G586" s="23"/>
      <c r="H586" s="23"/>
      <c r="I586" s="23"/>
      <c r="J586" s="42"/>
      <c r="K586" s="42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42"/>
      <c r="X586" s="21"/>
      <c r="Y586" s="22"/>
      <c r="Z586" s="23"/>
      <c r="AA586" s="24"/>
      <c r="AB586" s="44"/>
    </row>
    <row r="587" spans="1:28" x14ac:dyDescent="0.35">
      <c r="A587" s="23"/>
      <c r="B587" s="26"/>
      <c r="C587" s="23"/>
      <c r="D587" s="23"/>
      <c r="E587" s="23"/>
      <c r="F587" s="23"/>
      <c r="G587" s="23"/>
      <c r="H587" s="23"/>
      <c r="I587" s="23"/>
      <c r="J587" s="42"/>
      <c r="K587" s="42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42"/>
      <c r="X587" s="21"/>
      <c r="Y587" s="22"/>
      <c r="Z587" s="23"/>
      <c r="AA587" s="24"/>
      <c r="AB587" s="44"/>
    </row>
    <row r="588" spans="1:28" x14ac:dyDescent="0.35">
      <c r="A588" s="23"/>
      <c r="B588" s="26"/>
      <c r="C588" s="23"/>
      <c r="D588" s="23"/>
      <c r="E588" s="23"/>
      <c r="F588" s="23"/>
      <c r="G588" s="23"/>
      <c r="H588" s="23"/>
      <c r="I588" s="23"/>
      <c r="J588" s="42"/>
      <c r="K588" s="42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42"/>
      <c r="X588" s="21"/>
      <c r="Y588" s="22"/>
      <c r="Z588" s="23"/>
      <c r="AA588" s="24"/>
      <c r="AB588" s="44"/>
    </row>
    <row r="589" spans="1:28" x14ac:dyDescent="0.35">
      <c r="A589" s="23"/>
      <c r="B589" s="26"/>
      <c r="C589" s="23"/>
      <c r="D589" s="23"/>
      <c r="E589" s="23"/>
      <c r="F589" s="23"/>
      <c r="G589" s="23"/>
      <c r="H589" s="23"/>
      <c r="I589" s="23"/>
      <c r="J589" s="42"/>
      <c r="K589" s="42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42"/>
      <c r="X589" s="21"/>
      <c r="Y589" s="22"/>
      <c r="Z589" s="23"/>
      <c r="AA589" s="24"/>
      <c r="AB589" s="44"/>
    </row>
    <row r="590" spans="1:28" x14ac:dyDescent="0.35">
      <c r="A590" s="23"/>
      <c r="B590" s="26"/>
      <c r="C590" s="23"/>
      <c r="D590" s="23"/>
      <c r="E590" s="23"/>
      <c r="F590" s="23"/>
      <c r="G590" s="23"/>
      <c r="H590" s="23"/>
      <c r="I590" s="23"/>
      <c r="J590" s="42"/>
      <c r="K590" s="42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42"/>
      <c r="X590" s="21"/>
      <c r="Y590" s="22"/>
      <c r="Z590" s="23"/>
      <c r="AA590" s="24"/>
      <c r="AB590" s="44"/>
    </row>
    <row r="591" spans="1:28" x14ac:dyDescent="0.35">
      <c r="A591" s="23"/>
      <c r="B591" s="26"/>
      <c r="C591" s="23"/>
      <c r="D591" s="23"/>
      <c r="E591" s="23"/>
      <c r="F591" s="23"/>
      <c r="G591" s="23"/>
      <c r="H591" s="23"/>
      <c r="I591" s="23"/>
      <c r="J591" s="42"/>
      <c r="K591" s="42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42"/>
      <c r="X591" s="21"/>
      <c r="Y591" s="22"/>
      <c r="Z591" s="23"/>
      <c r="AA591" s="24"/>
      <c r="AB591" s="44"/>
    </row>
    <row r="592" spans="1:28" x14ac:dyDescent="0.35">
      <c r="A592" s="23"/>
      <c r="B592" s="26"/>
      <c r="C592" s="23"/>
      <c r="D592" s="23"/>
      <c r="E592" s="23"/>
      <c r="F592" s="23"/>
      <c r="G592" s="23"/>
      <c r="H592" s="23"/>
      <c r="I592" s="23"/>
      <c r="J592" s="42"/>
      <c r="K592" s="42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42"/>
      <c r="X592" s="21"/>
      <c r="Y592" s="22"/>
      <c r="Z592" s="23"/>
      <c r="AA592" s="24"/>
      <c r="AB592" s="44"/>
    </row>
    <row r="593" spans="1:28" x14ac:dyDescent="0.35">
      <c r="A593" s="23"/>
      <c r="B593" s="26"/>
      <c r="C593" s="23"/>
      <c r="D593" s="23"/>
      <c r="E593" s="23"/>
      <c r="F593" s="23"/>
      <c r="G593" s="23"/>
      <c r="H593" s="23"/>
      <c r="I593" s="23"/>
      <c r="J593" s="42"/>
      <c r="K593" s="42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42"/>
      <c r="X593" s="21"/>
      <c r="Y593" s="22"/>
      <c r="Z593" s="23"/>
      <c r="AA593" s="24"/>
      <c r="AB593" s="44"/>
    </row>
    <row r="594" spans="1:28" x14ac:dyDescent="0.35">
      <c r="A594" s="23"/>
      <c r="B594" s="26"/>
      <c r="C594" s="23"/>
      <c r="D594" s="23"/>
      <c r="E594" s="23"/>
      <c r="F594" s="23"/>
      <c r="G594" s="23"/>
      <c r="H594" s="23"/>
      <c r="I594" s="23"/>
      <c r="J594" s="42"/>
      <c r="K594" s="42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42"/>
      <c r="X594" s="21"/>
      <c r="Y594" s="22"/>
      <c r="Z594" s="23"/>
      <c r="AA594" s="24"/>
      <c r="AB594" s="44"/>
    </row>
    <row r="595" spans="1:28" x14ac:dyDescent="0.35">
      <c r="A595" s="23"/>
      <c r="B595" s="26"/>
      <c r="C595" s="23"/>
      <c r="D595" s="23"/>
      <c r="E595" s="23"/>
      <c r="F595" s="23"/>
      <c r="G595" s="23"/>
      <c r="H595" s="23"/>
      <c r="I595" s="23"/>
      <c r="J595" s="42"/>
      <c r="K595" s="42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42"/>
      <c r="X595" s="21"/>
      <c r="Y595" s="22"/>
      <c r="Z595" s="23"/>
      <c r="AA595" s="24"/>
      <c r="AB595" s="44"/>
    </row>
    <row r="596" spans="1:28" x14ac:dyDescent="0.35">
      <c r="A596" s="23"/>
      <c r="B596" s="26"/>
      <c r="C596" s="23"/>
      <c r="D596" s="23"/>
      <c r="E596" s="23"/>
      <c r="F596" s="23"/>
      <c r="G596" s="23"/>
      <c r="H596" s="23"/>
      <c r="I596" s="23"/>
      <c r="J596" s="42"/>
      <c r="K596" s="42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42"/>
      <c r="X596" s="21"/>
      <c r="Y596" s="22"/>
      <c r="Z596" s="23"/>
      <c r="AA596" s="24"/>
      <c r="AB596" s="44"/>
    </row>
    <row r="597" spans="1:28" x14ac:dyDescent="0.35">
      <c r="A597" s="23"/>
      <c r="B597" s="26"/>
      <c r="C597" s="23"/>
      <c r="D597" s="23"/>
      <c r="E597" s="23"/>
      <c r="F597" s="23"/>
      <c r="G597" s="23"/>
      <c r="H597" s="23"/>
      <c r="I597" s="23"/>
      <c r="J597" s="42"/>
      <c r="K597" s="42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42"/>
      <c r="X597" s="21"/>
      <c r="Y597" s="22"/>
      <c r="Z597" s="23"/>
      <c r="AA597" s="24"/>
      <c r="AB597" s="44"/>
    </row>
    <row r="598" spans="1:28" x14ac:dyDescent="0.35">
      <c r="A598" s="23"/>
      <c r="B598" s="26"/>
      <c r="C598" s="23"/>
      <c r="D598" s="23"/>
      <c r="E598" s="23"/>
      <c r="F598" s="23"/>
      <c r="G598" s="23"/>
      <c r="H598" s="23"/>
      <c r="I598" s="23"/>
      <c r="J598" s="42"/>
      <c r="K598" s="42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42"/>
      <c r="X598" s="21"/>
      <c r="Y598" s="22"/>
      <c r="Z598" s="23"/>
      <c r="AA598" s="24"/>
      <c r="AB598" s="44"/>
    </row>
    <row r="599" spans="1:28" x14ac:dyDescent="0.35">
      <c r="A599" s="23"/>
      <c r="B599" s="26"/>
      <c r="C599" s="23"/>
      <c r="D599" s="23"/>
      <c r="E599" s="23"/>
      <c r="F599" s="23"/>
      <c r="G599" s="23"/>
      <c r="H599" s="23"/>
      <c r="I599" s="23"/>
      <c r="J599" s="42"/>
      <c r="K599" s="42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42"/>
      <c r="X599" s="21"/>
      <c r="Y599" s="22"/>
      <c r="Z599" s="23"/>
      <c r="AA599" s="24"/>
      <c r="AB599" s="44"/>
    </row>
    <row r="600" spans="1:28" x14ac:dyDescent="0.35">
      <c r="A600" s="23"/>
      <c r="B600" s="26"/>
      <c r="C600" s="23"/>
      <c r="D600" s="23"/>
      <c r="E600" s="23"/>
      <c r="F600" s="23"/>
      <c r="G600" s="23"/>
      <c r="H600" s="23"/>
      <c r="I600" s="23"/>
      <c r="J600" s="42"/>
      <c r="K600" s="42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42"/>
      <c r="X600" s="21"/>
      <c r="Y600" s="22"/>
      <c r="Z600" s="23"/>
      <c r="AA600" s="24"/>
      <c r="AB600" s="44"/>
    </row>
    <row r="601" spans="1:28" x14ac:dyDescent="0.35">
      <c r="A601" s="23"/>
      <c r="B601" s="26"/>
      <c r="C601" s="23"/>
      <c r="D601" s="23"/>
      <c r="E601" s="23"/>
      <c r="F601" s="23"/>
      <c r="G601" s="23"/>
      <c r="H601" s="23"/>
      <c r="I601" s="23"/>
      <c r="J601" s="42"/>
      <c r="K601" s="42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42"/>
      <c r="X601" s="21"/>
      <c r="Y601" s="22"/>
      <c r="Z601" s="23"/>
      <c r="AA601" s="24"/>
      <c r="AB601" s="44"/>
    </row>
    <row r="602" spans="1:28" x14ac:dyDescent="0.35">
      <c r="A602" s="23"/>
      <c r="B602" s="26"/>
      <c r="C602" s="23"/>
      <c r="D602" s="23"/>
      <c r="E602" s="23"/>
      <c r="F602" s="23"/>
      <c r="G602" s="23"/>
      <c r="H602" s="23"/>
      <c r="I602" s="23"/>
      <c r="J602" s="42"/>
      <c r="K602" s="42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42"/>
      <c r="X602" s="21"/>
      <c r="Y602" s="22"/>
      <c r="Z602" s="23"/>
      <c r="AA602" s="24"/>
      <c r="AB602" s="44"/>
    </row>
    <row r="603" spans="1:28" x14ac:dyDescent="0.35">
      <c r="A603" s="23"/>
      <c r="B603" s="26"/>
      <c r="C603" s="23"/>
      <c r="D603" s="23"/>
      <c r="E603" s="23"/>
      <c r="F603" s="23"/>
      <c r="G603" s="23"/>
      <c r="H603" s="23"/>
      <c r="I603" s="23"/>
      <c r="J603" s="42"/>
      <c r="K603" s="42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42"/>
      <c r="X603" s="21"/>
      <c r="Y603" s="22"/>
      <c r="Z603" s="23"/>
      <c r="AA603" s="24"/>
      <c r="AB603" s="44"/>
    </row>
    <row r="604" spans="1:28" x14ac:dyDescent="0.35">
      <c r="A604" s="23"/>
      <c r="B604" s="26"/>
      <c r="C604" s="23"/>
      <c r="D604" s="23"/>
      <c r="E604" s="23"/>
      <c r="F604" s="23"/>
      <c r="G604" s="23"/>
      <c r="H604" s="23"/>
      <c r="I604" s="23"/>
      <c r="J604" s="42"/>
      <c r="K604" s="42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42"/>
      <c r="X604" s="21"/>
      <c r="Y604" s="22"/>
      <c r="Z604" s="23"/>
      <c r="AA604" s="24"/>
      <c r="AB604" s="44"/>
    </row>
    <row r="605" spans="1:28" x14ac:dyDescent="0.35">
      <c r="A605" s="23"/>
      <c r="B605" s="26"/>
      <c r="C605" s="23"/>
      <c r="D605" s="23"/>
      <c r="E605" s="23"/>
      <c r="F605" s="23"/>
      <c r="G605" s="23"/>
      <c r="H605" s="23"/>
      <c r="I605" s="23"/>
      <c r="J605" s="42"/>
      <c r="K605" s="42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42"/>
      <c r="X605" s="21"/>
      <c r="Y605" s="22"/>
      <c r="Z605" s="23"/>
      <c r="AA605" s="24"/>
      <c r="AB605" s="44"/>
    </row>
    <row r="606" spans="1:28" x14ac:dyDescent="0.35">
      <c r="A606" s="23"/>
      <c r="B606" s="26"/>
      <c r="C606" s="23"/>
      <c r="D606" s="23"/>
      <c r="E606" s="23"/>
      <c r="F606" s="23"/>
      <c r="G606" s="23"/>
      <c r="H606" s="23"/>
      <c r="I606" s="23"/>
      <c r="J606" s="42"/>
      <c r="K606" s="42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42"/>
      <c r="X606" s="21"/>
      <c r="Y606" s="22"/>
      <c r="Z606" s="23"/>
      <c r="AA606" s="24"/>
      <c r="AB606" s="44"/>
    </row>
    <row r="607" spans="1:28" x14ac:dyDescent="0.35">
      <c r="A607" s="23"/>
      <c r="B607" s="26"/>
      <c r="C607" s="23"/>
      <c r="D607" s="23"/>
      <c r="E607" s="23"/>
      <c r="F607" s="23"/>
      <c r="G607" s="23"/>
      <c r="H607" s="23"/>
      <c r="I607" s="23"/>
      <c r="J607" s="42"/>
      <c r="K607" s="42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42"/>
      <c r="X607" s="21"/>
      <c r="Y607" s="22"/>
      <c r="Z607" s="23"/>
      <c r="AA607" s="24"/>
      <c r="AB607" s="44"/>
    </row>
    <row r="608" spans="1:28" x14ac:dyDescent="0.35">
      <c r="A608" s="23"/>
      <c r="B608" s="26"/>
      <c r="C608" s="23"/>
      <c r="D608" s="23"/>
      <c r="E608" s="23"/>
      <c r="F608" s="23"/>
      <c r="G608" s="23"/>
      <c r="H608" s="23"/>
      <c r="I608" s="23"/>
      <c r="J608" s="42"/>
      <c r="K608" s="42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42"/>
      <c r="X608" s="21"/>
      <c r="Y608" s="22"/>
      <c r="Z608" s="23"/>
      <c r="AA608" s="24"/>
      <c r="AB608" s="44"/>
    </row>
    <row r="609" spans="1:28" x14ac:dyDescent="0.35">
      <c r="A609" s="23"/>
      <c r="B609" s="26"/>
      <c r="C609" s="23"/>
      <c r="D609" s="23"/>
      <c r="E609" s="23"/>
      <c r="F609" s="23"/>
      <c r="G609" s="23"/>
      <c r="H609" s="23"/>
      <c r="I609" s="23"/>
      <c r="J609" s="42"/>
      <c r="K609" s="42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42"/>
      <c r="X609" s="21"/>
      <c r="Y609" s="22"/>
      <c r="Z609" s="23"/>
      <c r="AA609" s="24"/>
      <c r="AB609" s="44"/>
    </row>
    <row r="610" spans="1:28" x14ac:dyDescent="0.35">
      <c r="A610" s="23"/>
      <c r="B610" s="26"/>
      <c r="C610" s="23"/>
      <c r="D610" s="23"/>
      <c r="E610" s="23"/>
      <c r="F610" s="23"/>
      <c r="G610" s="23"/>
      <c r="H610" s="23"/>
      <c r="I610" s="23"/>
      <c r="J610" s="42"/>
      <c r="K610" s="42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42"/>
      <c r="X610" s="21"/>
      <c r="Y610" s="22"/>
      <c r="Z610" s="23"/>
      <c r="AA610" s="24"/>
      <c r="AB610" s="44"/>
    </row>
    <row r="611" spans="1:28" x14ac:dyDescent="0.35">
      <c r="A611" s="23"/>
      <c r="B611" s="26"/>
      <c r="C611" s="23"/>
      <c r="D611" s="23"/>
      <c r="E611" s="23"/>
      <c r="F611" s="23"/>
      <c r="G611" s="23"/>
      <c r="H611" s="23"/>
      <c r="I611" s="23"/>
      <c r="J611" s="42"/>
      <c r="K611" s="42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42"/>
      <c r="X611" s="21"/>
      <c r="Y611" s="22"/>
      <c r="Z611" s="23"/>
      <c r="AA611" s="24"/>
      <c r="AB611" s="44"/>
    </row>
    <row r="612" spans="1:28" x14ac:dyDescent="0.35">
      <c r="A612" s="23"/>
      <c r="B612" s="26"/>
      <c r="C612" s="23"/>
      <c r="D612" s="23"/>
      <c r="E612" s="23"/>
      <c r="F612" s="23"/>
      <c r="G612" s="23"/>
      <c r="H612" s="23"/>
      <c r="I612" s="23"/>
      <c r="J612" s="42"/>
      <c r="K612" s="42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42"/>
      <c r="X612" s="21"/>
      <c r="Y612" s="22"/>
      <c r="Z612" s="23"/>
      <c r="AA612" s="24"/>
      <c r="AB612" s="44"/>
    </row>
    <row r="613" spans="1:28" x14ac:dyDescent="0.35">
      <c r="A613" s="23"/>
      <c r="B613" s="26"/>
      <c r="C613" s="23"/>
      <c r="D613" s="23"/>
      <c r="E613" s="23"/>
      <c r="F613" s="23"/>
      <c r="G613" s="23"/>
      <c r="H613" s="23"/>
      <c r="I613" s="23"/>
      <c r="J613" s="42"/>
      <c r="K613" s="42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42"/>
      <c r="X613" s="21"/>
      <c r="Y613" s="22"/>
      <c r="Z613" s="23"/>
      <c r="AA613" s="24"/>
      <c r="AB613" s="44"/>
    </row>
    <row r="614" spans="1:28" x14ac:dyDescent="0.35">
      <c r="A614" s="23"/>
      <c r="B614" s="26"/>
      <c r="C614" s="23"/>
      <c r="D614" s="23"/>
      <c r="E614" s="23"/>
      <c r="F614" s="23"/>
      <c r="G614" s="23"/>
      <c r="H614" s="23"/>
      <c r="I614" s="23"/>
      <c r="J614" s="42"/>
      <c r="K614" s="42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42"/>
      <c r="X614" s="21"/>
      <c r="Y614" s="22"/>
      <c r="Z614" s="23"/>
      <c r="AA614" s="24"/>
      <c r="AB614" s="44"/>
    </row>
    <row r="615" spans="1:28" x14ac:dyDescent="0.35">
      <c r="A615" s="23"/>
      <c r="B615" s="26"/>
      <c r="C615" s="23"/>
      <c r="D615" s="23"/>
      <c r="E615" s="23"/>
      <c r="F615" s="23"/>
      <c r="G615" s="23"/>
      <c r="H615" s="23"/>
      <c r="I615" s="23"/>
      <c r="J615" s="42"/>
      <c r="K615" s="42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42"/>
      <c r="X615" s="21"/>
      <c r="Y615" s="22"/>
      <c r="Z615" s="23"/>
      <c r="AA615" s="24"/>
      <c r="AB615" s="44"/>
    </row>
    <row r="616" spans="1:28" x14ac:dyDescent="0.35">
      <c r="A616" s="23"/>
      <c r="B616" s="26"/>
      <c r="C616" s="23"/>
      <c r="D616" s="23"/>
      <c r="E616" s="23"/>
      <c r="F616" s="23"/>
      <c r="G616" s="23"/>
      <c r="H616" s="23"/>
      <c r="I616" s="23"/>
      <c r="J616" s="42"/>
      <c r="K616" s="42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42"/>
      <c r="X616" s="21"/>
      <c r="Y616" s="22"/>
      <c r="Z616" s="23"/>
      <c r="AA616" s="24"/>
      <c r="AB616" s="44"/>
    </row>
    <row r="617" spans="1:28" x14ac:dyDescent="0.35">
      <c r="A617" s="23"/>
      <c r="B617" s="26"/>
      <c r="C617" s="23"/>
      <c r="D617" s="23"/>
      <c r="E617" s="23"/>
      <c r="F617" s="23"/>
      <c r="G617" s="23"/>
      <c r="H617" s="23"/>
      <c r="I617" s="23"/>
      <c r="J617" s="42"/>
      <c r="K617" s="42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42"/>
      <c r="X617" s="21"/>
      <c r="Y617" s="22"/>
      <c r="Z617" s="23"/>
      <c r="AA617" s="24"/>
      <c r="AB617" s="44"/>
    </row>
    <row r="618" spans="1:28" x14ac:dyDescent="0.35">
      <c r="A618" s="23"/>
      <c r="B618" s="26"/>
      <c r="C618" s="23"/>
      <c r="D618" s="23"/>
      <c r="E618" s="23"/>
      <c r="F618" s="23"/>
      <c r="G618" s="23"/>
      <c r="H618" s="23"/>
      <c r="I618" s="23"/>
      <c r="J618" s="42"/>
      <c r="K618" s="42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42"/>
      <c r="X618" s="21"/>
      <c r="Y618" s="22"/>
      <c r="Z618" s="23"/>
      <c r="AA618" s="24"/>
      <c r="AB618" s="44"/>
    </row>
    <row r="619" spans="1:28" x14ac:dyDescent="0.35">
      <c r="A619" s="23"/>
      <c r="B619" s="26"/>
      <c r="C619" s="23"/>
      <c r="D619" s="23"/>
      <c r="E619" s="23"/>
      <c r="F619" s="23"/>
      <c r="G619" s="23"/>
      <c r="H619" s="23"/>
      <c r="I619" s="23"/>
      <c r="J619" s="42"/>
      <c r="K619" s="42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42"/>
      <c r="X619" s="21"/>
      <c r="Y619" s="22"/>
      <c r="Z619" s="23"/>
      <c r="AA619" s="24"/>
      <c r="AB619" s="44"/>
    </row>
    <row r="620" spans="1:28" x14ac:dyDescent="0.35">
      <c r="A620" s="23"/>
      <c r="B620" s="26"/>
      <c r="C620" s="23"/>
      <c r="D620" s="23"/>
      <c r="E620" s="23"/>
      <c r="F620" s="23"/>
      <c r="G620" s="23"/>
      <c r="H620" s="23"/>
      <c r="I620" s="23"/>
      <c r="J620" s="42"/>
      <c r="K620" s="42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42"/>
      <c r="X620" s="21"/>
      <c r="Y620" s="22"/>
      <c r="Z620" s="23"/>
      <c r="AA620" s="24"/>
      <c r="AB620" s="44"/>
    </row>
    <row r="621" spans="1:28" x14ac:dyDescent="0.35">
      <c r="A621" s="23"/>
      <c r="B621" s="26"/>
      <c r="C621" s="23"/>
      <c r="D621" s="23"/>
      <c r="E621" s="23"/>
      <c r="F621" s="23"/>
      <c r="G621" s="23"/>
      <c r="H621" s="23"/>
      <c r="I621" s="23"/>
      <c r="J621" s="42"/>
      <c r="K621" s="42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42"/>
      <c r="X621" s="21"/>
      <c r="Y621" s="22"/>
      <c r="Z621" s="23"/>
      <c r="AA621" s="24"/>
      <c r="AB621" s="44"/>
    </row>
    <row r="622" spans="1:28" x14ac:dyDescent="0.35">
      <c r="A622" s="23"/>
      <c r="B622" s="26"/>
      <c r="C622" s="23"/>
      <c r="D622" s="23"/>
      <c r="E622" s="23"/>
      <c r="F622" s="23"/>
      <c r="G622" s="23"/>
      <c r="H622" s="23"/>
      <c r="I622" s="23"/>
      <c r="J622" s="42"/>
      <c r="K622" s="42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42"/>
      <c r="X622" s="21"/>
      <c r="Y622" s="22"/>
      <c r="Z622" s="23"/>
      <c r="AA622" s="24"/>
      <c r="AB622" s="44"/>
    </row>
    <row r="623" spans="1:28" x14ac:dyDescent="0.35">
      <c r="A623" s="23"/>
      <c r="B623" s="26"/>
      <c r="C623" s="23"/>
      <c r="D623" s="23"/>
      <c r="E623" s="23"/>
      <c r="F623" s="23"/>
      <c r="G623" s="23"/>
      <c r="H623" s="23"/>
      <c r="I623" s="23"/>
      <c r="J623" s="42"/>
      <c r="K623" s="42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42"/>
      <c r="X623" s="21"/>
      <c r="Y623" s="22"/>
      <c r="Z623" s="23"/>
      <c r="AA623" s="24"/>
      <c r="AB623" s="44"/>
    </row>
    <row r="624" spans="1:28" x14ac:dyDescent="0.35">
      <c r="A624" s="23"/>
      <c r="B624" s="26"/>
      <c r="C624" s="23"/>
      <c r="D624" s="23"/>
      <c r="E624" s="23"/>
      <c r="F624" s="23"/>
      <c r="G624" s="23"/>
      <c r="H624" s="23"/>
      <c r="I624" s="23"/>
      <c r="J624" s="42"/>
      <c r="K624" s="42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42"/>
      <c r="X624" s="21"/>
      <c r="Y624" s="22"/>
      <c r="Z624" s="23"/>
      <c r="AA624" s="24"/>
      <c r="AB624" s="44"/>
    </row>
    <row r="625" spans="1:28" x14ac:dyDescent="0.35">
      <c r="A625" s="23"/>
      <c r="B625" s="26"/>
      <c r="C625" s="23"/>
      <c r="D625" s="23"/>
      <c r="E625" s="23"/>
      <c r="F625" s="23"/>
      <c r="G625" s="23"/>
      <c r="H625" s="23"/>
      <c r="I625" s="23"/>
      <c r="J625" s="42"/>
      <c r="K625" s="42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42"/>
      <c r="X625" s="21"/>
      <c r="Y625" s="22"/>
      <c r="Z625" s="23"/>
      <c r="AA625" s="24"/>
      <c r="AB625" s="44"/>
    </row>
    <row r="626" spans="1:28" x14ac:dyDescent="0.35">
      <c r="A626" s="23"/>
      <c r="B626" s="26"/>
      <c r="C626" s="23"/>
      <c r="D626" s="23"/>
      <c r="E626" s="23"/>
      <c r="F626" s="23"/>
      <c r="G626" s="23"/>
      <c r="H626" s="23"/>
      <c r="I626" s="23"/>
      <c r="J626" s="42"/>
      <c r="K626" s="42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42"/>
      <c r="X626" s="21"/>
      <c r="Y626" s="22"/>
      <c r="Z626" s="23"/>
      <c r="AA626" s="24"/>
      <c r="AB626" s="44"/>
    </row>
    <row r="627" spans="1:28" x14ac:dyDescent="0.35">
      <c r="A627" s="23"/>
      <c r="B627" s="26"/>
      <c r="C627" s="23"/>
      <c r="D627" s="23"/>
      <c r="E627" s="23"/>
      <c r="F627" s="23"/>
      <c r="G627" s="23"/>
      <c r="H627" s="23"/>
      <c r="I627" s="23"/>
      <c r="J627" s="42"/>
      <c r="K627" s="42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42"/>
      <c r="X627" s="21"/>
      <c r="Y627" s="22"/>
      <c r="Z627" s="23"/>
      <c r="AA627" s="24"/>
      <c r="AB627" s="44"/>
    </row>
    <row r="628" spans="1:28" x14ac:dyDescent="0.35">
      <c r="A628" s="23"/>
      <c r="B628" s="26"/>
      <c r="C628" s="23"/>
      <c r="D628" s="23"/>
      <c r="E628" s="23"/>
      <c r="F628" s="23"/>
      <c r="G628" s="23"/>
      <c r="H628" s="23"/>
      <c r="I628" s="23"/>
      <c r="J628" s="42"/>
      <c r="K628" s="42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42"/>
      <c r="X628" s="21"/>
      <c r="Y628" s="22"/>
      <c r="Z628" s="23"/>
      <c r="AA628" s="24"/>
      <c r="AB628" s="44"/>
    </row>
    <row r="629" spans="1:28" x14ac:dyDescent="0.35">
      <c r="A629" s="23"/>
      <c r="B629" s="26"/>
      <c r="C629" s="23"/>
      <c r="D629" s="23"/>
      <c r="E629" s="23"/>
      <c r="F629" s="23"/>
      <c r="G629" s="23"/>
      <c r="H629" s="23"/>
      <c r="I629" s="23"/>
      <c r="J629" s="42"/>
      <c r="K629" s="42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42"/>
      <c r="X629" s="21"/>
      <c r="Y629" s="22"/>
      <c r="Z629" s="23"/>
      <c r="AA629" s="24"/>
      <c r="AB629" s="44"/>
    </row>
    <row r="630" spans="1:28" x14ac:dyDescent="0.35">
      <c r="A630" s="23"/>
      <c r="B630" s="26"/>
      <c r="C630" s="23"/>
      <c r="D630" s="23"/>
      <c r="E630" s="23"/>
      <c r="F630" s="23"/>
      <c r="G630" s="23"/>
      <c r="H630" s="23"/>
      <c r="I630" s="23"/>
      <c r="J630" s="42"/>
      <c r="K630" s="42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42"/>
      <c r="X630" s="21"/>
      <c r="Y630" s="22"/>
      <c r="Z630" s="23"/>
      <c r="AA630" s="24"/>
      <c r="AB630" s="44"/>
    </row>
    <row r="631" spans="1:28" x14ac:dyDescent="0.35">
      <c r="A631" s="23"/>
      <c r="B631" s="26"/>
      <c r="C631" s="23"/>
      <c r="D631" s="23"/>
      <c r="E631" s="23"/>
      <c r="F631" s="23"/>
      <c r="G631" s="23"/>
      <c r="H631" s="23"/>
      <c r="I631" s="23"/>
      <c r="J631" s="42"/>
      <c r="K631" s="42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42"/>
      <c r="X631" s="21"/>
      <c r="Y631" s="22"/>
      <c r="Z631" s="23"/>
      <c r="AA631" s="24"/>
      <c r="AB631" s="44"/>
    </row>
    <row r="632" spans="1:28" x14ac:dyDescent="0.35">
      <c r="A632" s="23"/>
      <c r="B632" s="26"/>
      <c r="C632" s="23"/>
      <c r="D632" s="23"/>
      <c r="E632" s="23"/>
      <c r="F632" s="23"/>
      <c r="G632" s="23"/>
      <c r="H632" s="23"/>
      <c r="I632" s="23"/>
      <c r="J632" s="42"/>
      <c r="K632" s="42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42"/>
      <c r="X632" s="21"/>
      <c r="Y632" s="22"/>
      <c r="Z632" s="23"/>
      <c r="AA632" s="24"/>
      <c r="AB632" s="44"/>
    </row>
    <row r="633" spans="1:28" x14ac:dyDescent="0.35">
      <c r="A633" s="23"/>
      <c r="B633" s="26"/>
      <c r="C633" s="23"/>
      <c r="D633" s="23"/>
      <c r="E633" s="23"/>
      <c r="F633" s="23"/>
      <c r="G633" s="23"/>
      <c r="H633" s="23"/>
      <c r="I633" s="23"/>
      <c r="J633" s="42"/>
      <c r="K633" s="42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42"/>
      <c r="X633" s="21"/>
      <c r="Y633" s="22"/>
      <c r="Z633" s="23"/>
      <c r="AA633" s="24"/>
      <c r="AB633" s="44"/>
    </row>
    <row r="634" spans="1:28" x14ac:dyDescent="0.35">
      <c r="A634" s="23"/>
      <c r="B634" s="26"/>
      <c r="C634" s="23"/>
      <c r="D634" s="23"/>
      <c r="E634" s="23"/>
      <c r="F634" s="23"/>
      <c r="G634" s="23"/>
      <c r="H634" s="23"/>
      <c r="I634" s="23"/>
      <c r="J634" s="42"/>
      <c r="K634" s="42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42"/>
      <c r="X634" s="21"/>
      <c r="Y634" s="22"/>
      <c r="Z634" s="23"/>
      <c r="AA634" s="24"/>
      <c r="AB634" s="44"/>
    </row>
    <row r="635" spans="1:28" x14ac:dyDescent="0.35">
      <c r="A635" s="23"/>
      <c r="B635" s="26"/>
      <c r="C635" s="23"/>
      <c r="D635" s="23"/>
      <c r="E635" s="23"/>
      <c r="F635" s="23"/>
      <c r="G635" s="23"/>
      <c r="H635" s="23"/>
      <c r="I635" s="23"/>
      <c r="J635" s="42"/>
      <c r="K635" s="42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42"/>
      <c r="X635" s="21"/>
      <c r="Y635" s="22"/>
      <c r="Z635" s="23"/>
      <c r="AA635" s="24"/>
      <c r="AB635" s="44"/>
    </row>
    <row r="636" spans="1:28" x14ac:dyDescent="0.35">
      <c r="A636" s="23"/>
      <c r="B636" s="26"/>
      <c r="C636" s="23"/>
      <c r="D636" s="23"/>
      <c r="E636" s="23"/>
      <c r="F636" s="23"/>
      <c r="G636" s="23"/>
      <c r="H636" s="23"/>
      <c r="I636" s="23"/>
      <c r="J636" s="42"/>
      <c r="K636" s="42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42"/>
      <c r="X636" s="21"/>
      <c r="Y636" s="22"/>
      <c r="Z636" s="23"/>
      <c r="AA636" s="24"/>
      <c r="AB636" s="44"/>
    </row>
    <row r="637" spans="1:28" x14ac:dyDescent="0.35">
      <c r="A637" s="23"/>
      <c r="B637" s="26"/>
      <c r="C637" s="23"/>
      <c r="D637" s="23"/>
      <c r="E637" s="23"/>
      <c r="F637" s="23"/>
      <c r="G637" s="23"/>
      <c r="H637" s="23"/>
      <c r="I637" s="23"/>
      <c r="J637" s="42"/>
      <c r="K637" s="42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42"/>
      <c r="X637" s="21"/>
      <c r="Y637" s="22"/>
      <c r="Z637" s="23"/>
      <c r="AA637" s="24"/>
      <c r="AB637" s="44"/>
    </row>
    <row r="638" spans="1:28" x14ac:dyDescent="0.35">
      <c r="A638" s="23"/>
      <c r="B638" s="26"/>
      <c r="C638" s="23"/>
      <c r="D638" s="23"/>
      <c r="E638" s="23"/>
      <c r="F638" s="23"/>
      <c r="G638" s="23"/>
      <c r="H638" s="23"/>
      <c r="I638" s="23"/>
      <c r="J638" s="42"/>
      <c r="K638" s="42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42"/>
      <c r="X638" s="21"/>
      <c r="Y638" s="22"/>
      <c r="Z638" s="23"/>
      <c r="AA638" s="24"/>
      <c r="AB638" s="44"/>
    </row>
    <row r="639" spans="1:28" x14ac:dyDescent="0.35">
      <c r="A639" s="23"/>
      <c r="B639" s="26"/>
      <c r="C639" s="23"/>
      <c r="D639" s="23"/>
      <c r="E639" s="23"/>
      <c r="F639" s="23"/>
      <c r="G639" s="23"/>
      <c r="H639" s="23"/>
      <c r="I639" s="23"/>
      <c r="J639" s="42"/>
      <c r="K639" s="42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42"/>
      <c r="X639" s="21"/>
      <c r="Y639" s="22"/>
      <c r="Z639" s="23"/>
      <c r="AA639" s="24"/>
      <c r="AB639" s="44"/>
    </row>
    <row r="640" spans="1:28" x14ac:dyDescent="0.35">
      <c r="A640" s="23"/>
      <c r="B640" s="26"/>
      <c r="C640" s="23"/>
      <c r="D640" s="23"/>
      <c r="E640" s="23"/>
      <c r="F640" s="23"/>
      <c r="G640" s="23"/>
      <c r="H640" s="23"/>
      <c r="I640" s="23"/>
      <c r="J640" s="42"/>
      <c r="K640" s="42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42"/>
      <c r="X640" s="21"/>
      <c r="Y640" s="22"/>
      <c r="Z640" s="23"/>
      <c r="AA640" s="24"/>
      <c r="AB640" s="44"/>
    </row>
    <row r="641" spans="1:28" x14ac:dyDescent="0.35">
      <c r="A641" s="23"/>
      <c r="B641" s="26"/>
      <c r="C641" s="23"/>
      <c r="D641" s="23"/>
      <c r="E641" s="23"/>
      <c r="F641" s="23"/>
      <c r="G641" s="23"/>
      <c r="H641" s="23"/>
      <c r="I641" s="23"/>
      <c r="J641" s="42"/>
      <c r="K641" s="42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42"/>
      <c r="X641" s="21"/>
      <c r="Y641" s="22"/>
      <c r="Z641" s="23"/>
      <c r="AA641" s="24"/>
      <c r="AB641" s="44"/>
    </row>
    <row r="642" spans="1:28" x14ac:dyDescent="0.35">
      <c r="A642" s="23"/>
      <c r="B642" s="26"/>
      <c r="C642" s="23"/>
      <c r="D642" s="23"/>
      <c r="E642" s="23"/>
      <c r="F642" s="23"/>
      <c r="G642" s="23"/>
      <c r="H642" s="23"/>
      <c r="I642" s="23"/>
      <c r="J642" s="42"/>
      <c r="K642" s="42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42"/>
      <c r="X642" s="21"/>
      <c r="Y642" s="22"/>
      <c r="Z642" s="23"/>
      <c r="AA642" s="24"/>
      <c r="AB642" s="44"/>
    </row>
    <row r="643" spans="1:28" x14ac:dyDescent="0.35">
      <c r="A643" s="23"/>
      <c r="B643" s="26"/>
      <c r="C643" s="23"/>
      <c r="D643" s="23"/>
      <c r="E643" s="23"/>
      <c r="F643" s="23"/>
      <c r="G643" s="23"/>
      <c r="H643" s="23"/>
      <c r="I643" s="23"/>
      <c r="J643" s="42"/>
      <c r="K643" s="42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42"/>
      <c r="X643" s="21"/>
      <c r="Y643" s="22"/>
      <c r="Z643" s="23"/>
      <c r="AA643" s="24"/>
      <c r="AB643" s="44"/>
    </row>
    <row r="644" spans="1:28" x14ac:dyDescent="0.35">
      <c r="A644" s="23"/>
      <c r="B644" s="26"/>
      <c r="C644" s="23"/>
      <c r="D644" s="23"/>
      <c r="E644" s="23"/>
      <c r="F644" s="23"/>
      <c r="G644" s="23"/>
      <c r="H644" s="23"/>
      <c r="I644" s="23"/>
      <c r="J644" s="42"/>
      <c r="K644" s="42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42"/>
      <c r="X644" s="21"/>
      <c r="Y644" s="22"/>
      <c r="Z644" s="23"/>
      <c r="AA644" s="24"/>
      <c r="AB644" s="44"/>
    </row>
    <row r="645" spans="1:28" x14ac:dyDescent="0.35">
      <c r="A645" s="23"/>
      <c r="B645" s="26"/>
      <c r="C645" s="23"/>
      <c r="D645" s="23"/>
      <c r="E645" s="23"/>
      <c r="F645" s="23"/>
      <c r="G645" s="23"/>
      <c r="H645" s="23"/>
      <c r="I645" s="23"/>
      <c r="J645" s="42"/>
      <c r="K645" s="42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42"/>
      <c r="X645" s="21"/>
      <c r="Y645" s="22"/>
      <c r="Z645" s="23"/>
      <c r="AA645" s="24"/>
      <c r="AB645" s="44"/>
    </row>
    <row r="646" spans="1:28" x14ac:dyDescent="0.35">
      <c r="A646" s="23"/>
      <c r="B646" s="26"/>
      <c r="C646" s="23"/>
      <c r="D646" s="23"/>
      <c r="E646" s="23"/>
      <c r="F646" s="23"/>
      <c r="G646" s="23"/>
      <c r="H646" s="23"/>
      <c r="I646" s="23"/>
      <c r="J646" s="42"/>
      <c r="K646" s="42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42"/>
      <c r="X646" s="21"/>
      <c r="Y646" s="22"/>
      <c r="Z646" s="23"/>
      <c r="AA646" s="24"/>
      <c r="AB646" s="44"/>
    </row>
    <row r="647" spans="1:28" x14ac:dyDescent="0.35">
      <c r="A647" s="23"/>
      <c r="B647" s="26"/>
      <c r="C647" s="23"/>
      <c r="D647" s="23"/>
      <c r="E647" s="23"/>
      <c r="F647" s="23"/>
      <c r="G647" s="23"/>
      <c r="H647" s="23"/>
      <c r="I647" s="23"/>
      <c r="J647" s="42"/>
      <c r="K647" s="42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42"/>
      <c r="X647" s="21"/>
      <c r="Y647" s="22"/>
      <c r="Z647" s="23"/>
      <c r="AA647" s="24"/>
      <c r="AB647" s="44"/>
    </row>
    <row r="648" spans="1:28" x14ac:dyDescent="0.35">
      <c r="A648" s="23"/>
      <c r="B648" s="26"/>
      <c r="C648" s="23"/>
      <c r="D648" s="23"/>
      <c r="E648" s="23"/>
      <c r="F648" s="23"/>
      <c r="G648" s="23"/>
      <c r="H648" s="23"/>
      <c r="I648" s="23"/>
      <c r="J648" s="42"/>
      <c r="K648" s="42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42"/>
      <c r="X648" s="21"/>
      <c r="Y648" s="22"/>
      <c r="Z648" s="23"/>
      <c r="AA648" s="24"/>
      <c r="AB648" s="44"/>
    </row>
    <row r="649" spans="1:28" x14ac:dyDescent="0.35">
      <c r="A649" s="23"/>
      <c r="B649" s="26"/>
      <c r="C649" s="23"/>
      <c r="D649" s="23"/>
      <c r="E649" s="23"/>
      <c r="F649" s="23"/>
      <c r="G649" s="23"/>
      <c r="H649" s="23"/>
      <c r="I649" s="23"/>
      <c r="J649" s="42"/>
      <c r="K649" s="42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42"/>
      <c r="X649" s="21"/>
      <c r="Y649" s="22"/>
      <c r="Z649" s="23"/>
      <c r="AA649" s="24"/>
      <c r="AB649" s="44"/>
    </row>
    <row r="650" spans="1:28" x14ac:dyDescent="0.35">
      <c r="A650" s="23"/>
      <c r="B650" s="26"/>
      <c r="C650" s="23"/>
      <c r="D650" s="23"/>
      <c r="E650" s="23"/>
      <c r="F650" s="23"/>
      <c r="G650" s="23"/>
      <c r="H650" s="23"/>
      <c r="I650" s="23"/>
      <c r="J650" s="42"/>
      <c r="K650" s="42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42"/>
      <c r="X650" s="21"/>
      <c r="Y650" s="22"/>
      <c r="Z650" s="23"/>
      <c r="AA650" s="24"/>
      <c r="AB650" s="44"/>
    </row>
    <row r="651" spans="1:28" x14ac:dyDescent="0.35">
      <c r="A651" s="23"/>
      <c r="B651" s="26"/>
      <c r="C651" s="23"/>
      <c r="D651" s="23"/>
      <c r="E651" s="23"/>
      <c r="F651" s="23"/>
      <c r="G651" s="23"/>
      <c r="H651" s="23"/>
      <c r="I651" s="23"/>
      <c r="J651" s="42"/>
      <c r="K651" s="42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42"/>
      <c r="X651" s="21"/>
      <c r="Y651" s="22"/>
      <c r="Z651" s="23"/>
      <c r="AA651" s="24"/>
      <c r="AB651" s="44"/>
    </row>
    <row r="652" spans="1:28" x14ac:dyDescent="0.35">
      <c r="A652" s="23"/>
      <c r="B652" s="26"/>
      <c r="C652" s="23"/>
      <c r="D652" s="23"/>
      <c r="E652" s="23"/>
      <c r="F652" s="23"/>
      <c r="G652" s="23"/>
      <c r="H652" s="23"/>
      <c r="I652" s="23"/>
      <c r="J652" s="42"/>
      <c r="K652" s="42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42"/>
      <c r="X652" s="21"/>
      <c r="Y652" s="22"/>
      <c r="Z652" s="23"/>
      <c r="AA652" s="24"/>
      <c r="AB652" s="44"/>
    </row>
    <row r="653" spans="1:28" x14ac:dyDescent="0.35">
      <c r="A653" s="23"/>
      <c r="B653" s="26"/>
      <c r="C653" s="23"/>
      <c r="D653" s="23"/>
      <c r="E653" s="23"/>
      <c r="F653" s="23"/>
      <c r="G653" s="23"/>
      <c r="H653" s="23"/>
      <c r="I653" s="23"/>
      <c r="J653" s="42"/>
      <c r="K653" s="42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42"/>
      <c r="X653" s="21"/>
      <c r="Y653" s="22"/>
      <c r="Z653" s="23"/>
      <c r="AA653" s="24"/>
      <c r="AB653" s="44"/>
    </row>
    <row r="654" spans="1:28" x14ac:dyDescent="0.35">
      <c r="A654" s="23"/>
      <c r="B654" s="26"/>
      <c r="C654" s="23"/>
      <c r="D654" s="23"/>
      <c r="E654" s="23"/>
      <c r="F654" s="23"/>
      <c r="G654" s="23"/>
      <c r="H654" s="23"/>
      <c r="I654" s="23"/>
      <c r="J654" s="42"/>
      <c r="K654" s="42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42"/>
      <c r="X654" s="21"/>
      <c r="Y654" s="22"/>
      <c r="Z654" s="23"/>
      <c r="AA654" s="24"/>
      <c r="AB654" s="44"/>
    </row>
    <row r="655" spans="1:28" x14ac:dyDescent="0.35">
      <c r="A655" s="23"/>
      <c r="B655" s="26"/>
      <c r="C655" s="23"/>
      <c r="D655" s="23"/>
      <c r="E655" s="23"/>
      <c r="F655" s="23"/>
      <c r="G655" s="23"/>
      <c r="H655" s="23"/>
      <c r="I655" s="23"/>
      <c r="J655" s="42"/>
      <c r="K655" s="42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42"/>
      <c r="X655" s="21"/>
      <c r="Y655" s="22"/>
      <c r="Z655" s="23"/>
      <c r="AA655" s="24"/>
      <c r="AB655" s="44"/>
    </row>
    <row r="656" spans="1:28" x14ac:dyDescent="0.35">
      <c r="A656" s="23"/>
      <c r="B656" s="26"/>
      <c r="C656" s="23"/>
      <c r="D656" s="23"/>
      <c r="E656" s="23"/>
      <c r="F656" s="23"/>
      <c r="G656" s="23"/>
      <c r="H656" s="23"/>
      <c r="I656" s="23"/>
      <c r="J656" s="42"/>
      <c r="K656" s="42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42"/>
      <c r="X656" s="21"/>
      <c r="Y656" s="22"/>
      <c r="Z656" s="23"/>
      <c r="AA656" s="24"/>
      <c r="AB656" s="44"/>
    </row>
    <row r="657" spans="1:28" x14ac:dyDescent="0.35">
      <c r="A657" s="23"/>
      <c r="B657" s="26"/>
      <c r="C657" s="23"/>
      <c r="D657" s="23"/>
      <c r="E657" s="23"/>
      <c r="F657" s="23"/>
      <c r="G657" s="23"/>
      <c r="H657" s="23"/>
      <c r="I657" s="23"/>
      <c r="J657" s="42"/>
      <c r="K657" s="42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42"/>
      <c r="X657" s="21"/>
      <c r="Y657" s="22"/>
      <c r="Z657" s="23"/>
      <c r="AA657" s="24"/>
      <c r="AB657" s="44"/>
    </row>
    <row r="658" spans="1:28" x14ac:dyDescent="0.35">
      <c r="A658" s="23"/>
      <c r="B658" s="26"/>
      <c r="C658" s="23"/>
      <c r="D658" s="23"/>
      <c r="E658" s="23"/>
      <c r="F658" s="23"/>
      <c r="G658" s="23"/>
      <c r="H658" s="23"/>
      <c r="I658" s="23"/>
      <c r="J658" s="42"/>
      <c r="K658" s="42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42"/>
      <c r="X658" s="21"/>
      <c r="Y658" s="22"/>
      <c r="Z658" s="23"/>
      <c r="AA658" s="24"/>
      <c r="AB658" s="44"/>
    </row>
    <row r="659" spans="1:28" x14ac:dyDescent="0.35">
      <c r="A659" s="23"/>
      <c r="B659" s="26"/>
      <c r="C659" s="23"/>
      <c r="D659" s="23"/>
      <c r="E659" s="23"/>
      <c r="F659" s="23"/>
      <c r="G659" s="23"/>
      <c r="H659" s="23"/>
      <c r="I659" s="23"/>
      <c r="J659" s="42"/>
      <c r="K659" s="42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42"/>
      <c r="X659" s="21"/>
      <c r="Y659" s="22"/>
      <c r="Z659" s="23"/>
      <c r="AA659" s="24"/>
      <c r="AB659" s="44"/>
    </row>
    <row r="660" spans="1:28" x14ac:dyDescent="0.35">
      <c r="A660" s="23"/>
      <c r="B660" s="26"/>
      <c r="C660" s="23"/>
      <c r="D660" s="23"/>
      <c r="E660" s="23"/>
      <c r="F660" s="23"/>
      <c r="G660" s="23"/>
      <c r="H660" s="23"/>
      <c r="I660" s="23"/>
      <c r="J660" s="42"/>
      <c r="K660" s="42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42"/>
      <c r="X660" s="21"/>
      <c r="Y660" s="22"/>
      <c r="Z660" s="23"/>
      <c r="AA660" s="24"/>
      <c r="AB660" s="44"/>
    </row>
    <row r="661" spans="1:28" x14ac:dyDescent="0.35">
      <c r="A661" s="23"/>
      <c r="B661" s="26"/>
      <c r="C661" s="23"/>
      <c r="D661" s="23"/>
      <c r="E661" s="23"/>
      <c r="F661" s="23"/>
      <c r="G661" s="23"/>
      <c r="H661" s="23"/>
      <c r="I661" s="23"/>
      <c r="J661" s="42"/>
      <c r="K661" s="42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42"/>
      <c r="X661" s="21"/>
      <c r="Y661" s="22"/>
      <c r="Z661" s="23"/>
      <c r="AA661" s="24"/>
      <c r="AB661" s="44"/>
    </row>
    <row r="662" spans="1:28" x14ac:dyDescent="0.35">
      <c r="A662" s="23"/>
      <c r="B662" s="26"/>
      <c r="C662" s="23"/>
      <c r="D662" s="23"/>
      <c r="E662" s="23"/>
      <c r="F662" s="23"/>
      <c r="G662" s="23"/>
      <c r="H662" s="23"/>
      <c r="I662" s="23"/>
      <c r="J662" s="42"/>
      <c r="K662" s="42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42"/>
      <c r="X662" s="21"/>
      <c r="Y662" s="22"/>
      <c r="Z662" s="23"/>
      <c r="AA662" s="24"/>
      <c r="AB662" s="44"/>
    </row>
    <row r="663" spans="1:28" x14ac:dyDescent="0.35">
      <c r="A663" s="23"/>
      <c r="B663" s="26"/>
      <c r="C663" s="23"/>
      <c r="D663" s="23"/>
      <c r="E663" s="23"/>
      <c r="F663" s="23"/>
      <c r="G663" s="23"/>
      <c r="H663" s="23"/>
      <c r="I663" s="23"/>
      <c r="J663" s="42"/>
      <c r="K663" s="42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42"/>
      <c r="X663" s="21"/>
      <c r="Y663" s="22"/>
      <c r="Z663" s="23"/>
      <c r="AA663" s="24"/>
      <c r="AB663" s="44"/>
    </row>
    <row r="664" spans="1:28" x14ac:dyDescent="0.35">
      <c r="A664" s="23"/>
      <c r="B664" s="26"/>
      <c r="C664" s="23"/>
      <c r="D664" s="23"/>
      <c r="E664" s="23"/>
      <c r="F664" s="23"/>
      <c r="G664" s="23"/>
      <c r="H664" s="23"/>
      <c r="I664" s="23"/>
      <c r="J664" s="42"/>
      <c r="K664" s="42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42"/>
      <c r="X664" s="21"/>
      <c r="Y664" s="22"/>
      <c r="Z664" s="23"/>
      <c r="AA664" s="24"/>
      <c r="AB664" s="44"/>
    </row>
    <row r="665" spans="1:28" x14ac:dyDescent="0.35">
      <c r="A665" s="23"/>
      <c r="B665" s="26"/>
      <c r="C665" s="23"/>
      <c r="D665" s="23"/>
      <c r="E665" s="23"/>
      <c r="F665" s="23"/>
      <c r="G665" s="23"/>
      <c r="H665" s="23"/>
      <c r="I665" s="23"/>
      <c r="J665" s="42"/>
      <c r="K665" s="42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42"/>
      <c r="X665" s="21"/>
      <c r="Y665" s="22"/>
      <c r="Z665" s="23"/>
      <c r="AA665" s="24"/>
      <c r="AB665" s="44"/>
    </row>
    <row r="666" spans="1:28" x14ac:dyDescent="0.35">
      <c r="A666" s="23"/>
      <c r="B666" s="26"/>
      <c r="C666" s="23"/>
      <c r="D666" s="23"/>
      <c r="E666" s="23"/>
      <c r="F666" s="23"/>
      <c r="G666" s="23"/>
      <c r="H666" s="23"/>
      <c r="I666" s="23"/>
      <c r="J666" s="42"/>
      <c r="K666" s="42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42"/>
      <c r="X666" s="21"/>
      <c r="Y666" s="22"/>
      <c r="Z666" s="23"/>
      <c r="AA666" s="24"/>
      <c r="AB666" s="44"/>
    </row>
    <row r="667" spans="1:28" x14ac:dyDescent="0.35">
      <c r="A667" s="23"/>
      <c r="B667" s="26"/>
      <c r="C667" s="23"/>
      <c r="D667" s="23"/>
      <c r="E667" s="23"/>
      <c r="F667" s="23"/>
      <c r="G667" s="23"/>
      <c r="H667" s="23"/>
      <c r="I667" s="23"/>
      <c r="J667" s="42"/>
      <c r="K667" s="42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42"/>
      <c r="X667" s="21"/>
      <c r="Y667" s="22"/>
      <c r="Z667" s="23"/>
      <c r="AA667" s="24"/>
      <c r="AB667" s="44"/>
    </row>
    <row r="668" spans="1:28" x14ac:dyDescent="0.35">
      <c r="A668" s="23"/>
      <c r="B668" s="26"/>
      <c r="C668" s="23"/>
      <c r="D668" s="23"/>
      <c r="E668" s="23"/>
      <c r="F668" s="23"/>
      <c r="G668" s="23"/>
      <c r="H668" s="23"/>
      <c r="I668" s="23"/>
      <c r="J668" s="42"/>
      <c r="K668" s="42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42"/>
      <c r="X668" s="21"/>
      <c r="Y668" s="22"/>
      <c r="Z668" s="23"/>
      <c r="AA668" s="24"/>
      <c r="AB668" s="44"/>
    </row>
    <row r="669" spans="1:28" x14ac:dyDescent="0.35">
      <c r="A669" s="23"/>
      <c r="B669" s="26"/>
      <c r="C669" s="23"/>
      <c r="D669" s="23"/>
      <c r="E669" s="23"/>
      <c r="F669" s="23"/>
      <c r="G669" s="23"/>
      <c r="H669" s="23"/>
      <c r="I669" s="23"/>
      <c r="J669" s="42"/>
      <c r="K669" s="42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42"/>
      <c r="X669" s="21"/>
      <c r="Y669" s="22"/>
      <c r="Z669" s="23"/>
      <c r="AA669" s="24"/>
      <c r="AB669" s="44"/>
    </row>
    <row r="670" spans="1:28" x14ac:dyDescent="0.35">
      <c r="A670" s="23"/>
      <c r="B670" s="26"/>
      <c r="C670" s="23"/>
      <c r="D670" s="23"/>
      <c r="E670" s="23"/>
      <c r="F670" s="23"/>
      <c r="G670" s="23"/>
      <c r="H670" s="23"/>
      <c r="I670" s="23"/>
      <c r="J670" s="42"/>
      <c r="K670" s="42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42"/>
      <c r="X670" s="21"/>
      <c r="Y670" s="22"/>
      <c r="Z670" s="23"/>
      <c r="AA670" s="24"/>
      <c r="AB670" s="44"/>
    </row>
    <row r="671" spans="1:28" x14ac:dyDescent="0.35">
      <c r="A671" s="23"/>
      <c r="B671" s="26"/>
      <c r="C671" s="23"/>
      <c r="D671" s="23"/>
      <c r="E671" s="23"/>
      <c r="F671" s="23"/>
      <c r="G671" s="23"/>
      <c r="H671" s="23"/>
      <c r="I671" s="23"/>
      <c r="J671" s="42"/>
      <c r="K671" s="42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42"/>
      <c r="X671" s="21"/>
      <c r="Y671" s="22"/>
      <c r="Z671" s="23"/>
      <c r="AA671" s="24"/>
      <c r="AB671" s="44"/>
    </row>
    <row r="672" spans="1:28" x14ac:dyDescent="0.35">
      <c r="A672" s="23"/>
      <c r="B672" s="26"/>
      <c r="C672" s="23"/>
      <c r="D672" s="23"/>
      <c r="E672" s="23"/>
      <c r="F672" s="23"/>
      <c r="G672" s="23"/>
      <c r="H672" s="23"/>
      <c r="I672" s="23"/>
      <c r="J672" s="42"/>
      <c r="K672" s="42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42"/>
      <c r="X672" s="21"/>
      <c r="Y672" s="22"/>
      <c r="Z672" s="23"/>
      <c r="AA672" s="24"/>
      <c r="AB672" s="44"/>
    </row>
    <row r="673" spans="1:28" x14ac:dyDescent="0.35">
      <c r="A673" s="23"/>
      <c r="B673" s="26"/>
      <c r="C673" s="23"/>
      <c r="D673" s="23"/>
      <c r="E673" s="23"/>
      <c r="F673" s="23"/>
      <c r="G673" s="23"/>
      <c r="H673" s="23"/>
      <c r="I673" s="23"/>
      <c r="J673" s="42"/>
      <c r="K673" s="42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42"/>
      <c r="X673" s="21"/>
      <c r="Y673" s="22"/>
      <c r="Z673" s="23"/>
      <c r="AA673" s="24"/>
      <c r="AB673" s="44"/>
    </row>
    <row r="674" spans="1:28" x14ac:dyDescent="0.35">
      <c r="A674" s="23"/>
      <c r="B674" s="26"/>
      <c r="C674" s="23"/>
      <c r="D674" s="23"/>
      <c r="E674" s="23"/>
      <c r="F674" s="23"/>
      <c r="G674" s="23"/>
      <c r="H674" s="23"/>
      <c r="I674" s="23"/>
      <c r="J674" s="42"/>
      <c r="K674" s="42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42"/>
      <c r="X674" s="21"/>
      <c r="Y674" s="22"/>
      <c r="Z674" s="23"/>
      <c r="AA674" s="24"/>
      <c r="AB674" s="44"/>
    </row>
    <row r="675" spans="1:28" x14ac:dyDescent="0.35">
      <c r="A675" s="23"/>
      <c r="B675" s="26"/>
      <c r="C675" s="23"/>
      <c r="D675" s="23"/>
      <c r="E675" s="23"/>
      <c r="F675" s="23"/>
      <c r="G675" s="23"/>
      <c r="H675" s="23"/>
      <c r="I675" s="23"/>
      <c r="J675" s="42"/>
      <c r="K675" s="42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42"/>
      <c r="X675" s="21"/>
      <c r="Y675" s="22"/>
      <c r="Z675" s="23"/>
      <c r="AA675" s="24"/>
      <c r="AB675" s="44"/>
    </row>
    <row r="676" spans="1:28" x14ac:dyDescent="0.35">
      <c r="A676" s="23"/>
      <c r="B676" s="26"/>
      <c r="C676" s="23"/>
      <c r="D676" s="23"/>
      <c r="E676" s="23"/>
      <c r="F676" s="23"/>
      <c r="G676" s="23"/>
      <c r="H676" s="23"/>
      <c r="I676" s="23"/>
      <c r="J676" s="42"/>
      <c r="K676" s="42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42"/>
      <c r="X676" s="21"/>
      <c r="Y676" s="22"/>
      <c r="Z676" s="23"/>
      <c r="AA676" s="24"/>
      <c r="AB676" s="44"/>
    </row>
    <row r="677" spans="1:28" x14ac:dyDescent="0.35">
      <c r="A677" s="23"/>
      <c r="B677" s="26"/>
      <c r="C677" s="23"/>
      <c r="D677" s="23"/>
      <c r="E677" s="23"/>
      <c r="F677" s="23"/>
      <c r="G677" s="23"/>
      <c r="H677" s="23"/>
      <c r="I677" s="23"/>
      <c r="J677" s="42"/>
      <c r="K677" s="42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42"/>
      <c r="X677" s="21"/>
      <c r="Y677" s="22"/>
      <c r="Z677" s="23"/>
      <c r="AA677" s="24"/>
      <c r="AB677" s="44"/>
    </row>
    <row r="678" spans="1:28" x14ac:dyDescent="0.35">
      <c r="A678" s="23"/>
      <c r="B678" s="26"/>
      <c r="C678" s="23"/>
      <c r="D678" s="23"/>
      <c r="E678" s="23"/>
      <c r="F678" s="23"/>
      <c r="G678" s="23"/>
      <c r="H678" s="23"/>
      <c r="I678" s="23"/>
      <c r="J678" s="42"/>
      <c r="K678" s="42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42"/>
      <c r="X678" s="21"/>
      <c r="Y678" s="22"/>
      <c r="Z678" s="23"/>
      <c r="AA678" s="24"/>
      <c r="AB678" s="44"/>
    </row>
    <row r="679" spans="1:28" x14ac:dyDescent="0.35">
      <c r="A679" s="23"/>
      <c r="B679" s="26"/>
      <c r="C679" s="23"/>
      <c r="D679" s="23"/>
      <c r="E679" s="23"/>
      <c r="F679" s="23"/>
      <c r="G679" s="23"/>
      <c r="H679" s="23"/>
      <c r="I679" s="23"/>
      <c r="J679" s="42"/>
      <c r="K679" s="42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42"/>
      <c r="X679" s="21"/>
      <c r="Y679" s="22"/>
      <c r="Z679" s="23"/>
      <c r="AA679" s="24"/>
      <c r="AB679" s="44"/>
    </row>
    <row r="680" spans="1:28" x14ac:dyDescent="0.35">
      <c r="A680" s="23"/>
      <c r="B680" s="26"/>
      <c r="C680" s="23"/>
      <c r="D680" s="23"/>
      <c r="E680" s="23"/>
      <c r="F680" s="23"/>
      <c r="G680" s="23"/>
      <c r="H680" s="23"/>
      <c r="I680" s="23"/>
      <c r="J680" s="42"/>
      <c r="K680" s="42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42"/>
      <c r="X680" s="21"/>
      <c r="Y680" s="22"/>
      <c r="Z680" s="23"/>
      <c r="AA680" s="24"/>
      <c r="AB680" s="44"/>
    </row>
    <row r="681" spans="1:28" x14ac:dyDescent="0.35">
      <c r="A681" s="23"/>
      <c r="B681" s="26"/>
      <c r="C681" s="23"/>
      <c r="D681" s="23"/>
      <c r="E681" s="23"/>
      <c r="F681" s="23"/>
      <c r="G681" s="23"/>
      <c r="H681" s="23"/>
      <c r="I681" s="23"/>
      <c r="J681" s="42"/>
      <c r="K681" s="42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42"/>
      <c r="X681" s="21"/>
      <c r="Y681" s="22"/>
      <c r="Z681" s="23"/>
      <c r="AA681" s="24"/>
      <c r="AB681" s="44"/>
    </row>
    <row r="682" spans="1:28" x14ac:dyDescent="0.35">
      <c r="A682" s="23"/>
      <c r="B682" s="26"/>
      <c r="C682" s="23"/>
      <c r="D682" s="23"/>
      <c r="E682" s="23"/>
      <c r="F682" s="23"/>
      <c r="G682" s="23"/>
      <c r="H682" s="23"/>
      <c r="I682" s="23"/>
      <c r="J682" s="42"/>
      <c r="K682" s="42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42"/>
      <c r="X682" s="21"/>
      <c r="Y682" s="22"/>
      <c r="Z682" s="23"/>
      <c r="AA682" s="24"/>
      <c r="AB682" s="44"/>
    </row>
    <row r="683" spans="1:28" x14ac:dyDescent="0.35">
      <c r="A683" s="23"/>
      <c r="B683" s="26"/>
      <c r="C683" s="23"/>
      <c r="D683" s="23"/>
      <c r="E683" s="23"/>
      <c r="F683" s="23"/>
      <c r="G683" s="23"/>
      <c r="H683" s="23"/>
      <c r="I683" s="23"/>
      <c r="J683" s="42"/>
      <c r="K683" s="42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42"/>
      <c r="X683" s="21"/>
      <c r="Y683" s="22"/>
      <c r="Z683" s="23"/>
      <c r="AA683" s="24"/>
      <c r="AB683" s="44"/>
    </row>
    <row r="684" spans="1:28" x14ac:dyDescent="0.35">
      <c r="A684" s="23"/>
      <c r="B684" s="26"/>
      <c r="C684" s="23"/>
      <c r="D684" s="23"/>
      <c r="E684" s="23"/>
      <c r="F684" s="23"/>
      <c r="G684" s="23"/>
      <c r="H684" s="23"/>
      <c r="I684" s="23"/>
      <c r="J684" s="42"/>
      <c r="K684" s="42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42"/>
      <c r="X684" s="21"/>
      <c r="Y684" s="22"/>
      <c r="Z684" s="23"/>
      <c r="AA684" s="24"/>
      <c r="AB684" s="44"/>
    </row>
    <row r="685" spans="1:28" x14ac:dyDescent="0.35">
      <c r="A685" s="23"/>
      <c r="B685" s="26"/>
      <c r="C685" s="23"/>
      <c r="D685" s="23"/>
      <c r="E685" s="23"/>
      <c r="F685" s="23"/>
      <c r="G685" s="23"/>
      <c r="H685" s="23"/>
      <c r="I685" s="23"/>
      <c r="J685" s="42"/>
      <c r="K685" s="42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42"/>
      <c r="X685" s="21"/>
      <c r="Y685" s="22"/>
      <c r="Z685" s="23"/>
      <c r="AA685" s="24"/>
      <c r="AB685" s="44"/>
    </row>
    <row r="686" spans="1:28" x14ac:dyDescent="0.35">
      <c r="A686" s="23"/>
      <c r="B686" s="26"/>
      <c r="C686" s="23"/>
      <c r="D686" s="23"/>
      <c r="E686" s="23"/>
      <c r="F686" s="23"/>
      <c r="G686" s="23"/>
      <c r="H686" s="23"/>
      <c r="I686" s="23"/>
      <c r="J686" s="42"/>
      <c r="K686" s="42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42"/>
      <c r="X686" s="21"/>
      <c r="Y686" s="22"/>
      <c r="Z686" s="23"/>
      <c r="AA686" s="24"/>
      <c r="AB686" s="44"/>
    </row>
    <row r="687" spans="1:28" x14ac:dyDescent="0.35">
      <c r="A687" s="23"/>
      <c r="B687" s="26"/>
      <c r="C687" s="23"/>
      <c r="D687" s="23"/>
      <c r="E687" s="23"/>
      <c r="F687" s="23"/>
      <c r="G687" s="23"/>
      <c r="H687" s="23"/>
      <c r="I687" s="23"/>
      <c r="J687" s="42"/>
      <c r="K687" s="42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42"/>
      <c r="X687" s="21"/>
      <c r="Y687" s="22"/>
      <c r="Z687" s="23"/>
      <c r="AA687" s="24"/>
      <c r="AB687" s="44"/>
    </row>
    <row r="688" spans="1:28" x14ac:dyDescent="0.35">
      <c r="A688" s="23"/>
      <c r="B688" s="26"/>
      <c r="C688" s="23"/>
      <c r="D688" s="23"/>
      <c r="E688" s="23"/>
      <c r="F688" s="23"/>
      <c r="G688" s="23"/>
      <c r="H688" s="23"/>
      <c r="I688" s="23"/>
      <c r="J688" s="42"/>
      <c r="K688" s="42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42"/>
      <c r="X688" s="21"/>
      <c r="Y688" s="22"/>
      <c r="Z688" s="23"/>
      <c r="AA688" s="24"/>
      <c r="AB688" s="44"/>
    </row>
    <row r="689" spans="1:28" x14ac:dyDescent="0.35">
      <c r="A689" s="23"/>
      <c r="B689" s="26"/>
      <c r="C689" s="23"/>
      <c r="D689" s="23"/>
      <c r="E689" s="23"/>
      <c r="F689" s="23"/>
      <c r="G689" s="23"/>
      <c r="H689" s="23"/>
      <c r="I689" s="23"/>
      <c r="J689" s="42"/>
      <c r="K689" s="42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42"/>
      <c r="X689" s="21"/>
      <c r="Y689" s="22"/>
      <c r="Z689" s="23"/>
      <c r="AA689" s="24"/>
      <c r="AB689" s="44"/>
    </row>
    <row r="690" spans="1:28" x14ac:dyDescent="0.35">
      <c r="A690" s="23"/>
      <c r="B690" s="26"/>
      <c r="C690" s="23"/>
      <c r="D690" s="23"/>
      <c r="E690" s="23"/>
      <c r="F690" s="23"/>
      <c r="G690" s="23"/>
      <c r="H690" s="23"/>
      <c r="I690" s="23"/>
      <c r="J690" s="42"/>
      <c r="K690" s="42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42"/>
      <c r="X690" s="21"/>
      <c r="Y690" s="22"/>
      <c r="Z690" s="23"/>
      <c r="AA690" s="24"/>
      <c r="AB690" s="44"/>
    </row>
    <row r="691" spans="1:28" x14ac:dyDescent="0.35">
      <c r="A691" s="23"/>
      <c r="B691" s="26"/>
      <c r="C691" s="23"/>
      <c r="D691" s="23"/>
      <c r="E691" s="23"/>
      <c r="F691" s="23"/>
      <c r="G691" s="23"/>
      <c r="H691" s="23"/>
      <c r="I691" s="23"/>
      <c r="J691" s="42"/>
      <c r="K691" s="42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42"/>
      <c r="X691" s="21"/>
      <c r="Y691" s="22"/>
      <c r="Z691" s="23"/>
      <c r="AA691" s="24"/>
      <c r="AB691" s="44"/>
    </row>
    <row r="692" spans="1:28" x14ac:dyDescent="0.35">
      <c r="A692" s="23"/>
      <c r="B692" s="26"/>
      <c r="C692" s="23"/>
      <c r="D692" s="23"/>
      <c r="E692" s="23"/>
      <c r="F692" s="23"/>
      <c r="G692" s="23"/>
      <c r="H692" s="23"/>
      <c r="I692" s="23"/>
      <c r="J692" s="42"/>
      <c r="K692" s="42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42"/>
      <c r="X692" s="21"/>
      <c r="Y692" s="22"/>
      <c r="Z692" s="23"/>
      <c r="AA692" s="24"/>
      <c r="AB692" s="44"/>
    </row>
    <row r="693" spans="1:28" x14ac:dyDescent="0.35">
      <c r="A693" s="23"/>
      <c r="B693" s="26"/>
      <c r="C693" s="23"/>
      <c r="D693" s="23"/>
      <c r="E693" s="23"/>
      <c r="F693" s="23"/>
      <c r="G693" s="23"/>
      <c r="H693" s="23"/>
      <c r="I693" s="23"/>
      <c r="J693" s="42"/>
      <c r="K693" s="42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42"/>
      <c r="X693" s="21"/>
      <c r="Y693" s="22"/>
      <c r="Z693" s="23"/>
      <c r="AA693" s="24"/>
      <c r="AB693" s="44"/>
    </row>
    <row r="694" spans="1:28" x14ac:dyDescent="0.35">
      <c r="A694" s="23"/>
      <c r="B694" s="26"/>
      <c r="C694" s="23"/>
      <c r="D694" s="23"/>
      <c r="E694" s="23"/>
      <c r="F694" s="23"/>
      <c r="G694" s="23"/>
      <c r="H694" s="23"/>
      <c r="I694" s="23"/>
      <c r="J694" s="42"/>
      <c r="K694" s="42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42"/>
      <c r="X694" s="21"/>
      <c r="Y694" s="22"/>
      <c r="Z694" s="23"/>
      <c r="AA694" s="24"/>
      <c r="AB694" s="44"/>
    </row>
    <row r="695" spans="1:28" x14ac:dyDescent="0.35">
      <c r="A695" s="23"/>
      <c r="B695" s="26"/>
      <c r="C695" s="23"/>
      <c r="D695" s="23"/>
      <c r="E695" s="23"/>
      <c r="F695" s="23"/>
      <c r="G695" s="23"/>
      <c r="H695" s="23"/>
      <c r="I695" s="23"/>
      <c r="J695" s="42"/>
      <c r="K695" s="42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42"/>
      <c r="X695" s="21"/>
      <c r="Y695" s="22"/>
      <c r="Z695" s="23"/>
      <c r="AA695" s="24"/>
      <c r="AB695" s="44"/>
    </row>
    <row r="696" spans="1:28" x14ac:dyDescent="0.35">
      <c r="A696" s="23"/>
      <c r="B696" s="26"/>
      <c r="C696" s="23"/>
      <c r="D696" s="23"/>
      <c r="E696" s="23"/>
      <c r="F696" s="23"/>
      <c r="G696" s="23"/>
      <c r="H696" s="23"/>
      <c r="I696" s="23"/>
      <c r="J696" s="42"/>
      <c r="K696" s="42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42"/>
      <c r="X696" s="21"/>
      <c r="Y696" s="22"/>
      <c r="Z696" s="23"/>
      <c r="AA696" s="24"/>
      <c r="AB696" s="44"/>
    </row>
    <row r="697" spans="1:28" x14ac:dyDescent="0.35">
      <c r="A697" s="23"/>
      <c r="B697" s="26"/>
      <c r="C697" s="23"/>
      <c r="D697" s="23"/>
      <c r="E697" s="23"/>
      <c r="F697" s="23"/>
      <c r="G697" s="23"/>
      <c r="H697" s="23"/>
      <c r="I697" s="23"/>
      <c r="J697" s="42"/>
      <c r="K697" s="42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42"/>
      <c r="X697" s="21"/>
      <c r="Y697" s="22"/>
      <c r="Z697" s="23"/>
      <c r="AA697" s="24"/>
      <c r="AB697" s="44"/>
    </row>
    <row r="698" spans="1:28" x14ac:dyDescent="0.35">
      <c r="A698" s="23"/>
      <c r="B698" s="26"/>
      <c r="C698" s="23"/>
      <c r="D698" s="23"/>
      <c r="E698" s="23"/>
      <c r="F698" s="23"/>
      <c r="G698" s="23"/>
      <c r="H698" s="23"/>
      <c r="I698" s="23"/>
      <c r="J698" s="42"/>
      <c r="K698" s="42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42"/>
      <c r="X698" s="21"/>
      <c r="Y698" s="22"/>
      <c r="Z698" s="23"/>
      <c r="AA698" s="24"/>
      <c r="AB698" s="44"/>
    </row>
    <row r="699" spans="1:28" x14ac:dyDescent="0.35">
      <c r="A699" s="23"/>
      <c r="B699" s="26"/>
      <c r="C699" s="23"/>
      <c r="D699" s="23"/>
      <c r="E699" s="23"/>
      <c r="F699" s="23"/>
      <c r="G699" s="23"/>
      <c r="H699" s="23"/>
      <c r="I699" s="23"/>
      <c r="J699" s="42"/>
      <c r="K699" s="42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42"/>
      <c r="X699" s="21"/>
      <c r="Y699" s="22"/>
      <c r="Z699" s="23"/>
      <c r="AA699" s="24"/>
      <c r="AB699" s="44"/>
    </row>
    <row r="700" spans="1:28" x14ac:dyDescent="0.35">
      <c r="A700" s="23"/>
      <c r="B700" s="26"/>
      <c r="C700" s="23"/>
      <c r="D700" s="23"/>
      <c r="E700" s="23"/>
      <c r="F700" s="23"/>
      <c r="G700" s="23"/>
      <c r="H700" s="23"/>
      <c r="I700" s="23"/>
      <c r="J700" s="42"/>
      <c r="K700" s="42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42"/>
      <c r="X700" s="21"/>
      <c r="Y700" s="22"/>
      <c r="Z700" s="23"/>
      <c r="AA700" s="24"/>
      <c r="AB700" s="44"/>
    </row>
    <row r="701" spans="1:28" x14ac:dyDescent="0.35">
      <c r="A701" s="23"/>
      <c r="B701" s="26"/>
      <c r="C701" s="23"/>
      <c r="D701" s="23"/>
      <c r="E701" s="23"/>
      <c r="F701" s="23"/>
      <c r="G701" s="23"/>
      <c r="H701" s="23"/>
      <c r="I701" s="23"/>
      <c r="J701" s="42"/>
      <c r="K701" s="42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42"/>
      <c r="X701" s="21"/>
      <c r="Y701" s="22"/>
      <c r="Z701" s="23"/>
      <c r="AA701" s="24"/>
      <c r="AB701" s="44"/>
    </row>
    <row r="702" spans="1:28" x14ac:dyDescent="0.35">
      <c r="A702" s="23"/>
      <c r="B702" s="26"/>
      <c r="C702" s="23"/>
      <c r="D702" s="23"/>
      <c r="E702" s="23"/>
      <c r="F702" s="23"/>
      <c r="G702" s="23"/>
      <c r="H702" s="23"/>
      <c r="I702" s="23"/>
      <c r="J702" s="42"/>
      <c r="K702" s="42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42"/>
      <c r="X702" s="21"/>
      <c r="Y702" s="22"/>
      <c r="Z702" s="23"/>
      <c r="AA702" s="24"/>
      <c r="AB702" s="44"/>
    </row>
    <row r="703" spans="1:28" x14ac:dyDescent="0.35">
      <c r="A703" s="23"/>
      <c r="B703" s="26"/>
      <c r="C703" s="23"/>
      <c r="D703" s="23"/>
      <c r="E703" s="23"/>
      <c r="F703" s="23"/>
      <c r="G703" s="23"/>
      <c r="H703" s="23"/>
      <c r="I703" s="23"/>
      <c r="J703" s="42"/>
      <c r="K703" s="42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42"/>
      <c r="X703" s="21"/>
      <c r="Y703" s="22"/>
      <c r="Z703" s="23"/>
      <c r="AA703" s="24"/>
      <c r="AB703" s="44"/>
    </row>
    <row r="704" spans="1:28" x14ac:dyDescent="0.35">
      <c r="A704" s="23"/>
      <c r="B704" s="26"/>
      <c r="C704" s="23"/>
      <c r="D704" s="23"/>
      <c r="E704" s="23"/>
      <c r="F704" s="23"/>
      <c r="G704" s="23"/>
      <c r="H704" s="23"/>
      <c r="I704" s="23"/>
      <c r="J704" s="42"/>
      <c r="K704" s="42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42"/>
      <c r="X704" s="21"/>
      <c r="Y704" s="22"/>
      <c r="Z704" s="23"/>
      <c r="AA704" s="24"/>
      <c r="AB704" s="44"/>
    </row>
    <row r="705" spans="1:28" x14ac:dyDescent="0.35">
      <c r="A705" s="23"/>
      <c r="B705" s="26"/>
      <c r="C705" s="23"/>
      <c r="D705" s="23"/>
      <c r="E705" s="23"/>
      <c r="F705" s="23"/>
      <c r="G705" s="23"/>
      <c r="H705" s="23"/>
      <c r="I705" s="23"/>
      <c r="J705" s="42"/>
      <c r="K705" s="42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42"/>
      <c r="X705" s="21"/>
      <c r="Y705" s="22"/>
      <c r="Z705" s="23"/>
      <c r="AA705" s="24"/>
      <c r="AB705" s="44"/>
    </row>
    <row r="706" spans="1:28" x14ac:dyDescent="0.35">
      <c r="A706" s="23"/>
      <c r="B706" s="26"/>
      <c r="C706" s="23"/>
      <c r="D706" s="23"/>
      <c r="E706" s="23"/>
      <c r="F706" s="23"/>
      <c r="G706" s="23"/>
      <c r="H706" s="23"/>
      <c r="I706" s="23"/>
      <c r="J706" s="42"/>
      <c r="K706" s="42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42"/>
      <c r="X706" s="21"/>
      <c r="Y706" s="22"/>
      <c r="Z706" s="23"/>
      <c r="AA706" s="24"/>
      <c r="AB706" s="44"/>
    </row>
    <row r="707" spans="1:28" x14ac:dyDescent="0.35">
      <c r="A707" s="23"/>
      <c r="B707" s="26"/>
      <c r="C707" s="23"/>
      <c r="D707" s="23"/>
      <c r="E707" s="23"/>
      <c r="F707" s="23"/>
      <c r="G707" s="23"/>
      <c r="H707" s="23"/>
      <c r="I707" s="23"/>
      <c r="J707" s="42"/>
      <c r="K707" s="42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42"/>
      <c r="X707" s="21"/>
      <c r="Y707" s="22"/>
      <c r="Z707" s="23"/>
      <c r="AA707" s="24"/>
      <c r="AB707" s="44"/>
    </row>
    <row r="708" spans="1:28" x14ac:dyDescent="0.35">
      <c r="A708" s="23"/>
      <c r="B708" s="26"/>
      <c r="C708" s="23"/>
      <c r="D708" s="23"/>
      <c r="E708" s="23"/>
      <c r="F708" s="23"/>
      <c r="G708" s="23"/>
      <c r="H708" s="23"/>
      <c r="I708" s="23"/>
      <c r="J708" s="42"/>
      <c r="K708" s="42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42"/>
      <c r="X708" s="21"/>
      <c r="Y708" s="22"/>
      <c r="Z708" s="23"/>
      <c r="AA708" s="24"/>
      <c r="AB708" s="44"/>
    </row>
    <row r="709" spans="1:28" x14ac:dyDescent="0.35">
      <c r="A709" s="23"/>
      <c r="B709" s="26"/>
      <c r="C709" s="23"/>
      <c r="D709" s="23"/>
      <c r="E709" s="23"/>
      <c r="F709" s="23"/>
      <c r="G709" s="23"/>
      <c r="H709" s="23"/>
      <c r="I709" s="23"/>
      <c r="J709" s="42"/>
      <c r="K709" s="42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42"/>
      <c r="X709" s="21"/>
      <c r="Y709" s="22"/>
      <c r="Z709" s="23"/>
      <c r="AA709" s="24"/>
      <c r="AB709" s="44"/>
    </row>
    <row r="710" spans="1:28" x14ac:dyDescent="0.35">
      <c r="A710" s="23"/>
      <c r="B710" s="26"/>
      <c r="C710" s="23"/>
      <c r="D710" s="23"/>
      <c r="E710" s="23"/>
      <c r="F710" s="23"/>
      <c r="G710" s="23"/>
      <c r="H710" s="23"/>
      <c r="I710" s="23"/>
      <c r="J710" s="42"/>
      <c r="K710" s="42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42"/>
      <c r="X710" s="21"/>
      <c r="Y710" s="22"/>
      <c r="Z710" s="23"/>
      <c r="AA710" s="24"/>
      <c r="AB710" s="44"/>
    </row>
    <row r="711" spans="1:28" x14ac:dyDescent="0.35">
      <c r="A711" s="23"/>
      <c r="B711" s="26"/>
      <c r="C711" s="23"/>
      <c r="D711" s="23"/>
      <c r="E711" s="23"/>
      <c r="F711" s="23"/>
      <c r="G711" s="23"/>
      <c r="H711" s="23"/>
      <c r="I711" s="23"/>
      <c r="J711" s="42"/>
      <c r="K711" s="42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42"/>
      <c r="X711" s="21"/>
      <c r="Y711" s="22"/>
      <c r="Z711" s="23"/>
      <c r="AA711" s="24"/>
      <c r="AB711" s="44"/>
    </row>
    <row r="712" spans="1:28" x14ac:dyDescent="0.35">
      <c r="A712" s="23"/>
      <c r="B712" s="26"/>
      <c r="C712" s="23"/>
      <c r="D712" s="23"/>
      <c r="E712" s="23"/>
      <c r="F712" s="23"/>
      <c r="G712" s="23"/>
      <c r="H712" s="23"/>
      <c r="I712" s="23"/>
      <c r="J712" s="42"/>
      <c r="K712" s="42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42"/>
      <c r="X712" s="21"/>
      <c r="Y712" s="22"/>
      <c r="Z712" s="23"/>
      <c r="AA712" s="24"/>
      <c r="AB712" s="44"/>
    </row>
    <row r="713" spans="1:28" x14ac:dyDescent="0.35">
      <c r="A713" s="23"/>
      <c r="B713" s="26"/>
      <c r="C713" s="23"/>
      <c r="D713" s="23"/>
      <c r="E713" s="23"/>
      <c r="F713" s="23"/>
      <c r="G713" s="23"/>
      <c r="H713" s="23"/>
      <c r="I713" s="23"/>
      <c r="J713" s="42"/>
      <c r="K713" s="42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42"/>
      <c r="X713" s="21"/>
      <c r="Y713" s="22"/>
      <c r="Z713" s="23"/>
      <c r="AA713" s="24"/>
      <c r="AB713" s="44"/>
    </row>
    <row r="714" spans="1:28" x14ac:dyDescent="0.35">
      <c r="A714" s="23"/>
      <c r="B714" s="26"/>
      <c r="C714" s="23"/>
      <c r="D714" s="23"/>
      <c r="E714" s="23"/>
      <c r="F714" s="23"/>
      <c r="G714" s="23"/>
      <c r="H714" s="23"/>
      <c r="I714" s="23"/>
      <c r="J714" s="42"/>
      <c r="K714" s="42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42"/>
      <c r="X714" s="21"/>
      <c r="Y714" s="22"/>
      <c r="Z714" s="23"/>
      <c r="AA714" s="24"/>
      <c r="AB714" s="44"/>
    </row>
    <row r="715" spans="1:28" x14ac:dyDescent="0.35">
      <c r="A715" s="23"/>
      <c r="B715" s="26"/>
      <c r="C715" s="23"/>
      <c r="D715" s="23"/>
      <c r="E715" s="23"/>
      <c r="F715" s="23"/>
      <c r="G715" s="23"/>
      <c r="H715" s="23"/>
      <c r="I715" s="23"/>
      <c r="J715" s="42"/>
      <c r="K715" s="42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42"/>
      <c r="X715" s="21"/>
      <c r="Y715" s="22"/>
      <c r="Z715" s="23"/>
      <c r="AA715" s="24"/>
      <c r="AB715" s="44"/>
    </row>
    <row r="716" spans="1:28" x14ac:dyDescent="0.35">
      <c r="A716" s="23"/>
      <c r="B716" s="26"/>
      <c r="C716" s="23"/>
      <c r="D716" s="23"/>
      <c r="E716" s="23"/>
      <c r="F716" s="23"/>
      <c r="G716" s="23"/>
      <c r="H716" s="23"/>
      <c r="I716" s="23"/>
      <c r="J716" s="42"/>
      <c r="K716" s="42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42"/>
      <c r="X716" s="21"/>
      <c r="Y716" s="22"/>
      <c r="Z716" s="23"/>
      <c r="AA716" s="24"/>
      <c r="AB716" s="44"/>
    </row>
    <row r="717" spans="1:28" x14ac:dyDescent="0.35">
      <c r="A717" s="23"/>
      <c r="B717" s="26"/>
      <c r="C717" s="23"/>
      <c r="D717" s="23"/>
      <c r="E717" s="23"/>
      <c r="F717" s="23"/>
      <c r="G717" s="23"/>
      <c r="H717" s="23"/>
      <c r="I717" s="23"/>
      <c r="J717" s="42"/>
      <c r="K717" s="42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42"/>
      <c r="X717" s="21"/>
      <c r="Y717" s="22"/>
      <c r="Z717" s="23"/>
      <c r="AA717" s="24"/>
      <c r="AB717" s="44"/>
    </row>
    <row r="718" spans="1:28" x14ac:dyDescent="0.35">
      <c r="A718" s="23"/>
      <c r="B718" s="26"/>
      <c r="C718" s="23"/>
      <c r="D718" s="23"/>
      <c r="E718" s="23"/>
      <c r="F718" s="23"/>
      <c r="G718" s="23"/>
      <c r="H718" s="23"/>
      <c r="I718" s="23"/>
      <c r="J718" s="42"/>
      <c r="K718" s="42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42"/>
      <c r="X718" s="21"/>
      <c r="Y718" s="22"/>
      <c r="Z718" s="23"/>
      <c r="AA718" s="24"/>
      <c r="AB718" s="44"/>
    </row>
    <row r="719" spans="1:28" x14ac:dyDescent="0.35">
      <c r="A719" s="23"/>
      <c r="B719" s="26"/>
      <c r="C719" s="23"/>
      <c r="D719" s="23"/>
      <c r="E719" s="23"/>
      <c r="F719" s="23"/>
      <c r="G719" s="23"/>
      <c r="H719" s="23"/>
      <c r="I719" s="23"/>
      <c r="J719" s="42"/>
      <c r="K719" s="42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42"/>
      <c r="X719" s="21"/>
      <c r="Y719" s="22"/>
      <c r="Z719" s="23"/>
      <c r="AA719" s="24"/>
      <c r="AB719" s="44"/>
    </row>
    <row r="720" spans="1:28" x14ac:dyDescent="0.35">
      <c r="A720" s="23"/>
      <c r="B720" s="26"/>
      <c r="C720" s="23"/>
      <c r="D720" s="23"/>
      <c r="E720" s="23"/>
      <c r="F720" s="23"/>
      <c r="G720" s="23"/>
      <c r="H720" s="23"/>
      <c r="I720" s="23"/>
      <c r="J720" s="42"/>
      <c r="K720" s="42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42"/>
      <c r="X720" s="21"/>
      <c r="Y720" s="22"/>
      <c r="Z720" s="23"/>
      <c r="AA720" s="24"/>
      <c r="AB720" s="44"/>
    </row>
    <row r="721" spans="1:28" x14ac:dyDescent="0.35">
      <c r="A721" s="23"/>
      <c r="B721" s="26"/>
      <c r="C721" s="23"/>
      <c r="D721" s="23"/>
      <c r="E721" s="23"/>
      <c r="F721" s="23"/>
      <c r="G721" s="23"/>
      <c r="H721" s="23"/>
      <c r="I721" s="23"/>
      <c r="J721" s="42"/>
      <c r="K721" s="42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42"/>
      <c r="X721" s="21"/>
      <c r="Y721" s="22"/>
      <c r="Z721" s="23"/>
      <c r="AA721" s="24"/>
      <c r="AB721" s="44"/>
    </row>
    <row r="722" spans="1:28" x14ac:dyDescent="0.35">
      <c r="A722" s="23"/>
      <c r="B722" s="26"/>
      <c r="C722" s="23"/>
      <c r="D722" s="23"/>
      <c r="E722" s="23"/>
      <c r="F722" s="23"/>
      <c r="G722" s="23"/>
      <c r="H722" s="23"/>
      <c r="I722" s="23"/>
      <c r="J722" s="42"/>
      <c r="K722" s="42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42"/>
      <c r="X722" s="21"/>
      <c r="Y722" s="22"/>
      <c r="Z722" s="23"/>
      <c r="AA722" s="24"/>
      <c r="AB722" s="44"/>
    </row>
    <row r="723" spans="1:28" x14ac:dyDescent="0.35">
      <c r="A723" s="23"/>
      <c r="B723" s="26"/>
      <c r="C723" s="23"/>
      <c r="D723" s="23"/>
      <c r="E723" s="23"/>
      <c r="F723" s="23"/>
      <c r="G723" s="23"/>
      <c r="H723" s="23"/>
      <c r="I723" s="23"/>
      <c r="J723" s="42"/>
      <c r="K723" s="42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42"/>
      <c r="X723" s="21"/>
      <c r="Y723" s="22"/>
      <c r="Z723" s="23"/>
      <c r="AA723" s="24"/>
      <c r="AB723" s="44"/>
    </row>
    <row r="724" spans="1:28" x14ac:dyDescent="0.35">
      <c r="A724" s="23"/>
      <c r="B724" s="26"/>
      <c r="C724" s="23"/>
      <c r="D724" s="23"/>
      <c r="E724" s="23"/>
      <c r="F724" s="23"/>
      <c r="G724" s="23"/>
      <c r="H724" s="23"/>
      <c r="I724" s="23"/>
      <c r="J724" s="42"/>
      <c r="K724" s="42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42"/>
      <c r="X724" s="21"/>
      <c r="Y724" s="22"/>
      <c r="Z724" s="23"/>
      <c r="AA724" s="24"/>
      <c r="AB724" s="44"/>
    </row>
    <row r="725" spans="1:28" x14ac:dyDescent="0.35">
      <c r="A725" s="23"/>
      <c r="B725" s="26"/>
      <c r="C725" s="23"/>
      <c r="D725" s="23"/>
      <c r="E725" s="23"/>
      <c r="F725" s="23"/>
      <c r="G725" s="23"/>
      <c r="H725" s="23"/>
      <c r="I725" s="23"/>
      <c r="J725" s="42"/>
      <c r="K725" s="42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42"/>
      <c r="X725" s="21"/>
      <c r="Y725" s="22"/>
      <c r="Z725" s="23"/>
      <c r="AA725" s="24"/>
      <c r="AB725" s="44"/>
    </row>
    <row r="726" spans="1:28" x14ac:dyDescent="0.35">
      <c r="A726" s="23"/>
      <c r="B726" s="26"/>
      <c r="C726" s="23"/>
      <c r="D726" s="23"/>
      <c r="E726" s="23"/>
      <c r="F726" s="23"/>
      <c r="G726" s="23"/>
      <c r="H726" s="23"/>
      <c r="I726" s="23"/>
      <c r="J726" s="42"/>
      <c r="K726" s="42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42"/>
      <c r="X726" s="21"/>
      <c r="Y726" s="22"/>
      <c r="Z726" s="23"/>
      <c r="AA726" s="24"/>
      <c r="AB726" s="44"/>
    </row>
    <row r="727" spans="1:28" x14ac:dyDescent="0.35">
      <c r="A727" s="23"/>
      <c r="B727" s="26"/>
      <c r="C727" s="23"/>
      <c r="D727" s="23"/>
      <c r="E727" s="23"/>
      <c r="F727" s="23"/>
      <c r="G727" s="23"/>
      <c r="H727" s="23"/>
      <c r="I727" s="23"/>
      <c r="J727" s="42"/>
      <c r="K727" s="42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42"/>
      <c r="X727" s="21"/>
      <c r="Y727" s="22"/>
      <c r="Z727" s="23"/>
      <c r="AA727" s="24"/>
      <c r="AB727" s="44"/>
    </row>
    <row r="728" spans="1:28" x14ac:dyDescent="0.35">
      <c r="A728" s="23"/>
      <c r="B728" s="26"/>
      <c r="C728" s="23"/>
      <c r="D728" s="23"/>
      <c r="E728" s="23"/>
      <c r="F728" s="23"/>
      <c r="G728" s="23"/>
      <c r="H728" s="23"/>
      <c r="I728" s="23"/>
      <c r="J728" s="42"/>
      <c r="K728" s="42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42"/>
      <c r="X728" s="21"/>
      <c r="Y728" s="22"/>
      <c r="Z728" s="23"/>
      <c r="AA728" s="24"/>
      <c r="AB728" s="44"/>
    </row>
    <row r="729" spans="1:28" x14ac:dyDescent="0.35">
      <c r="A729" s="23"/>
      <c r="B729" s="26"/>
      <c r="C729" s="23"/>
      <c r="D729" s="23"/>
      <c r="E729" s="23"/>
      <c r="F729" s="23"/>
      <c r="G729" s="23"/>
      <c r="H729" s="23"/>
      <c r="I729" s="23"/>
      <c r="J729" s="42"/>
      <c r="K729" s="42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42"/>
      <c r="X729" s="21"/>
      <c r="Y729" s="22"/>
      <c r="Z729" s="23"/>
      <c r="AA729" s="24"/>
      <c r="AB729" s="44"/>
    </row>
    <row r="730" spans="1:28" x14ac:dyDescent="0.35">
      <c r="A730" s="23"/>
      <c r="B730" s="26"/>
      <c r="C730" s="23"/>
      <c r="D730" s="23"/>
      <c r="E730" s="23"/>
      <c r="F730" s="23"/>
      <c r="G730" s="23"/>
      <c r="H730" s="23"/>
      <c r="I730" s="23"/>
      <c r="J730" s="42"/>
      <c r="K730" s="42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42"/>
      <c r="X730" s="21"/>
      <c r="Y730" s="22"/>
      <c r="Z730" s="23"/>
      <c r="AA730" s="24"/>
      <c r="AB730" s="44"/>
    </row>
    <row r="731" spans="1:28" x14ac:dyDescent="0.35">
      <c r="A731" s="23"/>
      <c r="B731" s="26"/>
      <c r="C731" s="23"/>
      <c r="D731" s="23"/>
      <c r="E731" s="23"/>
      <c r="F731" s="23"/>
      <c r="G731" s="23"/>
      <c r="H731" s="23"/>
      <c r="I731" s="23"/>
      <c r="J731" s="42"/>
      <c r="K731" s="42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42"/>
      <c r="X731" s="21"/>
      <c r="Y731" s="22"/>
      <c r="Z731" s="23"/>
      <c r="AA731" s="24"/>
      <c r="AB731" s="44"/>
    </row>
    <row r="732" spans="1:28" x14ac:dyDescent="0.35">
      <c r="A732" s="23"/>
      <c r="B732" s="26"/>
      <c r="C732" s="23"/>
      <c r="D732" s="23"/>
      <c r="E732" s="23"/>
      <c r="F732" s="23"/>
      <c r="G732" s="23"/>
      <c r="H732" s="23"/>
      <c r="I732" s="23"/>
      <c r="J732" s="42"/>
      <c r="K732" s="42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42"/>
      <c r="X732" s="21"/>
      <c r="Y732" s="22"/>
      <c r="Z732" s="23"/>
      <c r="AA732" s="24"/>
      <c r="AB732" s="44"/>
    </row>
    <row r="733" spans="1:28" x14ac:dyDescent="0.35">
      <c r="A733" s="23"/>
      <c r="B733" s="26"/>
      <c r="C733" s="23"/>
      <c r="D733" s="23"/>
      <c r="E733" s="23"/>
      <c r="F733" s="23"/>
      <c r="G733" s="23"/>
      <c r="H733" s="23"/>
      <c r="I733" s="23"/>
      <c r="J733" s="42"/>
      <c r="K733" s="42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42"/>
      <c r="X733" s="21"/>
      <c r="Y733" s="22"/>
      <c r="Z733" s="23"/>
      <c r="AA733" s="24"/>
      <c r="AB733" s="44"/>
    </row>
    <row r="734" spans="1:28" x14ac:dyDescent="0.35">
      <c r="A734" s="23"/>
      <c r="B734" s="26"/>
      <c r="C734" s="23"/>
      <c r="D734" s="23"/>
      <c r="E734" s="23"/>
      <c r="F734" s="23"/>
      <c r="G734" s="23"/>
      <c r="H734" s="23"/>
      <c r="I734" s="23"/>
      <c r="J734" s="42"/>
      <c r="K734" s="42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42"/>
      <c r="X734" s="21"/>
      <c r="Y734" s="22"/>
      <c r="Z734" s="23"/>
      <c r="AA734" s="24"/>
      <c r="AB734" s="44"/>
    </row>
    <row r="735" spans="1:28" x14ac:dyDescent="0.35">
      <c r="A735" s="23"/>
      <c r="B735" s="26"/>
      <c r="C735" s="23"/>
      <c r="D735" s="23"/>
      <c r="E735" s="23"/>
      <c r="F735" s="23"/>
      <c r="G735" s="23"/>
      <c r="H735" s="23"/>
      <c r="I735" s="23"/>
      <c r="J735" s="42"/>
      <c r="K735" s="42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42"/>
      <c r="X735" s="21"/>
      <c r="Y735" s="22"/>
      <c r="Z735" s="23"/>
      <c r="AA735" s="24"/>
      <c r="AB735" s="44"/>
    </row>
    <row r="736" spans="1:28" x14ac:dyDescent="0.35">
      <c r="A736" s="23"/>
      <c r="B736" s="26"/>
      <c r="C736" s="23"/>
      <c r="D736" s="23"/>
      <c r="E736" s="23"/>
      <c r="F736" s="23"/>
      <c r="G736" s="23"/>
      <c r="H736" s="23"/>
      <c r="I736" s="23"/>
      <c r="J736" s="42"/>
      <c r="K736" s="42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42"/>
      <c r="X736" s="21"/>
      <c r="Y736" s="22"/>
      <c r="Z736" s="23"/>
      <c r="AA736" s="24"/>
      <c r="AB736" s="44"/>
    </row>
    <row r="737" spans="1:28" x14ac:dyDescent="0.35">
      <c r="A737" s="23"/>
      <c r="B737" s="26"/>
      <c r="C737" s="23"/>
      <c r="D737" s="23"/>
      <c r="E737" s="23"/>
      <c r="F737" s="23"/>
      <c r="G737" s="23"/>
      <c r="H737" s="23"/>
      <c r="I737" s="23"/>
      <c r="J737" s="42"/>
      <c r="K737" s="42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42"/>
      <c r="X737" s="21"/>
      <c r="Y737" s="22"/>
      <c r="Z737" s="23"/>
      <c r="AA737" s="24"/>
      <c r="AB737" s="44"/>
    </row>
    <row r="738" spans="1:28" x14ac:dyDescent="0.35">
      <c r="A738" s="23"/>
      <c r="B738" s="26"/>
      <c r="C738" s="23"/>
      <c r="D738" s="23"/>
      <c r="E738" s="23"/>
      <c r="F738" s="23"/>
      <c r="G738" s="23"/>
      <c r="H738" s="23"/>
      <c r="I738" s="23"/>
      <c r="J738" s="42"/>
      <c r="K738" s="42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42"/>
      <c r="X738" s="21"/>
      <c r="Y738" s="22"/>
      <c r="Z738" s="23"/>
      <c r="AA738" s="24"/>
      <c r="AB738" s="44"/>
    </row>
    <row r="739" spans="1:28" x14ac:dyDescent="0.35">
      <c r="A739" s="23"/>
      <c r="B739" s="26"/>
      <c r="C739" s="23"/>
      <c r="D739" s="23"/>
      <c r="E739" s="23"/>
      <c r="F739" s="23"/>
      <c r="G739" s="23"/>
      <c r="H739" s="23"/>
      <c r="I739" s="23"/>
      <c r="J739" s="42"/>
      <c r="K739" s="42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42"/>
      <c r="X739" s="21"/>
      <c r="Y739" s="22"/>
      <c r="Z739" s="23"/>
      <c r="AA739" s="24"/>
      <c r="AB739" s="44"/>
    </row>
    <row r="740" spans="1:28" x14ac:dyDescent="0.35">
      <c r="A740" s="23"/>
      <c r="B740" s="26"/>
      <c r="C740" s="23"/>
      <c r="D740" s="23"/>
      <c r="E740" s="23"/>
      <c r="F740" s="23"/>
      <c r="G740" s="23"/>
      <c r="H740" s="23"/>
      <c r="I740" s="23"/>
      <c r="J740" s="42"/>
      <c r="K740" s="42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42"/>
      <c r="X740" s="21"/>
      <c r="Y740" s="22"/>
      <c r="Z740" s="23"/>
      <c r="AA740" s="24"/>
      <c r="AB740" s="44"/>
    </row>
    <row r="741" spans="1:28" x14ac:dyDescent="0.35">
      <c r="A741" s="23"/>
      <c r="B741" s="26"/>
      <c r="C741" s="23"/>
      <c r="D741" s="23"/>
      <c r="E741" s="23"/>
      <c r="F741" s="23"/>
      <c r="G741" s="23"/>
      <c r="H741" s="23"/>
      <c r="I741" s="23"/>
      <c r="J741" s="42"/>
      <c r="K741" s="42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42"/>
      <c r="X741" s="21"/>
      <c r="Y741" s="22"/>
      <c r="Z741" s="23"/>
      <c r="AA741" s="24"/>
      <c r="AB741" s="44"/>
    </row>
    <row r="742" spans="1:28" x14ac:dyDescent="0.35">
      <c r="A742" s="23"/>
      <c r="B742" s="26"/>
      <c r="C742" s="23"/>
      <c r="D742" s="23"/>
      <c r="E742" s="23"/>
      <c r="F742" s="23"/>
      <c r="G742" s="23"/>
      <c r="H742" s="23"/>
      <c r="I742" s="23"/>
      <c r="J742" s="42"/>
      <c r="K742" s="42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42"/>
      <c r="X742" s="21"/>
      <c r="Y742" s="22"/>
      <c r="Z742" s="23"/>
      <c r="AA742" s="24"/>
      <c r="AB742" s="44"/>
    </row>
    <row r="743" spans="1:28" x14ac:dyDescent="0.35">
      <c r="A743" s="23"/>
      <c r="B743" s="26"/>
      <c r="C743" s="23"/>
      <c r="D743" s="23"/>
      <c r="E743" s="23"/>
      <c r="F743" s="23"/>
      <c r="G743" s="23"/>
      <c r="H743" s="23"/>
      <c r="I743" s="23"/>
      <c r="J743" s="42"/>
      <c r="K743" s="42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42"/>
      <c r="X743" s="21"/>
      <c r="Y743" s="22"/>
      <c r="Z743" s="23"/>
      <c r="AA743" s="24"/>
      <c r="AB743" s="44"/>
    </row>
    <row r="744" spans="1:28" x14ac:dyDescent="0.35">
      <c r="A744" s="23"/>
      <c r="B744" s="26"/>
      <c r="C744" s="23"/>
      <c r="D744" s="23"/>
      <c r="E744" s="23"/>
      <c r="F744" s="23"/>
      <c r="G744" s="23"/>
      <c r="H744" s="23"/>
      <c r="I744" s="23"/>
      <c r="J744" s="42"/>
      <c r="K744" s="42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42"/>
      <c r="X744" s="21"/>
      <c r="Y744" s="22"/>
      <c r="Z744" s="23"/>
      <c r="AA744" s="24"/>
      <c r="AB744" s="44"/>
    </row>
    <row r="745" spans="1:28" x14ac:dyDescent="0.35">
      <c r="A745" s="23"/>
      <c r="B745" s="26"/>
      <c r="C745" s="23"/>
      <c r="D745" s="23"/>
      <c r="E745" s="23"/>
      <c r="F745" s="23"/>
      <c r="G745" s="23"/>
      <c r="H745" s="23"/>
      <c r="I745" s="23"/>
      <c r="J745" s="42"/>
      <c r="K745" s="42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42"/>
      <c r="X745" s="21"/>
      <c r="Y745" s="22"/>
      <c r="Z745" s="23"/>
      <c r="AA745" s="24"/>
      <c r="AB745" s="44"/>
    </row>
    <row r="746" spans="1:28" x14ac:dyDescent="0.35">
      <c r="A746" s="23"/>
      <c r="B746" s="26"/>
      <c r="C746" s="23"/>
      <c r="D746" s="23"/>
      <c r="E746" s="23"/>
      <c r="F746" s="23"/>
      <c r="G746" s="23"/>
      <c r="H746" s="23"/>
      <c r="I746" s="23"/>
      <c r="J746" s="42"/>
      <c r="K746" s="42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42"/>
      <c r="X746" s="21"/>
      <c r="Y746" s="22"/>
      <c r="Z746" s="23"/>
      <c r="AA746" s="24"/>
      <c r="AB746" s="44"/>
    </row>
    <row r="747" spans="1:28" x14ac:dyDescent="0.35">
      <c r="A747" s="23"/>
      <c r="B747" s="26"/>
      <c r="C747" s="23"/>
      <c r="D747" s="23"/>
      <c r="E747" s="23"/>
      <c r="F747" s="23"/>
      <c r="G747" s="23"/>
      <c r="H747" s="23"/>
      <c r="I747" s="23"/>
      <c r="J747" s="42"/>
      <c r="K747" s="42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42"/>
      <c r="X747" s="21"/>
      <c r="Y747" s="22"/>
      <c r="Z747" s="23"/>
      <c r="AA747" s="24"/>
      <c r="AB747" s="44"/>
    </row>
    <row r="748" spans="1:28" x14ac:dyDescent="0.35">
      <c r="A748" s="23"/>
      <c r="B748" s="26"/>
      <c r="C748" s="23"/>
      <c r="D748" s="23"/>
      <c r="E748" s="23"/>
      <c r="F748" s="23"/>
      <c r="G748" s="23"/>
      <c r="H748" s="23"/>
      <c r="I748" s="23"/>
      <c r="J748" s="42"/>
      <c r="K748" s="42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42"/>
      <c r="X748" s="21"/>
      <c r="Y748" s="22"/>
      <c r="Z748" s="23"/>
      <c r="AA748" s="24"/>
      <c r="AB748" s="44"/>
    </row>
    <row r="749" spans="1:28" x14ac:dyDescent="0.35">
      <c r="A749" s="23"/>
      <c r="B749" s="26"/>
      <c r="C749" s="23"/>
      <c r="D749" s="23"/>
      <c r="E749" s="23"/>
      <c r="F749" s="23"/>
      <c r="G749" s="23"/>
      <c r="H749" s="23"/>
      <c r="I749" s="23"/>
      <c r="J749" s="42"/>
      <c r="K749" s="42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42"/>
      <c r="X749" s="21"/>
      <c r="Y749" s="22"/>
      <c r="Z749" s="23"/>
      <c r="AA749" s="24"/>
      <c r="AB749" s="44"/>
    </row>
    <row r="750" spans="1:28" x14ac:dyDescent="0.35">
      <c r="A750" s="23"/>
      <c r="B750" s="26"/>
      <c r="C750" s="23"/>
      <c r="D750" s="23"/>
      <c r="E750" s="23"/>
      <c r="F750" s="23"/>
      <c r="G750" s="23"/>
      <c r="H750" s="23"/>
      <c r="I750" s="23"/>
      <c r="J750" s="42"/>
      <c r="K750" s="42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42"/>
      <c r="X750" s="21"/>
      <c r="Y750" s="22"/>
      <c r="Z750" s="23"/>
      <c r="AA750" s="24"/>
      <c r="AB750" s="44"/>
    </row>
    <row r="751" spans="1:28" x14ac:dyDescent="0.35">
      <c r="A751" s="23"/>
      <c r="B751" s="26"/>
      <c r="C751" s="23"/>
      <c r="D751" s="23"/>
      <c r="E751" s="23"/>
      <c r="F751" s="23"/>
      <c r="G751" s="23"/>
      <c r="H751" s="23"/>
      <c r="I751" s="23"/>
      <c r="J751" s="42"/>
      <c r="K751" s="42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42"/>
      <c r="X751" s="21"/>
      <c r="Y751" s="22"/>
      <c r="Z751" s="23"/>
      <c r="AA751" s="24"/>
      <c r="AB751" s="44"/>
    </row>
    <row r="752" spans="1:28" x14ac:dyDescent="0.35">
      <c r="A752" s="23"/>
      <c r="B752" s="26"/>
      <c r="C752" s="23"/>
      <c r="D752" s="23"/>
      <c r="E752" s="23"/>
      <c r="F752" s="23"/>
      <c r="G752" s="23"/>
      <c r="H752" s="23"/>
      <c r="I752" s="23"/>
      <c r="J752" s="42"/>
      <c r="K752" s="42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42"/>
      <c r="X752" s="21"/>
      <c r="Y752" s="22"/>
      <c r="Z752" s="23"/>
      <c r="AA752" s="24"/>
      <c r="AB752" s="44"/>
    </row>
    <row r="753" spans="1:28" x14ac:dyDescent="0.35">
      <c r="A753" s="23"/>
      <c r="B753" s="26"/>
      <c r="C753" s="23"/>
      <c r="D753" s="23"/>
      <c r="E753" s="23"/>
      <c r="F753" s="23"/>
      <c r="G753" s="23"/>
      <c r="H753" s="23"/>
      <c r="I753" s="23"/>
      <c r="J753" s="42"/>
      <c r="K753" s="42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42"/>
      <c r="X753" s="21"/>
      <c r="Y753" s="22"/>
      <c r="Z753" s="23"/>
      <c r="AA753" s="24"/>
      <c r="AB753" s="44"/>
    </row>
    <row r="754" spans="1:28" x14ac:dyDescent="0.35">
      <c r="A754" s="23"/>
      <c r="B754" s="26"/>
      <c r="C754" s="23"/>
      <c r="D754" s="23"/>
      <c r="E754" s="23"/>
      <c r="F754" s="23"/>
      <c r="G754" s="23"/>
      <c r="H754" s="23"/>
      <c r="I754" s="23"/>
      <c r="J754" s="42"/>
      <c r="K754" s="42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42"/>
      <c r="X754" s="21"/>
      <c r="Y754" s="22"/>
      <c r="Z754" s="23"/>
      <c r="AA754" s="24"/>
      <c r="AB754" s="44"/>
    </row>
    <row r="755" spans="1:28" x14ac:dyDescent="0.35">
      <c r="A755" s="23"/>
      <c r="B755" s="26"/>
      <c r="C755" s="23"/>
      <c r="D755" s="23"/>
      <c r="E755" s="23"/>
      <c r="F755" s="23"/>
      <c r="G755" s="23"/>
      <c r="H755" s="23"/>
      <c r="I755" s="23"/>
      <c r="J755" s="42"/>
      <c r="K755" s="42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42"/>
      <c r="X755" s="21"/>
      <c r="Y755" s="22"/>
      <c r="Z755" s="23"/>
      <c r="AA755" s="24"/>
      <c r="AB755" s="44"/>
    </row>
    <row r="756" spans="1:28" x14ac:dyDescent="0.35">
      <c r="A756" s="23"/>
      <c r="B756" s="26"/>
      <c r="C756" s="23"/>
      <c r="D756" s="23"/>
      <c r="E756" s="23"/>
      <c r="F756" s="23"/>
      <c r="G756" s="23"/>
      <c r="H756" s="23"/>
      <c r="I756" s="23"/>
      <c r="J756" s="42"/>
      <c r="K756" s="42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42"/>
      <c r="X756" s="21"/>
      <c r="Y756" s="22"/>
      <c r="Z756" s="23"/>
      <c r="AA756" s="24"/>
      <c r="AB756" s="44"/>
    </row>
    <row r="757" spans="1:28" x14ac:dyDescent="0.35">
      <c r="A757" s="23"/>
      <c r="B757" s="26"/>
      <c r="C757" s="23"/>
      <c r="D757" s="23"/>
      <c r="E757" s="23"/>
      <c r="F757" s="23"/>
      <c r="G757" s="23"/>
      <c r="H757" s="23"/>
      <c r="I757" s="23"/>
      <c r="J757" s="42"/>
      <c r="K757" s="42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42"/>
      <c r="X757" s="21"/>
      <c r="Y757" s="22"/>
      <c r="Z757" s="23"/>
      <c r="AA757" s="24"/>
      <c r="AB757" s="44"/>
    </row>
    <row r="758" spans="1:28" x14ac:dyDescent="0.35">
      <c r="A758" s="23"/>
      <c r="B758" s="26"/>
      <c r="C758" s="23"/>
      <c r="D758" s="23"/>
      <c r="E758" s="23"/>
      <c r="F758" s="23"/>
      <c r="G758" s="23"/>
      <c r="H758" s="23"/>
      <c r="I758" s="23"/>
      <c r="J758" s="42"/>
      <c r="K758" s="42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42"/>
      <c r="X758" s="21"/>
      <c r="Y758" s="22"/>
      <c r="Z758" s="23"/>
      <c r="AA758" s="24"/>
      <c r="AB758" s="44"/>
    </row>
    <row r="759" spans="1:28" x14ac:dyDescent="0.35">
      <c r="A759" s="23"/>
      <c r="B759" s="26"/>
      <c r="C759" s="23"/>
      <c r="D759" s="23"/>
      <c r="E759" s="23"/>
      <c r="F759" s="23"/>
      <c r="G759" s="23"/>
      <c r="H759" s="23"/>
      <c r="I759" s="23"/>
      <c r="J759" s="42"/>
      <c r="K759" s="42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42"/>
      <c r="X759" s="21"/>
      <c r="Y759" s="22"/>
      <c r="Z759" s="23"/>
      <c r="AA759" s="24"/>
      <c r="AB759" s="44"/>
    </row>
    <row r="760" spans="1:28" x14ac:dyDescent="0.35">
      <c r="A760" s="23"/>
      <c r="B760" s="26"/>
      <c r="C760" s="23"/>
      <c r="D760" s="23"/>
      <c r="E760" s="23"/>
      <c r="F760" s="23"/>
      <c r="G760" s="23"/>
      <c r="H760" s="23"/>
      <c r="I760" s="23"/>
      <c r="J760" s="42"/>
      <c r="K760" s="42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42"/>
      <c r="X760" s="21"/>
      <c r="Y760" s="22"/>
      <c r="Z760" s="23"/>
      <c r="AA760" s="24"/>
      <c r="AB760" s="44"/>
    </row>
    <row r="761" spans="1:28" x14ac:dyDescent="0.35">
      <c r="A761" s="23"/>
      <c r="B761" s="26"/>
      <c r="C761" s="23"/>
      <c r="D761" s="23"/>
      <c r="E761" s="23"/>
      <c r="F761" s="23"/>
      <c r="G761" s="23"/>
      <c r="H761" s="23"/>
      <c r="I761" s="23"/>
      <c r="J761" s="42"/>
      <c r="K761" s="42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42"/>
      <c r="X761" s="21"/>
      <c r="Y761" s="22"/>
      <c r="Z761" s="23"/>
      <c r="AA761" s="24"/>
      <c r="AB761" s="44"/>
    </row>
    <row r="762" spans="1:28" x14ac:dyDescent="0.35">
      <c r="A762" s="23"/>
      <c r="B762" s="26"/>
      <c r="C762" s="23"/>
      <c r="D762" s="23"/>
      <c r="E762" s="23"/>
      <c r="F762" s="23"/>
      <c r="G762" s="23"/>
      <c r="H762" s="23"/>
      <c r="I762" s="23"/>
      <c r="J762" s="42"/>
      <c r="K762" s="42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42"/>
      <c r="X762" s="21"/>
      <c r="Y762" s="22"/>
      <c r="Z762" s="23"/>
      <c r="AA762" s="24"/>
      <c r="AB762" s="44"/>
    </row>
    <row r="763" spans="1:28" x14ac:dyDescent="0.35">
      <c r="A763" s="23"/>
      <c r="B763" s="26"/>
      <c r="C763" s="23"/>
      <c r="D763" s="23"/>
      <c r="E763" s="23"/>
      <c r="F763" s="23"/>
      <c r="G763" s="23"/>
      <c r="H763" s="23"/>
      <c r="I763" s="23"/>
      <c r="J763" s="42"/>
      <c r="K763" s="42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42"/>
      <c r="X763" s="21"/>
      <c r="Y763" s="22"/>
      <c r="Z763" s="23"/>
      <c r="AA763" s="24"/>
      <c r="AB763" s="44"/>
    </row>
    <row r="764" spans="1:28" x14ac:dyDescent="0.35">
      <c r="A764" s="23"/>
      <c r="B764" s="26"/>
      <c r="C764" s="23"/>
      <c r="D764" s="23"/>
      <c r="E764" s="23"/>
      <c r="F764" s="23"/>
      <c r="G764" s="23"/>
      <c r="H764" s="23"/>
      <c r="I764" s="23"/>
      <c r="J764" s="42"/>
      <c r="K764" s="42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42"/>
      <c r="X764" s="21"/>
      <c r="Y764" s="22"/>
      <c r="Z764" s="23"/>
      <c r="AA764" s="24"/>
      <c r="AB764" s="44"/>
    </row>
    <row r="765" spans="1:28" x14ac:dyDescent="0.35">
      <c r="A765" s="23"/>
      <c r="B765" s="26"/>
      <c r="C765" s="23"/>
      <c r="D765" s="23"/>
      <c r="E765" s="23"/>
      <c r="F765" s="23"/>
      <c r="G765" s="23"/>
      <c r="H765" s="23"/>
      <c r="I765" s="23"/>
      <c r="J765" s="42"/>
      <c r="K765" s="42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42"/>
      <c r="X765" s="21"/>
      <c r="Y765" s="22"/>
      <c r="Z765" s="23"/>
      <c r="AA765" s="24"/>
      <c r="AB765" s="44"/>
    </row>
    <row r="766" spans="1:28" x14ac:dyDescent="0.35">
      <c r="A766" s="23"/>
      <c r="B766" s="26"/>
      <c r="C766" s="23"/>
      <c r="D766" s="23"/>
      <c r="E766" s="23"/>
      <c r="F766" s="23"/>
      <c r="G766" s="23"/>
      <c r="H766" s="23"/>
      <c r="I766" s="23"/>
      <c r="J766" s="42"/>
      <c r="K766" s="42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42"/>
      <c r="X766" s="21"/>
      <c r="Y766" s="22"/>
      <c r="Z766" s="23"/>
      <c r="AA766" s="24"/>
      <c r="AB766" s="44"/>
    </row>
    <row r="767" spans="1:28" x14ac:dyDescent="0.35">
      <c r="A767" s="23"/>
      <c r="B767" s="26"/>
      <c r="C767" s="23"/>
      <c r="D767" s="23"/>
      <c r="E767" s="23"/>
      <c r="F767" s="23"/>
      <c r="G767" s="23"/>
      <c r="H767" s="23"/>
      <c r="I767" s="23"/>
      <c r="J767" s="42"/>
      <c r="K767" s="42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42"/>
      <c r="X767" s="21"/>
      <c r="Y767" s="22"/>
      <c r="Z767" s="23"/>
      <c r="AA767" s="24"/>
      <c r="AB767" s="44"/>
    </row>
    <row r="768" spans="1:28" x14ac:dyDescent="0.35">
      <c r="A768" s="23"/>
      <c r="B768" s="26"/>
      <c r="C768" s="23"/>
      <c r="D768" s="23"/>
      <c r="E768" s="23"/>
      <c r="F768" s="23"/>
      <c r="G768" s="23"/>
      <c r="H768" s="23"/>
      <c r="I768" s="23"/>
      <c r="J768" s="42"/>
      <c r="K768" s="42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42"/>
      <c r="X768" s="21"/>
      <c r="Y768" s="22"/>
      <c r="Z768" s="23"/>
      <c r="AA768" s="24"/>
      <c r="AB768" s="44"/>
    </row>
    <row r="769" spans="1:28" x14ac:dyDescent="0.35">
      <c r="A769" s="23"/>
      <c r="B769" s="26"/>
      <c r="C769" s="23"/>
      <c r="D769" s="23"/>
      <c r="E769" s="23"/>
      <c r="F769" s="23"/>
      <c r="G769" s="23"/>
      <c r="H769" s="23"/>
      <c r="I769" s="23"/>
      <c r="J769" s="42"/>
      <c r="K769" s="42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42"/>
      <c r="X769" s="21"/>
      <c r="Y769" s="22"/>
      <c r="Z769" s="23"/>
      <c r="AA769" s="24"/>
      <c r="AB769" s="44"/>
    </row>
    <row r="770" spans="1:28" x14ac:dyDescent="0.35">
      <c r="A770" s="23"/>
      <c r="B770" s="26"/>
      <c r="C770" s="23"/>
      <c r="D770" s="23"/>
      <c r="E770" s="23"/>
      <c r="F770" s="23"/>
      <c r="G770" s="23"/>
      <c r="H770" s="23"/>
      <c r="I770" s="23"/>
      <c r="J770" s="42"/>
      <c r="K770" s="42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42"/>
      <c r="X770" s="21"/>
      <c r="Y770" s="22"/>
      <c r="Z770" s="23"/>
      <c r="AA770" s="24"/>
      <c r="AB770" s="44"/>
    </row>
    <row r="771" spans="1:28" x14ac:dyDescent="0.35">
      <c r="A771" s="23"/>
      <c r="B771" s="26"/>
      <c r="C771" s="23"/>
      <c r="D771" s="23"/>
      <c r="E771" s="23"/>
      <c r="F771" s="23"/>
      <c r="G771" s="23"/>
      <c r="H771" s="23"/>
      <c r="I771" s="23"/>
      <c r="J771" s="42"/>
      <c r="K771" s="42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42"/>
      <c r="X771" s="21"/>
      <c r="Y771" s="22"/>
      <c r="Z771" s="23"/>
      <c r="AA771" s="24"/>
      <c r="AB771" s="44"/>
    </row>
    <row r="772" spans="1:28" x14ac:dyDescent="0.35">
      <c r="A772" s="23"/>
      <c r="B772" s="26"/>
      <c r="C772" s="23"/>
      <c r="D772" s="23"/>
      <c r="E772" s="23"/>
      <c r="F772" s="23"/>
      <c r="G772" s="23"/>
      <c r="H772" s="23"/>
      <c r="I772" s="23"/>
      <c r="J772" s="42"/>
      <c r="K772" s="42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42"/>
      <c r="X772" s="21"/>
      <c r="Y772" s="22"/>
      <c r="Z772" s="23"/>
      <c r="AA772" s="24"/>
      <c r="AB772" s="44"/>
    </row>
    <row r="773" spans="1:28" x14ac:dyDescent="0.35">
      <c r="A773" s="23"/>
      <c r="B773" s="26"/>
      <c r="C773" s="23"/>
      <c r="D773" s="23"/>
      <c r="E773" s="23"/>
      <c r="F773" s="23"/>
      <c r="G773" s="23"/>
      <c r="H773" s="23"/>
      <c r="I773" s="23"/>
      <c r="J773" s="42"/>
      <c r="K773" s="42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42"/>
      <c r="X773" s="21"/>
      <c r="Y773" s="22"/>
      <c r="Z773" s="23"/>
      <c r="AA773" s="24"/>
      <c r="AB773" s="44"/>
    </row>
    <row r="774" spans="1:28" x14ac:dyDescent="0.35">
      <c r="A774" s="23"/>
      <c r="B774" s="26"/>
      <c r="C774" s="23"/>
      <c r="D774" s="23"/>
      <c r="E774" s="23"/>
      <c r="F774" s="23"/>
      <c r="G774" s="23"/>
      <c r="H774" s="23"/>
      <c r="I774" s="23"/>
      <c r="J774" s="42"/>
      <c r="K774" s="42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42"/>
      <c r="X774" s="21"/>
      <c r="Y774" s="22"/>
      <c r="Z774" s="23"/>
      <c r="AA774" s="24"/>
      <c r="AB774" s="44"/>
    </row>
    <row r="775" spans="1:28" x14ac:dyDescent="0.35">
      <c r="A775" s="23"/>
      <c r="B775" s="26"/>
      <c r="C775" s="23"/>
      <c r="D775" s="23"/>
      <c r="E775" s="23"/>
      <c r="F775" s="23"/>
      <c r="G775" s="23"/>
      <c r="H775" s="23"/>
      <c r="I775" s="23"/>
      <c r="J775" s="42"/>
      <c r="K775" s="42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42"/>
      <c r="X775" s="21"/>
      <c r="Y775" s="22"/>
      <c r="Z775" s="23"/>
      <c r="AA775" s="24"/>
      <c r="AB775" s="44"/>
    </row>
    <row r="776" spans="1:28" x14ac:dyDescent="0.35">
      <c r="A776" s="23"/>
      <c r="B776" s="26"/>
      <c r="C776" s="23"/>
      <c r="D776" s="23"/>
      <c r="E776" s="23"/>
      <c r="F776" s="23"/>
      <c r="G776" s="23"/>
      <c r="H776" s="23"/>
      <c r="I776" s="23"/>
      <c r="J776" s="42"/>
      <c r="K776" s="42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42"/>
      <c r="X776" s="21"/>
      <c r="Y776" s="22"/>
      <c r="Z776" s="23"/>
      <c r="AA776" s="24"/>
      <c r="AB776" s="44"/>
    </row>
    <row r="777" spans="1:28" x14ac:dyDescent="0.35">
      <c r="A777" s="23"/>
      <c r="B777" s="26"/>
      <c r="C777" s="23"/>
      <c r="D777" s="23"/>
      <c r="E777" s="23"/>
      <c r="F777" s="23"/>
      <c r="G777" s="23"/>
      <c r="H777" s="23"/>
      <c r="I777" s="23"/>
      <c r="J777" s="42"/>
      <c r="K777" s="42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42"/>
      <c r="X777" s="21"/>
      <c r="Y777" s="22"/>
      <c r="Z777" s="23"/>
      <c r="AA777" s="24"/>
      <c r="AB777" s="44"/>
    </row>
    <row r="778" spans="1:28" x14ac:dyDescent="0.35">
      <c r="A778" s="23"/>
      <c r="B778" s="26"/>
      <c r="C778" s="23"/>
      <c r="D778" s="23"/>
      <c r="E778" s="23"/>
      <c r="F778" s="23"/>
      <c r="G778" s="23"/>
      <c r="H778" s="23"/>
      <c r="I778" s="23"/>
      <c r="J778" s="42"/>
      <c r="K778" s="42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42"/>
      <c r="X778" s="21"/>
      <c r="Y778" s="22"/>
      <c r="Z778" s="23"/>
      <c r="AA778" s="24"/>
      <c r="AB778" s="44"/>
    </row>
    <row r="779" spans="1:28" x14ac:dyDescent="0.35">
      <c r="A779" s="23"/>
      <c r="B779" s="26"/>
      <c r="C779" s="23"/>
      <c r="D779" s="23"/>
      <c r="E779" s="23"/>
      <c r="F779" s="23"/>
      <c r="G779" s="23"/>
      <c r="H779" s="23"/>
      <c r="I779" s="23"/>
      <c r="J779" s="42"/>
      <c r="K779" s="42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42"/>
      <c r="X779" s="21"/>
      <c r="Y779" s="22"/>
      <c r="Z779" s="23"/>
      <c r="AA779" s="24"/>
      <c r="AB779" s="44"/>
    </row>
    <row r="780" spans="1:28" x14ac:dyDescent="0.35">
      <c r="A780" s="23"/>
      <c r="B780" s="26"/>
      <c r="C780" s="23"/>
      <c r="D780" s="23"/>
      <c r="E780" s="23"/>
      <c r="F780" s="23"/>
      <c r="G780" s="23"/>
      <c r="H780" s="23"/>
      <c r="I780" s="23"/>
      <c r="J780" s="42"/>
      <c r="K780" s="42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42"/>
      <c r="X780" s="21"/>
      <c r="Y780" s="22"/>
      <c r="Z780" s="23"/>
      <c r="AA780" s="24"/>
      <c r="AB780" s="44"/>
    </row>
    <row r="781" spans="1:28" x14ac:dyDescent="0.35">
      <c r="A781" s="23"/>
      <c r="B781" s="26"/>
      <c r="C781" s="23"/>
      <c r="D781" s="23"/>
      <c r="E781" s="23"/>
      <c r="F781" s="23"/>
      <c r="G781" s="23"/>
      <c r="H781" s="23"/>
      <c r="I781" s="23"/>
      <c r="J781" s="42"/>
      <c r="K781" s="42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42"/>
      <c r="X781" s="21"/>
      <c r="Y781" s="22"/>
      <c r="Z781" s="23"/>
      <c r="AA781" s="24"/>
      <c r="AB781" s="44"/>
    </row>
    <row r="782" spans="1:28" x14ac:dyDescent="0.35">
      <c r="A782" s="23"/>
      <c r="B782" s="26"/>
      <c r="C782" s="23"/>
      <c r="D782" s="23"/>
      <c r="E782" s="23"/>
      <c r="F782" s="23"/>
      <c r="G782" s="23"/>
      <c r="H782" s="23"/>
      <c r="I782" s="23"/>
      <c r="J782" s="42"/>
      <c r="K782" s="42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42"/>
      <c r="X782" s="21"/>
      <c r="Y782" s="22"/>
      <c r="Z782" s="23"/>
      <c r="AA782" s="24"/>
      <c r="AB782" s="44"/>
    </row>
    <row r="783" spans="1:28" x14ac:dyDescent="0.35">
      <c r="A783" s="23"/>
      <c r="B783" s="26"/>
      <c r="C783" s="23"/>
      <c r="D783" s="23"/>
      <c r="E783" s="23"/>
      <c r="F783" s="23"/>
      <c r="G783" s="23"/>
      <c r="H783" s="23"/>
      <c r="I783" s="23"/>
      <c r="J783" s="42"/>
      <c r="K783" s="42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42"/>
      <c r="X783" s="21"/>
      <c r="Y783" s="22"/>
      <c r="Z783" s="23"/>
      <c r="AA783" s="24"/>
      <c r="AB783" s="44"/>
    </row>
    <row r="784" spans="1:28" x14ac:dyDescent="0.35">
      <c r="A784" s="23"/>
      <c r="B784" s="26"/>
      <c r="C784" s="23"/>
      <c r="D784" s="23"/>
      <c r="E784" s="23"/>
      <c r="F784" s="23"/>
      <c r="G784" s="23"/>
      <c r="H784" s="23"/>
      <c r="I784" s="23"/>
      <c r="J784" s="42"/>
      <c r="K784" s="42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42"/>
      <c r="X784" s="21"/>
      <c r="Y784" s="22"/>
      <c r="Z784" s="23"/>
      <c r="AA784" s="24"/>
      <c r="AB784" s="44"/>
    </row>
    <row r="785" spans="1:28" x14ac:dyDescent="0.35">
      <c r="A785" s="23"/>
      <c r="B785" s="26"/>
      <c r="C785" s="23"/>
      <c r="D785" s="23"/>
      <c r="E785" s="23"/>
      <c r="F785" s="23"/>
      <c r="G785" s="23"/>
      <c r="H785" s="23"/>
      <c r="I785" s="23"/>
      <c r="J785" s="42"/>
      <c r="K785" s="42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42"/>
      <c r="X785" s="21"/>
      <c r="Y785" s="22"/>
      <c r="Z785" s="23"/>
      <c r="AA785" s="24"/>
      <c r="AB785" s="44"/>
    </row>
    <row r="786" spans="1:28" x14ac:dyDescent="0.35">
      <c r="A786" s="23"/>
      <c r="B786" s="26"/>
      <c r="C786" s="23"/>
      <c r="D786" s="23"/>
      <c r="E786" s="23"/>
      <c r="F786" s="23"/>
      <c r="G786" s="23"/>
      <c r="H786" s="23"/>
      <c r="I786" s="23"/>
      <c r="J786" s="42"/>
      <c r="K786" s="42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42"/>
      <c r="X786" s="21"/>
      <c r="Y786" s="22"/>
      <c r="Z786" s="23"/>
      <c r="AA786" s="24"/>
      <c r="AB786" s="44"/>
    </row>
    <row r="787" spans="1:28" x14ac:dyDescent="0.35">
      <c r="A787" s="23"/>
      <c r="B787" s="26"/>
      <c r="C787" s="23"/>
      <c r="D787" s="23"/>
      <c r="E787" s="23"/>
      <c r="F787" s="23"/>
      <c r="G787" s="23"/>
      <c r="H787" s="23"/>
      <c r="I787" s="23"/>
      <c r="J787" s="42"/>
      <c r="K787" s="42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42"/>
      <c r="X787" s="21"/>
      <c r="Y787" s="22"/>
      <c r="Z787" s="23"/>
      <c r="AA787" s="24"/>
      <c r="AB787" s="44"/>
    </row>
    <row r="788" spans="1:28" x14ac:dyDescent="0.35">
      <c r="A788" s="23"/>
      <c r="B788" s="26"/>
      <c r="C788" s="23"/>
      <c r="D788" s="23"/>
      <c r="E788" s="23"/>
      <c r="F788" s="23"/>
      <c r="G788" s="23"/>
      <c r="H788" s="23"/>
      <c r="I788" s="23"/>
      <c r="J788" s="42"/>
      <c r="K788" s="42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42"/>
      <c r="X788" s="21"/>
      <c r="Y788" s="22"/>
      <c r="Z788" s="23"/>
      <c r="AA788" s="24"/>
      <c r="AB788" s="44"/>
    </row>
    <row r="789" spans="1:28" x14ac:dyDescent="0.35">
      <c r="A789" s="23"/>
      <c r="B789" s="26"/>
      <c r="C789" s="23"/>
      <c r="D789" s="23"/>
      <c r="E789" s="23"/>
      <c r="F789" s="23"/>
      <c r="G789" s="23"/>
      <c r="H789" s="23"/>
      <c r="I789" s="23"/>
      <c r="J789" s="42"/>
      <c r="K789" s="42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42"/>
      <c r="X789" s="21"/>
      <c r="Y789" s="22"/>
      <c r="Z789" s="23"/>
      <c r="AA789" s="24"/>
      <c r="AB789" s="44"/>
    </row>
    <row r="790" spans="1:28" x14ac:dyDescent="0.35">
      <c r="A790" s="23"/>
      <c r="B790" s="26"/>
      <c r="C790" s="23"/>
      <c r="D790" s="23"/>
      <c r="E790" s="23"/>
      <c r="F790" s="23"/>
      <c r="G790" s="23"/>
      <c r="H790" s="23"/>
      <c r="I790" s="23"/>
      <c r="J790" s="42"/>
      <c r="K790" s="42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42"/>
      <c r="X790" s="21"/>
      <c r="Y790" s="22"/>
      <c r="Z790" s="23"/>
      <c r="AA790" s="24"/>
      <c r="AB790" s="44"/>
    </row>
    <row r="791" spans="1:28" x14ac:dyDescent="0.35">
      <c r="A791" s="23"/>
      <c r="B791" s="26"/>
      <c r="C791" s="23"/>
      <c r="D791" s="23"/>
      <c r="E791" s="23"/>
      <c r="F791" s="23"/>
      <c r="G791" s="23"/>
      <c r="H791" s="23"/>
      <c r="I791" s="23"/>
      <c r="J791" s="42"/>
      <c r="K791" s="42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42"/>
      <c r="X791" s="21"/>
      <c r="Y791" s="22"/>
      <c r="Z791" s="23"/>
      <c r="AA791" s="24"/>
      <c r="AB791" s="44"/>
    </row>
    <row r="792" spans="1:28" x14ac:dyDescent="0.35">
      <c r="A792" s="23"/>
      <c r="B792" s="26"/>
      <c r="C792" s="23"/>
      <c r="D792" s="23"/>
      <c r="E792" s="23"/>
      <c r="F792" s="23"/>
      <c r="G792" s="23"/>
      <c r="H792" s="23"/>
      <c r="I792" s="23"/>
      <c r="J792" s="42"/>
      <c r="K792" s="42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42"/>
      <c r="X792" s="21"/>
      <c r="Y792" s="22"/>
      <c r="Z792" s="23"/>
      <c r="AA792" s="24"/>
      <c r="AB792" s="44"/>
    </row>
    <row r="793" spans="1:28" x14ac:dyDescent="0.35">
      <c r="A793" s="23"/>
      <c r="B793" s="26"/>
      <c r="C793" s="23"/>
      <c r="D793" s="23"/>
      <c r="E793" s="23"/>
      <c r="F793" s="23"/>
      <c r="G793" s="23"/>
      <c r="H793" s="23"/>
      <c r="I793" s="23"/>
      <c r="J793" s="42"/>
      <c r="K793" s="42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42"/>
      <c r="X793" s="21"/>
      <c r="Y793" s="22"/>
      <c r="Z793" s="23"/>
      <c r="AA793" s="24"/>
      <c r="AB793" s="44"/>
    </row>
    <row r="794" spans="1:28" x14ac:dyDescent="0.35">
      <c r="A794" s="23"/>
      <c r="B794" s="26"/>
      <c r="C794" s="23"/>
      <c r="D794" s="23"/>
      <c r="E794" s="23"/>
      <c r="F794" s="23"/>
      <c r="G794" s="23"/>
      <c r="H794" s="23"/>
      <c r="I794" s="23"/>
      <c r="J794" s="42"/>
      <c r="K794" s="42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42"/>
      <c r="X794" s="21"/>
      <c r="Y794" s="22"/>
      <c r="Z794" s="23"/>
      <c r="AA794" s="24"/>
      <c r="AB794" s="44"/>
    </row>
    <row r="795" spans="1:28" x14ac:dyDescent="0.35">
      <c r="A795" s="23"/>
      <c r="B795" s="26"/>
      <c r="C795" s="23"/>
      <c r="D795" s="23"/>
      <c r="E795" s="23"/>
      <c r="F795" s="23"/>
      <c r="G795" s="23"/>
      <c r="H795" s="23"/>
      <c r="I795" s="23"/>
      <c r="J795" s="42"/>
      <c r="K795" s="42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42"/>
      <c r="X795" s="21"/>
      <c r="Y795" s="22"/>
      <c r="Z795" s="23"/>
      <c r="AA795" s="24"/>
      <c r="AB795" s="44"/>
    </row>
    <row r="796" spans="1:28" x14ac:dyDescent="0.35">
      <c r="A796" s="23"/>
      <c r="B796" s="26"/>
      <c r="C796" s="23"/>
      <c r="D796" s="23"/>
      <c r="E796" s="23"/>
      <c r="F796" s="23"/>
      <c r="G796" s="23"/>
      <c r="H796" s="23"/>
      <c r="I796" s="23"/>
      <c r="J796" s="42"/>
      <c r="K796" s="42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42"/>
      <c r="X796" s="21"/>
      <c r="Y796" s="22"/>
      <c r="Z796" s="23"/>
      <c r="AA796" s="24"/>
      <c r="AB796" s="44"/>
    </row>
    <row r="797" spans="1:28" x14ac:dyDescent="0.35">
      <c r="A797" s="23"/>
      <c r="B797" s="26"/>
      <c r="C797" s="23"/>
      <c r="D797" s="23"/>
      <c r="E797" s="23"/>
      <c r="F797" s="23"/>
      <c r="G797" s="23"/>
      <c r="H797" s="23"/>
      <c r="I797" s="23"/>
      <c r="J797" s="42"/>
      <c r="K797" s="42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42"/>
      <c r="X797" s="21"/>
      <c r="Y797" s="22"/>
      <c r="Z797" s="23"/>
      <c r="AA797" s="24"/>
      <c r="AB797" s="44"/>
    </row>
    <row r="798" spans="1:28" x14ac:dyDescent="0.35">
      <c r="A798" s="23"/>
      <c r="B798" s="26"/>
      <c r="C798" s="23"/>
      <c r="D798" s="23"/>
      <c r="E798" s="23"/>
      <c r="F798" s="23"/>
      <c r="G798" s="23"/>
      <c r="H798" s="23"/>
      <c r="I798" s="23"/>
      <c r="J798" s="42"/>
      <c r="K798" s="42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42"/>
      <c r="X798" s="21"/>
      <c r="Y798" s="22"/>
      <c r="Z798" s="23"/>
      <c r="AA798" s="24"/>
      <c r="AB798" s="44"/>
    </row>
    <row r="799" spans="1:28" x14ac:dyDescent="0.35">
      <c r="A799" s="23"/>
      <c r="B799" s="26"/>
      <c r="C799" s="23"/>
      <c r="D799" s="23"/>
      <c r="E799" s="23"/>
      <c r="F799" s="23"/>
      <c r="G799" s="23"/>
      <c r="H799" s="23"/>
      <c r="I799" s="23"/>
      <c r="J799" s="42"/>
      <c r="K799" s="42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42"/>
      <c r="X799" s="21"/>
      <c r="Y799" s="22"/>
      <c r="Z799" s="23"/>
      <c r="AA799" s="24"/>
      <c r="AB799" s="44"/>
    </row>
    <row r="800" spans="1:28" x14ac:dyDescent="0.35">
      <c r="A800" s="23"/>
      <c r="B800" s="26"/>
      <c r="C800" s="23"/>
      <c r="D800" s="23"/>
      <c r="E800" s="23"/>
      <c r="F800" s="23"/>
      <c r="G800" s="23"/>
      <c r="H800" s="23"/>
      <c r="I800" s="23"/>
      <c r="J800" s="42"/>
      <c r="K800" s="42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42"/>
      <c r="X800" s="21"/>
      <c r="Y800" s="22"/>
      <c r="Z800" s="23"/>
      <c r="AA800" s="24"/>
      <c r="AB800" s="44"/>
    </row>
    <row r="801" spans="1:28" x14ac:dyDescent="0.35">
      <c r="A801" s="23"/>
      <c r="B801" s="26"/>
      <c r="C801" s="23"/>
      <c r="D801" s="23"/>
      <c r="E801" s="23"/>
      <c r="F801" s="23"/>
      <c r="G801" s="23"/>
      <c r="H801" s="23"/>
      <c r="I801" s="23"/>
      <c r="J801" s="42"/>
      <c r="K801" s="42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42"/>
      <c r="X801" s="21"/>
      <c r="Y801" s="22"/>
      <c r="Z801" s="23"/>
      <c r="AA801" s="24"/>
      <c r="AB801" s="44"/>
    </row>
    <row r="802" spans="1:28" x14ac:dyDescent="0.35">
      <c r="A802" s="23"/>
      <c r="B802" s="26"/>
      <c r="C802" s="23"/>
      <c r="D802" s="23"/>
      <c r="E802" s="23"/>
      <c r="F802" s="23"/>
      <c r="G802" s="23"/>
      <c r="H802" s="23"/>
      <c r="I802" s="23"/>
      <c r="J802" s="42"/>
      <c r="K802" s="42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42"/>
      <c r="X802" s="21"/>
      <c r="Y802" s="22"/>
      <c r="Z802" s="23"/>
      <c r="AA802" s="24"/>
      <c r="AB802" s="44"/>
    </row>
    <row r="803" spans="1:28" x14ac:dyDescent="0.35">
      <c r="A803" s="23"/>
      <c r="B803" s="26"/>
      <c r="C803" s="23"/>
      <c r="D803" s="23"/>
      <c r="E803" s="23"/>
      <c r="F803" s="23"/>
      <c r="G803" s="23"/>
      <c r="H803" s="23"/>
      <c r="I803" s="23"/>
      <c r="J803" s="42"/>
      <c r="K803" s="42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42"/>
      <c r="X803" s="21"/>
      <c r="Y803" s="22"/>
      <c r="Z803" s="23"/>
      <c r="AA803" s="24"/>
      <c r="AB803" s="44"/>
    </row>
    <row r="804" spans="1:28" x14ac:dyDescent="0.35">
      <c r="A804" s="23"/>
      <c r="B804" s="26"/>
      <c r="C804" s="23"/>
      <c r="D804" s="23"/>
      <c r="E804" s="23"/>
      <c r="F804" s="23"/>
      <c r="G804" s="23"/>
      <c r="H804" s="23"/>
      <c r="I804" s="23"/>
      <c r="J804" s="42"/>
      <c r="K804" s="42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42"/>
      <c r="X804" s="21"/>
      <c r="Y804" s="22"/>
      <c r="Z804" s="23"/>
      <c r="AA804" s="24"/>
      <c r="AB804" s="44"/>
    </row>
    <row r="805" spans="1:28" x14ac:dyDescent="0.35">
      <c r="A805" s="23"/>
      <c r="B805" s="26"/>
      <c r="C805" s="23"/>
      <c r="D805" s="23"/>
      <c r="E805" s="23"/>
      <c r="F805" s="23"/>
      <c r="G805" s="23"/>
      <c r="H805" s="23"/>
      <c r="I805" s="23"/>
      <c r="J805" s="42"/>
      <c r="K805" s="42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42"/>
      <c r="X805" s="21"/>
      <c r="Y805" s="22"/>
      <c r="Z805" s="23"/>
      <c r="AA805" s="24"/>
      <c r="AB805" s="44"/>
    </row>
    <row r="806" spans="1:28" x14ac:dyDescent="0.35">
      <c r="A806" s="23"/>
      <c r="B806" s="26"/>
      <c r="C806" s="23"/>
      <c r="D806" s="23"/>
      <c r="E806" s="23"/>
      <c r="F806" s="23"/>
      <c r="G806" s="23"/>
      <c r="H806" s="23"/>
      <c r="I806" s="23"/>
      <c r="J806" s="42"/>
      <c r="K806" s="42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42"/>
      <c r="X806" s="21"/>
      <c r="Y806" s="22"/>
      <c r="Z806" s="23"/>
      <c r="AA806" s="24"/>
      <c r="AB806" s="44"/>
    </row>
    <row r="807" spans="1:28" x14ac:dyDescent="0.35">
      <c r="A807" s="23"/>
      <c r="B807" s="26"/>
      <c r="C807" s="23"/>
      <c r="D807" s="23"/>
      <c r="E807" s="23"/>
      <c r="F807" s="23"/>
      <c r="G807" s="23"/>
      <c r="H807" s="23"/>
      <c r="I807" s="23"/>
      <c r="J807" s="42"/>
      <c r="K807" s="42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42"/>
      <c r="X807" s="21"/>
      <c r="Y807" s="22"/>
      <c r="Z807" s="23"/>
      <c r="AA807" s="24"/>
      <c r="AB807" s="44"/>
    </row>
    <row r="808" spans="1:28" x14ac:dyDescent="0.35">
      <c r="A808" s="23"/>
      <c r="B808" s="26"/>
      <c r="C808" s="23"/>
      <c r="D808" s="23"/>
      <c r="E808" s="23"/>
      <c r="F808" s="23"/>
      <c r="G808" s="23"/>
      <c r="H808" s="23"/>
      <c r="I808" s="23"/>
      <c r="J808" s="42"/>
      <c r="K808" s="42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42"/>
      <c r="X808" s="21"/>
      <c r="Y808" s="22"/>
      <c r="Z808" s="23"/>
      <c r="AA808" s="24"/>
      <c r="AB808" s="44"/>
    </row>
    <row r="809" spans="1:28" x14ac:dyDescent="0.35">
      <c r="A809" s="23"/>
      <c r="B809" s="26"/>
      <c r="C809" s="23"/>
      <c r="D809" s="23"/>
      <c r="E809" s="23"/>
      <c r="F809" s="23"/>
      <c r="G809" s="23"/>
      <c r="H809" s="23"/>
      <c r="I809" s="23"/>
      <c r="J809" s="42"/>
      <c r="K809" s="42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42"/>
      <c r="X809" s="21"/>
      <c r="Y809" s="22"/>
      <c r="Z809" s="23"/>
      <c r="AA809" s="24"/>
      <c r="AB809" s="44"/>
    </row>
    <row r="810" spans="1:28" x14ac:dyDescent="0.35">
      <c r="A810" s="23"/>
      <c r="B810" s="26"/>
      <c r="C810" s="23"/>
      <c r="D810" s="23"/>
      <c r="E810" s="23"/>
      <c r="F810" s="23"/>
      <c r="G810" s="23"/>
      <c r="H810" s="23"/>
      <c r="I810" s="23"/>
      <c r="J810" s="42"/>
      <c r="K810" s="42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42"/>
      <c r="X810" s="21"/>
      <c r="Y810" s="22"/>
      <c r="Z810" s="23"/>
      <c r="AA810" s="24"/>
      <c r="AB810" s="44"/>
    </row>
    <row r="811" spans="1:28" x14ac:dyDescent="0.35">
      <c r="A811" s="23"/>
      <c r="B811" s="26"/>
      <c r="C811" s="23"/>
      <c r="D811" s="23"/>
      <c r="E811" s="23"/>
      <c r="F811" s="23"/>
      <c r="G811" s="23"/>
      <c r="H811" s="23"/>
      <c r="I811" s="23"/>
      <c r="J811" s="42"/>
      <c r="K811" s="42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42"/>
      <c r="X811" s="21"/>
      <c r="Y811" s="22"/>
      <c r="Z811" s="23"/>
      <c r="AA811" s="24"/>
      <c r="AB811" s="44"/>
    </row>
    <row r="812" spans="1:28" x14ac:dyDescent="0.35">
      <c r="A812" s="23"/>
      <c r="B812" s="26"/>
      <c r="C812" s="23"/>
      <c r="D812" s="23"/>
      <c r="E812" s="23"/>
      <c r="F812" s="23"/>
      <c r="G812" s="23"/>
      <c r="H812" s="23"/>
      <c r="I812" s="23"/>
      <c r="J812" s="42"/>
      <c r="K812" s="42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42"/>
      <c r="X812" s="21"/>
      <c r="Y812" s="22"/>
      <c r="Z812" s="23"/>
      <c r="AA812" s="24"/>
      <c r="AB812" s="44"/>
    </row>
    <row r="813" spans="1:28" x14ac:dyDescent="0.35">
      <c r="A813" s="23"/>
      <c r="B813" s="26"/>
      <c r="C813" s="23"/>
      <c r="D813" s="23"/>
      <c r="E813" s="23"/>
      <c r="F813" s="23"/>
      <c r="G813" s="23"/>
      <c r="H813" s="23"/>
      <c r="I813" s="23"/>
      <c r="J813" s="42"/>
      <c r="K813" s="42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42"/>
      <c r="X813" s="21"/>
      <c r="Y813" s="22"/>
      <c r="Z813" s="23"/>
      <c r="AA813" s="24"/>
      <c r="AB813" s="44"/>
    </row>
    <row r="814" spans="1:28" x14ac:dyDescent="0.35">
      <c r="A814" s="23"/>
      <c r="B814" s="26"/>
      <c r="C814" s="23"/>
      <c r="D814" s="23"/>
      <c r="E814" s="23"/>
      <c r="F814" s="23"/>
      <c r="G814" s="23"/>
      <c r="H814" s="23"/>
      <c r="I814" s="23"/>
      <c r="J814" s="42"/>
      <c r="K814" s="42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42"/>
      <c r="X814" s="21"/>
      <c r="Y814" s="22"/>
      <c r="Z814" s="23"/>
      <c r="AA814" s="24"/>
      <c r="AB814" s="44"/>
    </row>
    <row r="815" spans="1:28" x14ac:dyDescent="0.35">
      <c r="A815" s="23"/>
      <c r="B815" s="26"/>
      <c r="C815" s="23"/>
      <c r="D815" s="23"/>
      <c r="E815" s="23"/>
      <c r="F815" s="23"/>
      <c r="G815" s="23"/>
      <c r="H815" s="23"/>
      <c r="I815" s="23"/>
      <c r="J815" s="42"/>
      <c r="K815" s="42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42"/>
      <c r="X815" s="21"/>
      <c r="Y815" s="22"/>
      <c r="Z815" s="23"/>
      <c r="AA815" s="24"/>
      <c r="AB815" s="44"/>
    </row>
    <row r="816" spans="1:28" x14ac:dyDescent="0.35">
      <c r="A816" s="23"/>
      <c r="B816" s="26"/>
      <c r="C816" s="23"/>
      <c r="D816" s="23"/>
      <c r="E816" s="23"/>
      <c r="F816" s="23"/>
      <c r="G816" s="23"/>
      <c r="H816" s="23"/>
      <c r="I816" s="23"/>
      <c r="J816" s="42"/>
      <c r="K816" s="42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42"/>
      <c r="X816" s="21"/>
      <c r="Y816" s="22"/>
      <c r="Z816" s="23"/>
      <c r="AA816" s="24"/>
      <c r="AB816" s="44"/>
    </row>
    <row r="817" spans="1:28" x14ac:dyDescent="0.35">
      <c r="A817" s="23"/>
      <c r="B817" s="26"/>
      <c r="C817" s="23"/>
      <c r="D817" s="23"/>
      <c r="E817" s="23"/>
      <c r="F817" s="23"/>
      <c r="G817" s="23"/>
      <c r="H817" s="23"/>
      <c r="I817" s="23"/>
      <c r="J817" s="42"/>
      <c r="K817" s="42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42"/>
      <c r="X817" s="21"/>
      <c r="Y817" s="22"/>
      <c r="Z817" s="23"/>
      <c r="AA817" s="24"/>
      <c r="AB817" s="44"/>
    </row>
    <row r="818" spans="1:28" x14ac:dyDescent="0.35">
      <c r="A818" s="23"/>
      <c r="B818" s="26"/>
      <c r="C818" s="23"/>
      <c r="D818" s="23"/>
      <c r="E818" s="23"/>
      <c r="F818" s="23"/>
      <c r="G818" s="23"/>
      <c r="H818" s="23"/>
      <c r="I818" s="23"/>
      <c r="J818" s="42"/>
      <c r="K818" s="42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42"/>
      <c r="X818" s="21"/>
      <c r="Y818" s="22"/>
      <c r="Z818" s="23"/>
      <c r="AA818" s="24"/>
      <c r="AB818" s="44"/>
    </row>
    <row r="819" spans="1:28" x14ac:dyDescent="0.35">
      <c r="A819" s="23"/>
      <c r="B819" s="26"/>
      <c r="C819" s="23"/>
      <c r="D819" s="23"/>
      <c r="E819" s="23"/>
      <c r="F819" s="23"/>
      <c r="G819" s="23"/>
      <c r="H819" s="23"/>
      <c r="I819" s="23"/>
      <c r="J819" s="42"/>
      <c r="K819" s="42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42"/>
      <c r="X819" s="21"/>
      <c r="Y819" s="22"/>
      <c r="Z819" s="23"/>
      <c r="AA819" s="24"/>
      <c r="AB819" s="44"/>
    </row>
    <row r="820" spans="1:28" x14ac:dyDescent="0.35">
      <c r="A820" s="23"/>
      <c r="B820" s="26"/>
      <c r="C820" s="23"/>
      <c r="D820" s="23"/>
      <c r="E820" s="23"/>
      <c r="F820" s="23"/>
      <c r="G820" s="23"/>
      <c r="H820" s="23"/>
      <c r="I820" s="23"/>
      <c r="J820" s="42"/>
      <c r="K820" s="42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42"/>
      <c r="X820" s="21"/>
      <c r="Y820" s="22"/>
      <c r="Z820" s="23"/>
      <c r="AA820" s="24"/>
      <c r="AB820" s="44"/>
    </row>
    <row r="821" spans="1:28" x14ac:dyDescent="0.35">
      <c r="A821" s="23"/>
      <c r="B821" s="26"/>
      <c r="C821" s="23"/>
      <c r="D821" s="23"/>
      <c r="E821" s="23"/>
      <c r="F821" s="23"/>
      <c r="G821" s="23"/>
      <c r="H821" s="23"/>
      <c r="I821" s="23"/>
      <c r="J821" s="42"/>
      <c r="K821" s="42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42"/>
      <c r="X821" s="21"/>
      <c r="Y821" s="22"/>
      <c r="Z821" s="23"/>
      <c r="AA821" s="24"/>
      <c r="AB821" s="44"/>
    </row>
    <row r="822" spans="1:28" x14ac:dyDescent="0.35">
      <c r="A822" s="23"/>
      <c r="B822" s="26"/>
      <c r="C822" s="23"/>
      <c r="D822" s="23"/>
      <c r="E822" s="23"/>
      <c r="F822" s="23"/>
      <c r="G822" s="23"/>
      <c r="H822" s="23"/>
      <c r="I822" s="23"/>
      <c r="J822" s="42"/>
      <c r="K822" s="42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42"/>
      <c r="X822" s="21"/>
      <c r="Y822" s="22"/>
      <c r="Z822" s="23"/>
      <c r="AA822" s="24"/>
      <c r="AB822" s="44"/>
    </row>
    <row r="823" spans="1:28" x14ac:dyDescent="0.35">
      <c r="A823" s="23"/>
      <c r="B823" s="26"/>
      <c r="C823" s="23"/>
      <c r="D823" s="23"/>
      <c r="E823" s="23"/>
      <c r="F823" s="23"/>
      <c r="G823" s="23"/>
      <c r="H823" s="23"/>
      <c r="I823" s="23"/>
      <c r="J823" s="42"/>
      <c r="K823" s="42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42"/>
      <c r="X823" s="21"/>
      <c r="Y823" s="22"/>
      <c r="Z823" s="23"/>
      <c r="AA823" s="24"/>
      <c r="AB823" s="44"/>
    </row>
    <row r="824" spans="1:28" x14ac:dyDescent="0.35">
      <c r="A824" s="23"/>
      <c r="B824" s="26"/>
      <c r="C824" s="23"/>
      <c r="D824" s="23"/>
      <c r="E824" s="23"/>
      <c r="F824" s="23"/>
      <c r="G824" s="23"/>
      <c r="H824" s="23"/>
      <c r="I824" s="23"/>
      <c r="J824" s="42"/>
      <c r="K824" s="42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42"/>
      <c r="X824" s="21"/>
      <c r="Y824" s="22"/>
      <c r="Z824" s="23"/>
      <c r="AA824" s="24"/>
      <c r="AB824" s="44"/>
    </row>
    <row r="825" spans="1:28" x14ac:dyDescent="0.35">
      <c r="A825" s="23"/>
      <c r="B825" s="26"/>
      <c r="C825" s="23"/>
      <c r="D825" s="23"/>
      <c r="E825" s="23"/>
      <c r="F825" s="23"/>
      <c r="G825" s="23"/>
      <c r="H825" s="23"/>
      <c r="I825" s="23"/>
      <c r="J825" s="42"/>
      <c r="K825" s="42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42"/>
      <c r="X825" s="21"/>
      <c r="Y825" s="22"/>
      <c r="Z825" s="23"/>
      <c r="AA825" s="24"/>
      <c r="AB825" s="44"/>
    </row>
    <row r="826" spans="1:28" x14ac:dyDescent="0.35">
      <c r="A826" s="23"/>
      <c r="B826" s="26"/>
      <c r="C826" s="23"/>
      <c r="D826" s="23"/>
      <c r="E826" s="23"/>
      <c r="F826" s="23"/>
      <c r="G826" s="23"/>
      <c r="H826" s="23"/>
      <c r="I826" s="23"/>
      <c r="J826" s="42"/>
      <c r="K826" s="42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42"/>
      <c r="X826" s="21"/>
      <c r="Y826" s="22"/>
      <c r="Z826" s="23"/>
      <c r="AA826" s="24"/>
      <c r="AB826" s="44"/>
    </row>
    <row r="827" spans="1:28" x14ac:dyDescent="0.35">
      <c r="A827" s="23"/>
      <c r="B827" s="26"/>
      <c r="C827" s="23"/>
      <c r="D827" s="23"/>
      <c r="E827" s="23"/>
      <c r="F827" s="23"/>
      <c r="G827" s="23"/>
      <c r="H827" s="23"/>
      <c r="I827" s="23"/>
      <c r="J827" s="42"/>
      <c r="K827" s="42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42"/>
      <c r="X827" s="21"/>
      <c r="Y827" s="22"/>
      <c r="Z827" s="23"/>
      <c r="AA827" s="24"/>
      <c r="AB827" s="44"/>
    </row>
    <row r="828" spans="1:28" x14ac:dyDescent="0.35">
      <c r="A828" s="23"/>
      <c r="B828" s="26"/>
      <c r="C828" s="23"/>
      <c r="D828" s="23"/>
      <c r="E828" s="23"/>
      <c r="F828" s="23"/>
      <c r="G828" s="23"/>
      <c r="H828" s="23"/>
      <c r="I828" s="23"/>
      <c r="J828" s="42"/>
      <c r="K828" s="42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42"/>
      <c r="X828" s="21"/>
      <c r="Y828" s="22"/>
      <c r="Z828" s="23"/>
      <c r="AA828" s="24"/>
      <c r="AB828" s="44"/>
    </row>
    <row r="829" spans="1:28" x14ac:dyDescent="0.35">
      <c r="A829" s="23"/>
      <c r="B829" s="26"/>
      <c r="C829" s="23"/>
      <c r="D829" s="23"/>
      <c r="E829" s="23"/>
      <c r="F829" s="23"/>
      <c r="G829" s="23"/>
      <c r="H829" s="23"/>
      <c r="I829" s="23"/>
      <c r="J829" s="42"/>
      <c r="K829" s="42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42"/>
      <c r="X829" s="21"/>
      <c r="Y829" s="22"/>
      <c r="Z829" s="23"/>
      <c r="AA829" s="24"/>
      <c r="AB829" s="44"/>
    </row>
    <row r="830" spans="1:28" x14ac:dyDescent="0.35">
      <c r="A830" s="23"/>
      <c r="B830" s="26"/>
      <c r="C830" s="23"/>
      <c r="D830" s="23"/>
      <c r="E830" s="23"/>
      <c r="F830" s="23"/>
      <c r="G830" s="23"/>
      <c r="H830" s="23"/>
      <c r="I830" s="23"/>
      <c r="J830" s="42"/>
      <c r="K830" s="42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42"/>
      <c r="X830" s="21"/>
      <c r="Y830" s="22"/>
      <c r="Z830" s="23"/>
      <c r="AA830" s="24"/>
      <c r="AB830" s="44"/>
    </row>
    <row r="831" spans="1:28" x14ac:dyDescent="0.35">
      <c r="A831" s="23"/>
      <c r="B831" s="26"/>
      <c r="C831" s="23"/>
      <c r="D831" s="23"/>
      <c r="E831" s="23"/>
      <c r="F831" s="23"/>
      <c r="G831" s="23"/>
      <c r="H831" s="23"/>
      <c r="I831" s="23"/>
      <c r="J831" s="42"/>
      <c r="K831" s="42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42"/>
      <c r="X831" s="21"/>
      <c r="Y831" s="22"/>
      <c r="Z831" s="23"/>
      <c r="AA831" s="24"/>
      <c r="AB831" s="44"/>
    </row>
    <row r="832" spans="1:28" x14ac:dyDescent="0.35">
      <c r="A832" s="23"/>
      <c r="B832" s="26"/>
      <c r="C832" s="23"/>
      <c r="D832" s="23"/>
      <c r="E832" s="23"/>
      <c r="F832" s="23"/>
      <c r="G832" s="23"/>
      <c r="H832" s="23"/>
      <c r="I832" s="23"/>
      <c r="J832" s="42"/>
      <c r="K832" s="42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42"/>
      <c r="X832" s="21"/>
      <c r="Y832" s="22"/>
      <c r="Z832" s="23"/>
      <c r="AA832" s="24"/>
      <c r="AB832" s="44"/>
    </row>
    <row r="833" spans="1:28" x14ac:dyDescent="0.35">
      <c r="A833" s="23"/>
      <c r="B833" s="26"/>
      <c r="C833" s="23"/>
      <c r="D833" s="23"/>
      <c r="E833" s="23"/>
      <c r="F833" s="23"/>
      <c r="G833" s="23"/>
      <c r="H833" s="23"/>
      <c r="I833" s="23"/>
      <c r="J833" s="42"/>
      <c r="K833" s="42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42"/>
      <c r="X833" s="21"/>
      <c r="Y833" s="22"/>
      <c r="Z833" s="23"/>
      <c r="AA833" s="24"/>
      <c r="AB833" s="44"/>
    </row>
    <row r="834" spans="1:28" x14ac:dyDescent="0.35">
      <c r="A834" s="23"/>
      <c r="B834" s="26"/>
      <c r="C834" s="23"/>
      <c r="D834" s="23"/>
      <c r="E834" s="23"/>
      <c r="F834" s="23"/>
      <c r="G834" s="23"/>
      <c r="H834" s="23"/>
      <c r="I834" s="23"/>
      <c r="J834" s="42"/>
      <c r="K834" s="42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42"/>
      <c r="X834" s="21"/>
      <c r="Y834" s="22"/>
      <c r="Z834" s="23"/>
      <c r="AA834" s="24"/>
      <c r="AB834" s="44"/>
    </row>
    <row r="835" spans="1:28" x14ac:dyDescent="0.35">
      <c r="A835" s="23"/>
      <c r="B835" s="26"/>
      <c r="C835" s="23"/>
      <c r="D835" s="23"/>
      <c r="E835" s="23"/>
      <c r="F835" s="23"/>
      <c r="G835" s="23"/>
      <c r="H835" s="23"/>
      <c r="I835" s="23"/>
      <c r="J835" s="42"/>
      <c r="K835" s="42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42"/>
      <c r="X835" s="21"/>
      <c r="Y835" s="22"/>
      <c r="Z835" s="23"/>
      <c r="AA835" s="24"/>
      <c r="AB835" s="44"/>
    </row>
    <row r="836" spans="1:28" x14ac:dyDescent="0.35">
      <c r="A836" s="23"/>
      <c r="B836" s="26"/>
      <c r="C836" s="23"/>
      <c r="D836" s="23"/>
      <c r="E836" s="23"/>
      <c r="F836" s="23"/>
      <c r="G836" s="23"/>
      <c r="H836" s="23"/>
      <c r="I836" s="23"/>
      <c r="J836" s="42"/>
      <c r="K836" s="42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42"/>
      <c r="X836" s="21"/>
      <c r="Y836" s="22"/>
      <c r="Z836" s="23"/>
      <c r="AA836" s="24"/>
      <c r="AB836" s="44"/>
    </row>
    <row r="837" spans="1:28" x14ac:dyDescent="0.35">
      <c r="A837" s="23"/>
      <c r="B837" s="26"/>
      <c r="C837" s="23"/>
      <c r="D837" s="23"/>
      <c r="E837" s="23"/>
      <c r="F837" s="23"/>
      <c r="G837" s="23"/>
      <c r="H837" s="23"/>
      <c r="I837" s="23"/>
      <c r="J837" s="42"/>
      <c r="K837" s="42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42"/>
      <c r="X837" s="21"/>
      <c r="Y837" s="22"/>
      <c r="Z837" s="23"/>
      <c r="AA837" s="24"/>
      <c r="AB837" s="44"/>
    </row>
    <row r="838" spans="1:28" x14ac:dyDescent="0.35">
      <c r="A838" s="23"/>
      <c r="B838" s="26"/>
      <c r="C838" s="23"/>
      <c r="D838" s="23"/>
      <c r="E838" s="23"/>
      <c r="F838" s="23"/>
      <c r="G838" s="23"/>
      <c r="H838" s="23"/>
      <c r="I838" s="23"/>
      <c r="J838" s="42"/>
      <c r="K838" s="42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42"/>
      <c r="X838" s="21"/>
      <c r="Y838" s="22"/>
      <c r="Z838" s="23"/>
      <c r="AA838" s="24"/>
      <c r="AB838" s="44"/>
    </row>
    <row r="839" spans="1:28" x14ac:dyDescent="0.35">
      <c r="A839" s="23"/>
      <c r="B839" s="26"/>
      <c r="C839" s="23"/>
      <c r="D839" s="23"/>
      <c r="E839" s="23"/>
      <c r="F839" s="23"/>
      <c r="G839" s="23"/>
      <c r="H839" s="23"/>
      <c r="I839" s="23"/>
      <c r="J839" s="42"/>
      <c r="K839" s="42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42"/>
      <c r="X839" s="21"/>
      <c r="Y839" s="22"/>
      <c r="Z839" s="23"/>
      <c r="AA839" s="24"/>
      <c r="AB839" s="44"/>
    </row>
    <row r="840" spans="1:28" x14ac:dyDescent="0.35">
      <c r="A840" s="23"/>
      <c r="B840" s="26"/>
      <c r="C840" s="23"/>
      <c r="D840" s="23"/>
      <c r="E840" s="23"/>
      <c r="F840" s="23"/>
      <c r="G840" s="23"/>
      <c r="H840" s="23"/>
      <c r="I840" s="23"/>
      <c r="J840" s="42"/>
      <c r="K840" s="42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42"/>
      <c r="X840" s="21"/>
      <c r="Y840" s="22"/>
      <c r="Z840" s="23"/>
      <c r="AA840" s="24"/>
      <c r="AB840" s="44"/>
    </row>
    <row r="841" spans="1:28" x14ac:dyDescent="0.35">
      <c r="A841" s="23"/>
      <c r="B841" s="26"/>
      <c r="C841" s="23"/>
      <c r="D841" s="23"/>
      <c r="E841" s="23"/>
      <c r="F841" s="23"/>
      <c r="G841" s="23"/>
      <c r="H841" s="23"/>
      <c r="I841" s="23"/>
      <c r="J841" s="42"/>
      <c r="K841" s="42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42"/>
      <c r="X841" s="21"/>
      <c r="Y841" s="22"/>
      <c r="Z841" s="23"/>
      <c r="AA841" s="24"/>
      <c r="AB841" s="44"/>
    </row>
    <row r="842" spans="1:28" x14ac:dyDescent="0.35">
      <c r="A842" s="23"/>
      <c r="B842" s="26"/>
      <c r="C842" s="23"/>
      <c r="D842" s="23"/>
      <c r="E842" s="23"/>
      <c r="F842" s="23"/>
      <c r="G842" s="23"/>
      <c r="H842" s="23"/>
      <c r="I842" s="23"/>
      <c r="J842" s="42"/>
      <c r="K842" s="42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42"/>
      <c r="X842" s="21"/>
      <c r="Y842" s="22"/>
      <c r="Z842" s="23"/>
      <c r="AA842" s="24"/>
      <c r="AB842" s="44"/>
    </row>
    <row r="843" spans="1:28" x14ac:dyDescent="0.35">
      <c r="A843" s="23"/>
      <c r="B843" s="26"/>
      <c r="C843" s="23"/>
      <c r="D843" s="23"/>
      <c r="E843" s="23"/>
      <c r="F843" s="23"/>
      <c r="G843" s="23"/>
      <c r="H843" s="23"/>
      <c r="I843" s="23"/>
      <c r="J843" s="42"/>
      <c r="K843" s="42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42"/>
      <c r="X843" s="21"/>
      <c r="Y843" s="22"/>
      <c r="Z843" s="23"/>
      <c r="AA843" s="24"/>
      <c r="AB843" s="44"/>
    </row>
    <row r="844" spans="1:28" x14ac:dyDescent="0.35">
      <c r="A844" s="23"/>
      <c r="B844" s="26"/>
      <c r="C844" s="23"/>
      <c r="D844" s="23"/>
      <c r="E844" s="23"/>
      <c r="F844" s="23"/>
      <c r="G844" s="23"/>
      <c r="H844" s="23"/>
      <c r="I844" s="23"/>
      <c r="J844" s="42"/>
      <c r="K844" s="42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42"/>
      <c r="X844" s="21"/>
      <c r="Y844" s="22"/>
      <c r="Z844" s="23"/>
      <c r="AA844" s="24"/>
      <c r="AB844" s="44"/>
    </row>
    <row r="845" spans="1:28" x14ac:dyDescent="0.35">
      <c r="A845" s="23"/>
      <c r="B845" s="26"/>
      <c r="C845" s="23"/>
      <c r="D845" s="23"/>
      <c r="E845" s="23"/>
      <c r="F845" s="23"/>
      <c r="G845" s="23"/>
      <c r="H845" s="23"/>
      <c r="I845" s="23"/>
      <c r="J845" s="42"/>
      <c r="K845" s="42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42"/>
      <c r="X845" s="21"/>
      <c r="Y845" s="22"/>
      <c r="Z845" s="23"/>
      <c r="AA845" s="24"/>
      <c r="AB845" s="44"/>
    </row>
    <row r="846" spans="1:28" x14ac:dyDescent="0.35">
      <c r="A846" s="23"/>
      <c r="B846" s="26"/>
      <c r="C846" s="23"/>
      <c r="D846" s="23"/>
      <c r="E846" s="23"/>
      <c r="F846" s="23"/>
      <c r="G846" s="23"/>
      <c r="H846" s="23"/>
      <c r="I846" s="23"/>
      <c r="J846" s="42"/>
      <c r="K846" s="42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42"/>
      <c r="X846" s="21"/>
      <c r="Y846" s="22"/>
      <c r="Z846" s="23"/>
      <c r="AA846" s="24"/>
      <c r="AB846" s="44"/>
    </row>
    <row r="847" spans="1:28" x14ac:dyDescent="0.35">
      <c r="A847" s="23"/>
      <c r="B847" s="26"/>
      <c r="C847" s="23"/>
      <c r="D847" s="23"/>
      <c r="E847" s="23"/>
      <c r="F847" s="23"/>
      <c r="G847" s="23"/>
      <c r="H847" s="23"/>
      <c r="I847" s="23"/>
      <c r="J847" s="42"/>
      <c r="K847" s="42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42"/>
      <c r="X847" s="21"/>
      <c r="Y847" s="22"/>
      <c r="Z847" s="23"/>
      <c r="AA847" s="24"/>
      <c r="AB847" s="44"/>
    </row>
    <row r="848" spans="1:28" x14ac:dyDescent="0.35">
      <c r="A848" s="23"/>
      <c r="B848" s="26"/>
      <c r="C848" s="23"/>
      <c r="D848" s="23"/>
      <c r="E848" s="23"/>
      <c r="F848" s="23"/>
      <c r="G848" s="23"/>
      <c r="H848" s="23"/>
      <c r="I848" s="23"/>
      <c r="J848" s="42"/>
      <c r="K848" s="42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42"/>
      <c r="X848" s="21"/>
      <c r="Y848" s="22"/>
      <c r="Z848" s="23"/>
      <c r="AA848" s="24"/>
      <c r="AB848" s="44"/>
    </row>
    <row r="849" spans="1:28" x14ac:dyDescent="0.35">
      <c r="A849" s="23"/>
      <c r="B849" s="26"/>
      <c r="C849" s="23"/>
      <c r="D849" s="23"/>
      <c r="E849" s="23"/>
      <c r="F849" s="23"/>
      <c r="G849" s="23"/>
      <c r="H849" s="23"/>
      <c r="I849" s="23"/>
      <c r="J849" s="42"/>
      <c r="K849" s="42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42"/>
      <c r="X849" s="21"/>
      <c r="Y849" s="22"/>
      <c r="Z849" s="23"/>
      <c r="AA849" s="24"/>
      <c r="AB849" s="44"/>
    </row>
    <row r="850" spans="1:28" x14ac:dyDescent="0.35">
      <c r="A850" s="23"/>
      <c r="B850" s="26"/>
      <c r="C850" s="23"/>
      <c r="D850" s="23"/>
      <c r="E850" s="23"/>
      <c r="F850" s="23"/>
      <c r="G850" s="23"/>
      <c r="H850" s="23"/>
      <c r="I850" s="23"/>
      <c r="J850" s="42"/>
      <c r="K850" s="42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42"/>
      <c r="X850" s="21"/>
      <c r="Y850" s="22"/>
      <c r="Z850" s="23"/>
      <c r="AA850" s="24"/>
      <c r="AB850" s="44"/>
    </row>
    <row r="851" spans="1:28" x14ac:dyDescent="0.35">
      <c r="A851" s="23"/>
      <c r="B851" s="26"/>
      <c r="C851" s="23"/>
      <c r="D851" s="23"/>
      <c r="E851" s="23"/>
      <c r="F851" s="23"/>
      <c r="G851" s="23"/>
      <c r="H851" s="23"/>
      <c r="I851" s="23"/>
      <c r="J851" s="42"/>
      <c r="K851" s="42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42"/>
      <c r="X851" s="21"/>
      <c r="Y851" s="22"/>
      <c r="Z851" s="23"/>
      <c r="AA851" s="24"/>
      <c r="AB851" s="44"/>
    </row>
    <row r="852" spans="1:28" x14ac:dyDescent="0.35">
      <c r="A852" s="23"/>
      <c r="B852" s="26"/>
      <c r="C852" s="23"/>
      <c r="D852" s="23"/>
      <c r="E852" s="23"/>
      <c r="F852" s="23"/>
      <c r="G852" s="23"/>
      <c r="H852" s="23"/>
      <c r="I852" s="23"/>
      <c r="J852" s="42"/>
      <c r="K852" s="42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42"/>
      <c r="X852" s="21"/>
      <c r="Y852" s="22"/>
      <c r="Z852" s="23"/>
      <c r="AA852" s="24"/>
      <c r="AB852" s="44"/>
    </row>
    <row r="853" spans="1:28" x14ac:dyDescent="0.35">
      <c r="A853" s="23"/>
      <c r="B853" s="26"/>
      <c r="C853" s="23"/>
      <c r="D853" s="23"/>
      <c r="E853" s="23"/>
      <c r="F853" s="23"/>
      <c r="G853" s="23"/>
      <c r="H853" s="23"/>
      <c r="I853" s="23"/>
      <c r="J853" s="42"/>
      <c r="K853" s="42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42"/>
      <c r="X853" s="21"/>
      <c r="Y853" s="22"/>
      <c r="Z853" s="23"/>
      <c r="AA853" s="24"/>
      <c r="AB853" s="44"/>
    </row>
    <row r="854" spans="1:28" x14ac:dyDescent="0.35">
      <c r="A854" s="23"/>
      <c r="B854" s="26"/>
      <c r="C854" s="23"/>
      <c r="D854" s="23"/>
      <c r="E854" s="23"/>
      <c r="F854" s="23"/>
      <c r="G854" s="23"/>
      <c r="H854" s="23"/>
      <c r="I854" s="23"/>
      <c r="J854" s="42"/>
      <c r="K854" s="42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42"/>
      <c r="X854" s="21"/>
      <c r="Y854" s="22"/>
      <c r="Z854" s="23"/>
      <c r="AA854" s="24"/>
      <c r="AB854" s="44"/>
    </row>
    <row r="855" spans="1:28" x14ac:dyDescent="0.35">
      <c r="A855" s="23"/>
      <c r="B855" s="26"/>
      <c r="C855" s="23"/>
      <c r="D855" s="23"/>
      <c r="E855" s="23"/>
      <c r="F855" s="23"/>
      <c r="G855" s="23"/>
      <c r="H855" s="23"/>
      <c r="I855" s="23"/>
      <c r="J855" s="42"/>
      <c r="K855" s="42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42"/>
      <c r="X855" s="21"/>
      <c r="Y855" s="22"/>
      <c r="Z855" s="23"/>
      <c r="AA855" s="24"/>
      <c r="AB855" s="44"/>
    </row>
    <row r="856" spans="1:28" x14ac:dyDescent="0.35">
      <c r="A856" s="23"/>
      <c r="B856" s="26"/>
      <c r="C856" s="23"/>
      <c r="D856" s="23"/>
      <c r="E856" s="23"/>
      <c r="F856" s="23"/>
      <c r="G856" s="23"/>
      <c r="H856" s="23"/>
      <c r="I856" s="23"/>
      <c r="J856" s="42"/>
      <c r="K856" s="42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42"/>
      <c r="X856" s="21"/>
      <c r="Y856" s="22"/>
      <c r="Z856" s="23"/>
      <c r="AA856" s="24"/>
      <c r="AB856" s="44"/>
    </row>
    <row r="857" spans="1:28" x14ac:dyDescent="0.35">
      <c r="A857" s="23"/>
      <c r="B857" s="26"/>
      <c r="C857" s="23"/>
      <c r="D857" s="23"/>
      <c r="E857" s="23"/>
      <c r="F857" s="23"/>
      <c r="G857" s="23"/>
      <c r="H857" s="23"/>
      <c r="I857" s="23"/>
      <c r="J857" s="42"/>
      <c r="K857" s="42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42"/>
      <c r="X857" s="21"/>
      <c r="Y857" s="22"/>
      <c r="Z857" s="23"/>
      <c r="AA857" s="24"/>
      <c r="AB857" s="44"/>
    </row>
    <row r="858" spans="1:28" x14ac:dyDescent="0.35">
      <c r="A858" s="23"/>
      <c r="B858" s="26"/>
      <c r="C858" s="23"/>
      <c r="D858" s="23"/>
      <c r="E858" s="23"/>
      <c r="F858" s="23"/>
      <c r="G858" s="23"/>
      <c r="H858" s="23"/>
      <c r="I858" s="23"/>
      <c r="J858" s="42"/>
      <c r="K858" s="42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42"/>
      <c r="X858" s="21"/>
      <c r="Y858" s="22"/>
      <c r="Z858" s="23"/>
      <c r="AA858" s="24"/>
      <c r="AB858" s="44"/>
    </row>
    <row r="859" spans="1:28" x14ac:dyDescent="0.35">
      <c r="A859" s="23"/>
      <c r="B859" s="26"/>
      <c r="C859" s="23"/>
      <c r="D859" s="23"/>
      <c r="E859" s="23"/>
      <c r="F859" s="23"/>
      <c r="G859" s="23"/>
      <c r="H859" s="23"/>
      <c r="I859" s="23"/>
      <c r="J859" s="42"/>
      <c r="K859" s="42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42"/>
      <c r="X859" s="21"/>
      <c r="Y859" s="22"/>
      <c r="Z859" s="23"/>
      <c r="AA859" s="24"/>
      <c r="AB859" s="44"/>
    </row>
    <row r="860" spans="1:28" x14ac:dyDescent="0.35">
      <c r="A860" s="23"/>
      <c r="B860" s="26"/>
      <c r="C860" s="23"/>
      <c r="D860" s="23"/>
      <c r="E860" s="23"/>
      <c r="F860" s="23"/>
      <c r="G860" s="23"/>
      <c r="H860" s="23"/>
      <c r="I860" s="23"/>
      <c r="J860" s="42"/>
      <c r="K860" s="42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42"/>
      <c r="X860" s="21"/>
      <c r="Y860" s="22"/>
      <c r="Z860" s="23"/>
      <c r="AA860" s="24"/>
      <c r="AB860" s="44"/>
    </row>
    <row r="861" spans="1:28" x14ac:dyDescent="0.35">
      <c r="A861" s="23"/>
      <c r="B861" s="26"/>
      <c r="C861" s="23"/>
      <c r="D861" s="23"/>
      <c r="E861" s="23"/>
      <c r="F861" s="23"/>
      <c r="G861" s="23"/>
      <c r="H861" s="23"/>
      <c r="I861" s="23"/>
      <c r="J861" s="42"/>
      <c r="K861" s="42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42"/>
      <c r="X861" s="21"/>
      <c r="Y861" s="22"/>
      <c r="Z861" s="23"/>
      <c r="AA861" s="24"/>
      <c r="AB861" s="44"/>
    </row>
    <row r="862" spans="1:28" x14ac:dyDescent="0.35">
      <c r="A862" s="23"/>
      <c r="B862" s="26"/>
      <c r="C862" s="23"/>
      <c r="D862" s="23"/>
      <c r="E862" s="23"/>
      <c r="F862" s="23"/>
      <c r="G862" s="23"/>
      <c r="H862" s="23"/>
      <c r="I862" s="23"/>
      <c r="J862" s="42"/>
      <c r="K862" s="42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42"/>
      <c r="X862" s="21"/>
      <c r="Y862" s="22"/>
      <c r="Z862" s="23"/>
      <c r="AA862" s="24"/>
      <c r="AB862" s="44"/>
    </row>
    <row r="863" spans="1:28" x14ac:dyDescent="0.35">
      <c r="A863" s="23"/>
      <c r="B863" s="26"/>
      <c r="C863" s="23"/>
      <c r="D863" s="23"/>
      <c r="E863" s="23"/>
      <c r="F863" s="23"/>
      <c r="G863" s="23"/>
      <c r="H863" s="23"/>
      <c r="I863" s="23"/>
      <c r="J863" s="42"/>
      <c r="K863" s="42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42"/>
      <c r="X863" s="21"/>
      <c r="Y863" s="22"/>
      <c r="Z863" s="23"/>
      <c r="AA863" s="24"/>
      <c r="AB863" s="44"/>
    </row>
    <row r="864" spans="1:28" x14ac:dyDescent="0.35">
      <c r="A864" s="23"/>
      <c r="B864" s="26"/>
      <c r="C864" s="23"/>
      <c r="D864" s="23"/>
      <c r="E864" s="23"/>
      <c r="F864" s="23"/>
      <c r="G864" s="23"/>
      <c r="H864" s="23"/>
      <c r="I864" s="23"/>
      <c r="J864" s="42"/>
      <c r="K864" s="42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42"/>
      <c r="X864" s="21"/>
      <c r="Y864" s="22"/>
      <c r="Z864" s="23"/>
      <c r="AA864" s="24"/>
      <c r="AB864" s="44"/>
    </row>
    <row r="865" spans="1:28" x14ac:dyDescent="0.35">
      <c r="A865" s="23"/>
      <c r="B865" s="26"/>
      <c r="C865" s="23"/>
      <c r="D865" s="23"/>
      <c r="E865" s="23"/>
      <c r="F865" s="23"/>
      <c r="G865" s="23"/>
      <c r="H865" s="23"/>
      <c r="I865" s="23"/>
      <c r="J865" s="42"/>
      <c r="K865" s="42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42"/>
      <c r="X865" s="21"/>
      <c r="Y865" s="22"/>
      <c r="Z865" s="23"/>
      <c r="AA865" s="24"/>
      <c r="AB865" s="44"/>
    </row>
    <row r="866" spans="1:28" x14ac:dyDescent="0.35">
      <c r="A866" s="23"/>
      <c r="B866" s="26"/>
      <c r="C866" s="23"/>
      <c r="D866" s="23"/>
      <c r="E866" s="23"/>
      <c r="F866" s="23"/>
      <c r="G866" s="23"/>
      <c r="H866" s="23"/>
      <c r="I866" s="23"/>
      <c r="J866" s="42"/>
      <c r="K866" s="42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42"/>
      <c r="X866" s="21"/>
      <c r="Y866" s="22"/>
      <c r="Z866" s="23"/>
      <c r="AA866" s="24"/>
      <c r="AB866" s="44"/>
    </row>
    <row r="867" spans="1:28" x14ac:dyDescent="0.35">
      <c r="A867" s="23"/>
      <c r="B867" s="26"/>
      <c r="C867" s="23"/>
      <c r="D867" s="23"/>
      <c r="E867" s="23"/>
      <c r="F867" s="23"/>
      <c r="G867" s="23"/>
      <c r="H867" s="23"/>
      <c r="I867" s="23"/>
      <c r="J867" s="42"/>
      <c r="K867" s="42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42"/>
      <c r="X867" s="21"/>
      <c r="Y867" s="22"/>
      <c r="Z867" s="23"/>
      <c r="AA867" s="24"/>
      <c r="AB867" s="44"/>
    </row>
    <row r="868" spans="1:28" x14ac:dyDescent="0.35">
      <c r="A868" s="23"/>
      <c r="B868" s="26"/>
      <c r="C868" s="23"/>
      <c r="D868" s="23"/>
      <c r="E868" s="23"/>
      <c r="F868" s="23"/>
      <c r="G868" s="23"/>
      <c r="H868" s="23"/>
      <c r="I868" s="23"/>
      <c r="J868" s="42"/>
      <c r="K868" s="42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42"/>
      <c r="X868" s="21"/>
      <c r="Y868" s="22"/>
      <c r="Z868" s="23"/>
      <c r="AA868" s="24"/>
      <c r="AB868" s="44"/>
    </row>
    <row r="869" spans="1:28" x14ac:dyDescent="0.35">
      <c r="A869" s="23"/>
      <c r="B869" s="26"/>
      <c r="C869" s="23"/>
      <c r="D869" s="23"/>
      <c r="E869" s="23"/>
      <c r="F869" s="23"/>
      <c r="G869" s="23"/>
      <c r="H869" s="23"/>
      <c r="I869" s="23"/>
      <c r="J869" s="42"/>
      <c r="K869" s="42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42"/>
      <c r="X869" s="21"/>
      <c r="Y869" s="22"/>
      <c r="Z869" s="23"/>
      <c r="AA869" s="24"/>
      <c r="AB869" s="44"/>
    </row>
    <row r="870" spans="1:28" x14ac:dyDescent="0.35">
      <c r="A870" s="23"/>
      <c r="B870" s="26"/>
      <c r="C870" s="23"/>
      <c r="D870" s="23"/>
      <c r="E870" s="23"/>
      <c r="F870" s="23"/>
      <c r="G870" s="23"/>
      <c r="H870" s="23"/>
      <c r="I870" s="23"/>
      <c r="J870" s="42"/>
      <c r="K870" s="42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42"/>
      <c r="X870" s="21"/>
      <c r="Y870" s="22"/>
      <c r="Z870" s="23"/>
      <c r="AA870" s="24"/>
      <c r="AB870" s="44"/>
    </row>
    <row r="871" spans="1:28" x14ac:dyDescent="0.35">
      <c r="A871" s="23"/>
      <c r="B871" s="26"/>
      <c r="C871" s="23"/>
      <c r="D871" s="23"/>
      <c r="E871" s="23"/>
      <c r="F871" s="23"/>
      <c r="G871" s="23"/>
      <c r="H871" s="23"/>
      <c r="I871" s="23"/>
      <c r="J871" s="42"/>
      <c r="K871" s="42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42"/>
      <c r="X871" s="21"/>
      <c r="Y871" s="22"/>
      <c r="Z871" s="23"/>
      <c r="AA871" s="24"/>
      <c r="AB871" s="44"/>
    </row>
    <row r="872" spans="1:28" x14ac:dyDescent="0.35">
      <c r="A872" s="23"/>
      <c r="B872" s="26"/>
      <c r="C872" s="23"/>
      <c r="D872" s="23"/>
      <c r="E872" s="23"/>
      <c r="F872" s="23"/>
      <c r="G872" s="23"/>
      <c r="H872" s="23"/>
      <c r="I872" s="23"/>
      <c r="J872" s="42"/>
      <c r="K872" s="42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42"/>
      <c r="X872" s="21"/>
      <c r="Y872" s="22"/>
      <c r="Z872" s="23"/>
      <c r="AA872" s="24"/>
      <c r="AB872" s="44"/>
    </row>
    <row r="873" spans="1:28" x14ac:dyDescent="0.35">
      <c r="A873" s="23"/>
      <c r="B873" s="26"/>
      <c r="C873" s="23"/>
      <c r="D873" s="23"/>
      <c r="E873" s="23"/>
      <c r="F873" s="23"/>
      <c r="G873" s="23"/>
      <c r="H873" s="23"/>
      <c r="I873" s="23"/>
      <c r="J873" s="42"/>
      <c r="K873" s="42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42"/>
      <c r="X873" s="21"/>
      <c r="Y873" s="22"/>
      <c r="Z873" s="23"/>
      <c r="AA873" s="24"/>
      <c r="AB873" s="44"/>
    </row>
    <row r="874" spans="1:28" x14ac:dyDescent="0.35">
      <c r="A874" s="23"/>
      <c r="B874" s="26"/>
      <c r="C874" s="23"/>
      <c r="D874" s="23"/>
      <c r="E874" s="23"/>
      <c r="F874" s="23"/>
      <c r="G874" s="23"/>
      <c r="H874" s="23"/>
      <c r="I874" s="23"/>
      <c r="J874" s="42"/>
      <c r="K874" s="42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42"/>
      <c r="X874" s="21"/>
      <c r="Y874" s="22"/>
      <c r="Z874" s="23"/>
      <c r="AA874" s="24"/>
      <c r="AB874" s="44"/>
    </row>
    <row r="875" spans="1:28" x14ac:dyDescent="0.35">
      <c r="A875" s="23"/>
      <c r="B875" s="26"/>
      <c r="C875" s="23"/>
      <c r="D875" s="23"/>
      <c r="E875" s="23"/>
      <c r="F875" s="23"/>
      <c r="G875" s="23"/>
      <c r="H875" s="23"/>
      <c r="I875" s="23"/>
      <c r="J875" s="42"/>
      <c r="K875" s="42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42"/>
      <c r="X875" s="21"/>
      <c r="Y875" s="22"/>
      <c r="Z875" s="23"/>
      <c r="AA875" s="24"/>
      <c r="AB875" s="44"/>
    </row>
    <row r="876" spans="1:28" x14ac:dyDescent="0.35">
      <c r="A876" s="23"/>
      <c r="B876" s="26"/>
      <c r="C876" s="23"/>
      <c r="D876" s="23"/>
      <c r="E876" s="23"/>
      <c r="F876" s="23"/>
      <c r="G876" s="23"/>
      <c r="H876" s="23"/>
      <c r="I876" s="23"/>
      <c r="J876" s="42"/>
      <c r="K876" s="42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42"/>
      <c r="X876" s="21"/>
      <c r="Y876" s="22"/>
      <c r="Z876" s="23"/>
      <c r="AA876" s="24"/>
      <c r="AB876" s="44"/>
    </row>
    <row r="877" spans="1:28" x14ac:dyDescent="0.35">
      <c r="A877" s="23"/>
      <c r="B877" s="26"/>
      <c r="C877" s="23"/>
      <c r="D877" s="23"/>
      <c r="E877" s="23"/>
      <c r="F877" s="23"/>
      <c r="G877" s="23"/>
      <c r="H877" s="23"/>
      <c r="I877" s="23"/>
      <c r="J877" s="42"/>
      <c r="K877" s="42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42"/>
      <c r="X877" s="21"/>
      <c r="Y877" s="22"/>
      <c r="Z877" s="23"/>
      <c r="AA877" s="24"/>
      <c r="AB877" s="44"/>
    </row>
    <row r="878" spans="1:28" x14ac:dyDescent="0.35">
      <c r="A878" s="23"/>
      <c r="B878" s="26"/>
      <c r="C878" s="23"/>
      <c r="D878" s="23"/>
      <c r="E878" s="23"/>
      <c r="F878" s="23"/>
      <c r="G878" s="23"/>
      <c r="H878" s="23"/>
      <c r="I878" s="23"/>
      <c r="J878" s="42"/>
      <c r="K878" s="42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42"/>
      <c r="X878" s="21"/>
      <c r="Y878" s="22"/>
      <c r="Z878" s="23"/>
      <c r="AA878" s="24"/>
      <c r="AB878" s="44"/>
    </row>
    <row r="879" spans="1:28" x14ac:dyDescent="0.35">
      <c r="A879" s="23"/>
      <c r="B879" s="26"/>
      <c r="C879" s="23"/>
      <c r="D879" s="23"/>
      <c r="E879" s="23"/>
      <c r="F879" s="23"/>
      <c r="G879" s="23"/>
      <c r="H879" s="23"/>
      <c r="I879" s="23"/>
      <c r="J879" s="42"/>
      <c r="K879" s="42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42"/>
      <c r="X879" s="21"/>
      <c r="Y879" s="22"/>
      <c r="Z879" s="23"/>
      <c r="AA879" s="24"/>
      <c r="AB879" s="44"/>
    </row>
    <row r="880" spans="1:28" x14ac:dyDescent="0.35">
      <c r="A880" s="23"/>
      <c r="B880" s="26"/>
      <c r="C880" s="23"/>
      <c r="D880" s="23"/>
      <c r="E880" s="23"/>
      <c r="F880" s="23"/>
      <c r="G880" s="23"/>
      <c r="H880" s="23"/>
      <c r="I880" s="23"/>
      <c r="J880" s="42"/>
      <c r="K880" s="42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42"/>
      <c r="X880" s="21"/>
      <c r="Y880" s="22"/>
      <c r="Z880" s="23"/>
      <c r="AA880" s="24"/>
      <c r="AB880" s="44"/>
    </row>
    <row r="881" spans="1:28" x14ac:dyDescent="0.35">
      <c r="A881" s="23"/>
      <c r="B881" s="26"/>
      <c r="C881" s="23"/>
      <c r="D881" s="23"/>
      <c r="E881" s="23"/>
      <c r="F881" s="23"/>
      <c r="G881" s="23"/>
      <c r="H881" s="23"/>
      <c r="I881" s="23"/>
      <c r="J881" s="42"/>
      <c r="K881" s="42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42"/>
      <c r="X881" s="21"/>
      <c r="Y881" s="22"/>
      <c r="Z881" s="23"/>
      <c r="AA881" s="24"/>
      <c r="AB881" s="44"/>
    </row>
    <row r="882" spans="1:28" x14ac:dyDescent="0.35">
      <c r="A882" s="23"/>
      <c r="B882" s="26"/>
      <c r="C882" s="23"/>
      <c r="D882" s="23"/>
      <c r="E882" s="23"/>
      <c r="F882" s="23"/>
      <c r="G882" s="23"/>
      <c r="H882" s="23"/>
      <c r="I882" s="23"/>
      <c r="J882" s="42"/>
      <c r="K882" s="42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42"/>
      <c r="X882" s="21"/>
      <c r="Y882" s="22"/>
      <c r="Z882" s="23"/>
      <c r="AA882" s="24"/>
      <c r="AB882" s="44"/>
    </row>
    <row r="883" spans="1:28" x14ac:dyDescent="0.35">
      <c r="A883" s="23"/>
      <c r="B883" s="26"/>
      <c r="C883" s="23"/>
      <c r="D883" s="23"/>
      <c r="E883" s="23"/>
      <c r="F883" s="23"/>
      <c r="G883" s="23"/>
      <c r="H883" s="23"/>
      <c r="I883" s="23"/>
      <c r="J883" s="42"/>
      <c r="K883" s="42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42"/>
      <c r="X883" s="21"/>
      <c r="Y883" s="22"/>
      <c r="Z883" s="23"/>
      <c r="AA883" s="24"/>
      <c r="AB883" s="44"/>
    </row>
    <row r="884" spans="1:28" x14ac:dyDescent="0.35">
      <c r="A884" s="23"/>
      <c r="B884" s="26"/>
      <c r="C884" s="23"/>
      <c r="D884" s="23"/>
      <c r="E884" s="23"/>
      <c r="F884" s="23"/>
      <c r="G884" s="23"/>
      <c r="H884" s="23"/>
      <c r="I884" s="23"/>
      <c r="J884" s="42"/>
      <c r="K884" s="42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42"/>
      <c r="X884" s="21"/>
      <c r="Y884" s="22"/>
      <c r="Z884" s="23"/>
      <c r="AA884" s="24"/>
      <c r="AB884" s="44"/>
    </row>
    <row r="885" spans="1:28" x14ac:dyDescent="0.35">
      <c r="A885" s="23"/>
      <c r="B885" s="26"/>
      <c r="C885" s="23"/>
      <c r="D885" s="23"/>
      <c r="E885" s="23"/>
      <c r="F885" s="23"/>
      <c r="G885" s="23"/>
      <c r="H885" s="23"/>
      <c r="I885" s="23"/>
      <c r="J885" s="42"/>
      <c r="K885" s="42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42"/>
      <c r="X885" s="21"/>
      <c r="Y885" s="22"/>
      <c r="Z885" s="23"/>
      <c r="AA885" s="24"/>
      <c r="AB885" s="44"/>
    </row>
    <row r="886" spans="1:28" x14ac:dyDescent="0.35">
      <c r="A886" s="23"/>
      <c r="B886" s="26"/>
      <c r="C886" s="23"/>
      <c r="D886" s="23"/>
      <c r="E886" s="23"/>
      <c r="F886" s="23"/>
      <c r="G886" s="23"/>
      <c r="H886" s="23"/>
      <c r="I886" s="23"/>
      <c r="J886" s="42"/>
      <c r="K886" s="42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42"/>
      <c r="X886" s="21"/>
      <c r="Y886" s="22"/>
      <c r="Z886" s="23"/>
      <c r="AA886" s="24"/>
      <c r="AB886" s="44"/>
    </row>
    <row r="887" spans="1:28" x14ac:dyDescent="0.35">
      <c r="A887" s="23"/>
      <c r="B887" s="26"/>
      <c r="C887" s="23"/>
      <c r="D887" s="23"/>
      <c r="E887" s="23"/>
      <c r="F887" s="23"/>
      <c r="G887" s="23"/>
      <c r="H887" s="23"/>
      <c r="I887" s="23"/>
      <c r="J887" s="42"/>
      <c r="K887" s="42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42"/>
      <c r="X887" s="21"/>
      <c r="Y887" s="22"/>
      <c r="Z887" s="23"/>
      <c r="AA887" s="24"/>
      <c r="AB887" s="44"/>
    </row>
    <row r="888" spans="1:28" x14ac:dyDescent="0.35">
      <c r="A888" s="23"/>
      <c r="B888" s="26"/>
      <c r="C888" s="23"/>
      <c r="D888" s="23"/>
      <c r="E888" s="23"/>
      <c r="F888" s="23"/>
      <c r="G888" s="23"/>
      <c r="H888" s="23"/>
      <c r="I888" s="23"/>
      <c r="J888" s="42"/>
      <c r="K888" s="42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42"/>
      <c r="X888" s="21"/>
      <c r="Y888" s="22"/>
      <c r="Z888" s="23"/>
      <c r="AA888" s="24"/>
      <c r="AB888" s="44"/>
    </row>
    <row r="889" spans="1:28" x14ac:dyDescent="0.35">
      <c r="A889" s="23"/>
      <c r="B889" s="26"/>
      <c r="C889" s="23"/>
      <c r="D889" s="23"/>
      <c r="E889" s="23"/>
      <c r="F889" s="23"/>
      <c r="G889" s="23"/>
      <c r="H889" s="23"/>
      <c r="I889" s="23"/>
      <c r="J889" s="42"/>
      <c r="K889" s="42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42"/>
      <c r="X889" s="21"/>
      <c r="Y889" s="22"/>
      <c r="Z889" s="23"/>
      <c r="AA889" s="24"/>
      <c r="AB889" s="44"/>
    </row>
    <row r="890" spans="1:28" x14ac:dyDescent="0.35">
      <c r="A890" s="23"/>
      <c r="B890" s="26"/>
      <c r="C890" s="23"/>
      <c r="D890" s="23"/>
      <c r="E890" s="23"/>
      <c r="F890" s="23"/>
      <c r="G890" s="23"/>
      <c r="H890" s="23"/>
      <c r="I890" s="23"/>
      <c r="J890" s="42"/>
      <c r="K890" s="42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42"/>
      <c r="X890" s="21"/>
      <c r="Y890" s="22"/>
      <c r="Z890" s="23"/>
      <c r="AA890" s="24"/>
      <c r="AB890" s="44"/>
    </row>
    <row r="891" spans="1:28" x14ac:dyDescent="0.35">
      <c r="A891" s="23"/>
      <c r="B891" s="26"/>
      <c r="C891" s="23"/>
      <c r="D891" s="23"/>
      <c r="E891" s="23"/>
      <c r="F891" s="23"/>
      <c r="G891" s="23"/>
      <c r="H891" s="23"/>
      <c r="I891" s="23"/>
      <c r="J891" s="42"/>
      <c r="K891" s="42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42"/>
      <c r="X891" s="21"/>
      <c r="Y891" s="22"/>
      <c r="Z891" s="23"/>
      <c r="AA891" s="24"/>
      <c r="AB891" s="44"/>
    </row>
    <row r="892" spans="1:28" x14ac:dyDescent="0.35">
      <c r="A892" s="23"/>
      <c r="B892" s="26"/>
      <c r="C892" s="23"/>
      <c r="D892" s="23"/>
      <c r="E892" s="23"/>
      <c r="F892" s="23"/>
      <c r="G892" s="23"/>
      <c r="H892" s="23"/>
      <c r="I892" s="23"/>
      <c r="J892" s="42"/>
      <c r="K892" s="42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42"/>
      <c r="X892" s="21"/>
      <c r="Y892" s="22"/>
      <c r="Z892" s="23"/>
      <c r="AA892" s="24"/>
      <c r="AB892" s="44"/>
    </row>
    <row r="893" spans="1:28" x14ac:dyDescent="0.35">
      <c r="A893" s="23"/>
      <c r="B893" s="26"/>
      <c r="C893" s="23"/>
      <c r="D893" s="23"/>
      <c r="E893" s="23"/>
      <c r="F893" s="23"/>
      <c r="G893" s="23"/>
      <c r="H893" s="23"/>
      <c r="I893" s="23"/>
      <c r="J893" s="42"/>
      <c r="K893" s="42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42"/>
      <c r="X893" s="21"/>
      <c r="Y893" s="22"/>
      <c r="Z893" s="23"/>
      <c r="AA893" s="24"/>
      <c r="AB893" s="44"/>
    </row>
    <row r="894" spans="1:28" x14ac:dyDescent="0.35">
      <c r="A894" s="23"/>
      <c r="B894" s="26"/>
      <c r="C894" s="23"/>
      <c r="D894" s="23"/>
      <c r="E894" s="23"/>
      <c r="F894" s="23"/>
      <c r="G894" s="23"/>
      <c r="H894" s="23"/>
      <c r="I894" s="23"/>
      <c r="J894" s="42"/>
      <c r="K894" s="42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42"/>
      <c r="X894" s="21"/>
      <c r="Y894" s="22"/>
      <c r="Z894" s="23"/>
      <c r="AA894" s="24"/>
      <c r="AB894" s="44"/>
    </row>
    <row r="895" spans="1:28" x14ac:dyDescent="0.35">
      <c r="A895" s="23"/>
      <c r="B895" s="26"/>
      <c r="C895" s="23"/>
      <c r="D895" s="23"/>
      <c r="E895" s="23"/>
      <c r="F895" s="23"/>
      <c r="G895" s="23"/>
      <c r="H895" s="23"/>
      <c r="I895" s="23"/>
      <c r="J895" s="42"/>
      <c r="K895" s="42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42"/>
      <c r="X895" s="21"/>
      <c r="Y895" s="22"/>
      <c r="Z895" s="23"/>
      <c r="AA895" s="24"/>
      <c r="AB895" s="44"/>
    </row>
    <row r="896" spans="1:28" x14ac:dyDescent="0.35">
      <c r="A896" s="23"/>
      <c r="B896" s="26"/>
      <c r="C896" s="23"/>
      <c r="D896" s="23"/>
      <c r="E896" s="23"/>
      <c r="F896" s="23"/>
      <c r="G896" s="23"/>
      <c r="H896" s="23"/>
      <c r="I896" s="23"/>
      <c r="J896" s="42"/>
      <c r="K896" s="42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42"/>
      <c r="X896" s="21"/>
      <c r="Y896" s="22"/>
      <c r="Z896" s="23"/>
      <c r="AA896" s="24"/>
      <c r="AB896" s="44"/>
    </row>
    <row r="897" spans="1:28" x14ac:dyDescent="0.35">
      <c r="A897" s="23"/>
      <c r="B897" s="26"/>
      <c r="C897" s="23"/>
      <c r="D897" s="23"/>
      <c r="E897" s="23"/>
      <c r="F897" s="23"/>
      <c r="G897" s="23"/>
      <c r="H897" s="23"/>
      <c r="I897" s="23"/>
      <c r="J897" s="42"/>
      <c r="K897" s="42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42"/>
      <c r="X897" s="21"/>
      <c r="Y897" s="22"/>
      <c r="Z897" s="23"/>
      <c r="AA897" s="24"/>
      <c r="AB897" s="44"/>
    </row>
    <row r="898" spans="1:28" x14ac:dyDescent="0.35">
      <c r="A898" s="23"/>
      <c r="B898" s="26"/>
      <c r="C898" s="23"/>
      <c r="D898" s="23"/>
      <c r="E898" s="23"/>
      <c r="F898" s="23"/>
      <c r="G898" s="23"/>
      <c r="H898" s="23"/>
      <c r="I898" s="23"/>
      <c r="J898" s="42"/>
      <c r="K898" s="42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42"/>
      <c r="X898" s="21"/>
      <c r="Y898" s="22"/>
      <c r="Z898" s="23"/>
      <c r="AA898" s="24"/>
      <c r="AB898" s="44"/>
    </row>
    <row r="899" spans="1:28" x14ac:dyDescent="0.35">
      <c r="A899" s="23"/>
      <c r="B899" s="26"/>
      <c r="C899" s="23"/>
      <c r="D899" s="23"/>
      <c r="E899" s="23"/>
      <c r="F899" s="23"/>
      <c r="G899" s="23"/>
      <c r="H899" s="23"/>
      <c r="I899" s="23"/>
      <c r="J899" s="42"/>
      <c r="K899" s="42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42"/>
      <c r="X899" s="21"/>
      <c r="Y899" s="22"/>
      <c r="Z899" s="23"/>
      <c r="AA899" s="24"/>
      <c r="AB899" s="44"/>
    </row>
    <row r="900" spans="1:28" x14ac:dyDescent="0.35">
      <c r="A900" s="23"/>
      <c r="B900" s="26"/>
      <c r="C900" s="23"/>
      <c r="D900" s="23"/>
      <c r="E900" s="23"/>
      <c r="F900" s="23"/>
      <c r="G900" s="23"/>
      <c r="H900" s="23"/>
      <c r="I900" s="23"/>
      <c r="J900" s="42"/>
      <c r="K900" s="42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42"/>
      <c r="X900" s="21"/>
      <c r="Y900" s="22"/>
      <c r="Z900" s="23"/>
      <c r="AA900" s="24"/>
      <c r="AB900" s="44"/>
    </row>
    <row r="901" spans="1:28" x14ac:dyDescent="0.35">
      <c r="A901" s="23"/>
      <c r="B901" s="26"/>
      <c r="C901" s="23"/>
      <c r="D901" s="23"/>
      <c r="E901" s="23"/>
      <c r="F901" s="23"/>
      <c r="G901" s="23"/>
      <c r="H901" s="23"/>
      <c r="I901" s="23"/>
      <c r="J901" s="42"/>
      <c r="K901" s="42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42"/>
      <c r="X901" s="21"/>
      <c r="Y901" s="22"/>
      <c r="Z901" s="23"/>
      <c r="AA901" s="24"/>
      <c r="AB901" s="44"/>
    </row>
    <row r="902" spans="1:28" x14ac:dyDescent="0.35">
      <c r="A902" s="23"/>
      <c r="B902" s="26"/>
      <c r="C902" s="23"/>
      <c r="D902" s="23"/>
      <c r="E902" s="23"/>
      <c r="F902" s="23"/>
      <c r="G902" s="23"/>
      <c r="H902" s="23"/>
      <c r="I902" s="23"/>
      <c r="J902" s="42"/>
      <c r="K902" s="42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42"/>
      <c r="X902" s="21"/>
      <c r="Y902" s="22"/>
      <c r="Z902" s="23"/>
      <c r="AA902" s="24"/>
      <c r="AB902" s="44"/>
    </row>
    <row r="903" spans="1:28" x14ac:dyDescent="0.35">
      <c r="A903" s="23"/>
      <c r="B903" s="26"/>
      <c r="C903" s="23"/>
      <c r="D903" s="23"/>
      <c r="E903" s="23"/>
      <c r="F903" s="23"/>
      <c r="G903" s="23"/>
      <c r="H903" s="23"/>
      <c r="I903" s="23"/>
      <c r="J903" s="42"/>
      <c r="K903" s="42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42"/>
      <c r="X903" s="21"/>
      <c r="Y903" s="22"/>
      <c r="Z903" s="23"/>
      <c r="AA903" s="24"/>
      <c r="AB903" s="44"/>
    </row>
    <row r="904" spans="1:28" x14ac:dyDescent="0.35">
      <c r="A904" s="23"/>
      <c r="B904" s="26"/>
      <c r="C904" s="23"/>
      <c r="D904" s="23"/>
      <c r="E904" s="23"/>
      <c r="F904" s="23"/>
      <c r="G904" s="23"/>
      <c r="H904" s="23"/>
      <c r="I904" s="23"/>
      <c r="J904" s="42"/>
      <c r="K904" s="42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42"/>
      <c r="X904" s="21"/>
      <c r="Y904" s="22"/>
      <c r="Z904" s="23"/>
      <c r="AA904" s="24"/>
      <c r="AB904" s="44"/>
    </row>
    <row r="905" spans="1:28" x14ac:dyDescent="0.35">
      <c r="A905" s="23"/>
      <c r="B905" s="26"/>
      <c r="C905" s="23"/>
      <c r="D905" s="23"/>
      <c r="E905" s="23"/>
      <c r="F905" s="23"/>
      <c r="G905" s="23"/>
      <c r="H905" s="23"/>
      <c r="I905" s="23"/>
      <c r="J905" s="42"/>
      <c r="K905" s="42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42"/>
      <c r="X905" s="21"/>
      <c r="Y905" s="22"/>
      <c r="Z905" s="23"/>
      <c r="AA905" s="24"/>
      <c r="AB905" s="44"/>
    </row>
    <row r="906" spans="1:28" x14ac:dyDescent="0.35">
      <c r="A906" s="23"/>
      <c r="B906" s="26"/>
      <c r="C906" s="23"/>
      <c r="D906" s="23"/>
      <c r="E906" s="23"/>
      <c r="F906" s="23"/>
      <c r="G906" s="23"/>
      <c r="H906" s="23"/>
      <c r="I906" s="23"/>
      <c r="J906" s="42"/>
      <c r="K906" s="42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42"/>
      <c r="X906" s="21"/>
      <c r="Y906" s="22"/>
      <c r="Z906" s="23"/>
      <c r="AA906" s="24"/>
      <c r="AB906" s="44"/>
    </row>
    <row r="907" spans="1:28" x14ac:dyDescent="0.35">
      <c r="A907" s="23"/>
      <c r="B907" s="26"/>
      <c r="C907" s="23"/>
      <c r="D907" s="23"/>
      <c r="E907" s="23"/>
      <c r="F907" s="23"/>
      <c r="G907" s="23"/>
      <c r="H907" s="23"/>
      <c r="I907" s="23"/>
      <c r="J907" s="42"/>
      <c r="K907" s="42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42"/>
      <c r="X907" s="21"/>
      <c r="Y907" s="22"/>
      <c r="Z907" s="23"/>
      <c r="AA907" s="24"/>
      <c r="AB907" s="44"/>
    </row>
    <row r="908" spans="1:28" x14ac:dyDescent="0.35">
      <c r="A908" s="23"/>
      <c r="B908" s="26"/>
      <c r="C908" s="23"/>
      <c r="D908" s="23"/>
      <c r="E908" s="23"/>
      <c r="F908" s="23"/>
      <c r="G908" s="23"/>
      <c r="H908" s="23"/>
      <c r="I908" s="23"/>
      <c r="J908" s="42"/>
      <c r="K908" s="42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42"/>
      <c r="X908" s="21"/>
      <c r="Y908" s="22"/>
      <c r="Z908" s="23"/>
      <c r="AA908" s="24"/>
      <c r="AB908" s="44"/>
    </row>
    <row r="909" spans="1:28" x14ac:dyDescent="0.35">
      <c r="A909" s="23"/>
      <c r="B909" s="26"/>
      <c r="C909" s="23"/>
      <c r="D909" s="23"/>
      <c r="E909" s="23"/>
      <c r="F909" s="23"/>
      <c r="G909" s="23"/>
      <c r="H909" s="23"/>
      <c r="I909" s="23"/>
      <c r="J909" s="42"/>
      <c r="K909" s="42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42"/>
      <c r="X909" s="21"/>
      <c r="Y909" s="22"/>
      <c r="Z909" s="23"/>
      <c r="AA909" s="24"/>
      <c r="AB909" s="44"/>
    </row>
    <row r="910" spans="1:28" x14ac:dyDescent="0.35">
      <c r="A910" s="23"/>
      <c r="B910" s="26"/>
      <c r="C910" s="23"/>
      <c r="D910" s="23"/>
      <c r="E910" s="23"/>
      <c r="F910" s="23"/>
      <c r="G910" s="23"/>
      <c r="H910" s="23"/>
      <c r="I910" s="23"/>
      <c r="J910" s="42"/>
      <c r="K910" s="42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42"/>
      <c r="X910" s="21"/>
      <c r="Y910" s="22"/>
      <c r="Z910" s="23"/>
      <c r="AA910" s="24"/>
      <c r="AB910" s="44"/>
    </row>
    <row r="911" spans="1:28" x14ac:dyDescent="0.35">
      <c r="A911" s="23"/>
      <c r="B911" s="26"/>
      <c r="C911" s="23"/>
      <c r="D911" s="23"/>
      <c r="E911" s="23"/>
      <c r="F911" s="23"/>
      <c r="G911" s="23"/>
      <c r="H911" s="23"/>
      <c r="I911" s="23"/>
      <c r="J911" s="42"/>
      <c r="K911" s="42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42"/>
      <c r="X911" s="21"/>
      <c r="Y911" s="22"/>
      <c r="Z911" s="23"/>
      <c r="AA911" s="24"/>
      <c r="AB911" s="44"/>
    </row>
    <row r="912" spans="1:28" x14ac:dyDescent="0.35">
      <c r="A912" s="23"/>
      <c r="B912" s="26"/>
      <c r="C912" s="23"/>
      <c r="D912" s="23"/>
      <c r="E912" s="23"/>
      <c r="F912" s="23"/>
      <c r="G912" s="23"/>
      <c r="H912" s="23"/>
      <c r="I912" s="23"/>
      <c r="J912" s="42"/>
      <c r="K912" s="42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42"/>
      <c r="X912" s="21"/>
      <c r="Y912" s="22"/>
      <c r="Z912" s="23"/>
      <c r="AA912" s="24"/>
      <c r="AB912" s="44"/>
    </row>
    <row r="913" spans="1:28" x14ac:dyDescent="0.35">
      <c r="A913" s="23"/>
      <c r="B913" s="26"/>
      <c r="C913" s="23"/>
      <c r="D913" s="23"/>
      <c r="E913" s="23"/>
      <c r="F913" s="23"/>
      <c r="G913" s="23"/>
      <c r="H913" s="23"/>
      <c r="I913" s="23"/>
      <c r="J913" s="42"/>
      <c r="K913" s="42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42"/>
      <c r="X913" s="21"/>
      <c r="Y913" s="22"/>
      <c r="Z913" s="23"/>
      <c r="AA913" s="24"/>
      <c r="AB913" s="44"/>
    </row>
    <row r="914" spans="1:28" x14ac:dyDescent="0.35">
      <c r="A914" s="23"/>
      <c r="B914" s="26"/>
      <c r="C914" s="23"/>
      <c r="D914" s="23"/>
      <c r="E914" s="23"/>
      <c r="F914" s="23"/>
      <c r="G914" s="23"/>
      <c r="H914" s="23"/>
      <c r="I914" s="23"/>
      <c r="J914" s="42"/>
      <c r="K914" s="42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42"/>
      <c r="X914" s="21"/>
      <c r="Y914" s="22"/>
      <c r="Z914" s="23"/>
      <c r="AA914" s="24"/>
      <c r="AB914" s="44"/>
    </row>
    <row r="915" spans="1:28" x14ac:dyDescent="0.35">
      <c r="A915" s="23"/>
      <c r="B915" s="26"/>
      <c r="C915" s="23"/>
      <c r="D915" s="23"/>
      <c r="E915" s="23"/>
      <c r="F915" s="23"/>
      <c r="G915" s="23"/>
      <c r="H915" s="23"/>
      <c r="I915" s="23"/>
      <c r="J915" s="42"/>
      <c r="K915" s="42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42"/>
      <c r="X915" s="21"/>
      <c r="Y915" s="22"/>
      <c r="Z915" s="23"/>
      <c r="AA915" s="24"/>
      <c r="AB915" s="44"/>
    </row>
    <row r="916" spans="1:28" x14ac:dyDescent="0.35">
      <c r="A916" s="23"/>
      <c r="B916" s="26"/>
      <c r="C916" s="23"/>
      <c r="D916" s="23"/>
      <c r="E916" s="23"/>
      <c r="F916" s="23"/>
      <c r="G916" s="23"/>
      <c r="H916" s="23"/>
      <c r="I916" s="23"/>
      <c r="J916" s="42"/>
      <c r="K916" s="42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42"/>
      <c r="X916" s="21"/>
      <c r="Y916" s="22"/>
      <c r="Z916" s="23"/>
      <c r="AA916" s="24"/>
      <c r="AB916" s="44"/>
    </row>
    <row r="917" spans="1:28" x14ac:dyDescent="0.35">
      <c r="A917" s="23"/>
      <c r="B917" s="26"/>
      <c r="C917" s="23"/>
      <c r="D917" s="23"/>
      <c r="E917" s="23"/>
      <c r="F917" s="23"/>
      <c r="G917" s="23"/>
      <c r="H917" s="23"/>
      <c r="I917" s="23"/>
      <c r="J917" s="42"/>
      <c r="K917" s="42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42"/>
      <c r="X917" s="21"/>
      <c r="Y917" s="22"/>
      <c r="Z917" s="23"/>
      <c r="AA917" s="24"/>
      <c r="AB917" s="44"/>
    </row>
    <row r="918" spans="1:28" x14ac:dyDescent="0.35">
      <c r="A918" s="23"/>
      <c r="B918" s="26"/>
      <c r="C918" s="23"/>
      <c r="D918" s="23"/>
      <c r="E918" s="23"/>
      <c r="F918" s="23"/>
      <c r="G918" s="23"/>
      <c r="H918" s="23"/>
      <c r="I918" s="23"/>
      <c r="J918" s="42"/>
      <c r="K918" s="42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42"/>
      <c r="X918" s="21"/>
      <c r="Y918" s="22"/>
      <c r="Z918" s="23"/>
      <c r="AA918" s="24"/>
      <c r="AB918" s="44"/>
    </row>
    <row r="919" spans="1:28" x14ac:dyDescent="0.35">
      <c r="A919" s="23"/>
      <c r="B919" s="26"/>
      <c r="C919" s="23"/>
      <c r="D919" s="23"/>
      <c r="E919" s="23"/>
      <c r="F919" s="23"/>
      <c r="G919" s="23"/>
      <c r="H919" s="23"/>
      <c r="I919" s="23"/>
      <c r="J919" s="42"/>
      <c r="K919" s="42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42"/>
      <c r="X919" s="21"/>
      <c r="Y919" s="22"/>
      <c r="Z919" s="23"/>
      <c r="AA919" s="24"/>
      <c r="AB919" s="44"/>
    </row>
    <row r="920" spans="1:28" x14ac:dyDescent="0.35">
      <c r="A920" s="23"/>
      <c r="B920" s="26"/>
      <c r="C920" s="23"/>
      <c r="D920" s="23"/>
      <c r="E920" s="23"/>
      <c r="F920" s="23"/>
      <c r="G920" s="23"/>
      <c r="H920" s="23"/>
      <c r="I920" s="23"/>
      <c r="J920" s="42"/>
      <c r="K920" s="42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42"/>
      <c r="X920" s="21"/>
      <c r="Y920" s="22"/>
      <c r="Z920" s="23"/>
      <c r="AA920" s="24"/>
      <c r="AB920" s="44"/>
    </row>
    <row r="921" spans="1:28" x14ac:dyDescent="0.35">
      <c r="A921" s="23"/>
      <c r="B921" s="26"/>
      <c r="C921" s="23"/>
      <c r="D921" s="23"/>
      <c r="E921" s="23"/>
      <c r="F921" s="23"/>
      <c r="G921" s="23"/>
      <c r="H921" s="23"/>
      <c r="I921" s="23"/>
      <c r="J921" s="42"/>
      <c r="K921" s="42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42"/>
      <c r="X921" s="21"/>
      <c r="Y921" s="22"/>
      <c r="Z921" s="23"/>
      <c r="AA921" s="24"/>
      <c r="AB921" s="44"/>
    </row>
    <row r="922" spans="1:28" x14ac:dyDescent="0.35">
      <c r="A922" s="23"/>
      <c r="B922" s="26"/>
      <c r="C922" s="23"/>
      <c r="D922" s="23"/>
      <c r="E922" s="23"/>
      <c r="F922" s="23"/>
      <c r="G922" s="23"/>
      <c r="H922" s="23"/>
      <c r="I922" s="23"/>
      <c r="J922" s="42"/>
      <c r="K922" s="42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42"/>
      <c r="X922" s="21"/>
      <c r="Y922" s="22"/>
      <c r="Z922" s="23"/>
      <c r="AA922" s="24"/>
      <c r="AB922" s="44"/>
    </row>
    <row r="923" spans="1:28" x14ac:dyDescent="0.35">
      <c r="A923" s="23"/>
      <c r="B923" s="26"/>
      <c r="C923" s="23"/>
      <c r="D923" s="23"/>
      <c r="E923" s="23"/>
      <c r="F923" s="23"/>
      <c r="G923" s="23"/>
      <c r="H923" s="23"/>
      <c r="I923" s="23"/>
      <c r="J923" s="42"/>
      <c r="K923" s="42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42"/>
      <c r="X923" s="21"/>
      <c r="Y923" s="22"/>
      <c r="Z923" s="23"/>
      <c r="AA923" s="24"/>
      <c r="AB923" s="44"/>
    </row>
    <row r="924" spans="1:28" x14ac:dyDescent="0.35">
      <c r="A924" s="27"/>
      <c r="B924" s="28"/>
      <c r="C924" s="27"/>
      <c r="D924" s="27"/>
      <c r="E924" s="27"/>
      <c r="F924" s="27"/>
      <c r="G924" s="27"/>
      <c r="H924" s="27"/>
      <c r="I924" s="27"/>
      <c r="J924" s="43"/>
      <c r="K924" s="43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43"/>
      <c r="X924" s="29"/>
      <c r="Y924" s="30"/>
      <c r="Z924" s="27"/>
      <c r="AA924" s="49"/>
    </row>
    <row r="925" spans="1:28" x14ac:dyDescent="0.35">
      <c r="A925" s="27"/>
      <c r="B925" s="28"/>
      <c r="C925" s="27"/>
      <c r="D925" s="27"/>
      <c r="E925" s="27"/>
      <c r="F925" s="27"/>
      <c r="G925" s="27"/>
      <c r="H925" s="27"/>
      <c r="I925" s="27"/>
      <c r="J925" s="43"/>
      <c r="K925" s="43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43"/>
      <c r="X925" s="29"/>
      <c r="Y925" s="30"/>
      <c r="Z925" s="27"/>
      <c r="AA925" s="49"/>
    </row>
    <row r="926" spans="1:28" x14ac:dyDescent="0.35">
      <c r="A926" s="27"/>
      <c r="B926" s="28"/>
      <c r="C926" s="27"/>
      <c r="D926" s="27"/>
      <c r="E926" s="27"/>
      <c r="F926" s="27"/>
      <c r="G926" s="27"/>
      <c r="H926" s="27"/>
      <c r="I926" s="27"/>
      <c r="J926" s="43"/>
      <c r="K926" s="43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43"/>
      <c r="X926" s="29"/>
      <c r="Y926" s="30"/>
      <c r="Z926" s="27"/>
      <c r="AA926" s="49"/>
    </row>
    <row r="927" spans="1:28" x14ac:dyDescent="0.35">
      <c r="A927" s="27"/>
      <c r="B927" s="28"/>
      <c r="C927" s="27"/>
      <c r="D927" s="27"/>
      <c r="E927" s="27"/>
      <c r="F927" s="27"/>
      <c r="G927" s="27"/>
      <c r="H927" s="27"/>
      <c r="I927" s="27"/>
      <c r="J927" s="43"/>
      <c r="K927" s="43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43"/>
      <c r="X927" s="29"/>
      <c r="Y927" s="30"/>
      <c r="Z927" s="27"/>
      <c r="AA927" s="49"/>
    </row>
    <row r="928" spans="1:28" x14ac:dyDescent="0.35">
      <c r="A928" s="27"/>
      <c r="B928" s="28"/>
      <c r="C928" s="27"/>
      <c r="D928" s="27"/>
      <c r="E928" s="27"/>
      <c r="F928" s="27"/>
      <c r="G928" s="27"/>
      <c r="H928" s="27"/>
      <c r="I928" s="27"/>
      <c r="J928" s="43"/>
      <c r="K928" s="43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43"/>
      <c r="X928" s="29"/>
      <c r="Y928" s="30"/>
      <c r="Z928" s="27"/>
      <c r="AA928" s="49"/>
    </row>
    <row r="929" spans="1:27" x14ac:dyDescent="0.35">
      <c r="A929" s="27"/>
      <c r="B929" s="28"/>
      <c r="C929" s="27"/>
      <c r="D929" s="27"/>
      <c r="E929" s="27"/>
      <c r="F929" s="27"/>
      <c r="G929" s="27"/>
      <c r="H929" s="27"/>
      <c r="I929" s="27"/>
      <c r="J929" s="43"/>
      <c r="K929" s="43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43"/>
      <c r="X929" s="29"/>
      <c r="Y929" s="30"/>
      <c r="Z929" s="27"/>
      <c r="AA929" s="49"/>
    </row>
    <row r="930" spans="1:27" x14ac:dyDescent="0.35">
      <c r="A930" s="27"/>
      <c r="B930" s="28"/>
      <c r="C930" s="27"/>
      <c r="D930" s="27"/>
      <c r="E930" s="27"/>
      <c r="F930" s="27"/>
      <c r="G930" s="27"/>
      <c r="H930" s="27"/>
      <c r="I930" s="27"/>
      <c r="J930" s="43"/>
      <c r="K930" s="43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43"/>
      <c r="X930" s="29"/>
      <c r="Y930" s="30"/>
      <c r="Z930" s="27"/>
      <c r="AA930" s="49"/>
    </row>
    <row r="931" spans="1:27" x14ac:dyDescent="0.35">
      <c r="A931" s="27"/>
      <c r="B931" s="28"/>
      <c r="C931" s="27"/>
      <c r="D931" s="27"/>
      <c r="E931" s="27"/>
      <c r="F931" s="27"/>
      <c r="G931" s="27"/>
      <c r="H931" s="27"/>
      <c r="I931" s="27"/>
      <c r="J931" s="43"/>
      <c r="K931" s="43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43"/>
      <c r="X931" s="29"/>
      <c r="Y931" s="30"/>
      <c r="Z931" s="27"/>
      <c r="AA931" s="49"/>
    </row>
    <row r="932" spans="1:27" x14ac:dyDescent="0.35">
      <c r="A932" s="27"/>
      <c r="B932" s="28"/>
      <c r="C932" s="27"/>
      <c r="D932" s="27"/>
      <c r="E932" s="27"/>
      <c r="F932" s="27"/>
      <c r="G932" s="27"/>
      <c r="H932" s="27"/>
      <c r="I932" s="27"/>
      <c r="J932" s="43"/>
      <c r="K932" s="43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43"/>
      <c r="X932" s="29"/>
      <c r="Y932" s="30"/>
      <c r="Z932" s="27"/>
      <c r="AA932" s="49"/>
    </row>
    <row r="933" spans="1:27" x14ac:dyDescent="0.35">
      <c r="A933" s="27"/>
      <c r="B933" s="28"/>
      <c r="C933" s="27"/>
      <c r="D933" s="27"/>
      <c r="E933" s="27"/>
      <c r="F933" s="27"/>
      <c r="G933" s="27"/>
      <c r="H933" s="27"/>
      <c r="I933" s="27"/>
      <c r="J933" s="43"/>
      <c r="K933" s="43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43"/>
      <c r="X933" s="29"/>
      <c r="Y933" s="30"/>
      <c r="Z933" s="27"/>
      <c r="AA933" s="49"/>
    </row>
    <row r="934" spans="1:27" x14ac:dyDescent="0.35">
      <c r="A934" s="27"/>
      <c r="B934" s="28"/>
      <c r="C934" s="27"/>
      <c r="D934" s="27"/>
      <c r="E934" s="27"/>
      <c r="F934" s="27"/>
      <c r="G934" s="27"/>
      <c r="H934" s="27"/>
      <c r="I934" s="27"/>
      <c r="J934" s="43"/>
      <c r="K934" s="43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43"/>
      <c r="X934" s="29"/>
      <c r="Y934" s="30"/>
      <c r="Z934" s="27"/>
      <c r="AA934" s="49"/>
    </row>
    <row r="935" spans="1:27" x14ac:dyDescent="0.35">
      <c r="A935" s="27"/>
      <c r="B935" s="28"/>
      <c r="C935" s="27"/>
      <c r="D935" s="27"/>
      <c r="E935" s="27"/>
      <c r="F935" s="27"/>
      <c r="G935" s="27"/>
      <c r="H935" s="27"/>
      <c r="I935" s="27"/>
      <c r="J935" s="43"/>
      <c r="K935" s="43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43"/>
      <c r="X935" s="29"/>
      <c r="Y935" s="30"/>
      <c r="Z935" s="27"/>
      <c r="AA935" s="49"/>
    </row>
    <row r="936" spans="1:27" x14ac:dyDescent="0.35">
      <c r="A936" s="27"/>
      <c r="B936" s="28"/>
      <c r="C936" s="27"/>
      <c r="D936" s="27"/>
      <c r="E936" s="27"/>
      <c r="F936" s="27"/>
      <c r="G936" s="27"/>
      <c r="H936" s="27"/>
      <c r="I936" s="27"/>
      <c r="J936" s="43"/>
      <c r="K936" s="43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43"/>
      <c r="X936" s="29"/>
      <c r="Y936" s="30"/>
      <c r="Z936" s="27"/>
      <c r="AA936" s="49"/>
    </row>
    <row r="937" spans="1:27" x14ac:dyDescent="0.35">
      <c r="A937" s="27"/>
      <c r="B937" s="28"/>
      <c r="C937" s="27"/>
      <c r="D937" s="27"/>
      <c r="E937" s="27"/>
      <c r="F937" s="27"/>
      <c r="G937" s="27"/>
      <c r="H937" s="27"/>
      <c r="I937" s="27"/>
      <c r="J937" s="43"/>
      <c r="K937" s="43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43"/>
      <c r="X937" s="29"/>
      <c r="Y937" s="30"/>
      <c r="Z937" s="27"/>
      <c r="AA937" s="49"/>
    </row>
    <row r="938" spans="1:27" x14ac:dyDescent="0.35">
      <c r="A938" s="27"/>
      <c r="B938" s="28"/>
      <c r="C938" s="27"/>
      <c r="D938" s="27"/>
      <c r="E938" s="27"/>
      <c r="F938" s="27"/>
      <c r="G938" s="27"/>
      <c r="H938" s="27"/>
      <c r="I938" s="27"/>
      <c r="J938" s="43"/>
      <c r="K938" s="43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43"/>
      <c r="X938" s="29"/>
      <c r="Y938" s="30"/>
      <c r="Z938" s="27"/>
      <c r="AA938" s="49"/>
    </row>
    <row r="939" spans="1:27" x14ac:dyDescent="0.35">
      <c r="A939" s="27"/>
      <c r="B939" s="28"/>
      <c r="C939" s="27"/>
      <c r="D939" s="27"/>
      <c r="E939" s="27"/>
      <c r="F939" s="27"/>
      <c r="G939" s="27"/>
      <c r="H939" s="27"/>
      <c r="I939" s="27"/>
      <c r="J939" s="43"/>
      <c r="K939" s="43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43"/>
      <c r="X939" s="29"/>
      <c r="Y939" s="30"/>
      <c r="Z939" s="27"/>
      <c r="AA939" s="49"/>
    </row>
    <row r="940" spans="1:27" x14ac:dyDescent="0.35">
      <c r="A940" s="27"/>
      <c r="B940" s="28"/>
      <c r="C940" s="27"/>
      <c r="D940" s="27"/>
      <c r="E940" s="27"/>
      <c r="F940" s="27"/>
      <c r="G940" s="27"/>
      <c r="H940" s="27"/>
      <c r="I940" s="27"/>
      <c r="J940" s="43"/>
      <c r="K940" s="43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43"/>
      <c r="X940" s="29"/>
      <c r="Y940" s="30"/>
      <c r="Z940" s="27"/>
      <c r="AA940" s="49"/>
    </row>
    <row r="941" spans="1:27" x14ac:dyDescent="0.35">
      <c r="A941" s="27"/>
      <c r="B941" s="28"/>
      <c r="C941" s="27"/>
      <c r="D941" s="27"/>
      <c r="E941" s="27"/>
      <c r="F941" s="27"/>
      <c r="G941" s="27"/>
      <c r="H941" s="27"/>
      <c r="I941" s="27"/>
      <c r="J941" s="43"/>
      <c r="K941" s="43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43"/>
      <c r="X941" s="29"/>
      <c r="Y941" s="30"/>
      <c r="Z941" s="27"/>
      <c r="AA941" s="49"/>
    </row>
    <row r="942" spans="1:27" x14ac:dyDescent="0.35">
      <c r="A942" s="27"/>
      <c r="B942" s="28"/>
      <c r="C942" s="27"/>
      <c r="D942" s="27"/>
      <c r="E942" s="27"/>
      <c r="F942" s="27"/>
      <c r="G942" s="27"/>
      <c r="H942" s="27"/>
      <c r="I942" s="27"/>
      <c r="J942" s="43"/>
      <c r="K942" s="43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43"/>
      <c r="X942" s="29"/>
      <c r="Y942" s="30"/>
      <c r="Z942" s="27"/>
      <c r="AA942" s="49"/>
    </row>
    <row r="943" spans="1:27" x14ac:dyDescent="0.35">
      <c r="A943" s="27"/>
      <c r="B943" s="28"/>
      <c r="C943" s="27"/>
      <c r="D943" s="27"/>
      <c r="E943" s="27"/>
      <c r="F943" s="27"/>
      <c r="G943" s="27"/>
      <c r="H943" s="27"/>
      <c r="I943" s="27"/>
      <c r="J943" s="43"/>
      <c r="K943" s="43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43"/>
      <c r="X943" s="29"/>
      <c r="Y943" s="30"/>
      <c r="Z943" s="27"/>
      <c r="AA943" s="49"/>
    </row>
    <row r="944" spans="1:27" x14ac:dyDescent="0.35">
      <c r="A944" s="27"/>
      <c r="B944" s="28"/>
      <c r="C944" s="27"/>
      <c r="D944" s="27"/>
      <c r="E944" s="27"/>
      <c r="F944" s="27"/>
      <c r="G944" s="27"/>
      <c r="H944" s="27"/>
      <c r="I944" s="27"/>
      <c r="J944" s="43"/>
      <c r="K944" s="43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43"/>
      <c r="X944" s="29"/>
      <c r="Y944" s="30"/>
      <c r="Z944" s="27"/>
      <c r="AA944" s="49"/>
    </row>
    <row r="945" spans="1:27" x14ac:dyDescent="0.35">
      <c r="A945" s="27"/>
      <c r="B945" s="28"/>
      <c r="C945" s="27"/>
      <c r="D945" s="27"/>
      <c r="E945" s="27"/>
      <c r="F945" s="27"/>
      <c r="G945" s="27"/>
      <c r="H945" s="27"/>
      <c r="I945" s="27"/>
      <c r="J945" s="43"/>
      <c r="K945" s="43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43"/>
      <c r="X945" s="29"/>
      <c r="Y945" s="30"/>
      <c r="Z945" s="27"/>
      <c r="AA945" s="49"/>
    </row>
    <row r="946" spans="1:27" x14ac:dyDescent="0.35">
      <c r="A946" s="27"/>
      <c r="B946" s="28"/>
      <c r="C946" s="27"/>
      <c r="D946" s="27"/>
      <c r="E946" s="27"/>
      <c r="F946" s="27"/>
      <c r="G946" s="27"/>
      <c r="H946" s="27"/>
      <c r="I946" s="27"/>
      <c r="J946" s="43"/>
      <c r="K946" s="43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43"/>
      <c r="X946" s="29"/>
      <c r="Y946" s="30"/>
      <c r="Z946" s="27"/>
      <c r="AA946" s="49"/>
    </row>
    <row r="947" spans="1:27" x14ac:dyDescent="0.35">
      <c r="A947" s="27"/>
      <c r="B947" s="28"/>
      <c r="C947" s="27"/>
      <c r="D947" s="27"/>
      <c r="E947" s="27"/>
      <c r="F947" s="27"/>
      <c r="G947" s="27"/>
      <c r="H947" s="27"/>
      <c r="I947" s="27"/>
      <c r="J947" s="43"/>
      <c r="K947" s="43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43"/>
      <c r="X947" s="29"/>
      <c r="Y947" s="30"/>
      <c r="Z947" s="27"/>
      <c r="AA947" s="49"/>
    </row>
    <row r="948" spans="1:27" x14ac:dyDescent="0.35">
      <c r="A948" s="27"/>
      <c r="B948" s="28"/>
      <c r="C948" s="27"/>
      <c r="D948" s="27"/>
      <c r="E948" s="27"/>
      <c r="F948" s="27"/>
      <c r="G948" s="27"/>
      <c r="H948" s="27"/>
      <c r="I948" s="27"/>
      <c r="J948" s="43"/>
      <c r="K948" s="43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43"/>
      <c r="X948" s="29"/>
      <c r="Y948" s="30"/>
      <c r="Z948" s="27"/>
      <c r="AA948" s="49"/>
    </row>
    <row r="949" spans="1:27" x14ac:dyDescent="0.35">
      <c r="A949" s="27"/>
      <c r="B949" s="28"/>
      <c r="C949" s="27"/>
      <c r="D949" s="27"/>
      <c r="E949" s="27"/>
      <c r="F949" s="27"/>
      <c r="G949" s="27"/>
      <c r="H949" s="27"/>
      <c r="I949" s="27"/>
      <c r="J949" s="43"/>
      <c r="K949" s="43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43"/>
      <c r="X949" s="29"/>
      <c r="Y949" s="30"/>
      <c r="Z949" s="27"/>
      <c r="AA949" s="49"/>
    </row>
    <row r="950" spans="1:27" x14ac:dyDescent="0.35">
      <c r="A950" s="27"/>
      <c r="B950" s="28"/>
      <c r="C950" s="27"/>
      <c r="D950" s="27"/>
      <c r="E950" s="27"/>
      <c r="F950" s="27"/>
      <c r="G950" s="27"/>
      <c r="H950" s="27"/>
      <c r="I950" s="27"/>
      <c r="J950" s="43"/>
      <c r="K950" s="43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43"/>
      <c r="X950" s="29"/>
      <c r="Y950" s="30"/>
      <c r="Z950" s="27"/>
      <c r="AA950" s="49"/>
    </row>
    <row r="951" spans="1:27" x14ac:dyDescent="0.35">
      <c r="A951" s="27"/>
      <c r="B951" s="28"/>
      <c r="C951" s="27"/>
      <c r="D951" s="27"/>
      <c r="E951" s="27"/>
      <c r="F951" s="27"/>
      <c r="G951" s="27"/>
      <c r="H951" s="27"/>
      <c r="I951" s="27"/>
      <c r="J951" s="43"/>
      <c r="K951" s="43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43"/>
      <c r="X951" s="29"/>
      <c r="Y951" s="30"/>
      <c r="Z951" s="27"/>
      <c r="AA951" s="49"/>
    </row>
    <row r="952" spans="1:27" x14ac:dyDescent="0.35">
      <c r="A952" s="27"/>
      <c r="B952" s="28"/>
      <c r="C952" s="27"/>
      <c r="D952" s="27"/>
      <c r="E952" s="27"/>
      <c r="F952" s="27"/>
      <c r="G952" s="27"/>
      <c r="H952" s="27"/>
      <c r="I952" s="27"/>
      <c r="J952" s="43"/>
      <c r="K952" s="43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43"/>
      <c r="X952" s="29"/>
      <c r="Y952" s="30"/>
      <c r="Z952" s="27"/>
      <c r="AA952" s="49"/>
    </row>
    <row r="953" spans="1:27" x14ac:dyDescent="0.35">
      <c r="A953" s="27"/>
      <c r="B953" s="28"/>
      <c r="C953" s="27"/>
      <c r="D953" s="27"/>
      <c r="E953" s="27"/>
      <c r="F953" s="27"/>
      <c r="G953" s="27"/>
      <c r="H953" s="27"/>
      <c r="I953" s="27"/>
      <c r="J953" s="43"/>
      <c r="K953" s="43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43"/>
      <c r="X953" s="29"/>
      <c r="Y953" s="30"/>
      <c r="Z953" s="27"/>
      <c r="AA953" s="49"/>
    </row>
    <row r="954" spans="1:27" x14ac:dyDescent="0.35">
      <c r="A954" s="27"/>
      <c r="B954" s="28"/>
      <c r="C954" s="27"/>
      <c r="D954" s="27"/>
      <c r="E954" s="27"/>
      <c r="F954" s="27"/>
      <c r="G954" s="27"/>
      <c r="H954" s="27"/>
      <c r="I954" s="27"/>
      <c r="J954" s="43"/>
      <c r="K954" s="43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43"/>
      <c r="X954" s="29"/>
      <c r="Y954" s="30"/>
      <c r="Z954" s="27"/>
      <c r="AA954" s="49"/>
    </row>
    <row r="955" spans="1:27" x14ac:dyDescent="0.35">
      <c r="A955" s="27"/>
      <c r="B955" s="28"/>
      <c r="C955" s="27"/>
      <c r="D955" s="27"/>
      <c r="E955" s="27"/>
      <c r="F955" s="27"/>
      <c r="G955" s="27"/>
      <c r="H955" s="27"/>
      <c r="I955" s="27"/>
      <c r="J955" s="43"/>
      <c r="K955" s="43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43"/>
      <c r="X955" s="29"/>
      <c r="Y955" s="30"/>
      <c r="Z955" s="27"/>
      <c r="AA955" s="49"/>
    </row>
    <row r="956" spans="1:27" x14ac:dyDescent="0.35">
      <c r="A956" s="27"/>
      <c r="B956" s="28"/>
      <c r="C956" s="27"/>
      <c r="D956" s="27"/>
      <c r="E956" s="27"/>
      <c r="F956" s="27"/>
      <c r="G956" s="27"/>
      <c r="H956" s="27"/>
      <c r="I956" s="27"/>
      <c r="J956" s="43"/>
      <c r="K956" s="43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43"/>
      <c r="X956" s="29"/>
      <c r="Y956" s="30"/>
      <c r="Z956" s="27"/>
      <c r="AA956" s="49"/>
    </row>
    <row r="957" spans="1:27" x14ac:dyDescent="0.35">
      <c r="A957" s="27"/>
      <c r="B957" s="28"/>
      <c r="C957" s="27"/>
      <c r="D957" s="27"/>
      <c r="E957" s="27"/>
      <c r="F957" s="27"/>
      <c r="G957" s="27"/>
      <c r="H957" s="27"/>
      <c r="I957" s="27"/>
      <c r="J957" s="43"/>
      <c r="K957" s="43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43"/>
      <c r="X957" s="29"/>
      <c r="Y957" s="30"/>
      <c r="Z957" s="27"/>
      <c r="AA957" s="49"/>
    </row>
    <row r="958" spans="1:27" x14ac:dyDescent="0.35">
      <c r="A958" s="27"/>
      <c r="B958" s="28"/>
      <c r="C958" s="27"/>
      <c r="D958" s="27"/>
      <c r="E958" s="27"/>
      <c r="F958" s="27"/>
      <c r="G958" s="27"/>
      <c r="H958" s="27"/>
      <c r="I958" s="27"/>
      <c r="J958" s="43"/>
      <c r="K958" s="43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43"/>
      <c r="X958" s="29"/>
      <c r="Y958" s="30"/>
      <c r="Z958" s="27"/>
      <c r="AA958" s="49"/>
    </row>
    <row r="959" spans="1:27" x14ac:dyDescent="0.35">
      <c r="A959" s="27"/>
      <c r="B959" s="28"/>
      <c r="C959" s="27"/>
      <c r="D959" s="27"/>
      <c r="E959" s="27"/>
      <c r="F959" s="27"/>
      <c r="G959" s="27"/>
      <c r="H959" s="27"/>
      <c r="I959" s="27"/>
      <c r="J959" s="43"/>
      <c r="K959" s="43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43"/>
      <c r="X959" s="29"/>
      <c r="Y959" s="30"/>
      <c r="Z959" s="27"/>
      <c r="AA959" s="49"/>
    </row>
    <row r="960" spans="1:27" x14ac:dyDescent="0.35">
      <c r="A960" s="27"/>
      <c r="B960" s="28"/>
      <c r="C960" s="27"/>
      <c r="D960" s="27"/>
      <c r="E960" s="27"/>
      <c r="F960" s="27"/>
      <c r="G960" s="27"/>
      <c r="H960" s="27"/>
      <c r="I960" s="27"/>
      <c r="J960" s="43"/>
      <c r="K960" s="43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43"/>
      <c r="X960" s="29"/>
      <c r="Y960" s="30"/>
      <c r="Z960" s="27"/>
      <c r="AA960" s="49"/>
    </row>
    <row r="961" spans="1:27" x14ac:dyDescent="0.35">
      <c r="A961" s="27"/>
      <c r="B961" s="28"/>
      <c r="C961" s="27"/>
      <c r="D961" s="27"/>
      <c r="E961" s="27"/>
      <c r="F961" s="27"/>
      <c r="G961" s="27"/>
      <c r="H961" s="27"/>
      <c r="I961" s="27"/>
      <c r="J961" s="43"/>
      <c r="K961" s="43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43"/>
      <c r="X961" s="29"/>
      <c r="Y961" s="30"/>
      <c r="Z961" s="27"/>
      <c r="AA961" s="49"/>
    </row>
    <row r="962" spans="1:27" x14ac:dyDescent="0.35">
      <c r="A962" s="27"/>
      <c r="B962" s="28"/>
      <c r="C962" s="27"/>
      <c r="D962" s="27"/>
      <c r="E962" s="27"/>
      <c r="F962" s="27"/>
      <c r="G962" s="27"/>
      <c r="H962" s="27"/>
      <c r="I962" s="27"/>
      <c r="J962" s="43"/>
      <c r="K962" s="43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43"/>
      <c r="X962" s="29"/>
      <c r="Y962" s="30"/>
      <c r="Z962" s="27"/>
      <c r="AA962" s="49"/>
    </row>
    <row r="963" spans="1:27" x14ac:dyDescent="0.35">
      <c r="A963" s="27"/>
      <c r="B963" s="28"/>
      <c r="C963" s="27"/>
      <c r="D963" s="27"/>
      <c r="E963" s="27"/>
      <c r="F963" s="27"/>
      <c r="G963" s="27"/>
      <c r="H963" s="27"/>
      <c r="I963" s="27"/>
      <c r="J963" s="43"/>
      <c r="K963" s="43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43"/>
      <c r="X963" s="29"/>
      <c r="Y963" s="30"/>
      <c r="Z963" s="27"/>
      <c r="AA963" s="49"/>
    </row>
    <row r="964" spans="1:27" x14ac:dyDescent="0.35">
      <c r="A964" s="27"/>
      <c r="B964" s="28"/>
      <c r="C964" s="27"/>
      <c r="D964" s="27"/>
      <c r="E964" s="27"/>
      <c r="F964" s="27"/>
      <c r="G964" s="27"/>
      <c r="H964" s="27"/>
      <c r="I964" s="27"/>
      <c r="J964" s="43"/>
      <c r="K964" s="43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43"/>
      <c r="X964" s="29"/>
      <c r="Y964" s="30"/>
      <c r="Z964" s="27"/>
      <c r="AA964" s="49"/>
    </row>
    <row r="965" spans="1:27" x14ac:dyDescent="0.35">
      <c r="A965" s="27"/>
      <c r="B965" s="28"/>
      <c r="C965" s="27"/>
      <c r="D965" s="27"/>
      <c r="E965" s="27"/>
      <c r="F965" s="27"/>
      <c r="G965" s="27"/>
      <c r="H965" s="27"/>
      <c r="I965" s="27"/>
      <c r="J965" s="43"/>
      <c r="K965" s="43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43"/>
      <c r="X965" s="29"/>
      <c r="Y965" s="30"/>
      <c r="Z965" s="27"/>
      <c r="AA965" s="49"/>
    </row>
    <row r="966" spans="1:27" x14ac:dyDescent="0.35">
      <c r="A966" s="27"/>
      <c r="B966" s="28"/>
      <c r="C966" s="27"/>
      <c r="D966" s="27"/>
      <c r="E966" s="27"/>
      <c r="F966" s="27"/>
      <c r="G966" s="27"/>
      <c r="H966" s="27"/>
      <c r="I966" s="27"/>
      <c r="J966" s="43"/>
      <c r="K966" s="43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43"/>
      <c r="X966" s="29"/>
      <c r="Y966" s="30"/>
      <c r="Z966" s="27"/>
      <c r="AA966" s="49"/>
    </row>
    <row r="967" spans="1:27" x14ac:dyDescent="0.35">
      <c r="A967" s="27"/>
      <c r="B967" s="28"/>
      <c r="C967" s="27"/>
      <c r="D967" s="27"/>
      <c r="E967" s="27"/>
      <c r="F967" s="27"/>
      <c r="G967" s="27"/>
      <c r="H967" s="27"/>
      <c r="I967" s="27"/>
      <c r="J967" s="43"/>
      <c r="K967" s="43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43"/>
      <c r="X967" s="29"/>
      <c r="Y967" s="30"/>
      <c r="Z967" s="27"/>
      <c r="AA967" s="49"/>
    </row>
    <row r="968" spans="1:27" x14ac:dyDescent="0.35">
      <c r="A968" s="27"/>
      <c r="B968" s="28"/>
      <c r="C968" s="27"/>
      <c r="D968" s="27"/>
      <c r="E968" s="27"/>
      <c r="F968" s="27"/>
      <c r="G968" s="27"/>
      <c r="H968" s="27"/>
      <c r="I968" s="27"/>
      <c r="J968" s="43"/>
      <c r="K968" s="43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43"/>
      <c r="X968" s="29"/>
      <c r="Y968" s="30"/>
      <c r="Z968" s="27"/>
      <c r="AA968" s="49"/>
    </row>
    <row r="969" spans="1:27" x14ac:dyDescent="0.35">
      <c r="A969" s="27"/>
      <c r="B969" s="28"/>
      <c r="C969" s="27"/>
      <c r="D969" s="27"/>
      <c r="E969" s="27"/>
      <c r="F969" s="27"/>
      <c r="G969" s="27"/>
      <c r="H969" s="27"/>
      <c r="I969" s="27"/>
      <c r="J969" s="43"/>
      <c r="K969" s="43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43"/>
      <c r="X969" s="29"/>
      <c r="Y969" s="30"/>
      <c r="Z969" s="27"/>
      <c r="AA969" s="49"/>
    </row>
    <row r="970" spans="1:27" x14ac:dyDescent="0.35">
      <c r="A970" s="27"/>
      <c r="B970" s="28"/>
      <c r="C970" s="27"/>
      <c r="D970" s="27"/>
      <c r="E970" s="27"/>
      <c r="F970" s="27"/>
      <c r="G970" s="27"/>
      <c r="H970" s="27"/>
      <c r="I970" s="27"/>
      <c r="J970" s="43"/>
      <c r="K970" s="43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43"/>
      <c r="X970" s="29"/>
      <c r="Y970" s="30"/>
      <c r="Z970" s="27"/>
      <c r="AA970" s="49"/>
    </row>
    <row r="971" spans="1:27" x14ac:dyDescent="0.35">
      <c r="A971" s="27"/>
      <c r="B971" s="28"/>
      <c r="C971" s="27"/>
      <c r="D971" s="27"/>
      <c r="E971" s="27"/>
      <c r="F971" s="27"/>
      <c r="G971" s="27"/>
      <c r="H971" s="27"/>
      <c r="I971" s="27"/>
      <c r="J971" s="43"/>
      <c r="K971" s="43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43"/>
      <c r="X971" s="29"/>
      <c r="Y971" s="30"/>
      <c r="Z971" s="27"/>
      <c r="AA971" s="49"/>
    </row>
    <row r="972" spans="1:27" x14ac:dyDescent="0.35">
      <c r="A972" s="27"/>
      <c r="B972" s="28"/>
      <c r="C972" s="27"/>
      <c r="D972" s="27"/>
      <c r="E972" s="27"/>
      <c r="F972" s="27"/>
      <c r="G972" s="27"/>
      <c r="H972" s="27"/>
      <c r="I972" s="27"/>
      <c r="J972" s="43"/>
      <c r="K972" s="43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43"/>
      <c r="X972" s="29"/>
      <c r="Y972" s="30"/>
      <c r="Z972" s="27"/>
      <c r="AA972" s="49"/>
    </row>
    <row r="973" spans="1:27" x14ac:dyDescent="0.35">
      <c r="A973" s="27"/>
      <c r="B973" s="28"/>
      <c r="C973" s="27"/>
      <c r="D973" s="27"/>
      <c r="E973" s="27"/>
      <c r="F973" s="27"/>
      <c r="G973" s="27"/>
      <c r="H973" s="27"/>
      <c r="I973" s="27"/>
      <c r="J973" s="43"/>
      <c r="K973" s="43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43"/>
      <c r="X973" s="29"/>
      <c r="Y973" s="30"/>
      <c r="Z973" s="27"/>
      <c r="AA973" s="49"/>
    </row>
    <row r="974" spans="1:27" x14ac:dyDescent="0.35">
      <c r="A974" s="27"/>
      <c r="B974" s="28"/>
      <c r="C974" s="27"/>
      <c r="D974" s="27"/>
      <c r="E974" s="27"/>
      <c r="F974" s="27"/>
      <c r="G974" s="27"/>
      <c r="H974" s="27"/>
      <c r="I974" s="27"/>
      <c r="J974" s="43"/>
      <c r="K974" s="43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43"/>
      <c r="X974" s="29"/>
      <c r="Y974" s="30"/>
      <c r="Z974" s="27"/>
      <c r="AA974" s="49"/>
    </row>
    <row r="975" spans="1:27" x14ac:dyDescent="0.35">
      <c r="A975" s="27"/>
      <c r="B975" s="28"/>
      <c r="C975" s="27"/>
      <c r="D975" s="27"/>
      <c r="E975" s="27"/>
      <c r="F975" s="27"/>
      <c r="G975" s="27"/>
      <c r="H975" s="27"/>
      <c r="I975" s="27"/>
      <c r="J975" s="43"/>
      <c r="K975" s="43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43"/>
      <c r="X975" s="29"/>
      <c r="Y975" s="30"/>
      <c r="Z975" s="27"/>
      <c r="AA975" s="49"/>
    </row>
    <row r="976" spans="1:27" x14ac:dyDescent="0.35">
      <c r="A976" s="27"/>
      <c r="B976" s="28"/>
      <c r="C976" s="27"/>
      <c r="D976" s="27"/>
      <c r="E976" s="27"/>
      <c r="F976" s="27"/>
      <c r="G976" s="27"/>
      <c r="H976" s="27"/>
      <c r="I976" s="27"/>
      <c r="J976" s="43"/>
      <c r="K976" s="43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43"/>
      <c r="X976" s="29"/>
      <c r="Y976" s="30"/>
      <c r="Z976" s="27"/>
      <c r="AA976" s="49"/>
    </row>
    <row r="977" spans="1:27" x14ac:dyDescent="0.35">
      <c r="A977" s="27"/>
      <c r="B977" s="28"/>
      <c r="C977" s="27"/>
      <c r="D977" s="27"/>
      <c r="E977" s="27"/>
      <c r="F977" s="27"/>
      <c r="G977" s="27"/>
      <c r="H977" s="27"/>
      <c r="I977" s="27"/>
      <c r="J977" s="43"/>
      <c r="K977" s="43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43"/>
      <c r="X977" s="29"/>
      <c r="Y977" s="30"/>
      <c r="Z977" s="27"/>
      <c r="AA977" s="49"/>
    </row>
    <row r="978" spans="1:27" x14ac:dyDescent="0.35">
      <c r="A978" s="27"/>
      <c r="B978" s="28"/>
      <c r="C978" s="27"/>
      <c r="D978" s="27"/>
      <c r="E978" s="27"/>
      <c r="F978" s="27"/>
      <c r="G978" s="27"/>
      <c r="H978" s="27"/>
      <c r="I978" s="27"/>
      <c r="J978" s="43"/>
      <c r="K978" s="43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43"/>
      <c r="X978" s="29"/>
      <c r="Y978" s="30"/>
      <c r="Z978" s="27"/>
      <c r="AA978" s="49"/>
    </row>
    <row r="979" spans="1:27" x14ac:dyDescent="0.35">
      <c r="A979" s="27"/>
      <c r="B979" s="28"/>
      <c r="C979" s="27"/>
      <c r="D979" s="27"/>
      <c r="E979" s="27"/>
      <c r="F979" s="27"/>
      <c r="G979" s="27"/>
      <c r="H979" s="27"/>
      <c r="I979" s="27"/>
      <c r="J979" s="43"/>
      <c r="K979" s="43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43"/>
      <c r="X979" s="29"/>
      <c r="Y979" s="30"/>
      <c r="Z979" s="27"/>
      <c r="AA979" s="49"/>
    </row>
    <row r="980" spans="1:27" x14ac:dyDescent="0.35">
      <c r="A980" s="27"/>
      <c r="B980" s="28"/>
      <c r="C980" s="27"/>
      <c r="D980" s="27"/>
      <c r="E980" s="27"/>
      <c r="F980" s="27"/>
      <c r="G980" s="27"/>
      <c r="H980" s="27"/>
      <c r="I980" s="27"/>
      <c r="J980" s="43"/>
      <c r="K980" s="43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43"/>
      <c r="X980" s="29"/>
      <c r="Y980" s="30"/>
      <c r="Z980" s="27"/>
      <c r="AA980" s="49"/>
    </row>
    <row r="981" spans="1:27" x14ac:dyDescent="0.35">
      <c r="A981" s="27"/>
      <c r="B981" s="28"/>
      <c r="C981" s="27"/>
      <c r="D981" s="27"/>
      <c r="E981" s="27"/>
      <c r="F981" s="27"/>
      <c r="G981" s="27"/>
      <c r="H981" s="27"/>
      <c r="I981" s="27"/>
      <c r="J981" s="43"/>
      <c r="K981" s="43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43"/>
      <c r="X981" s="29"/>
      <c r="Y981" s="30"/>
      <c r="Z981" s="27"/>
      <c r="AA981" s="49"/>
    </row>
    <row r="982" spans="1:27" x14ac:dyDescent="0.35">
      <c r="A982" s="27"/>
      <c r="B982" s="28"/>
      <c r="C982" s="27"/>
      <c r="D982" s="27"/>
      <c r="E982" s="27"/>
      <c r="F982" s="27"/>
      <c r="G982" s="27"/>
      <c r="H982" s="27"/>
      <c r="I982" s="27"/>
      <c r="J982" s="43"/>
      <c r="K982" s="43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43"/>
      <c r="X982" s="29"/>
      <c r="Y982" s="30"/>
      <c r="Z982" s="27"/>
      <c r="AA982" s="49"/>
    </row>
    <row r="983" spans="1:27" x14ac:dyDescent="0.35">
      <c r="A983" s="27"/>
      <c r="B983" s="28"/>
      <c r="C983" s="27"/>
      <c r="D983" s="27"/>
      <c r="E983" s="27"/>
      <c r="F983" s="27"/>
      <c r="G983" s="27"/>
      <c r="H983" s="27"/>
      <c r="I983" s="27"/>
      <c r="J983" s="43"/>
      <c r="K983" s="43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43"/>
      <c r="X983" s="29"/>
      <c r="Y983" s="30"/>
      <c r="Z983" s="27"/>
      <c r="AA983" s="49"/>
    </row>
    <row r="984" spans="1:27" x14ac:dyDescent="0.35">
      <c r="A984" s="27"/>
      <c r="B984" s="28"/>
      <c r="C984" s="27"/>
      <c r="D984" s="27"/>
      <c r="E984" s="27"/>
      <c r="F984" s="27"/>
      <c r="G984" s="27"/>
      <c r="H984" s="27"/>
      <c r="I984" s="27"/>
      <c r="J984" s="43"/>
      <c r="K984" s="43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43"/>
      <c r="X984" s="29"/>
      <c r="Y984" s="30"/>
      <c r="Z984" s="27"/>
      <c r="AA984" s="49"/>
    </row>
    <row r="985" spans="1:27" x14ac:dyDescent="0.35">
      <c r="A985" s="27"/>
      <c r="B985" s="28"/>
      <c r="C985" s="27"/>
      <c r="D985" s="27"/>
      <c r="E985" s="27"/>
      <c r="F985" s="27"/>
      <c r="G985" s="27"/>
      <c r="H985" s="27"/>
      <c r="I985" s="27"/>
      <c r="J985" s="43"/>
      <c r="K985" s="43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43"/>
      <c r="X985" s="29"/>
      <c r="Y985" s="30"/>
      <c r="Z985" s="27"/>
      <c r="AA985" s="49"/>
    </row>
    <row r="986" spans="1:27" x14ac:dyDescent="0.35">
      <c r="A986" s="27"/>
      <c r="B986" s="28"/>
      <c r="C986" s="27"/>
      <c r="D986" s="27"/>
      <c r="E986" s="27"/>
      <c r="F986" s="27"/>
      <c r="G986" s="27"/>
      <c r="H986" s="27"/>
      <c r="I986" s="27"/>
      <c r="J986" s="43"/>
      <c r="K986" s="43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43"/>
      <c r="X986" s="29"/>
      <c r="Y986" s="30"/>
      <c r="Z986" s="27"/>
      <c r="AA986" s="49"/>
    </row>
    <row r="987" spans="1:27" x14ac:dyDescent="0.35">
      <c r="A987" s="27"/>
      <c r="B987" s="28"/>
      <c r="C987" s="27"/>
      <c r="D987" s="27"/>
      <c r="E987" s="27"/>
      <c r="F987" s="27"/>
      <c r="G987" s="27"/>
      <c r="H987" s="27"/>
      <c r="I987" s="27"/>
      <c r="J987" s="43"/>
      <c r="K987" s="43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43"/>
      <c r="X987" s="29"/>
      <c r="Y987" s="30"/>
      <c r="Z987" s="27"/>
      <c r="AA987" s="49"/>
    </row>
    <row r="988" spans="1:27" x14ac:dyDescent="0.35">
      <c r="A988" s="27"/>
      <c r="B988" s="28"/>
      <c r="C988" s="27"/>
      <c r="D988" s="27"/>
      <c r="E988" s="27"/>
      <c r="F988" s="27"/>
      <c r="G988" s="27"/>
      <c r="H988" s="27"/>
      <c r="I988" s="27"/>
      <c r="J988" s="43"/>
      <c r="K988" s="43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43"/>
      <c r="X988" s="29"/>
      <c r="Y988" s="30"/>
      <c r="Z988" s="27"/>
      <c r="AA988" s="49"/>
    </row>
    <row r="989" spans="1:27" x14ac:dyDescent="0.35">
      <c r="A989" s="27"/>
      <c r="B989" s="28"/>
      <c r="C989" s="27"/>
      <c r="D989" s="27"/>
      <c r="E989" s="27"/>
      <c r="F989" s="27"/>
      <c r="G989" s="27"/>
      <c r="H989" s="27"/>
      <c r="I989" s="27"/>
      <c r="J989" s="43"/>
      <c r="K989" s="43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43"/>
      <c r="X989" s="29"/>
      <c r="Y989" s="30"/>
      <c r="Z989" s="27"/>
      <c r="AA989" s="49"/>
    </row>
    <row r="990" spans="1:27" x14ac:dyDescent="0.35">
      <c r="A990" s="27"/>
      <c r="B990" s="28"/>
      <c r="C990" s="27"/>
      <c r="D990" s="27"/>
      <c r="E990" s="27"/>
      <c r="F990" s="27"/>
      <c r="G990" s="27"/>
      <c r="H990" s="27"/>
      <c r="I990" s="27"/>
      <c r="J990" s="43"/>
      <c r="K990" s="43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43"/>
      <c r="X990" s="29"/>
      <c r="Y990" s="30"/>
      <c r="Z990" s="27"/>
      <c r="AA990" s="49"/>
    </row>
    <row r="991" spans="1:27" x14ac:dyDescent="0.35">
      <c r="A991" s="27"/>
      <c r="B991" s="28"/>
      <c r="C991" s="27"/>
      <c r="D991" s="27"/>
      <c r="E991" s="27"/>
      <c r="F991" s="27"/>
      <c r="G991" s="27"/>
      <c r="H991" s="27"/>
      <c r="I991" s="27"/>
      <c r="J991" s="43"/>
      <c r="K991" s="43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43"/>
      <c r="X991" s="29"/>
      <c r="Y991" s="30"/>
      <c r="Z991" s="27"/>
      <c r="AA991" s="49"/>
    </row>
    <row r="992" spans="1:27" x14ac:dyDescent="0.35">
      <c r="A992" s="27"/>
      <c r="B992" s="28"/>
      <c r="C992" s="27"/>
      <c r="D992" s="27"/>
      <c r="E992" s="27"/>
      <c r="F992" s="27"/>
      <c r="G992" s="27"/>
      <c r="H992" s="27"/>
      <c r="I992" s="27"/>
      <c r="J992" s="43"/>
      <c r="K992" s="43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43"/>
      <c r="X992" s="29"/>
      <c r="Y992" s="30"/>
      <c r="Z992" s="27"/>
      <c r="AA992" s="49"/>
    </row>
    <row r="993" spans="1:27" x14ac:dyDescent="0.35">
      <c r="A993" s="27"/>
      <c r="B993" s="28"/>
      <c r="C993" s="27"/>
      <c r="D993" s="27"/>
      <c r="E993" s="27"/>
      <c r="F993" s="27"/>
      <c r="G993" s="27"/>
      <c r="H993" s="27"/>
      <c r="I993" s="27"/>
      <c r="J993" s="43"/>
      <c r="K993" s="43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43"/>
      <c r="X993" s="29"/>
      <c r="Y993" s="30"/>
      <c r="Z993" s="27"/>
      <c r="AA993" s="49"/>
    </row>
    <row r="994" spans="1:27" x14ac:dyDescent="0.35">
      <c r="A994" s="27"/>
      <c r="B994" s="28"/>
      <c r="C994" s="27"/>
      <c r="D994" s="27"/>
      <c r="E994" s="27"/>
      <c r="F994" s="27"/>
      <c r="G994" s="27"/>
      <c r="H994" s="27"/>
      <c r="I994" s="27"/>
      <c r="J994" s="43"/>
      <c r="K994" s="43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43"/>
      <c r="X994" s="29"/>
      <c r="Y994" s="30"/>
      <c r="Z994" s="27"/>
      <c r="AA994" s="49"/>
    </row>
    <row r="995" spans="1:27" x14ac:dyDescent="0.35">
      <c r="A995" s="27"/>
      <c r="B995" s="28"/>
      <c r="C995" s="27"/>
      <c r="D995" s="27"/>
      <c r="E995" s="27"/>
      <c r="F995" s="27"/>
      <c r="G995" s="27"/>
      <c r="H995" s="27"/>
      <c r="I995" s="27"/>
      <c r="J995" s="43"/>
      <c r="K995" s="43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43"/>
      <c r="X995" s="29"/>
      <c r="Y995" s="30"/>
      <c r="Z995" s="27"/>
      <c r="AA995" s="49"/>
    </row>
    <row r="996" spans="1:27" x14ac:dyDescent="0.35">
      <c r="A996" s="27"/>
      <c r="B996" s="28"/>
      <c r="C996" s="27"/>
      <c r="D996" s="27"/>
      <c r="E996" s="27"/>
      <c r="F996" s="27"/>
      <c r="G996" s="27"/>
      <c r="H996" s="27"/>
      <c r="I996" s="27"/>
      <c r="J996" s="43"/>
      <c r="K996" s="43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43"/>
      <c r="X996" s="29"/>
      <c r="Y996" s="30"/>
      <c r="Z996" s="27"/>
      <c r="AA996" s="49"/>
    </row>
    <row r="997" spans="1:27" x14ac:dyDescent="0.35">
      <c r="A997" s="27"/>
      <c r="B997" s="28"/>
      <c r="C997" s="27"/>
      <c r="D997" s="27"/>
      <c r="E997" s="27"/>
      <c r="F997" s="27"/>
      <c r="G997" s="27"/>
      <c r="H997" s="27"/>
      <c r="I997" s="27"/>
      <c r="J997" s="43"/>
      <c r="K997" s="43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43"/>
      <c r="X997" s="29"/>
      <c r="Y997" s="30"/>
      <c r="Z997" s="27"/>
      <c r="AA997" s="49"/>
    </row>
    <row r="998" spans="1:27" x14ac:dyDescent="0.35">
      <c r="A998" s="27"/>
      <c r="B998" s="28"/>
      <c r="C998" s="27"/>
      <c r="D998" s="27"/>
      <c r="E998" s="27"/>
      <c r="F998" s="27"/>
      <c r="G998" s="27"/>
      <c r="H998" s="27"/>
      <c r="I998" s="27"/>
      <c r="J998" s="43"/>
      <c r="K998" s="43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43"/>
      <c r="X998" s="29"/>
      <c r="Y998" s="30"/>
      <c r="Z998" s="27"/>
      <c r="AA998" s="49"/>
    </row>
    <row r="999" spans="1:27" x14ac:dyDescent="0.35">
      <c r="A999" s="27"/>
      <c r="B999" s="28"/>
      <c r="C999" s="27"/>
      <c r="D999" s="27"/>
      <c r="E999" s="27"/>
      <c r="F999" s="27"/>
      <c r="G999" s="27"/>
      <c r="H999" s="27"/>
      <c r="I999" s="27"/>
      <c r="J999" s="43"/>
      <c r="K999" s="43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43"/>
      <c r="X999" s="29"/>
      <c r="Y999" s="30"/>
      <c r="Z999" s="27"/>
      <c r="AA999" s="49"/>
    </row>
    <row r="1000" spans="1:27" x14ac:dyDescent="0.35">
      <c r="A1000" s="27"/>
      <c r="B1000" s="28"/>
      <c r="C1000" s="27"/>
      <c r="D1000" s="27"/>
      <c r="E1000" s="27"/>
      <c r="F1000" s="27"/>
      <c r="G1000" s="27"/>
      <c r="H1000" s="27"/>
      <c r="I1000" s="27"/>
      <c r="J1000" s="43"/>
      <c r="K1000" s="43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43"/>
      <c r="X1000" s="29"/>
      <c r="Y1000" s="30"/>
      <c r="Z1000" s="27"/>
      <c r="AA1000" s="49"/>
    </row>
    <row r="1001" spans="1:27" x14ac:dyDescent="0.35">
      <c r="A1001" s="27"/>
      <c r="B1001" s="28"/>
      <c r="C1001" s="27"/>
      <c r="D1001" s="27"/>
      <c r="E1001" s="27"/>
      <c r="F1001" s="27"/>
      <c r="G1001" s="27"/>
      <c r="H1001" s="27"/>
      <c r="I1001" s="27"/>
      <c r="J1001" s="43"/>
      <c r="K1001" s="43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43"/>
      <c r="X1001" s="29"/>
      <c r="Y1001" s="30"/>
      <c r="Z1001" s="27"/>
      <c r="AA1001" s="49"/>
    </row>
    <row r="1002" spans="1:27" x14ac:dyDescent="0.35">
      <c r="A1002" s="27"/>
      <c r="B1002" s="28"/>
      <c r="C1002" s="27"/>
      <c r="D1002" s="27"/>
      <c r="E1002" s="27"/>
      <c r="F1002" s="27"/>
      <c r="G1002" s="27"/>
      <c r="H1002" s="27"/>
      <c r="I1002" s="27"/>
      <c r="J1002" s="43"/>
      <c r="K1002" s="43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43"/>
      <c r="X1002" s="29"/>
      <c r="Y1002" s="30"/>
      <c r="Z1002" s="27"/>
      <c r="AA1002" s="49"/>
    </row>
    <row r="1003" spans="1:27" x14ac:dyDescent="0.35">
      <c r="A1003" s="27"/>
      <c r="B1003" s="28"/>
      <c r="C1003" s="27"/>
      <c r="D1003" s="27"/>
      <c r="E1003" s="27"/>
      <c r="F1003" s="27"/>
      <c r="G1003" s="27"/>
      <c r="H1003" s="27"/>
      <c r="I1003" s="27"/>
      <c r="J1003" s="43"/>
      <c r="K1003" s="43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43"/>
      <c r="X1003" s="29"/>
      <c r="Y1003" s="30"/>
      <c r="Z1003" s="27"/>
      <c r="AA1003" s="49"/>
    </row>
    <row r="1004" spans="1:27" x14ac:dyDescent="0.35">
      <c r="A1004" s="27"/>
      <c r="B1004" s="28"/>
      <c r="C1004" s="27"/>
      <c r="D1004" s="27"/>
      <c r="E1004" s="27"/>
      <c r="F1004" s="27"/>
      <c r="G1004" s="27"/>
      <c r="H1004" s="27"/>
      <c r="I1004" s="27"/>
      <c r="J1004" s="43"/>
      <c r="K1004" s="43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43"/>
      <c r="X1004" s="29"/>
      <c r="Y1004" s="30"/>
      <c r="Z1004" s="27"/>
      <c r="AA1004" s="49"/>
    </row>
    <row r="1005" spans="1:27" x14ac:dyDescent="0.35">
      <c r="A1005" s="27"/>
      <c r="B1005" s="28"/>
      <c r="C1005" s="27"/>
      <c r="D1005" s="27"/>
      <c r="E1005" s="27"/>
      <c r="F1005" s="27"/>
      <c r="G1005" s="27"/>
      <c r="H1005" s="27"/>
      <c r="I1005" s="27"/>
      <c r="J1005" s="43"/>
      <c r="K1005" s="43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43"/>
      <c r="X1005" s="29"/>
      <c r="Y1005" s="30"/>
      <c r="Z1005" s="27"/>
      <c r="AA1005" s="49"/>
    </row>
    <row r="1006" spans="1:27" x14ac:dyDescent="0.35">
      <c r="A1006" s="27"/>
      <c r="B1006" s="28"/>
      <c r="C1006" s="27"/>
      <c r="D1006" s="27"/>
      <c r="E1006" s="27"/>
      <c r="F1006" s="27"/>
      <c r="G1006" s="27"/>
      <c r="H1006" s="27"/>
      <c r="I1006" s="27"/>
      <c r="J1006" s="43"/>
      <c r="K1006" s="43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43"/>
      <c r="X1006" s="29"/>
      <c r="Y1006" s="30"/>
      <c r="Z1006" s="27"/>
      <c r="AA1006" s="49"/>
    </row>
    <row r="1007" spans="1:27" x14ac:dyDescent="0.35">
      <c r="A1007" s="27"/>
      <c r="B1007" s="28"/>
      <c r="C1007" s="27"/>
      <c r="D1007" s="27"/>
      <c r="E1007" s="27"/>
      <c r="F1007" s="27"/>
      <c r="G1007" s="27"/>
      <c r="H1007" s="27"/>
      <c r="I1007" s="27"/>
      <c r="J1007" s="43"/>
      <c r="K1007" s="43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43"/>
      <c r="X1007" s="29"/>
      <c r="Y1007" s="30"/>
      <c r="Z1007" s="27"/>
      <c r="AA1007" s="49"/>
    </row>
    <row r="1008" spans="1:27" x14ac:dyDescent="0.35">
      <c r="A1008" s="27"/>
      <c r="B1008" s="28"/>
      <c r="C1008" s="27"/>
      <c r="D1008" s="27"/>
      <c r="E1008" s="27"/>
      <c r="F1008" s="27"/>
      <c r="G1008" s="27"/>
      <c r="H1008" s="27"/>
      <c r="I1008" s="27"/>
      <c r="J1008" s="43"/>
      <c r="K1008" s="43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43"/>
      <c r="X1008" s="29"/>
      <c r="Y1008" s="30"/>
      <c r="Z1008" s="27"/>
      <c r="AA1008" s="49"/>
    </row>
    <row r="1009" spans="1:27" x14ac:dyDescent="0.35">
      <c r="A1009" s="27"/>
      <c r="B1009" s="28"/>
      <c r="C1009" s="27"/>
      <c r="D1009" s="27"/>
      <c r="E1009" s="27"/>
      <c r="F1009" s="27"/>
      <c r="G1009" s="27"/>
      <c r="H1009" s="27"/>
      <c r="I1009" s="27"/>
      <c r="J1009" s="43"/>
      <c r="K1009" s="43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43"/>
      <c r="X1009" s="29"/>
      <c r="Y1009" s="30"/>
      <c r="Z1009" s="27"/>
      <c r="AA1009" s="49"/>
    </row>
    <row r="1010" spans="1:27" x14ac:dyDescent="0.35">
      <c r="A1010" s="27"/>
      <c r="B1010" s="28"/>
      <c r="C1010" s="27"/>
      <c r="D1010" s="27"/>
      <c r="E1010" s="27"/>
      <c r="F1010" s="27"/>
      <c r="G1010" s="27"/>
      <c r="H1010" s="27"/>
      <c r="I1010" s="27"/>
      <c r="J1010" s="43"/>
      <c r="K1010" s="43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43"/>
      <c r="X1010" s="29"/>
      <c r="Y1010" s="30"/>
      <c r="Z1010" s="27"/>
      <c r="AA1010" s="49"/>
    </row>
    <row r="1011" spans="1:27" x14ac:dyDescent="0.35">
      <c r="A1011" s="27"/>
      <c r="B1011" s="28"/>
      <c r="C1011" s="27"/>
      <c r="D1011" s="27"/>
      <c r="E1011" s="27"/>
      <c r="F1011" s="27"/>
      <c r="G1011" s="27"/>
      <c r="H1011" s="27"/>
      <c r="I1011" s="27"/>
      <c r="J1011" s="43"/>
      <c r="K1011" s="43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43"/>
      <c r="X1011" s="29"/>
      <c r="Y1011" s="30"/>
      <c r="Z1011" s="27"/>
      <c r="AA1011" s="49"/>
    </row>
    <row r="1012" spans="1:27" x14ac:dyDescent="0.35">
      <c r="A1012" s="27"/>
      <c r="B1012" s="28"/>
      <c r="C1012" s="27"/>
      <c r="D1012" s="27"/>
      <c r="E1012" s="27"/>
      <c r="F1012" s="27"/>
      <c r="G1012" s="27"/>
      <c r="H1012" s="27"/>
      <c r="I1012" s="27"/>
      <c r="J1012" s="43"/>
      <c r="K1012" s="43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43"/>
      <c r="X1012" s="29"/>
      <c r="Y1012" s="30"/>
      <c r="Z1012" s="27"/>
      <c r="AA1012" s="49"/>
    </row>
    <row r="1013" spans="1:27" x14ac:dyDescent="0.35">
      <c r="A1013" s="27"/>
      <c r="B1013" s="28"/>
      <c r="C1013" s="27"/>
      <c r="D1013" s="27"/>
      <c r="E1013" s="27"/>
      <c r="F1013" s="27"/>
      <c r="G1013" s="27"/>
      <c r="H1013" s="27"/>
      <c r="I1013" s="27"/>
      <c r="J1013" s="43"/>
      <c r="K1013" s="43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43"/>
      <c r="X1013" s="29"/>
      <c r="Y1013" s="30"/>
      <c r="Z1013" s="27"/>
      <c r="AA1013" s="49"/>
    </row>
    <row r="1014" spans="1:27" x14ac:dyDescent="0.35">
      <c r="A1014" s="27"/>
      <c r="B1014" s="28"/>
      <c r="C1014" s="27"/>
      <c r="D1014" s="27"/>
      <c r="E1014" s="27"/>
      <c r="F1014" s="27"/>
      <c r="G1014" s="27"/>
      <c r="H1014" s="27"/>
      <c r="I1014" s="27"/>
      <c r="J1014" s="43"/>
      <c r="K1014" s="43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43"/>
      <c r="X1014" s="29"/>
      <c r="Y1014" s="30"/>
      <c r="Z1014" s="27"/>
      <c r="AA1014" s="49"/>
    </row>
    <row r="1015" spans="1:27" x14ac:dyDescent="0.35">
      <c r="A1015" s="27"/>
      <c r="B1015" s="28"/>
      <c r="C1015" s="27"/>
      <c r="D1015" s="27"/>
      <c r="E1015" s="27"/>
      <c r="F1015" s="27"/>
      <c r="G1015" s="27"/>
      <c r="H1015" s="27"/>
      <c r="I1015" s="27"/>
      <c r="J1015" s="43"/>
      <c r="K1015" s="43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43"/>
      <c r="X1015" s="29"/>
      <c r="Y1015" s="30"/>
      <c r="Z1015" s="27"/>
      <c r="AA1015" s="49"/>
    </row>
    <row r="1016" spans="1:27" x14ac:dyDescent="0.35">
      <c r="A1016" s="27"/>
      <c r="B1016" s="28"/>
      <c r="C1016" s="27"/>
      <c r="D1016" s="27"/>
      <c r="E1016" s="27"/>
      <c r="F1016" s="27"/>
      <c r="G1016" s="27"/>
      <c r="H1016" s="27"/>
      <c r="I1016" s="27"/>
      <c r="J1016" s="43"/>
      <c r="K1016" s="43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43"/>
      <c r="X1016" s="29"/>
      <c r="Y1016" s="30"/>
      <c r="Z1016" s="27"/>
      <c r="AA1016" s="49"/>
    </row>
    <row r="1017" spans="1:27" x14ac:dyDescent="0.35">
      <c r="A1017" s="27"/>
      <c r="B1017" s="28"/>
      <c r="C1017" s="27"/>
      <c r="D1017" s="27"/>
      <c r="E1017" s="27"/>
      <c r="F1017" s="27"/>
      <c r="G1017" s="27"/>
      <c r="H1017" s="27"/>
      <c r="I1017" s="27"/>
      <c r="J1017" s="43"/>
      <c r="K1017" s="43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43"/>
      <c r="X1017" s="29"/>
      <c r="Y1017" s="30"/>
      <c r="Z1017" s="27"/>
      <c r="AA1017" s="49"/>
    </row>
    <row r="1018" spans="1:27" x14ac:dyDescent="0.35">
      <c r="A1018" s="27"/>
      <c r="B1018" s="28"/>
      <c r="C1018" s="27"/>
      <c r="D1018" s="27"/>
      <c r="E1018" s="27"/>
      <c r="F1018" s="27"/>
      <c r="G1018" s="27"/>
      <c r="H1018" s="27"/>
      <c r="I1018" s="27"/>
      <c r="J1018" s="43"/>
      <c r="K1018" s="43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43"/>
      <c r="X1018" s="29"/>
      <c r="Y1018" s="30"/>
      <c r="Z1018" s="27"/>
      <c r="AA1018" s="49"/>
    </row>
    <row r="1019" spans="1:27" x14ac:dyDescent="0.35">
      <c r="A1019" s="27"/>
      <c r="B1019" s="28"/>
      <c r="C1019" s="27"/>
      <c r="D1019" s="27"/>
      <c r="E1019" s="27"/>
      <c r="F1019" s="27"/>
      <c r="G1019" s="27"/>
      <c r="H1019" s="27"/>
      <c r="I1019" s="27"/>
      <c r="J1019" s="43"/>
      <c r="K1019" s="43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43"/>
      <c r="X1019" s="29"/>
      <c r="Y1019" s="30"/>
      <c r="Z1019" s="27"/>
      <c r="AA1019" s="49"/>
    </row>
    <row r="1020" spans="1:27" x14ac:dyDescent="0.35">
      <c r="A1020" s="27"/>
      <c r="B1020" s="28"/>
      <c r="C1020" s="27"/>
      <c r="D1020" s="27"/>
      <c r="E1020" s="27"/>
      <c r="F1020" s="27"/>
      <c r="G1020" s="27"/>
      <c r="H1020" s="27"/>
      <c r="I1020" s="27"/>
      <c r="J1020" s="43"/>
      <c r="K1020" s="43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43"/>
      <c r="X1020" s="29"/>
      <c r="Y1020" s="30"/>
      <c r="Z1020" s="27"/>
      <c r="AA1020" s="49"/>
    </row>
    <row r="1021" spans="1:27" x14ac:dyDescent="0.35">
      <c r="A1021" s="27"/>
      <c r="B1021" s="28"/>
      <c r="C1021" s="27"/>
      <c r="D1021" s="27"/>
      <c r="E1021" s="27"/>
      <c r="F1021" s="27"/>
      <c r="G1021" s="27"/>
      <c r="H1021" s="27"/>
      <c r="I1021" s="27"/>
      <c r="J1021" s="43"/>
      <c r="K1021" s="43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43"/>
      <c r="X1021" s="29"/>
      <c r="Y1021" s="30"/>
      <c r="Z1021" s="27"/>
      <c r="AA1021" s="49"/>
    </row>
    <row r="1022" spans="1:27" x14ac:dyDescent="0.35">
      <c r="A1022" s="27"/>
      <c r="B1022" s="28"/>
      <c r="C1022" s="27"/>
      <c r="D1022" s="27"/>
      <c r="E1022" s="27"/>
      <c r="F1022" s="27"/>
      <c r="G1022" s="27"/>
      <c r="H1022" s="27"/>
      <c r="I1022" s="27"/>
      <c r="J1022" s="43"/>
      <c r="K1022" s="43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43"/>
      <c r="X1022" s="29"/>
      <c r="Y1022" s="30"/>
      <c r="Z1022" s="27"/>
      <c r="AA1022" s="49"/>
    </row>
    <row r="1023" spans="1:27" x14ac:dyDescent="0.35">
      <c r="A1023" s="27"/>
      <c r="B1023" s="28"/>
      <c r="C1023" s="27"/>
      <c r="D1023" s="27"/>
      <c r="E1023" s="27"/>
      <c r="F1023" s="27"/>
      <c r="G1023" s="27"/>
      <c r="H1023" s="27"/>
      <c r="I1023" s="27"/>
      <c r="J1023" s="43"/>
      <c r="K1023" s="43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43"/>
      <c r="X1023" s="29"/>
      <c r="Y1023" s="30"/>
      <c r="Z1023" s="27"/>
      <c r="AA1023" s="49"/>
    </row>
    <row r="1024" spans="1:27" x14ac:dyDescent="0.35">
      <c r="A1024" s="27"/>
      <c r="B1024" s="28"/>
      <c r="C1024" s="27"/>
      <c r="D1024" s="27"/>
      <c r="E1024" s="27"/>
      <c r="F1024" s="27"/>
      <c r="G1024" s="27"/>
      <c r="H1024" s="27"/>
      <c r="I1024" s="27"/>
      <c r="J1024" s="43"/>
      <c r="K1024" s="43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43"/>
      <c r="X1024" s="29"/>
      <c r="Y1024" s="30"/>
      <c r="Z1024" s="27"/>
      <c r="AA1024" s="49"/>
    </row>
    <row r="1025" spans="1:27" x14ac:dyDescent="0.35">
      <c r="A1025" s="27"/>
      <c r="B1025" s="28"/>
      <c r="C1025" s="27"/>
      <c r="D1025" s="27"/>
      <c r="E1025" s="27"/>
      <c r="F1025" s="27"/>
      <c r="G1025" s="27"/>
      <c r="H1025" s="27"/>
      <c r="I1025" s="27"/>
      <c r="J1025" s="43"/>
      <c r="K1025" s="43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43"/>
      <c r="X1025" s="29"/>
      <c r="Y1025" s="30"/>
      <c r="Z1025" s="27"/>
      <c r="AA1025" s="49"/>
    </row>
    <row r="1026" spans="1:27" x14ac:dyDescent="0.35">
      <c r="A1026" s="27"/>
      <c r="B1026" s="28"/>
      <c r="C1026" s="27"/>
      <c r="D1026" s="27"/>
      <c r="E1026" s="27"/>
      <c r="F1026" s="27"/>
      <c r="G1026" s="27"/>
      <c r="H1026" s="27"/>
      <c r="I1026" s="27"/>
      <c r="J1026" s="43"/>
      <c r="K1026" s="43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43"/>
      <c r="X1026" s="29"/>
      <c r="Y1026" s="30"/>
      <c r="Z1026" s="27"/>
      <c r="AA1026" s="49"/>
    </row>
    <row r="1027" spans="1:27" x14ac:dyDescent="0.35">
      <c r="A1027" s="27"/>
      <c r="B1027" s="28"/>
      <c r="C1027" s="27"/>
      <c r="D1027" s="27"/>
      <c r="E1027" s="27"/>
      <c r="F1027" s="27"/>
      <c r="G1027" s="27"/>
      <c r="H1027" s="27"/>
      <c r="I1027" s="27"/>
      <c r="J1027" s="43"/>
      <c r="K1027" s="43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43"/>
      <c r="X1027" s="29"/>
      <c r="Y1027" s="30"/>
      <c r="Z1027" s="27"/>
      <c r="AA1027" s="49"/>
    </row>
    <row r="1028" spans="1:27" x14ac:dyDescent="0.35">
      <c r="A1028" s="27"/>
      <c r="B1028" s="28"/>
      <c r="C1028" s="27"/>
      <c r="D1028" s="27"/>
      <c r="E1028" s="27"/>
      <c r="F1028" s="27"/>
      <c r="G1028" s="27"/>
      <c r="H1028" s="27"/>
      <c r="I1028" s="27"/>
      <c r="J1028" s="43"/>
      <c r="K1028" s="43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43"/>
      <c r="X1028" s="29"/>
      <c r="Y1028" s="30"/>
      <c r="Z1028" s="27"/>
      <c r="AA1028" s="49"/>
    </row>
    <row r="1029" spans="1:27" x14ac:dyDescent="0.35">
      <c r="A1029" s="27"/>
      <c r="B1029" s="28"/>
      <c r="C1029" s="27"/>
      <c r="D1029" s="27"/>
      <c r="E1029" s="27"/>
      <c r="F1029" s="27"/>
      <c r="G1029" s="27"/>
      <c r="H1029" s="27"/>
      <c r="I1029" s="27"/>
      <c r="J1029" s="43"/>
      <c r="K1029" s="43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43"/>
      <c r="X1029" s="29"/>
      <c r="Y1029" s="30"/>
      <c r="Z1029" s="27"/>
      <c r="AA1029" s="49"/>
    </row>
    <row r="1030" spans="1:27" x14ac:dyDescent="0.35">
      <c r="A1030" s="27"/>
      <c r="B1030" s="28"/>
      <c r="C1030" s="27"/>
      <c r="D1030" s="27"/>
      <c r="E1030" s="27"/>
      <c r="F1030" s="27"/>
      <c r="G1030" s="27"/>
      <c r="H1030" s="27"/>
      <c r="I1030" s="27"/>
      <c r="J1030" s="43"/>
      <c r="K1030" s="43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43"/>
      <c r="X1030" s="29"/>
      <c r="Y1030" s="30"/>
      <c r="Z1030" s="27"/>
      <c r="AA1030" s="49"/>
    </row>
    <row r="1031" spans="1:27" x14ac:dyDescent="0.35">
      <c r="A1031" s="27"/>
      <c r="B1031" s="28"/>
      <c r="C1031" s="27"/>
      <c r="D1031" s="27"/>
      <c r="E1031" s="27"/>
      <c r="F1031" s="27"/>
      <c r="G1031" s="27"/>
      <c r="H1031" s="27"/>
      <c r="I1031" s="27"/>
      <c r="J1031" s="43"/>
      <c r="K1031" s="43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43"/>
      <c r="X1031" s="29"/>
      <c r="Y1031" s="30"/>
      <c r="Z1031" s="27"/>
      <c r="AA1031" s="49"/>
    </row>
    <row r="1032" spans="1:27" x14ac:dyDescent="0.35">
      <c r="A1032" s="27"/>
      <c r="B1032" s="28"/>
      <c r="C1032" s="27"/>
      <c r="D1032" s="27"/>
      <c r="E1032" s="27"/>
      <c r="F1032" s="27"/>
      <c r="G1032" s="27"/>
      <c r="H1032" s="27"/>
      <c r="I1032" s="27"/>
      <c r="J1032" s="43"/>
      <c r="K1032" s="43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43"/>
      <c r="X1032" s="29"/>
      <c r="Y1032" s="30"/>
      <c r="Z1032" s="27"/>
      <c r="AA1032" s="49"/>
    </row>
    <row r="1033" spans="1:27" x14ac:dyDescent="0.35">
      <c r="A1033" s="27"/>
      <c r="B1033" s="28"/>
      <c r="C1033" s="27"/>
      <c r="D1033" s="27"/>
      <c r="E1033" s="27"/>
      <c r="F1033" s="27"/>
      <c r="G1033" s="27"/>
      <c r="H1033" s="27"/>
      <c r="I1033" s="27"/>
      <c r="J1033" s="43"/>
      <c r="K1033" s="43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43"/>
      <c r="X1033" s="29"/>
      <c r="Y1033" s="30"/>
      <c r="Z1033" s="27"/>
      <c r="AA1033" s="49"/>
    </row>
    <row r="1034" spans="1:27" x14ac:dyDescent="0.35">
      <c r="A1034" s="27"/>
      <c r="B1034" s="28"/>
      <c r="C1034" s="27"/>
      <c r="D1034" s="27"/>
      <c r="E1034" s="27"/>
      <c r="F1034" s="27"/>
      <c r="G1034" s="27"/>
      <c r="H1034" s="27"/>
      <c r="I1034" s="27"/>
      <c r="J1034" s="43"/>
      <c r="K1034" s="43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43"/>
      <c r="X1034" s="29"/>
      <c r="Y1034" s="30"/>
      <c r="Z1034" s="27"/>
      <c r="AA1034" s="49"/>
    </row>
    <row r="1035" spans="1:27" x14ac:dyDescent="0.35">
      <c r="A1035" s="27"/>
      <c r="B1035" s="28"/>
      <c r="C1035" s="27"/>
      <c r="D1035" s="27"/>
      <c r="E1035" s="27"/>
      <c r="F1035" s="27"/>
      <c r="G1035" s="27"/>
      <c r="H1035" s="27"/>
      <c r="I1035" s="27"/>
      <c r="J1035" s="43"/>
      <c r="K1035" s="43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43"/>
      <c r="X1035" s="29"/>
      <c r="Y1035" s="30"/>
      <c r="Z1035" s="27"/>
      <c r="AA1035" s="49"/>
    </row>
    <row r="1036" spans="1:27" x14ac:dyDescent="0.35">
      <c r="A1036" s="27"/>
      <c r="B1036" s="28"/>
      <c r="C1036" s="27"/>
      <c r="D1036" s="27"/>
      <c r="E1036" s="27"/>
      <c r="F1036" s="27"/>
      <c r="G1036" s="27"/>
      <c r="H1036" s="27"/>
      <c r="I1036" s="27"/>
      <c r="J1036" s="43"/>
      <c r="K1036" s="43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43"/>
      <c r="X1036" s="29"/>
      <c r="Y1036" s="30"/>
      <c r="Z1036" s="27"/>
      <c r="AA1036" s="49"/>
    </row>
    <row r="1037" spans="1:27" x14ac:dyDescent="0.35">
      <c r="A1037" s="27"/>
      <c r="B1037" s="28"/>
      <c r="C1037" s="27"/>
      <c r="D1037" s="27"/>
      <c r="E1037" s="27"/>
      <c r="F1037" s="27"/>
      <c r="G1037" s="27"/>
      <c r="H1037" s="27"/>
      <c r="I1037" s="27"/>
      <c r="J1037" s="43"/>
      <c r="K1037" s="43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43"/>
      <c r="X1037" s="29"/>
      <c r="Y1037" s="30"/>
      <c r="Z1037" s="27"/>
      <c r="AA1037" s="49"/>
    </row>
    <row r="1038" spans="1:27" x14ac:dyDescent="0.35">
      <c r="A1038" s="27"/>
      <c r="B1038" s="28"/>
      <c r="C1038" s="27"/>
      <c r="D1038" s="27"/>
      <c r="E1038" s="27"/>
      <c r="F1038" s="27"/>
      <c r="G1038" s="27"/>
      <c r="H1038" s="27"/>
      <c r="I1038" s="27"/>
      <c r="J1038" s="43"/>
      <c r="K1038" s="43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43"/>
      <c r="X1038" s="29"/>
      <c r="Y1038" s="30"/>
      <c r="Z1038" s="27"/>
      <c r="AA1038" s="49"/>
    </row>
    <row r="1039" spans="1:27" x14ac:dyDescent="0.35">
      <c r="A1039" s="27"/>
      <c r="B1039" s="28"/>
      <c r="C1039" s="27"/>
      <c r="D1039" s="27"/>
      <c r="E1039" s="27"/>
      <c r="F1039" s="27"/>
      <c r="G1039" s="27"/>
      <c r="H1039" s="27"/>
      <c r="I1039" s="27"/>
      <c r="J1039" s="43"/>
      <c r="K1039" s="43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43"/>
      <c r="X1039" s="29"/>
      <c r="Y1039" s="30"/>
      <c r="Z1039" s="27"/>
      <c r="AA1039" s="49"/>
    </row>
    <row r="1040" spans="1:27" x14ac:dyDescent="0.35">
      <c r="A1040" s="27"/>
      <c r="B1040" s="28"/>
      <c r="C1040" s="27"/>
      <c r="D1040" s="27"/>
      <c r="E1040" s="27"/>
      <c r="F1040" s="27"/>
      <c r="G1040" s="27"/>
      <c r="H1040" s="27"/>
      <c r="I1040" s="27"/>
      <c r="J1040" s="43"/>
      <c r="K1040" s="43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43"/>
      <c r="X1040" s="29"/>
      <c r="Y1040" s="30"/>
      <c r="Z1040" s="27"/>
      <c r="AA1040" s="49"/>
    </row>
    <row r="1041" spans="1:27" x14ac:dyDescent="0.35">
      <c r="A1041" s="27"/>
      <c r="B1041" s="28"/>
      <c r="C1041" s="27"/>
      <c r="D1041" s="27"/>
      <c r="E1041" s="27"/>
      <c r="F1041" s="27"/>
      <c r="G1041" s="27"/>
      <c r="H1041" s="27"/>
      <c r="I1041" s="27"/>
      <c r="J1041" s="43"/>
      <c r="K1041" s="43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43"/>
      <c r="X1041" s="29"/>
      <c r="Y1041" s="30"/>
      <c r="Z1041" s="27"/>
      <c r="AA1041" s="49"/>
    </row>
    <row r="1042" spans="1:27" x14ac:dyDescent="0.35">
      <c r="A1042" s="27"/>
      <c r="B1042" s="28"/>
      <c r="C1042" s="27"/>
      <c r="D1042" s="27"/>
      <c r="E1042" s="27"/>
      <c r="F1042" s="27"/>
      <c r="G1042" s="27"/>
      <c r="H1042" s="27"/>
      <c r="I1042" s="27"/>
      <c r="J1042" s="43"/>
      <c r="K1042" s="43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43"/>
      <c r="X1042" s="29"/>
      <c r="Y1042" s="30"/>
      <c r="Z1042" s="27"/>
      <c r="AA1042" s="49"/>
    </row>
    <row r="1043" spans="1:27" x14ac:dyDescent="0.35">
      <c r="A1043" s="27"/>
      <c r="B1043" s="28"/>
      <c r="C1043" s="27"/>
      <c r="D1043" s="27"/>
      <c r="E1043" s="27"/>
      <c r="F1043" s="27"/>
      <c r="G1043" s="27"/>
      <c r="H1043" s="27"/>
      <c r="I1043" s="27"/>
      <c r="J1043" s="43"/>
      <c r="K1043" s="43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43"/>
      <c r="X1043" s="29"/>
      <c r="Y1043" s="30"/>
      <c r="Z1043" s="27"/>
      <c r="AA1043" s="49"/>
    </row>
    <row r="1044" spans="1:27" x14ac:dyDescent="0.35">
      <c r="A1044" s="27"/>
      <c r="B1044" s="28"/>
      <c r="C1044" s="27"/>
      <c r="D1044" s="27"/>
      <c r="E1044" s="27"/>
      <c r="F1044" s="27"/>
      <c r="G1044" s="27"/>
      <c r="H1044" s="27"/>
      <c r="I1044" s="27"/>
      <c r="J1044" s="43"/>
      <c r="K1044" s="43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43"/>
      <c r="X1044" s="29"/>
      <c r="Y1044" s="30"/>
      <c r="Z1044" s="27"/>
      <c r="AA1044" s="49"/>
    </row>
    <row r="1045" spans="1:27" x14ac:dyDescent="0.35">
      <c r="A1045" s="27"/>
      <c r="B1045" s="28"/>
      <c r="C1045" s="27"/>
      <c r="D1045" s="27"/>
      <c r="E1045" s="27"/>
      <c r="F1045" s="27"/>
      <c r="G1045" s="27"/>
      <c r="H1045" s="27"/>
      <c r="I1045" s="27"/>
      <c r="J1045" s="43"/>
      <c r="K1045" s="43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43"/>
      <c r="X1045" s="29"/>
      <c r="Y1045" s="30"/>
      <c r="Z1045" s="27"/>
      <c r="AA1045" s="49"/>
    </row>
    <row r="1046" spans="1:27" x14ac:dyDescent="0.35">
      <c r="A1046" s="27"/>
      <c r="B1046" s="28"/>
      <c r="C1046" s="27"/>
      <c r="D1046" s="27"/>
      <c r="E1046" s="27"/>
      <c r="F1046" s="27"/>
      <c r="G1046" s="27"/>
      <c r="H1046" s="27"/>
      <c r="I1046" s="27"/>
      <c r="J1046" s="43"/>
      <c r="K1046" s="43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43"/>
      <c r="X1046" s="29"/>
      <c r="Y1046" s="30"/>
      <c r="Z1046" s="27"/>
      <c r="AA1046" s="49"/>
    </row>
    <row r="1047" spans="1:27" x14ac:dyDescent="0.35">
      <c r="A1047" s="27"/>
      <c r="B1047" s="28"/>
      <c r="C1047" s="27"/>
      <c r="D1047" s="27"/>
      <c r="E1047" s="27"/>
      <c r="F1047" s="27"/>
      <c r="G1047" s="27"/>
      <c r="H1047" s="27"/>
      <c r="I1047" s="27"/>
      <c r="J1047" s="43"/>
      <c r="K1047" s="43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43"/>
      <c r="X1047" s="29"/>
      <c r="Y1047" s="30"/>
      <c r="Z1047" s="27"/>
      <c r="AA1047" s="49"/>
    </row>
    <row r="1048" spans="1:27" x14ac:dyDescent="0.35">
      <c r="A1048" s="27"/>
      <c r="B1048" s="28"/>
      <c r="C1048" s="27"/>
      <c r="D1048" s="27"/>
      <c r="E1048" s="27"/>
      <c r="F1048" s="27"/>
      <c r="G1048" s="27"/>
      <c r="H1048" s="27"/>
      <c r="I1048" s="27"/>
      <c r="J1048" s="43"/>
      <c r="K1048" s="43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43"/>
      <c r="X1048" s="29"/>
      <c r="Y1048" s="30"/>
      <c r="Z1048" s="27"/>
      <c r="AA1048" s="49"/>
    </row>
    <row r="1049" spans="1:27" x14ac:dyDescent="0.35">
      <c r="A1049" s="27"/>
      <c r="B1049" s="28"/>
      <c r="C1049" s="27"/>
      <c r="D1049" s="27"/>
      <c r="E1049" s="27"/>
      <c r="F1049" s="27"/>
      <c r="G1049" s="27"/>
      <c r="H1049" s="27"/>
      <c r="I1049" s="27"/>
      <c r="J1049" s="43"/>
      <c r="K1049" s="43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43"/>
      <c r="X1049" s="29"/>
      <c r="Y1049" s="30"/>
      <c r="Z1049" s="27"/>
      <c r="AA1049" s="49"/>
    </row>
    <row r="1050" spans="1:27" x14ac:dyDescent="0.35">
      <c r="A1050" s="27"/>
      <c r="B1050" s="28"/>
      <c r="C1050" s="27"/>
      <c r="D1050" s="27"/>
      <c r="E1050" s="27"/>
      <c r="F1050" s="27"/>
      <c r="G1050" s="27"/>
      <c r="H1050" s="27"/>
      <c r="I1050" s="27"/>
      <c r="J1050" s="43"/>
      <c r="K1050" s="43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43"/>
      <c r="X1050" s="29"/>
      <c r="Y1050" s="30"/>
      <c r="Z1050" s="27"/>
      <c r="AA1050" s="49"/>
    </row>
    <row r="1051" spans="1:27" x14ac:dyDescent="0.35">
      <c r="A1051" s="27"/>
      <c r="B1051" s="28"/>
      <c r="C1051" s="27"/>
      <c r="D1051" s="27"/>
      <c r="E1051" s="27"/>
      <c r="F1051" s="27"/>
      <c r="G1051" s="27"/>
      <c r="H1051" s="27"/>
      <c r="I1051" s="27"/>
      <c r="J1051" s="43"/>
      <c r="K1051" s="43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43"/>
      <c r="X1051" s="29"/>
      <c r="Y1051" s="30"/>
      <c r="Z1051" s="27"/>
      <c r="AA1051" s="49"/>
    </row>
    <row r="1052" spans="1:27" x14ac:dyDescent="0.35">
      <c r="A1052" s="27"/>
      <c r="B1052" s="28"/>
      <c r="C1052" s="27"/>
      <c r="D1052" s="27"/>
      <c r="E1052" s="27"/>
      <c r="F1052" s="27"/>
      <c r="G1052" s="27"/>
      <c r="H1052" s="27"/>
      <c r="I1052" s="27"/>
      <c r="J1052" s="43"/>
      <c r="K1052" s="43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43"/>
      <c r="X1052" s="29"/>
      <c r="Y1052" s="30"/>
      <c r="Z1052" s="27"/>
      <c r="AA1052" s="49"/>
    </row>
    <row r="1053" spans="1:27" x14ac:dyDescent="0.35">
      <c r="A1053" s="27"/>
      <c r="B1053" s="28"/>
      <c r="C1053" s="27"/>
      <c r="D1053" s="27"/>
      <c r="E1053" s="27"/>
      <c r="F1053" s="27"/>
      <c r="G1053" s="27"/>
      <c r="H1053" s="27"/>
      <c r="I1053" s="27"/>
      <c r="J1053" s="43"/>
      <c r="K1053" s="43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43"/>
      <c r="X1053" s="29"/>
      <c r="Y1053" s="30"/>
      <c r="Z1053" s="27"/>
      <c r="AA1053" s="49"/>
    </row>
    <row r="1054" spans="1:27" x14ac:dyDescent="0.35">
      <c r="A1054" s="27"/>
      <c r="B1054" s="28"/>
      <c r="C1054" s="27"/>
      <c r="D1054" s="27"/>
      <c r="E1054" s="27"/>
      <c r="F1054" s="27"/>
      <c r="G1054" s="27"/>
      <c r="H1054" s="27"/>
      <c r="I1054" s="27"/>
      <c r="J1054" s="43"/>
      <c r="K1054" s="43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43"/>
      <c r="X1054" s="29"/>
      <c r="Y1054" s="30"/>
      <c r="Z1054" s="27"/>
      <c r="AA1054" s="49"/>
    </row>
    <row r="1055" spans="1:27" x14ac:dyDescent="0.35">
      <c r="A1055" s="27"/>
      <c r="B1055" s="28"/>
      <c r="C1055" s="27"/>
      <c r="D1055" s="27"/>
      <c r="E1055" s="27"/>
      <c r="F1055" s="27"/>
      <c r="G1055" s="27"/>
      <c r="H1055" s="27"/>
      <c r="I1055" s="27"/>
      <c r="J1055" s="43"/>
      <c r="K1055" s="43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43"/>
      <c r="X1055" s="29"/>
      <c r="Y1055" s="30"/>
      <c r="Z1055" s="27"/>
      <c r="AA1055" s="49"/>
    </row>
    <row r="1056" spans="1:27" x14ac:dyDescent="0.35">
      <c r="A1056" s="27"/>
      <c r="B1056" s="28"/>
      <c r="C1056" s="27"/>
      <c r="D1056" s="27"/>
      <c r="E1056" s="27"/>
      <c r="F1056" s="27"/>
      <c r="G1056" s="27"/>
      <c r="H1056" s="27"/>
      <c r="I1056" s="27"/>
      <c r="J1056" s="43"/>
      <c r="K1056" s="43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43"/>
      <c r="X1056" s="29"/>
      <c r="Y1056" s="30"/>
      <c r="Z1056" s="27"/>
      <c r="AA1056" s="49"/>
    </row>
    <row r="1057" spans="1:27" x14ac:dyDescent="0.35">
      <c r="A1057" s="27"/>
      <c r="B1057" s="28"/>
      <c r="C1057" s="27"/>
      <c r="D1057" s="27"/>
      <c r="E1057" s="27"/>
      <c r="F1057" s="27"/>
      <c r="G1057" s="27"/>
      <c r="H1057" s="27"/>
      <c r="I1057" s="27"/>
      <c r="J1057" s="43"/>
      <c r="K1057" s="43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43"/>
      <c r="X1057" s="29"/>
      <c r="Y1057" s="30"/>
      <c r="Z1057" s="27"/>
      <c r="AA1057" s="49"/>
    </row>
    <row r="1058" spans="1:27" x14ac:dyDescent="0.35">
      <c r="A1058" s="27"/>
      <c r="B1058" s="28"/>
      <c r="C1058" s="27"/>
      <c r="D1058" s="27"/>
      <c r="E1058" s="27"/>
      <c r="F1058" s="27"/>
      <c r="G1058" s="27"/>
      <c r="H1058" s="27"/>
      <c r="I1058" s="27"/>
      <c r="J1058" s="43"/>
      <c r="K1058" s="43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43"/>
      <c r="X1058" s="29"/>
      <c r="Y1058" s="30"/>
      <c r="Z1058" s="27"/>
      <c r="AA1058" s="49"/>
    </row>
    <row r="1059" spans="1:27" x14ac:dyDescent="0.35">
      <c r="A1059" s="27"/>
      <c r="B1059" s="28"/>
      <c r="C1059" s="27"/>
      <c r="D1059" s="27"/>
      <c r="E1059" s="27"/>
      <c r="F1059" s="27"/>
      <c r="G1059" s="27"/>
      <c r="H1059" s="27"/>
      <c r="I1059" s="27"/>
      <c r="J1059" s="43"/>
      <c r="K1059" s="43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43"/>
      <c r="X1059" s="29"/>
      <c r="Y1059" s="30"/>
      <c r="Z1059" s="27"/>
      <c r="AA1059" s="49"/>
    </row>
    <row r="1060" spans="1:27" x14ac:dyDescent="0.35">
      <c r="A1060" s="27"/>
      <c r="B1060" s="28"/>
      <c r="C1060" s="27"/>
      <c r="D1060" s="27"/>
      <c r="E1060" s="27"/>
      <c r="F1060" s="27"/>
      <c r="G1060" s="27"/>
      <c r="H1060" s="27"/>
      <c r="I1060" s="27"/>
      <c r="J1060" s="43"/>
      <c r="K1060" s="43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43"/>
      <c r="X1060" s="29"/>
      <c r="Y1060" s="30"/>
      <c r="Z1060" s="27"/>
      <c r="AA1060" s="49"/>
    </row>
    <row r="1061" spans="1:27" x14ac:dyDescent="0.35">
      <c r="A1061" s="27"/>
      <c r="B1061" s="28"/>
      <c r="C1061" s="27"/>
      <c r="D1061" s="27"/>
      <c r="E1061" s="27"/>
      <c r="F1061" s="27"/>
      <c r="G1061" s="27"/>
      <c r="H1061" s="27"/>
      <c r="I1061" s="27"/>
      <c r="J1061" s="43"/>
      <c r="K1061" s="43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43"/>
      <c r="X1061" s="29"/>
      <c r="Y1061" s="30"/>
      <c r="Z1061" s="27"/>
      <c r="AA1061" s="49"/>
    </row>
    <row r="1062" spans="1:27" x14ac:dyDescent="0.35">
      <c r="A1062" s="27"/>
      <c r="B1062" s="28"/>
      <c r="C1062" s="27"/>
      <c r="D1062" s="27"/>
      <c r="E1062" s="27"/>
      <c r="F1062" s="27"/>
      <c r="G1062" s="27"/>
      <c r="H1062" s="27"/>
      <c r="I1062" s="27"/>
      <c r="J1062" s="43"/>
      <c r="K1062" s="43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43"/>
      <c r="X1062" s="29"/>
      <c r="Y1062" s="30"/>
      <c r="Z1062" s="27"/>
      <c r="AA1062" s="49"/>
    </row>
    <row r="1063" spans="1:27" x14ac:dyDescent="0.35">
      <c r="A1063" s="27"/>
      <c r="B1063" s="28"/>
      <c r="C1063" s="27"/>
      <c r="D1063" s="27"/>
      <c r="E1063" s="27"/>
      <c r="F1063" s="27"/>
      <c r="G1063" s="27"/>
      <c r="H1063" s="27"/>
      <c r="I1063" s="27"/>
      <c r="J1063" s="43"/>
      <c r="K1063" s="43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43"/>
      <c r="X1063" s="29"/>
      <c r="Y1063" s="30"/>
      <c r="Z1063" s="27"/>
      <c r="AA1063" s="49"/>
    </row>
    <row r="1064" spans="1:27" x14ac:dyDescent="0.35">
      <c r="A1064" s="27"/>
      <c r="B1064" s="28"/>
      <c r="C1064" s="27"/>
      <c r="D1064" s="27"/>
      <c r="E1064" s="27"/>
      <c r="F1064" s="27"/>
      <c r="G1064" s="27"/>
      <c r="H1064" s="27"/>
      <c r="I1064" s="27"/>
      <c r="J1064" s="43"/>
      <c r="K1064" s="43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43"/>
      <c r="X1064" s="29"/>
      <c r="Y1064" s="30"/>
      <c r="Z1064" s="27"/>
      <c r="AA1064" s="49"/>
    </row>
    <row r="1065" spans="1:27" x14ac:dyDescent="0.35">
      <c r="A1065" s="27"/>
      <c r="B1065" s="28"/>
      <c r="C1065" s="27"/>
      <c r="D1065" s="27"/>
      <c r="E1065" s="27"/>
      <c r="F1065" s="27"/>
      <c r="G1065" s="27"/>
      <c r="H1065" s="27"/>
      <c r="I1065" s="27"/>
      <c r="J1065" s="43"/>
      <c r="K1065" s="43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43"/>
      <c r="X1065" s="29"/>
      <c r="Y1065" s="30"/>
      <c r="Z1065" s="27"/>
      <c r="AA1065" s="49"/>
    </row>
    <row r="1066" spans="1:27" x14ac:dyDescent="0.35">
      <c r="A1066" s="27"/>
      <c r="B1066" s="28"/>
      <c r="C1066" s="27"/>
      <c r="D1066" s="27"/>
      <c r="E1066" s="27"/>
      <c r="F1066" s="27"/>
      <c r="G1066" s="27"/>
      <c r="H1066" s="27"/>
      <c r="I1066" s="27"/>
      <c r="J1066" s="43"/>
      <c r="K1066" s="43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43"/>
      <c r="X1066" s="29"/>
      <c r="Y1066" s="30"/>
      <c r="Z1066" s="27"/>
      <c r="AA1066" s="49"/>
    </row>
    <row r="1067" spans="1:27" x14ac:dyDescent="0.35">
      <c r="A1067" s="27"/>
      <c r="B1067" s="28"/>
      <c r="C1067" s="27"/>
      <c r="D1067" s="27"/>
      <c r="E1067" s="27"/>
      <c r="F1067" s="27"/>
      <c r="G1067" s="27"/>
      <c r="H1067" s="27"/>
      <c r="I1067" s="27"/>
      <c r="J1067" s="43"/>
      <c r="K1067" s="43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43"/>
      <c r="X1067" s="29"/>
      <c r="Y1067" s="30"/>
      <c r="Z1067" s="27"/>
      <c r="AA1067" s="49"/>
    </row>
    <row r="1068" spans="1:27" x14ac:dyDescent="0.35">
      <c r="A1068" s="27"/>
      <c r="B1068" s="28"/>
      <c r="C1068" s="27"/>
      <c r="D1068" s="27"/>
      <c r="E1068" s="27"/>
      <c r="F1068" s="27"/>
      <c r="G1068" s="27"/>
      <c r="H1068" s="27"/>
      <c r="I1068" s="27"/>
      <c r="J1068" s="43"/>
      <c r="K1068" s="43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43"/>
      <c r="X1068" s="29"/>
      <c r="Y1068" s="30"/>
      <c r="Z1068" s="27"/>
      <c r="AA1068" s="49"/>
    </row>
    <row r="1069" spans="1:27" x14ac:dyDescent="0.35">
      <c r="A1069" s="27"/>
      <c r="B1069" s="28"/>
      <c r="C1069" s="27"/>
      <c r="D1069" s="27"/>
      <c r="E1069" s="27"/>
      <c r="F1069" s="27"/>
      <c r="G1069" s="27"/>
      <c r="H1069" s="27"/>
      <c r="I1069" s="27"/>
      <c r="J1069" s="43"/>
      <c r="K1069" s="43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43"/>
      <c r="X1069" s="29"/>
      <c r="Y1069" s="30"/>
      <c r="Z1069" s="27"/>
      <c r="AA1069" s="49"/>
    </row>
    <row r="1070" spans="1:27" x14ac:dyDescent="0.35">
      <c r="A1070" s="27"/>
      <c r="B1070" s="28"/>
      <c r="C1070" s="27"/>
      <c r="D1070" s="27"/>
      <c r="E1070" s="27"/>
      <c r="F1070" s="27"/>
      <c r="G1070" s="27"/>
      <c r="H1070" s="27"/>
      <c r="I1070" s="27"/>
      <c r="J1070" s="43"/>
      <c r="K1070" s="43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43"/>
      <c r="X1070" s="29"/>
      <c r="Y1070" s="30"/>
      <c r="Z1070" s="27"/>
      <c r="AA1070" s="49"/>
    </row>
    <row r="1071" spans="1:27" x14ac:dyDescent="0.35">
      <c r="A1071" s="27"/>
      <c r="B1071" s="28"/>
      <c r="C1071" s="27"/>
      <c r="D1071" s="27"/>
      <c r="E1071" s="27"/>
      <c r="F1071" s="27"/>
      <c r="G1071" s="27"/>
      <c r="H1071" s="27"/>
      <c r="I1071" s="27"/>
      <c r="J1071" s="43"/>
      <c r="K1071" s="43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43"/>
      <c r="X1071" s="29"/>
      <c r="Y1071" s="30"/>
      <c r="Z1071" s="27"/>
      <c r="AA1071" s="49"/>
    </row>
    <row r="1072" spans="1:27" x14ac:dyDescent="0.35">
      <c r="A1072" s="27"/>
      <c r="B1072" s="28"/>
      <c r="C1072" s="27"/>
      <c r="D1072" s="27"/>
      <c r="E1072" s="27"/>
      <c r="F1072" s="27"/>
      <c r="G1072" s="27"/>
      <c r="H1072" s="27"/>
      <c r="I1072" s="27"/>
      <c r="J1072" s="43"/>
      <c r="K1072" s="43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43"/>
      <c r="X1072" s="29"/>
      <c r="Y1072" s="30"/>
      <c r="Z1072" s="27"/>
      <c r="AA1072" s="49"/>
    </row>
    <row r="1073" spans="1:27" x14ac:dyDescent="0.35">
      <c r="A1073" s="27"/>
      <c r="B1073" s="28"/>
      <c r="C1073" s="27"/>
      <c r="D1073" s="27"/>
      <c r="E1073" s="27"/>
      <c r="F1073" s="27"/>
      <c r="G1073" s="27"/>
      <c r="H1073" s="27"/>
      <c r="I1073" s="27"/>
      <c r="J1073" s="43"/>
      <c r="K1073" s="43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43"/>
      <c r="X1073" s="29"/>
      <c r="Y1073" s="30"/>
      <c r="Z1073" s="27"/>
      <c r="AA1073" s="49"/>
    </row>
    <row r="1074" spans="1:27" x14ac:dyDescent="0.35">
      <c r="A1074" s="27"/>
      <c r="B1074" s="28"/>
      <c r="C1074" s="27"/>
      <c r="D1074" s="27"/>
      <c r="E1074" s="27"/>
      <c r="F1074" s="27"/>
      <c r="G1074" s="27"/>
      <c r="H1074" s="27"/>
      <c r="I1074" s="27"/>
      <c r="J1074" s="43"/>
      <c r="K1074" s="43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43"/>
      <c r="X1074" s="29"/>
      <c r="Y1074" s="30"/>
      <c r="Z1074" s="27"/>
      <c r="AA1074" s="49"/>
    </row>
    <row r="1075" spans="1:27" x14ac:dyDescent="0.35">
      <c r="A1075" s="27"/>
      <c r="B1075" s="28"/>
      <c r="C1075" s="27"/>
      <c r="D1075" s="27"/>
      <c r="E1075" s="27"/>
      <c r="F1075" s="27"/>
      <c r="G1075" s="27"/>
      <c r="H1075" s="27"/>
      <c r="I1075" s="27"/>
      <c r="J1075" s="43"/>
      <c r="K1075" s="43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43"/>
      <c r="X1075" s="29"/>
      <c r="Y1075" s="30"/>
      <c r="Z1075" s="27"/>
      <c r="AA1075" s="49"/>
    </row>
    <row r="1076" spans="1:27" x14ac:dyDescent="0.35">
      <c r="A1076" s="27"/>
      <c r="B1076" s="28"/>
      <c r="C1076" s="27"/>
      <c r="D1076" s="27"/>
      <c r="E1076" s="27"/>
      <c r="F1076" s="27"/>
      <c r="G1076" s="27"/>
      <c r="H1076" s="27"/>
      <c r="I1076" s="27"/>
      <c r="J1076" s="43"/>
      <c r="K1076" s="43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43"/>
      <c r="X1076" s="29"/>
      <c r="Y1076" s="30"/>
      <c r="Z1076" s="27"/>
      <c r="AA1076" s="49"/>
    </row>
    <row r="1077" spans="1:27" x14ac:dyDescent="0.35">
      <c r="A1077" s="27"/>
      <c r="B1077" s="28"/>
      <c r="C1077" s="27"/>
      <c r="D1077" s="27"/>
      <c r="E1077" s="27"/>
      <c r="F1077" s="27"/>
      <c r="G1077" s="27"/>
      <c r="H1077" s="27"/>
      <c r="I1077" s="27"/>
      <c r="J1077" s="43"/>
      <c r="K1077" s="43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43"/>
      <c r="X1077" s="29"/>
      <c r="Y1077" s="30"/>
      <c r="Z1077" s="27"/>
      <c r="AA1077" s="49"/>
    </row>
    <row r="1078" spans="1:27" x14ac:dyDescent="0.35">
      <c r="A1078" s="27"/>
      <c r="B1078" s="28"/>
      <c r="C1078" s="27"/>
      <c r="D1078" s="27"/>
      <c r="E1078" s="27"/>
      <c r="F1078" s="27"/>
      <c r="G1078" s="27"/>
      <c r="H1078" s="27"/>
      <c r="I1078" s="27"/>
      <c r="J1078" s="43"/>
      <c r="K1078" s="43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43"/>
      <c r="X1078" s="29"/>
      <c r="Y1078" s="30"/>
      <c r="Z1078" s="27"/>
      <c r="AA1078" s="49"/>
    </row>
    <row r="1079" spans="1:27" x14ac:dyDescent="0.35">
      <c r="A1079" s="27"/>
      <c r="B1079" s="28"/>
      <c r="C1079" s="27"/>
      <c r="D1079" s="27"/>
      <c r="E1079" s="27"/>
      <c r="F1079" s="27"/>
      <c r="G1079" s="27"/>
      <c r="H1079" s="27"/>
      <c r="I1079" s="27"/>
      <c r="J1079" s="43"/>
      <c r="K1079" s="43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43"/>
      <c r="X1079" s="29"/>
      <c r="Y1079" s="30"/>
      <c r="Z1079" s="27"/>
      <c r="AA1079" s="49"/>
    </row>
    <row r="1080" spans="1:27" x14ac:dyDescent="0.35">
      <c r="A1080" s="27"/>
      <c r="B1080" s="28"/>
      <c r="C1080" s="27"/>
      <c r="D1080" s="27"/>
      <c r="E1080" s="27"/>
      <c r="F1080" s="27"/>
      <c r="G1080" s="27"/>
      <c r="H1080" s="27"/>
      <c r="I1080" s="27"/>
      <c r="J1080" s="43"/>
      <c r="K1080" s="43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43"/>
      <c r="X1080" s="29"/>
      <c r="Y1080" s="30"/>
      <c r="Z1080" s="27"/>
      <c r="AA1080" s="49"/>
    </row>
    <row r="1081" spans="1:27" x14ac:dyDescent="0.35">
      <c r="A1081" s="27"/>
      <c r="B1081" s="28"/>
      <c r="C1081" s="27"/>
      <c r="D1081" s="27"/>
      <c r="E1081" s="27"/>
      <c r="F1081" s="27"/>
      <c r="G1081" s="27"/>
      <c r="H1081" s="27"/>
      <c r="I1081" s="27"/>
      <c r="J1081" s="43"/>
      <c r="K1081" s="43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43"/>
      <c r="X1081" s="29"/>
      <c r="Y1081" s="30"/>
      <c r="Z1081" s="27"/>
      <c r="AA1081" s="49"/>
    </row>
    <row r="1082" spans="1:27" x14ac:dyDescent="0.35">
      <c r="A1082" s="27"/>
      <c r="B1082" s="28"/>
      <c r="C1082" s="27"/>
      <c r="D1082" s="27"/>
      <c r="E1082" s="27"/>
      <c r="F1082" s="27"/>
      <c r="G1082" s="27"/>
      <c r="H1082" s="27"/>
      <c r="I1082" s="27"/>
      <c r="J1082" s="43"/>
      <c r="K1082" s="43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43"/>
      <c r="X1082" s="29"/>
      <c r="Y1082" s="30"/>
      <c r="Z1082" s="27"/>
      <c r="AA1082" s="49"/>
    </row>
    <row r="1083" spans="1:27" x14ac:dyDescent="0.35">
      <c r="A1083" s="27"/>
      <c r="B1083" s="28"/>
      <c r="C1083" s="27"/>
      <c r="D1083" s="27"/>
      <c r="E1083" s="27"/>
      <c r="F1083" s="27"/>
      <c r="G1083" s="27"/>
      <c r="H1083" s="27"/>
      <c r="I1083" s="27"/>
      <c r="J1083" s="43"/>
      <c r="K1083" s="43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43"/>
      <c r="X1083" s="29"/>
      <c r="Y1083" s="30"/>
      <c r="Z1083" s="27"/>
      <c r="AA1083" s="49"/>
    </row>
    <row r="1084" spans="1:27" x14ac:dyDescent="0.35">
      <c r="A1084" s="27"/>
      <c r="B1084" s="28"/>
      <c r="C1084" s="27"/>
      <c r="D1084" s="27"/>
      <c r="E1084" s="27"/>
      <c r="F1084" s="27"/>
      <c r="G1084" s="27"/>
      <c r="H1084" s="27"/>
      <c r="I1084" s="27"/>
      <c r="J1084" s="43"/>
      <c r="K1084" s="43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43"/>
      <c r="X1084" s="29"/>
      <c r="Y1084" s="30"/>
      <c r="Z1084" s="27"/>
      <c r="AA1084" s="49"/>
    </row>
    <row r="1085" spans="1:27" x14ac:dyDescent="0.35">
      <c r="A1085" s="27"/>
      <c r="B1085" s="28"/>
      <c r="C1085" s="27"/>
      <c r="D1085" s="27"/>
      <c r="E1085" s="27"/>
      <c r="F1085" s="27"/>
      <c r="G1085" s="27"/>
      <c r="H1085" s="27"/>
      <c r="I1085" s="27"/>
      <c r="J1085" s="43"/>
      <c r="K1085" s="43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43"/>
      <c r="X1085" s="29"/>
      <c r="Y1085" s="30"/>
      <c r="Z1085" s="27"/>
      <c r="AA1085" s="49"/>
    </row>
    <row r="1086" spans="1:27" x14ac:dyDescent="0.35">
      <c r="A1086" s="27"/>
      <c r="B1086" s="28"/>
      <c r="C1086" s="27"/>
      <c r="D1086" s="27"/>
      <c r="E1086" s="27"/>
      <c r="F1086" s="27"/>
      <c r="G1086" s="27"/>
      <c r="H1086" s="27"/>
      <c r="I1086" s="27"/>
      <c r="J1086" s="43"/>
      <c r="K1086" s="43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43"/>
      <c r="X1086" s="29"/>
      <c r="Y1086" s="30"/>
      <c r="Z1086" s="27"/>
      <c r="AA1086" s="49"/>
    </row>
    <row r="1087" spans="1:27" x14ac:dyDescent="0.35">
      <c r="A1087" s="27"/>
      <c r="B1087" s="28"/>
      <c r="C1087" s="27"/>
      <c r="D1087" s="27"/>
      <c r="E1087" s="27"/>
      <c r="F1087" s="27"/>
      <c r="G1087" s="27"/>
      <c r="H1087" s="27"/>
      <c r="I1087" s="27"/>
      <c r="J1087" s="43"/>
      <c r="K1087" s="43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43"/>
      <c r="X1087" s="29"/>
      <c r="Y1087" s="30"/>
      <c r="Z1087" s="27"/>
      <c r="AA1087" s="49"/>
    </row>
    <row r="1088" spans="1:27" x14ac:dyDescent="0.35">
      <c r="A1088" s="27"/>
      <c r="B1088" s="28"/>
      <c r="C1088" s="27"/>
      <c r="D1088" s="27"/>
      <c r="E1088" s="27"/>
      <c r="F1088" s="27"/>
      <c r="G1088" s="27"/>
      <c r="H1088" s="27"/>
      <c r="I1088" s="27"/>
      <c r="J1088" s="43"/>
      <c r="K1088" s="43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43"/>
      <c r="X1088" s="29"/>
      <c r="Y1088" s="30"/>
      <c r="Z1088" s="27"/>
      <c r="AA1088" s="49"/>
    </row>
    <row r="1089" spans="1:27" x14ac:dyDescent="0.35">
      <c r="A1089" s="27"/>
      <c r="B1089" s="28"/>
      <c r="C1089" s="27"/>
      <c r="D1089" s="27"/>
      <c r="E1089" s="27"/>
      <c r="F1089" s="27"/>
      <c r="G1089" s="27"/>
      <c r="H1089" s="27"/>
      <c r="I1089" s="27"/>
      <c r="J1089" s="43"/>
      <c r="K1089" s="43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43"/>
      <c r="X1089" s="29"/>
      <c r="Y1089" s="30"/>
      <c r="Z1089" s="27"/>
      <c r="AA1089" s="49"/>
    </row>
    <row r="1090" spans="1:27" x14ac:dyDescent="0.35">
      <c r="A1090" s="27"/>
      <c r="B1090" s="28"/>
      <c r="C1090" s="27"/>
      <c r="D1090" s="27"/>
      <c r="E1090" s="27"/>
      <c r="F1090" s="27"/>
      <c r="G1090" s="27"/>
      <c r="H1090" s="27"/>
      <c r="I1090" s="27"/>
      <c r="J1090" s="43"/>
      <c r="K1090" s="43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43"/>
      <c r="X1090" s="29"/>
      <c r="Y1090" s="30"/>
      <c r="Z1090" s="27"/>
      <c r="AA1090" s="49"/>
    </row>
    <row r="1091" spans="1:27" x14ac:dyDescent="0.35">
      <c r="A1091" s="27"/>
      <c r="B1091" s="28"/>
      <c r="C1091" s="27"/>
      <c r="D1091" s="27"/>
      <c r="E1091" s="27"/>
      <c r="F1091" s="27"/>
      <c r="G1091" s="27"/>
      <c r="H1091" s="27"/>
      <c r="I1091" s="27"/>
      <c r="J1091" s="43"/>
      <c r="K1091" s="43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43"/>
      <c r="X1091" s="29"/>
      <c r="Y1091" s="30"/>
      <c r="Z1091" s="27"/>
      <c r="AA1091" s="49"/>
    </row>
    <row r="1092" spans="1:27" x14ac:dyDescent="0.35">
      <c r="A1092" s="27"/>
      <c r="B1092" s="28"/>
      <c r="C1092" s="27"/>
      <c r="D1092" s="27"/>
      <c r="E1092" s="27"/>
      <c r="F1092" s="27"/>
      <c r="G1092" s="27"/>
      <c r="H1092" s="27"/>
      <c r="I1092" s="27"/>
      <c r="J1092" s="43"/>
      <c r="K1092" s="43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43"/>
      <c r="X1092" s="29"/>
      <c r="Y1092" s="30"/>
      <c r="Z1092" s="27"/>
      <c r="AA1092" s="49"/>
    </row>
    <row r="1093" spans="1:27" x14ac:dyDescent="0.35">
      <c r="A1093" s="27"/>
      <c r="B1093" s="28"/>
      <c r="C1093" s="27"/>
      <c r="D1093" s="27"/>
      <c r="E1093" s="27"/>
      <c r="F1093" s="27"/>
      <c r="G1093" s="27"/>
      <c r="H1093" s="27"/>
      <c r="I1093" s="27"/>
      <c r="J1093" s="43"/>
      <c r="K1093" s="43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43"/>
      <c r="X1093" s="29"/>
      <c r="Y1093" s="30"/>
      <c r="Z1093" s="27"/>
      <c r="AA1093" s="49"/>
    </row>
    <row r="1094" spans="1:27" x14ac:dyDescent="0.35">
      <c r="A1094" s="27"/>
      <c r="B1094" s="28"/>
      <c r="C1094" s="27"/>
      <c r="D1094" s="27"/>
      <c r="E1094" s="27"/>
      <c r="F1094" s="27"/>
      <c r="G1094" s="27"/>
      <c r="H1094" s="27"/>
      <c r="I1094" s="27"/>
      <c r="J1094" s="43"/>
      <c r="K1094" s="43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43"/>
      <c r="X1094" s="29"/>
      <c r="Y1094" s="30"/>
      <c r="Z1094" s="27"/>
      <c r="AA1094" s="49"/>
    </row>
    <row r="1095" spans="1:27" x14ac:dyDescent="0.35">
      <c r="A1095" s="27"/>
      <c r="B1095" s="28"/>
      <c r="C1095" s="27"/>
      <c r="D1095" s="27"/>
      <c r="E1095" s="27"/>
      <c r="F1095" s="27"/>
      <c r="G1095" s="27"/>
      <c r="H1095" s="27"/>
      <c r="I1095" s="27"/>
      <c r="J1095" s="43"/>
      <c r="K1095" s="43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43"/>
      <c r="X1095" s="29"/>
      <c r="Y1095" s="30"/>
      <c r="Z1095" s="27"/>
      <c r="AA1095" s="49"/>
    </row>
    <row r="1096" spans="1:27" x14ac:dyDescent="0.35">
      <c r="A1096" s="27"/>
      <c r="B1096" s="28"/>
      <c r="C1096" s="27"/>
      <c r="D1096" s="27"/>
      <c r="E1096" s="27"/>
      <c r="F1096" s="27"/>
      <c r="G1096" s="27"/>
      <c r="H1096" s="27"/>
      <c r="I1096" s="27"/>
      <c r="J1096" s="43"/>
      <c r="K1096" s="43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43"/>
      <c r="X1096" s="29"/>
      <c r="Y1096" s="30"/>
      <c r="Z1096" s="27"/>
      <c r="AA1096" s="49"/>
    </row>
    <row r="1097" spans="1:27" x14ac:dyDescent="0.35">
      <c r="A1097" s="27"/>
      <c r="B1097" s="28"/>
      <c r="C1097" s="27"/>
      <c r="D1097" s="27"/>
      <c r="E1097" s="27"/>
      <c r="F1097" s="27"/>
      <c r="G1097" s="27"/>
      <c r="H1097" s="27"/>
      <c r="I1097" s="27"/>
      <c r="J1097" s="43"/>
      <c r="K1097" s="43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43"/>
      <c r="X1097" s="29"/>
      <c r="Y1097" s="30"/>
      <c r="Z1097" s="27"/>
      <c r="AA1097" s="49"/>
    </row>
    <row r="1098" spans="1:27" x14ac:dyDescent="0.35">
      <c r="A1098" s="27"/>
      <c r="B1098" s="28"/>
      <c r="C1098" s="27"/>
      <c r="D1098" s="27"/>
      <c r="E1098" s="27"/>
      <c r="F1098" s="27"/>
      <c r="G1098" s="27"/>
      <c r="H1098" s="27"/>
      <c r="I1098" s="27"/>
      <c r="J1098" s="43"/>
      <c r="K1098" s="43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43"/>
      <c r="X1098" s="29"/>
      <c r="Y1098" s="30"/>
      <c r="Z1098" s="27"/>
      <c r="AA1098" s="49"/>
    </row>
    <row r="1099" spans="1:27" x14ac:dyDescent="0.35">
      <c r="A1099" s="27"/>
      <c r="B1099" s="28"/>
      <c r="C1099" s="27"/>
      <c r="D1099" s="27"/>
      <c r="E1099" s="27"/>
      <c r="F1099" s="27"/>
      <c r="G1099" s="27"/>
      <c r="H1099" s="27"/>
      <c r="I1099" s="27"/>
      <c r="J1099" s="43"/>
      <c r="K1099" s="43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43"/>
      <c r="X1099" s="29"/>
      <c r="Y1099" s="30"/>
      <c r="Z1099" s="27"/>
      <c r="AA1099" s="49"/>
    </row>
    <row r="1100" spans="1:27" x14ac:dyDescent="0.35">
      <c r="A1100" s="27"/>
      <c r="B1100" s="28"/>
      <c r="C1100" s="27"/>
      <c r="D1100" s="27"/>
      <c r="E1100" s="27"/>
      <c r="F1100" s="27"/>
      <c r="G1100" s="27"/>
      <c r="H1100" s="27"/>
      <c r="I1100" s="27"/>
      <c r="J1100" s="43"/>
      <c r="K1100" s="43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43"/>
      <c r="X1100" s="29"/>
      <c r="Y1100" s="30"/>
      <c r="Z1100" s="27"/>
      <c r="AA1100" s="49"/>
    </row>
    <row r="1101" spans="1:27" x14ac:dyDescent="0.35">
      <c r="A1101" s="27"/>
      <c r="B1101" s="28"/>
      <c r="C1101" s="27"/>
      <c r="D1101" s="27"/>
      <c r="E1101" s="27"/>
      <c r="F1101" s="27"/>
      <c r="G1101" s="27"/>
      <c r="H1101" s="27"/>
      <c r="I1101" s="27"/>
      <c r="J1101" s="43"/>
      <c r="K1101" s="43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43"/>
      <c r="X1101" s="29"/>
      <c r="Y1101" s="30"/>
      <c r="Z1101" s="27"/>
      <c r="AA1101" s="49"/>
    </row>
    <row r="1102" spans="1:27" x14ac:dyDescent="0.35">
      <c r="A1102" s="27"/>
      <c r="B1102" s="28"/>
      <c r="C1102" s="27"/>
      <c r="D1102" s="27"/>
      <c r="E1102" s="27"/>
      <c r="F1102" s="27"/>
      <c r="G1102" s="27"/>
      <c r="H1102" s="27"/>
      <c r="I1102" s="27"/>
      <c r="J1102" s="43"/>
      <c r="K1102" s="43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43"/>
      <c r="X1102" s="29"/>
      <c r="Y1102" s="30"/>
      <c r="Z1102" s="27"/>
      <c r="AA1102" s="49"/>
    </row>
    <row r="1103" spans="1:27" x14ac:dyDescent="0.35">
      <c r="A1103" s="27"/>
      <c r="B1103" s="28"/>
      <c r="C1103" s="27"/>
      <c r="D1103" s="27"/>
      <c r="E1103" s="27"/>
      <c r="F1103" s="27"/>
      <c r="G1103" s="27"/>
      <c r="H1103" s="27"/>
      <c r="I1103" s="27"/>
      <c r="J1103" s="43"/>
      <c r="K1103" s="43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43"/>
      <c r="X1103" s="29"/>
      <c r="Y1103" s="30"/>
      <c r="Z1103" s="27"/>
      <c r="AA1103" s="49"/>
    </row>
    <row r="1104" spans="1:27" x14ac:dyDescent="0.35">
      <c r="A1104" s="27"/>
      <c r="B1104" s="28"/>
      <c r="C1104" s="27"/>
      <c r="D1104" s="27"/>
      <c r="E1104" s="27"/>
      <c r="F1104" s="27"/>
      <c r="G1104" s="27"/>
      <c r="H1104" s="27"/>
      <c r="I1104" s="27"/>
      <c r="J1104" s="43"/>
      <c r="K1104" s="43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43"/>
      <c r="X1104" s="29"/>
      <c r="Y1104" s="30"/>
      <c r="Z1104" s="27"/>
      <c r="AA1104" s="49"/>
    </row>
    <row r="1105" spans="1:27" x14ac:dyDescent="0.35">
      <c r="A1105" s="27"/>
      <c r="B1105" s="28"/>
      <c r="C1105" s="27"/>
      <c r="D1105" s="27"/>
      <c r="E1105" s="27"/>
      <c r="F1105" s="27"/>
      <c r="G1105" s="27"/>
      <c r="H1105" s="27"/>
      <c r="I1105" s="27"/>
      <c r="J1105" s="43"/>
      <c r="K1105" s="43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43"/>
      <c r="X1105" s="29"/>
      <c r="Y1105" s="30"/>
      <c r="Z1105" s="27"/>
      <c r="AA1105" s="49"/>
    </row>
    <row r="1106" spans="1:27" x14ac:dyDescent="0.35">
      <c r="A1106" s="27"/>
      <c r="B1106" s="28"/>
      <c r="C1106" s="27"/>
      <c r="D1106" s="27"/>
      <c r="E1106" s="27"/>
      <c r="F1106" s="27"/>
      <c r="G1106" s="27"/>
      <c r="H1106" s="27"/>
      <c r="I1106" s="27"/>
      <c r="J1106" s="43"/>
      <c r="K1106" s="43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43"/>
      <c r="X1106" s="29"/>
      <c r="Y1106" s="30"/>
      <c r="Z1106" s="27"/>
      <c r="AA1106" s="49"/>
    </row>
    <row r="1107" spans="1:27" x14ac:dyDescent="0.35">
      <c r="A1107" s="27"/>
      <c r="B1107" s="28"/>
      <c r="C1107" s="27"/>
      <c r="D1107" s="27"/>
      <c r="E1107" s="27"/>
      <c r="F1107" s="27"/>
      <c r="G1107" s="27"/>
      <c r="H1107" s="27"/>
      <c r="I1107" s="27"/>
      <c r="J1107" s="43"/>
      <c r="K1107" s="43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43"/>
      <c r="X1107" s="29"/>
      <c r="Y1107" s="30"/>
      <c r="Z1107" s="27"/>
      <c r="AA1107" s="49"/>
    </row>
    <row r="1108" spans="1:27" x14ac:dyDescent="0.35">
      <c r="A1108" s="27"/>
      <c r="B1108" s="28"/>
      <c r="C1108" s="27"/>
      <c r="D1108" s="27"/>
      <c r="E1108" s="27"/>
      <c r="F1108" s="27"/>
      <c r="G1108" s="27"/>
      <c r="H1108" s="27"/>
      <c r="I1108" s="27"/>
      <c r="J1108" s="43"/>
      <c r="K1108" s="43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43"/>
      <c r="X1108" s="29"/>
      <c r="Y1108" s="30"/>
      <c r="Z1108" s="27"/>
      <c r="AA1108" s="49"/>
    </row>
    <row r="1109" spans="1:27" x14ac:dyDescent="0.35">
      <c r="A1109" s="27"/>
      <c r="B1109" s="28"/>
      <c r="C1109" s="27"/>
      <c r="D1109" s="27"/>
      <c r="E1109" s="27"/>
      <c r="F1109" s="27"/>
      <c r="G1109" s="27"/>
      <c r="H1109" s="27"/>
      <c r="I1109" s="27"/>
      <c r="J1109" s="43"/>
      <c r="K1109" s="43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43"/>
      <c r="X1109" s="29"/>
      <c r="Y1109" s="30"/>
      <c r="Z1109" s="27"/>
      <c r="AA1109" s="49"/>
    </row>
    <row r="1110" spans="1:27" x14ac:dyDescent="0.35">
      <c r="A1110" s="27"/>
      <c r="B1110" s="28"/>
      <c r="C1110" s="27"/>
      <c r="D1110" s="27"/>
      <c r="E1110" s="27"/>
      <c r="F1110" s="27"/>
      <c r="G1110" s="27"/>
      <c r="H1110" s="27"/>
      <c r="I1110" s="27"/>
      <c r="J1110" s="43"/>
      <c r="K1110" s="43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43"/>
      <c r="X1110" s="29"/>
      <c r="Y1110" s="30"/>
      <c r="Z1110" s="27"/>
      <c r="AA1110" s="49"/>
    </row>
    <row r="1111" spans="1:27" x14ac:dyDescent="0.35">
      <c r="A1111" s="27"/>
      <c r="B1111" s="28"/>
      <c r="C1111" s="27"/>
      <c r="D1111" s="27"/>
      <c r="E1111" s="27"/>
      <c r="F1111" s="27"/>
      <c r="G1111" s="27"/>
      <c r="H1111" s="27"/>
      <c r="I1111" s="27"/>
      <c r="J1111" s="43"/>
      <c r="K1111" s="43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43"/>
      <c r="X1111" s="29"/>
      <c r="Y1111" s="30"/>
      <c r="Z1111" s="27"/>
      <c r="AA1111" s="49"/>
    </row>
    <row r="1112" spans="1:27" x14ac:dyDescent="0.35">
      <c r="A1112" s="27"/>
      <c r="B1112" s="28"/>
      <c r="C1112" s="27"/>
      <c r="D1112" s="27"/>
      <c r="E1112" s="27"/>
      <c r="F1112" s="27"/>
      <c r="G1112" s="27"/>
      <c r="H1112" s="27"/>
      <c r="I1112" s="27"/>
      <c r="J1112" s="43"/>
      <c r="K1112" s="43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43"/>
      <c r="X1112" s="29"/>
      <c r="Y1112" s="30"/>
      <c r="Z1112" s="27"/>
      <c r="AA1112" s="49"/>
    </row>
    <row r="1113" spans="1:27" x14ac:dyDescent="0.35">
      <c r="A1113" s="27"/>
      <c r="B1113" s="28"/>
      <c r="C1113" s="27"/>
      <c r="D1113" s="27"/>
      <c r="E1113" s="27"/>
      <c r="F1113" s="27"/>
      <c r="G1113" s="27"/>
      <c r="H1113" s="27"/>
      <c r="I1113" s="27"/>
      <c r="J1113" s="43"/>
      <c r="K1113" s="43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43"/>
      <c r="X1113" s="29"/>
      <c r="Y1113" s="30"/>
      <c r="Z1113" s="27"/>
      <c r="AA1113" s="49"/>
    </row>
    <row r="1114" spans="1:27" x14ac:dyDescent="0.35">
      <c r="A1114" s="27"/>
      <c r="B1114" s="28"/>
      <c r="C1114" s="27"/>
      <c r="D1114" s="27"/>
      <c r="E1114" s="27"/>
      <c r="F1114" s="27"/>
      <c r="G1114" s="27"/>
      <c r="H1114" s="27"/>
      <c r="I1114" s="27"/>
      <c r="J1114" s="43"/>
      <c r="K1114" s="43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43"/>
      <c r="X1114" s="29"/>
      <c r="Y1114" s="30"/>
      <c r="Z1114" s="27"/>
      <c r="AA1114" s="49"/>
    </row>
    <row r="1115" spans="1:27" x14ac:dyDescent="0.35">
      <c r="A1115" s="27"/>
      <c r="B1115" s="28"/>
      <c r="C1115" s="27"/>
      <c r="D1115" s="27"/>
      <c r="E1115" s="27"/>
      <c r="F1115" s="27"/>
      <c r="G1115" s="27"/>
      <c r="H1115" s="27"/>
      <c r="I1115" s="27"/>
      <c r="J1115" s="43"/>
      <c r="K1115" s="43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43"/>
      <c r="X1115" s="29"/>
      <c r="Y1115" s="30"/>
      <c r="Z1115" s="27"/>
      <c r="AA1115" s="49"/>
    </row>
    <row r="1116" spans="1:27" x14ac:dyDescent="0.35">
      <c r="A1116" s="27"/>
      <c r="B1116" s="28"/>
      <c r="C1116" s="27"/>
      <c r="D1116" s="27"/>
      <c r="E1116" s="27"/>
      <c r="F1116" s="27"/>
      <c r="G1116" s="27"/>
      <c r="H1116" s="27"/>
      <c r="I1116" s="27"/>
      <c r="J1116" s="43"/>
      <c r="K1116" s="43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43"/>
      <c r="X1116" s="29"/>
      <c r="Y1116" s="30"/>
      <c r="Z1116" s="27"/>
      <c r="AA1116" s="49"/>
    </row>
    <row r="1117" spans="1:27" x14ac:dyDescent="0.35">
      <c r="A1117" s="27"/>
      <c r="B1117" s="28"/>
      <c r="C1117" s="27"/>
      <c r="D1117" s="27"/>
      <c r="E1117" s="27"/>
      <c r="F1117" s="27"/>
      <c r="G1117" s="27"/>
      <c r="H1117" s="27"/>
      <c r="I1117" s="27"/>
      <c r="J1117" s="43"/>
      <c r="K1117" s="43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43"/>
      <c r="X1117" s="29"/>
      <c r="Y1117" s="30"/>
      <c r="Z1117" s="27"/>
      <c r="AA1117" s="49"/>
    </row>
    <row r="1118" spans="1:27" x14ac:dyDescent="0.35">
      <c r="A1118" s="27"/>
      <c r="B1118" s="28"/>
      <c r="C1118" s="27"/>
      <c r="D1118" s="27"/>
      <c r="E1118" s="27"/>
      <c r="F1118" s="27"/>
      <c r="G1118" s="27"/>
      <c r="H1118" s="27"/>
      <c r="I1118" s="27"/>
      <c r="J1118" s="43"/>
      <c r="K1118" s="43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43"/>
      <c r="X1118" s="29"/>
      <c r="Y1118" s="30"/>
      <c r="Z1118" s="27"/>
      <c r="AA1118" s="49"/>
    </row>
    <row r="1119" spans="1:27" x14ac:dyDescent="0.35">
      <c r="A1119" s="27"/>
      <c r="B1119" s="28"/>
      <c r="C1119" s="27"/>
      <c r="D1119" s="27"/>
      <c r="E1119" s="27"/>
      <c r="F1119" s="27"/>
      <c r="G1119" s="27"/>
      <c r="H1119" s="27"/>
      <c r="I1119" s="27"/>
      <c r="J1119" s="43"/>
      <c r="K1119" s="43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43"/>
      <c r="X1119" s="29"/>
      <c r="Y1119" s="30"/>
      <c r="Z1119" s="27"/>
      <c r="AA1119" s="49"/>
    </row>
    <row r="1120" spans="1:27" x14ac:dyDescent="0.35">
      <c r="A1120" s="27"/>
      <c r="B1120" s="28"/>
      <c r="C1120" s="27"/>
      <c r="D1120" s="27"/>
      <c r="E1120" s="27"/>
      <c r="F1120" s="27"/>
      <c r="G1120" s="27"/>
      <c r="H1120" s="27"/>
      <c r="I1120" s="27"/>
      <c r="J1120" s="43"/>
      <c r="K1120" s="43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43"/>
      <c r="X1120" s="29"/>
      <c r="Y1120" s="30"/>
      <c r="Z1120" s="27"/>
      <c r="AA1120" s="49"/>
    </row>
    <row r="1121" spans="1:27" x14ac:dyDescent="0.35">
      <c r="A1121" s="27"/>
      <c r="B1121" s="28"/>
      <c r="C1121" s="27"/>
      <c r="D1121" s="27"/>
      <c r="E1121" s="27"/>
      <c r="F1121" s="27"/>
      <c r="G1121" s="27"/>
      <c r="H1121" s="27"/>
      <c r="I1121" s="27"/>
      <c r="J1121" s="43"/>
      <c r="K1121" s="43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43"/>
      <c r="X1121" s="29"/>
      <c r="Y1121" s="30"/>
      <c r="Z1121" s="27"/>
      <c r="AA1121" s="49"/>
    </row>
    <row r="1122" spans="1:27" x14ac:dyDescent="0.35">
      <c r="A1122" s="27"/>
      <c r="B1122" s="28"/>
      <c r="C1122" s="27"/>
      <c r="D1122" s="27"/>
      <c r="E1122" s="27"/>
      <c r="F1122" s="27"/>
      <c r="G1122" s="27"/>
      <c r="H1122" s="27"/>
      <c r="I1122" s="27"/>
      <c r="J1122" s="43"/>
      <c r="K1122" s="43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43"/>
      <c r="X1122" s="29"/>
      <c r="Y1122" s="30"/>
      <c r="Z1122" s="27"/>
      <c r="AA1122" s="49"/>
    </row>
    <row r="1123" spans="1:27" x14ac:dyDescent="0.35">
      <c r="A1123" s="27"/>
      <c r="B1123" s="28"/>
      <c r="C1123" s="27"/>
      <c r="D1123" s="27"/>
      <c r="E1123" s="27"/>
      <c r="F1123" s="27"/>
      <c r="G1123" s="27"/>
      <c r="H1123" s="27"/>
      <c r="I1123" s="27"/>
      <c r="J1123" s="43"/>
      <c r="K1123" s="43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43"/>
      <c r="X1123" s="29"/>
      <c r="Y1123" s="30"/>
      <c r="Z1123" s="27"/>
      <c r="AA1123" s="49"/>
    </row>
    <row r="1124" spans="1:27" x14ac:dyDescent="0.35">
      <c r="A1124" s="27"/>
      <c r="B1124" s="28"/>
      <c r="C1124" s="27"/>
      <c r="D1124" s="27"/>
      <c r="E1124" s="27"/>
      <c r="F1124" s="27"/>
      <c r="G1124" s="27"/>
      <c r="H1124" s="27"/>
      <c r="I1124" s="27"/>
      <c r="J1124" s="43"/>
      <c r="K1124" s="43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43"/>
      <c r="X1124" s="29"/>
      <c r="Y1124" s="30"/>
      <c r="Z1124" s="27"/>
      <c r="AA1124" s="49"/>
    </row>
    <row r="1125" spans="1:27" x14ac:dyDescent="0.35">
      <c r="A1125" s="27"/>
      <c r="B1125" s="28"/>
      <c r="C1125" s="27"/>
      <c r="D1125" s="27"/>
      <c r="E1125" s="27"/>
      <c r="F1125" s="27"/>
      <c r="G1125" s="27"/>
      <c r="H1125" s="27"/>
      <c r="I1125" s="27"/>
      <c r="J1125" s="43"/>
      <c r="K1125" s="43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43"/>
      <c r="X1125" s="29"/>
      <c r="Y1125" s="30"/>
      <c r="Z1125" s="27"/>
      <c r="AA1125" s="49"/>
    </row>
    <row r="1126" spans="1:27" x14ac:dyDescent="0.35">
      <c r="A1126" s="27"/>
      <c r="B1126" s="28"/>
      <c r="C1126" s="27"/>
      <c r="D1126" s="27"/>
      <c r="E1126" s="27"/>
      <c r="F1126" s="27"/>
      <c r="G1126" s="27"/>
      <c r="H1126" s="27"/>
      <c r="I1126" s="27"/>
      <c r="J1126" s="43"/>
      <c r="K1126" s="43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43"/>
      <c r="X1126" s="29"/>
      <c r="Y1126" s="30"/>
      <c r="Z1126" s="27"/>
      <c r="AA1126" s="49"/>
    </row>
    <row r="1127" spans="1:27" x14ac:dyDescent="0.35">
      <c r="A1127" s="27"/>
      <c r="B1127" s="28"/>
      <c r="C1127" s="27"/>
      <c r="D1127" s="27"/>
      <c r="E1127" s="27"/>
      <c r="F1127" s="27"/>
      <c r="G1127" s="27"/>
      <c r="H1127" s="27"/>
      <c r="I1127" s="27"/>
      <c r="J1127" s="43"/>
      <c r="K1127" s="43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43"/>
      <c r="X1127" s="29"/>
      <c r="Y1127" s="30"/>
      <c r="Z1127" s="27"/>
      <c r="AA1127" s="49"/>
    </row>
    <row r="1128" spans="1:27" x14ac:dyDescent="0.35">
      <c r="A1128" s="27"/>
      <c r="B1128" s="28"/>
      <c r="C1128" s="27"/>
      <c r="D1128" s="27"/>
      <c r="E1128" s="27"/>
      <c r="F1128" s="27"/>
      <c r="G1128" s="27"/>
      <c r="H1128" s="27"/>
      <c r="I1128" s="27"/>
      <c r="J1128" s="43"/>
      <c r="K1128" s="43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43"/>
      <c r="X1128" s="29"/>
      <c r="Y1128" s="30"/>
      <c r="Z1128" s="27"/>
      <c r="AA1128" s="49"/>
    </row>
    <row r="1129" spans="1:27" x14ac:dyDescent="0.35">
      <c r="A1129" s="27"/>
      <c r="B1129" s="28"/>
      <c r="C1129" s="27"/>
      <c r="D1129" s="27"/>
      <c r="E1129" s="27"/>
      <c r="F1129" s="27"/>
      <c r="G1129" s="27"/>
      <c r="H1129" s="27"/>
      <c r="I1129" s="27"/>
      <c r="J1129" s="43"/>
      <c r="K1129" s="43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43"/>
      <c r="X1129" s="29"/>
      <c r="Y1129" s="30"/>
      <c r="Z1129" s="27"/>
      <c r="AA1129" s="49"/>
    </row>
    <row r="1130" spans="1:27" x14ac:dyDescent="0.35">
      <c r="A1130" s="27"/>
      <c r="B1130" s="28"/>
      <c r="C1130" s="27"/>
      <c r="D1130" s="27"/>
      <c r="E1130" s="27"/>
      <c r="F1130" s="27"/>
      <c r="G1130" s="27"/>
      <c r="H1130" s="27"/>
      <c r="I1130" s="27"/>
      <c r="J1130" s="43"/>
      <c r="K1130" s="43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43"/>
      <c r="X1130" s="29"/>
      <c r="Y1130" s="30"/>
      <c r="Z1130" s="27"/>
      <c r="AA1130" s="49"/>
    </row>
    <row r="1131" spans="1:27" x14ac:dyDescent="0.35">
      <c r="A1131" s="27"/>
      <c r="B1131" s="28"/>
      <c r="C1131" s="27"/>
      <c r="D1131" s="27"/>
      <c r="E1131" s="27"/>
      <c r="F1131" s="27"/>
      <c r="G1131" s="27"/>
      <c r="H1131" s="27"/>
      <c r="I1131" s="27"/>
      <c r="J1131" s="43"/>
      <c r="K1131" s="43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43"/>
      <c r="X1131" s="29"/>
      <c r="Y1131" s="30"/>
      <c r="Z1131" s="27"/>
      <c r="AA1131" s="49"/>
    </row>
    <row r="1132" spans="1:27" x14ac:dyDescent="0.35">
      <c r="A1132" s="27"/>
      <c r="B1132" s="28"/>
      <c r="C1132" s="27"/>
      <c r="D1132" s="27"/>
      <c r="E1132" s="27"/>
      <c r="F1132" s="27"/>
      <c r="G1132" s="27"/>
      <c r="H1132" s="27"/>
      <c r="I1132" s="27"/>
      <c r="J1132" s="43"/>
      <c r="K1132" s="43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43"/>
      <c r="X1132" s="29"/>
      <c r="Y1132" s="30"/>
      <c r="Z1132" s="27"/>
      <c r="AA1132" s="49"/>
    </row>
    <row r="1133" spans="1:27" x14ac:dyDescent="0.35">
      <c r="A1133" s="27"/>
      <c r="B1133" s="28"/>
      <c r="C1133" s="27"/>
      <c r="D1133" s="27"/>
      <c r="E1133" s="27"/>
      <c r="F1133" s="27"/>
      <c r="G1133" s="27"/>
      <c r="H1133" s="27"/>
      <c r="I1133" s="27"/>
      <c r="J1133" s="43"/>
      <c r="K1133" s="43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43"/>
      <c r="X1133" s="29"/>
      <c r="Y1133" s="30"/>
      <c r="Z1133" s="27"/>
      <c r="AA1133" s="49"/>
    </row>
    <row r="1134" spans="1:27" x14ac:dyDescent="0.35">
      <c r="A1134" s="27"/>
      <c r="B1134" s="28"/>
      <c r="C1134" s="27"/>
      <c r="D1134" s="27"/>
      <c r="E1134" s="27"/>
      <c r="F1134" s="27"/>
      <c r="G1134" s="27"/>
      <c r="H1134" s="27"/>
      <c r="I1134" s="27"/>
      <c r="J1134" s="43"/>
      <c r="K1134" s="43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43"/>
      <c r="X1134" s="29"/>
      <c r="Y1134" s="30"/>
      <c r="Z1134" s="27"/>
      <c r="AA1134" s="49"/>
    </row>
    <row r="1135" spans="1:27" x14ac:dyDescent="0.35">
      <c r="A1135" s="27"/>
      <c r="B1135" s="28"/>
      <c r="C1135" s="27"/>
      <c r="D1135" s="27"/>
      <c r="E1135" s="27"/>
      <c r="F1135" s="27"/>
      <c r="G1135" s="27"/>
      <c r="H1135" s="27"/>
      <c r="I1135" s="27"/>
      <c r="J1135" s="43"/>
      <c r="K1135" s="43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43"/>
      <c r="X1135" s="29"/>
      <c r="Y1135" s="30"/>
      <c r="Z1135" s="27"/>
      <c r="AA1135" s="49"/>
    </row>
    <row r="1136" spans="1:27" x14ac:dyDescent="0.35">
      <c r="A1136" s="27"/>
      <c r="B1136" s="28"/>
      <c r="C1136" s="27"/>
      <c r="D1136" s="27"/>
      <c r="E1136" s="27"/>
      <c r="F1136" s="27"/>
      <c r="G1136" s="27"/>
      <c r="H1136" s="27"/>
      <c r="I1136" s="27"/>
      <c r="J1136" s="43"/>
      <c r="K1136" s="43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43"/>
      <c r="X1136" s="29"/>
      <c r="Y1136" s="30"/>
      <c r="Z1136" s="27"/>
      <c r="AA1136" s="49"/>
    </row>
    <row r="1137" spans="1:27" x14ac:dyDescent="0.35">
      <c r="A1137" s="27"/>
      <c r="B1137" s="28"/>
      <c r="C1137" s="27"/>
      <c r="D1137" s="27"/>
      <c r="E1137" s="27"/>
      <c r="F1137" s="27"/>
      <c r="G1137" s="27"/>
      <c r="H1137" s="27"/>
      <c r="I1137" s="27"/>
      <c r="J1137" s="43"/>
      <c r="K1137" s="43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43"/>
      <c r="X1137" s="29"/>
      <c r="Y1137" s="30"/>
      <c r="Z1137" s="27"/>
      <c r="AA1137" s="49"/>
    </row>
    <row r="1138" spans="1:27" x14ac:dyDescent="0.35">
      <c r="A1138" s="27"/>
      <c r="B1138" s="28"/>
      <c r="C1138" s="27"/>
      <c r="D1138" s="27"/>
      <c r="E1138" s="27"/>
      <c r="F1138" s="27"/>
      <c r="G1138" s="27"/>
      <c r="H1138" s="27"/>
      <c r="I1138" s="27"/>
      <c r="J1138" s="43"/>
      <c r="K1138" s="43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43"/>
      <c r="X1138" s="29"/>
      <c r="Y1138" s="30"/>
      <c r="Z1138" s="27"/>
      <c r="AA1138" s="49"/>
    </row>
    <row r="1139" spans="1:27" x14ac:dyDescent="0.35">
      <c r="A1139" s="27"/>
      <c r="B1139" s="28"/>
      <c r="C1139" s="27"/>
      <c r="D1139" s="27"/>
      <c r="E1139" s="27"/>
      <c r="F1139" s="27"/>
      <c r="G1139" s="27"/>
      <c r="H1139" s="27"/>
      <c r="I1139" s="27"/>
      <c r="J1139" s="43"/>
      <c r="K1139" s="43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43"/>
      <c r="X1139" s="29"/>
      <c r="Y1139" s="30"/>
      <c r="Z1139" s="27"/>
      <c r="AA1139" s="49"/>
    </row>
    <row r="1140" spans="1:27" x14ac:dyDescent="0.35">
      <c r="A1140" s="27"/>
      <c r="B1140" s="28"/>
      <c r="C1140" s="27"/>
      <c r="D1140" s="27"/>
      <c r="E1140" s="27"/>
      <c r="F1140" s="27"/>
      <c r="G1140" s="27"/>
      <c r="H1140" s="27"/>
      <c r="I1140" s="27"/>
      <c r="J1140" s="43"/>
      <c r="K1140" s="43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43"/>
      <c r="X1140" s="29"/>
      <c r="Y1140" s="30"/>
      <c r="Z1140" s="27"/>
      <c r="AA1140" s="49"/>
    </row>
    <row r="1141" spans="1:27" x14ac:dyDescent="0.35">
      <c r="A1141" s="27"/>
      <c r="B1141" s="28"/>
      <c r="C1141" s="27"/>
      <c r="D1141" s="27"/>
      <c r="E1141" s="27"/>
      <c r="F1141" s="27"/>
      <c r="G1141" s="27"/>
      <c r="H1141" s="27"/>
      <c r="I1141" s="27"/>
      <c r="J1141" s="43"/>
      <c r="K1141" s="43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43"/>
      <c r="X1141" s="29"/>
      <c r="Y1141" s="30"/>
      <c r="Z1141" s="27"/>
      <c r="AA1141" s="49"/>
    </row>
    <row r="1142" spans="1:27" x14ac:dyDescent="0.35">
      <c r="A1142" s="27"/>
      <c r="B1142" s="28"/>
      <c r="C1142" s="27"/>
      <c r="D1142" s="27"/>
      <c r="E1142" s="27"/>
      <c r="F1142" s="27"/>
      <c r="G1142" s="27"/>
      <c r="H1142" s="27"/>
      <c r="I1142" s="27"/>
      <c r="J1142" s="43"/>
      <c r="K1142" s="43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43"/>
      <c r="X1142" s="29"/>
      <c r="Y1142" s="30"/>
      <c r="Z1142" s="27"/>
      <c r="AA1142" s="49"/>
    </row>
    <row r="1143" spans="1:27" x14ac:dyDescent="0.35">
      <c r="A1143" s="27"/>
      <c r="B1143" s="28"/>
      <c r="C1143" s="27"/>
      <c r="D1143" s="27"/>
      <c r="E1143" s="27"/>
      <c r="F1143" s="27"/>
      <c r="G1143" s="27"/>
      <c r="H1143" s="27"/>
      <c r="I1143" s="27"/>
      <c r="J1143" s="43"/>
      <c r="K1143" s="43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43"/>
      <c r="X1143" s="29"/>
      <c r="Y1143" s="30"/>
      <c r="Z1143" s="27"/>
      <c r="AA1143" s="49"/>
    </row>
    <row r="1144" spans="1:27" x14ac:dyDescent="0.35">
      <c r="A1144" s="27"/>
      <c r="B1144" s="28"/>
      <c r="C1144" s="27"/>
      <c r="D1144" s="27"/>
      <c r="E1144" s="27"/>
      <c r="F1144" s="27"/>
      <c r="G1144" s="27"/>
      <c r="H1144" s="27"/>
      <c r="I1144" s="27"/>
      <c r="J1144" s="43"/>
      <c r="K1144" s="43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43"/>
      <c r="X1144" s="29"/>
      <c r="Y1144" s="30"/>
      <c r="Z1144" s="27"/>
      <c r="AA1144" s="49"/>
    </row>
    <row r="1145" spans="1:27" x14ac:dyDescent="0.35">
      <c r="A1145" s="27"/>
      <c r="B1145" s="28"/>
      <c r="C1145" s="27"/>
      <c r="D1145" s="27"/>
      <c r="E1145" s="27"/>
      <c r="F1145" s="27"/>
      <c r="G1145" s="27"/>
      <c r="H1145" s="27"/>
      <c r="I1145" s="27"/>
      <c r="J1145" s="43"/>
      <c r="K1145" s="43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43"/>
      <c r="X1145" s="29"/>
      <c r="Y1145" s="30"/>
      <c r="Z1145" s="27"/>
      <c r="AA1145" s="49"/>
    </row>
    <row r="1146" spans="1:27" x14ac:dyDescent="0.35">
      <c r="A1146" s="27"/>
      <c r="B1146" s="28"/>
      <c r="C1146" s="27"/>
      <c r="D1146" s="27"/>
      <c r="E1146" s="27"/>
      <c r="F1146" s="27"/>
      <c r="G1146" s="27"/>
      <c r="H1146" s="27"/>
      <c r="I1146" s="27"/>
      <c r="J1146" s="43"/>
      <c r="K1146" s="43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43"/>
      <c r="X1146" s="29"/>
      <c r="Y1146" s="30"/>
      <c r="Z1146" s="27"/>
      <c r="AA1146" s="49"/>
    </row>
    <row r="1147" spans="1:27" x14ac:dyDescent="0.35">
      <c r="A1147" s="27"/>
      <c r="B1147" s="28"/>
      <c r="C1147" s="27"/>
      <c r="D1147" s="27"/>
      <c r="E1147" s="27"/>
      <c r="F1147" s="27"/>
      <c r="G1147" s="27"/>
      <c r="H1147" s="27"/>
      <c r="I1147" s="27"/>
      <c r="J1147" s="43"/>
      <c r="K1147" s="43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43"/>
      <c r="X1147" s="29"/>
      <c r="Y1147" s="30"/>
      <c r="Z1147" s="27"/>
      <c r="AA1147" s="49"/>
    </row>
    <row r="1148" spans="1:27" x14ac:dyDescent="0.35">
      <c r="A1148" s="27"/>
      <c r="B1148" s="28"/>
      <c r="C1148" s="27"/>
      <c r="D1148" s="27"/>
      <c r="E1148" s="27"/>
      <c r="F1148" s="27"/>
      <c r="G1148" s="27"/>
      <c r="H1148" s="27"/>
      <c r="I1148" s="27"/>
      <c r="J1148" s="43"/>
      <c r="K1148" s="43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43"/>
      <c r="X1148" s="29"/>
      <c r="Y1148" s="30"/>
      <c r="Z1148" s="27"/>
      <c r="AA1148" s="49"/>
    </row>
    <row r="1149" spans="1:27" x14ac:dyDescent="0.35">
      <c r="A1149" s="27"/>
      <c r="B1149" s="28"/>
      <c r="C1149" s="27"/>
      <c r="D1149" s="27"/>
      <c r="E1149" s="27"/>
      <c r="F1149" s="27"/>
      <c r="G1149" s="27"/>
      <c r="H1149" s="27"/>
      <c r="I1149" s="27"/>
      <c r="J1149" s="43"/>
      <c r="K1149" s="43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43"/>
      <c r="X1149" s="29"/>
      <c r="Y1149" s="30"/>
      <c r="Z1149" s="27"/>
      <c r="AA1149" s="49"/>
    </row>
    <row r="1150" spans="1:27" x14ac:dyDescent="0.35">
      <c r="A1150" s="27"/>
      <c r="B1150" s="28"/>
      <c r="C1150" s="27"/>
      <c r="D1150" s="27"/>
      <c r="E1150" s="27"/>
      <c r="F1150" s="27"/>
      <c r="G1150" s="27"/>
      <c r="H1150" s="27"/>
      <c r="I1150" s="27"/>
      <c r="J1150" s="43"/>
      <c r="K1150" s="43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43"/>
      <c r="X1150" s="29"/>
      <c r="Y1150" s="30"/>
      <c r="Z1150" s="27"/>
      <c r="AA1150" s="49"/>
    </row>
    <row r="1151" spans="1:27" x14ac:dyDescent="0.35">
      <c r="A1151" s="27"/>
      <c r="B1151" s="28"/>
      <c r="C1151" s="27"/>
      <c r="D1151" s="27"/>
      <c r="E1151" s="27"/>
      <c r="F1151" s="27"/>
      <c r="G1151" s="27"/>
      <c r="H1151" s="27"/>
      <c r="I1151" s="27"/>
      <c r="J1151" s="43"/>
      <c r="K1151" s="43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43"/>
      <c r="X1151" s="29"/>
      <c r="Y1151" s="30"/>
      <c r="Z1151" s="27"/>
      <c r="AA1151" s="49"/>
    </row>
    <row r="1152" spans="1:27" x14ac:dyDescent="0.35">
      <c r="A1152" s="27"/>
      <c r="B1152" s="28"/>
      <c r="C1152" s="27"/>
      <c r="D1152" s="27"/>
      <c r="E1152" s="27"/>
      <c r="F1152" s="27"/>
      <c r="G1152" s="27"/>
      <c r="H1152" s="27"/>
      <c r="I1152" s="27"/>
      <c r="J1152" s="43"/>
      <c r="K1152" s="43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43"/>
      <c r="X1152" s="29"/>
      <c r="Y1152" s="30"/>
      <c r="Z1152" s="27"/>
      <c r="AA1152" s="49"/>
    </row>
    <row r="1153" spans="1:27" x14ac:dyDescent="0.35">
      <c r="A1153" s="27"/>
      <c r="B1153" s="28"/>
      <c r="C1153" s="27"/>
      <c r="D1153" s="27"/>
      <c r="E1153" s="27"/>
      <c r="F1153" s="27"/>
      <c r="G1153" s="27"/>
      <c r="H1153" s="27"/>
      <c r="I1153" s="27"/>
      <c r="J1153" s="43"/>
      <c r="K1153" s="43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43"/>
      <c r="X1153" s="29"/>
      <c r="Y1153" s="30"/>
      <c r="Z1153" s="27"/>
      <c r="AA1153" s="49"/>
    </row>
    <row r="1154" spans="1:27" x14ac:dyDescent="0.35">
      <c r="A1154" s="27"/>
      <c r="B1154" s="28"/>
      <c r="C1154" s="27"/>
      <c r="D1154" s="27"/>
      <c r="E1154" s="27"/>
      <c r="F1154" s="27"/>
      <c r="G1154" s="27"/>
      <c r="H1154" s="27"/>
      <c r="I1154" s="27"/>
      <c r="J1154" s="43"/>
      <c r="K1154" s="43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43"/>
      <c r="X1154" s="29"/>
      <c r="Y1154" s="30"/>
      <c r="Z1154" s="27"/>
      <c r="AA1154" s="49"/>
    </row>
    <row r="1155" spans="1:27" x14ac:dyDescent="0.35">
      <c r="A1155" s="27"/>
      <c r="B1155" s="28"/>
      <c r="C1155" s="27"/>
      <c r="D1155" s="27"/>
      <c r="E1155" s="27"/>
      <c r="F1155" s="27"/>
      <c r="G1155" s="27"/>
      <c r="H1155" s="27"/>
      <c r="I1155" s="27"/>
      <c r="J1155" s="43"/>
      <c r="K1155" s="43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43"/>
      <c r="X1155" s="29"/>
      <c r="Y1155" s="30"/>
      <c r="Z1155" s="27"/>
      <c r="AA1155" s="49"/>
    </row>
    <row r="1156" spans="1:27" x14ac:dyDescent="0.35">
      <c r="A1156" s="27"/>
      <c r="B1156" s="28"/>
      <c r="C1156" s="27"/>
      <c r="D1156" s="27"/>
      <c r="E1156" s="27"/>
      <c r="F1156" s="27"/>
      <c r="G1156" s="27"/>
      <c r="H1156" s="27"/>
      <c r="I1156" s="27"/>
      <c r="J1156" s="43"/>
      <c r="K1156" s="43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43"/>
      <c r="X1156" s="29"/>
      <c r="Y1156" s="30"/>
      <c r="Z1156" s="27"/>
      <c r="AA1156" s="49"/>
    </row>
    <row r="1157" spans="1:27" x14ac:dyDescent="0.35">
      <c r="A1157" s="27"/>
      <c r="B1157" s="28"/>
      <c r="C1157" s="27"/>
      <c r="D1157" s="27"/>
      <c r="E1157" s="27"/>
      <c r="F1157" s="27"/>
      <c r="G1157" s="27"/>
      <c r="H1157" s="27"/>
      <c r="I1157" s="27"/>
      <c r="J1157" s="43"/>
      <c r="K1157" s="43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43"/>
      <c r="X1157" s="29"/>
      <c r="Y1157" s="30"/>
      <c r="Z1157" s="27"/>
      <c r="AA1157" s="49"/>
    </row>
    <row r="1158" spans="1:27" x14ac:dyDescent="0.35">
      <c r="A1158" s="27"/>
      <c r="B1158" s="28"/>
      <c r="C1158" s="27"/>
      <c r="D1158" s="27"/>
      <c r="E1158" s="27"/>
      <c r="F1158" s="27"/>
      <c r="G1158" s="27"/>
      <c r="H1158" s="27"/>
      <c r="I1158" s="27"/>
      <c r="J1158" s="43"/>
      <c r="K1158" s="43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43"/>
      <c r="X1158" s="29"/>
      <c r="Y1158" s="30"/>
      <c r="Z1158" s="27"/>
      <c r="AA1158" s="49"/>
    </row>
    <row r="1159" spans="1:27" x14ac:dyDescent="0.35">
      <c r="A1159" s="27"/>
      <c r="B1159" s="28"/>
      <c r="C1159" s="27"/>
      <c r="D1159" s="27"/>
      <c r="E1159" s="27"/>
      <c r="F1159" s="27"/>
      <c r="G1159" s="27"/>
      <c r="H1159" s="27"/>
      <c r="I1159" s="27"/>
      <c r="J1159" s="43"/>
      <c r="K1159" s="43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43"/>
      <c r="X1159" s="29"/>
      <c r="Y1159" s="30"/>
      <c r="Z1159" s="27"/>
      <c r="AA1159" s="49"/>
    </row>
    <row r="1160" spans="1:27" x14ac:dyDescent="0.35">
      <c r="A1160" s="27"/>
      <c r="B1160" s="28"/>
      <c r="C1160" s="27"/>
      <c r="D1160" s="27"/>
      <c r="E1160" s="27"/>
      <c r="F1160" s="27"/>
      <c r="G1160" s="27"/>
      <c r="H1160" s="27"/>
      <c r="I1160" s="27"/>
      <c r="J1160" s="43"/>
      <c r="K1160" s="43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43"/>
      <c r="X1160" s="29"/>
      <c r="Y1160" s="30"/>
      <c r="Z1160" s="27"/>
      <c r="AA1160" s="49"/>
    </row>
    <row r="1161" spans="1:27" x14ac:dyDescent="0.35">
      <c r="A1161" s="27"/>
      <c r="B1161" s="28"/>
      <c r="C1161" s="27"/>
      <c r="D1161" s="27"/>
      <c r="E1161" s="27"/>
      <c r="F1161" s="27"/>
      <c r="G1161" s="27"/>
      <c r="H1161" s="27"/>
      <c r="I1161" s="27"/>
      <c r="J1161" s="43"/>
      <c r="K1161" s="43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43"/>
      <c r="X1161" s="29"/>
      <c r="Y1161" s="30"/>
      <c r="Z1161" s="27"/>
      <c r="AA1161" s="49"/>
    </row>
    <row r="1162" spans="1:27" x14ac:dyDescent="0.35">
      <c r="A1162" s="27"/>
      <c r="B1162" s="28"/>
      <c r="C1162" s="27"/>
      <c r="D1162" s="27"/>
      <c r="E1162" s="27"/>
      <c r="F1162" s="27"/>
      <c r="G1162" s="27"/>
      <c r="H1162" s="27"/>
      <c r="I1162" s="27"/>
      <c r="J1162" s="43"/>
      <c r="K1162" s="43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43"/>
      <c r="X1162" s="29"/>
      <c r="Y1162" s="30"/>
      <c r="Z1162" s="27"/>
      <c r="AA1162" s="49"/>
    </row>
    <row r="1163" spans="1:27" x14ac:dyDescent="0.35">
      <c r="A1163" s="27"/>
      <c r="B1163" s="28"/>
      <c r="C1163" s="27"/>
      <c r="D1163" s="27"/>
      <c r="E1163" s="27"/>
      <c r="F1163" s="27"/>
      <c r="G1163" s="27"/>
      <c r="H1163" s="27"/>
      <c r="I1163" s="27"/>
      <c r="J1163" s="43"/>
      <c r="K1163" s="43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43"/>
      <c r="X1163" s="29"/>
      <c r="Y1163" s="30"/>
      <c r="Z1163" s="27"/>
      <c r="AA1163" s="49"/>
    </row>
    <row r="1164" spans="1:27" x14ac:dyDescent="0.35">
      <c r="A1164" s="27"/>
      <c r="B1164" s="28"/>
      <c r="C1164" s="27"/>
      <c r="D1164" s="27"/>
      <c r="E1164" s="27"/>
      <c r="F1164" s="27"/>
      <c r="G1164" s="27"/>
      <c r="H1164" s="27"/>
      <c r="I1164" s="27"/>
      <c r="J1164" s="43"/>
      <c r="K1164" s="43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43"/>
      <c r="X1164" s="29"/>
      <c r="Y1164" s="30"/>
      <c r="Z1164" s="27"/>
      <c r="AA1164" s="49"/>
    </row>
    <row r="1165" spans="1:27" x14ac:dyDescent="0.35">
      <c r="A1165" s="27"/>
      <c r="B1165" s="28"/>
      <c r="C1165" s="27"/>
      <c r="D1165" s="27"/>
      <c r="E1165" s="27"/>
      <c r="F1165" s="27"/>
      <c r="G1165" s="27"/>
      <c r="H1165" s="27"/>
      <c r="I1165" s="27"/>
      <c r="J1165" s="43"/>
      <c r="K1165" s="43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43"/>
      <c r="X1165" s="29"/>
      <c r="Y1165" s="30"/>
      <c r="Z1165" s="27"/>
      <c r="AA1165" s="49"/>
    </row>
    <row r="1166" spans="1:27" x14ac:dyDescent="0.35">
      <c r="A1166" s="27"/>
      <c r="B1166" s="28"/>
      <c r="C1166" s="27"/>
      <c r="D1166" s="27"/>
      <c r="E1166" s="27"/>
      <c r="F1166" s="27"/>
      <c r="G1166" s="27"/>
      <c r="H1166" s="27"/>
      <c r="I1166" s="27"/>
      <c r="J1166" s="43"/>
      <c r="K1166" s="43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43"/>
      <c r="X1166" s="29"/>
      <c r="Y1166" s="30"/>
      <c r="Z1166" s="27"/>
      <c r="AA1166" s="49"/>
    </row>
    <row r="1167" spans="1:27" x14ac:dyDescent="0.35">
      <c r="A1167" s="27"/>
      <c r="B1167" s="28"/>
      <c r="C1167" s="27"/>
      <c r="D1167" s="27"/>
      <c r="E1167" s="27"/>
      <c r="F1167" s="27"/>
      <c r="G1167" s="27"/>
      <c r="H1167" s="27"/>
      <c r="I1167" s="27"/>
      <c r="J1167" s="43"/>
      <c r="K1167" s="43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43"/>
      <c r="X1167" s="29"/>
      <c r="Y1167" s="30"/>
      <c r="Z1167" s="27"/>
      <c r="AA1167" s="49"/>
    </row>
    <row r="1168" spans="1:27" x14ac:dyDescent="0.35">
      <c r="A1168" s="27"/>
      <c r="B1168" s="28"/>
      <c r="C1168" s="27"/>
      <c r="D1168" s="27"/>
      <c r="E1168" s="27"/>
      <c r="F1168" s="27"/>
      <c r="G1168" s="27"/>
      <c r="H1168" s="27"/>
      <c r="I1168" s="27"/>
      <c r="J1168" s="43"/>
      <c r="K1168" s="43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43"/>
      <c r="X1168" s="29"/>
      <c r="Y1168" s="30"/>
      <c r="Z1168" s="27"/>
      <c r="AA1168" s="49"/>
    </row>
    <row r="1169" spans="1:27" x14ac:dyDescent="0.35">
      <c r="A1169" s="27"/>
      <c r="B1169" s="28"/>
      <c r="C1169" s="27"/>
      <c r="D1169" s="27"/>
      <c r="E1169" s="27"/>
      <c r="F1169" s="27"/>
      <c r="G1169" s="27"/>
      <c r="H1169" s="27"/>
      <c r="I1169" s="27"/>
      <c r="J1169" s="43"/>
      <c r="K1169" s="43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43"/>
      <c r="X1169" s="29"/>
      <c r="Y1169" s="30"/>
      <c r="Z1169" s="27"/>
      <c r="AA1169" s="49"/>
    </row>
    <row r="1170" spans="1:27" x14ac:dyDescent="0.35">
      <c r="A1170" s="27"/>
      <c r="B1170" s="28"/>
      <c r="C1170" s="27"/>
      <c r="D1170" s="27"/>
      <c r="E1170" s="27"/>
      <c r="F1170" s="27"/>
      <c r="G1170" s="27"/>
      <c r="H1170" s="27"/>
      <c r="I1170" s="27"/>
      <c r="J1170" s="43"/>
      <c r="K1170" s="43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43"/>
      <c r="X1170" s="29"/>
      <c r="Y1170" s="30"/>
      <c r="Z1170" s="27"/>
      <c r="AA1170" s="49"/>
    </row>
    <row r="1171" spans="1:27" x14ac:dyDescent="0.35">
      <c r="A1171" s="27"/>
      <c r="B1171" s="28"/>
      <c r="C1171" s="27"/>
      <c r="D1171" s="27"/>
      <c r="E1171" s="27"/>
      <c r="F1171" s="27"/>
      <c r="G1171" s="27"/>
      <c r="H1171" s="27"/>
      <c r="I1171" s="27"/>
      <c r="J1171" s="43"/>
      <c r="K1171" s="43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43"/>
      <c r="X1171" s="29"/>
      <c r="Y1171" s="30"/>
      <c r="Z1171" s="27"/>
      <c r="AA1171" s="49"/>
    </row>
    <row r="1172" spans="1:27" x14ac:dyDescent="0.35">
      <c r="A1172" s="27"/>
      <c r="B1172" s="28"/>
      <c r="C1172" s="27"/>
      <c r="D1172" s="27"/>
      <c r="E1172" s="27"/>
      <c r="F1172" s="27"/>
      <c r="G1172" s="27"/>
      <c r="H1172" s="27"/>
      <c r="I1172" s="27"/>
      <c r="J1172" s="43"/>
      <c r="K1172" s="43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43"/>
      <c r="X1172" s="29"/>
      <c r="Y1172" s="30"/>
      <c r="Z1172" s="27"/>
      <c r="AA1172" s="49"/>
    </row>
    <row r="1173" spans="1:27" x14ac:dyDescent="0.35">
      <c r="A1173" s="27"/>
      <c r="B1173" s="28"/>
      <c r="C1173" s="27"/>
      <c r="D1173" s="27"/>
      <c r="E1173" s="27"/>
      <c r="F1173" s="27"/>
      <c r="G1173" s="27"/>
      <c r="H1173" s="27"/>
      <c r="I1173" s="27"/>
      <c r="J1173" s="43"/>
      <c r="K1173" s="43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43"/>
      <c r="X1173" s="29"/>
      <c r="Y1173" s="30"/>
      <c r="Z1173" s="27"/>
      <c r="AA1173" s="49"/>
    </row>
    <row r="1174" spans="1:27" x14ac:dyDescent="0.35">
      <c r="A1174" s="27"/>
      <c r="B1174" s="28"/>
      <c r="C1174" s="27"/>
      <c r="D1174" s="27"/>
      <c r="E1174" s="27"/>
      <c r="F1174" s="27"/>
      <c r="G1174" s="27"/>
      <c r="H1174" s="27"/>
      <c r="I1174" s="27"/>
      <c r="J1174" s="43"/>
      <c r="K1174" s="43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43"/>
      <c r="X1174" s="29"/>
      <c r="Y1174" s="30"/>
      <c r="Z1174" s="27"/>
      <c r="AA1174" s="49"/>
    </row>
    <row r="1175" spans="1:27" x14ac:dyDescent="0.35">
      <c r="A1175" s="27"/>
      <c r="B1175" s="28"/>
      <c r="C1175" s="27"/>
      <c r="D1175" s="27"/>
      <c r="E1175" s="27"/>
      <c r="F1175" s="27"/>
      <c r="G1175" s="27"/>
      <c r="H1175" s="27"/>
      <c r="I1175" s="27"/>
      <c r="J1175" s="43"/>
      <c r="K1175" s="43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43"/>
      <c r="X1175" s="29"/>
      <c r="Y1175" s="30"/>
      <c r="Z1175" s="27"/>
      <c r="AA1175" s="49"/>
    </row>
    <row r="1176" spans="1:27" x14ac:dyDescent="0.35">
      <c r="A1176" s="27"/>
      <c r="B1176" s="28"/>
      <c r="C1176" s="27"/>
      <c r="D1176" s="27"/>
      <c r="E1176" s="27"/>
      <c r="F1176" s="27"/>
      <c r="G1176" s="27"/>
      <c r="H1176" s="27"/>
      <c r="I1176" s="27"/>
      <c r="J1176" s="43"/>
      <c r="K1176" s="43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43"/>
      <c r="X1176" s="29"/>
      <c r="Y1176" s="30"/>
      <c r="Z1176" s="27"/>
      <c r="AA1176" s="49"/>
    </row>
    <row r="1177" spans="1:27" x14ac:dyDescent="0.35">
      <c r="A1177" s="27"/>
      <c r="B1177" s="28"/>
      <c r="C1177" s="27"/>
      <c r="D1177" s="27"/>
      <c r="E1177" s="27"/>
      <c r="F1177" s="27"/>
      <c r="G1177" s="27"/>
      <c r="H1177" s="27"/>
      <c r="I1177" s="27"/>
      <c r="J1177" s="43"/>
      <c r="K1177" s="43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43"/>
      <c r="X1177" s="29"/>
      <c r="Y1177" s="30"/>
      <c r="Z1177" s="27"/>
      <c r="AA1177" s="49"/>
    </row>
    <row r="1178" spans="1:27" x14ac:dyDescent="0.35">
      <c r="A1178" s="27"/>
      <c r="B1178" s="28"/>
      <c r="C1178" s="27"/>
      <c r="D1178" s="27"/>
      <c r="E1178" s="27"/>
      <c r="F1178" s="27"/>
      <c r="G1178" s="27"/>
      <c r="H1178" s="27"/>
      <c r="I1178" s="27"/>
      <c r="J1178" s="43"/>
      <c r="K1178" s="43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43"/>
      <c r="X1178" s="29"/>
      <c r="Y1178" s="30"/>
      <c r="Z1178" s="27"/>
      <c r="AA1178" s="49"/>
    </row>
    <row r="1179" spans="1:27" x14ac:dyDescent="0.35">
      <c r="A1179" s="27"/>
      <c r="B1179" s="28"/>
      <c r="C1179" s="27"/>
      <c r="D1179" s="27"/>
      <c r="E1179" s="27"/>
      <c r="F1179" s="27"/>
      <c r="G1179" s="27"/>
      <c r="H1179" s="27"/>
      <c r="I1179" s="27"/>
      <c r="J1179" s="43"/>
      <c r="K1179" s="43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43"/>
      <c r="X1179" s="29"/>
      <c r="Y1179" s="30"/>
      <c r="Z1179" s="27"/>
      <c r="AA1179" s="49"/>
    </row>
    <row r="1180" spans="1:27" x14ac:dyDescent="0.35">
      <c r="A1180" s="27"/>
      <c r="B1180" s="28"/>
      <c r="C1180" s="27"/>
      <c r="D1180" s="27"/>
      <c r="E1180" s="27"/>
      <c r="F1180" s="27"/>
      <c r="G1180" s="27"/>
      <c r="H1180" s="27"/>
      <c r="I1180" s="27"/>
      <c r="J1180" s="43"/>
      <c r="K1180" s="43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43"/>
      <c r="X1180" s="29"/>
      <c r="Y1180" s="30"/>
      <c r="Z1180" s="27"/>
      <c r="AA1180" s="49"/>
    </row>
    <row r="1181" spans="1:27" x14ac:dyDescent="0.35">
      <c r="A1181" s="27"/>
      <c r="B1181" s="28"/>
      <c r="C1181" s="27"/>
      <c r="D1181" s="27"/>
      <c r="E1181" s="27"/>
      <c r="F1181" s="27"/>
      <c r="G1181" s="27"/>
      <c r="H1181" s="27"/>
      <c r="I1181" s="27"/>
      <c r="J1181" s="43"/>
      <c r="K1181" s="43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43"/>
      <c r="X1181" s="29"/>
      <c r="Y1181" s="30"/>
      <c r="Z1181" s="27"/>
      <c r="AA1181" s="49"/>
    </row>
    <row r="1182" spans="1:27" x14ac:dyDescent="0.35">
      <c r="A1182" s="27"/>
      <c r="B1182" s="28"/>
      <c r="C1182" s="27"/>
      <c r="D1182" s="27"/>
      <c r="E1182" s="27"/>
      <c r="F1182" s="27"/>
      <c r="G1182" s="27"/>
      <c r="H1182" s="27"/>
      <c r="I1182" s="27"/>
      <c r="J1182" s="43"/>
      <c r="K1182" s="43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43"/>
      <c r="X1182" s="29"/>
      <c r="Y1182" s="30"/>
      <c r="Z1182" s="27"/>
      <c r="AA1182" s="49"/>
    </row>
    <row r="1183" spans="1:27" x14ac:dyDescent="0.35">
      <c r="A1183" s="27"/>
      <c r="B1183" s="28"/>
      <c r="C1183" s="27"/>
      <c r="D1183" s="27"/>
      <c r="E1183" s="27"/>
      <c r="F1183" s="27"/>
      <c r="G1183" s="27"/>
      <c r="H1183" s="27"/>
      <c r="I1183" s="27"/>
      <c r="J1183" s="43"/>
      <c r="K1183" s="43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43"/>
      <c r="X1183" s="29"/>
      <c r="Y1183" s="30"/>
      <c r="Z1183" s="27"/>
      <c r="AA1183" s="49"/>
    </row>
    <row r="1184" spans="1:27" x14ac:dyDescent="0.35">
      <c r="A1184" s="27"/>
      <c r="B1184" s="28"/>
      <c r="C1184" s="27"/>
      <c r="D1184" s="27"/>
      <c r="E1184" s="27"/>
      <c r="F1184" s="27"/>
      <c r="G1184" s="27"/>
      <c r="H1184" s="27"/>
      <c r="I1184" s="27"/>
      <c r="J1184" s="43"/>
      <c r="K1184" s="43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43"/>
      <c r="X1184" s="29"/>
      <c r="Y1184" s="30"/>
      <c r="Z1184" s="27"/>
      <c r="AA1184" s="49"/>
    </row>
    <row r="1185" spans="1:27" x14ac:dyDescent="0.35">
      <c r="A1185" s="27"/>
      <c r="B1185" s="28"/>
      <c r="C1185" s="27"/>
      <c r="D1185" s="27"/>
      <c r="E1185" s="27"/>
      <c r="F1185" s="27"/>
      <c r="G1185" s="27"/>
      <c r="H1185" s="27"/>
      <c r="I1185" s="27"/>
      <c r="J1185" s="43"/>
      <c r="K1185" s="43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43"/>
      <c r="X1185" s="29"/>
      <c r="Y1185" s="30"/>
      <c r="Z1185" s="27"/>
      <c r="AA1185" s="49"/>
    </row>
    <row r="1186" spans="1:27" x14ac:dyDescent="0.35">
      <c r="A1186" s="27"/>
      <c r="B1186" s="28"/>
      <c r="C1186" s="27"/>
      <c r="D1186" s="27"/>
      <c r="E1186" s="27"/>
      <c r="F1186" s="27"/>
      <c r="G1186" s="27"/>
      <c r="H1186" s="27"/>
      <c r="I1186" s="27"/>
      <c r="J1186" s="43"/>
      <c r="K1186" s="43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43"/>
      <c r="X1186" s="29"/>
      <c r="Y1186" s="30"/>
      <c r="Z1186" s="27"/>
      <c r="AA1186" s="49"/>
    </row>
    <row r="1187" spans="1:27" x14ac:dyDescent="0.35">
      <c r="A1187" s="27"/>
      <c r="B1187" s="28"/>
      <c r="C1187" s="27"/>
      <c r="D1187" s="27"/>
      <c r="E1187" s="27"/>
      <c r="F1187" s="27"/>
      <c r="G1187" s="27"/>
      <c r="H1187" s="27"/>
      <c r="I1187" s="27"/>
      <c r="J1187" s="43"/>
      <c r="K1187" s="43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43"/>
      <c r="X1187" s="29"/>
      <c r="Y1187" s="30"/>
      <c r="Z1187" s="27"/>
      <c r="AA1187" s="49"/>
    </row>
    <row r="1188" spans="1:27" x14ac:dyDescent="0.35">
      <c r="A1188" s="27"/>
      <c r="B1188" s="28"/>
      <c r="C1188" s="27"/>
      <c r="D1188" s="27"/>
      <c r="E1188" s="27"/>
      <c r="F1188" s="27"/>
      <c r="G1188" s="27"/>
      <c r="H1188" s="27"/>
      <c r="I1188" s="27"/>
      <c r="J1188" s="43"/>
      <c r="K1188" s="43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43"/>
      <c r="X1188" s="29"/>
      <c r="Y1188" s="30"/>
      <c r="Z1188" s="27"/>
      <c r="AA1188" s="49"/>
    </row>
    <row r="1189" spans="1:27" x14ac:dyDescent="0.35">
      <c r="A1189" s="27"/>
      <c r="B1189" s="28"/>
      <c r="C1189" s="27"/>
      <c r="D1189" s="27"/>
      <c r="E1189" s="27"/>
      <c r="F1189" s="27"/>
      <c r="G1189" s="27"/>
      <c r="H1189" s="27"/>
      <c r="I1189" s="27"/>
      <c r="J1189" s="43"/>
      <c r="K1189" s="43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43"/>
      <c r="X1189" s="29"/>
      <c r="Y1189" s="30"/>
      <c r="Z1189" s="27"/>
      <c r="AA1189" s="49"/>
    </row>
    <row r="1190" spans="1:27" x14ac:dyDescent="0.35">
      <c r="A1190" s="27"/>
      <c r="B1190" s="28"/>
      <c r="C1190" s="27"/>
      <c r="D1190" s="27"/>
      <c r="E1190" s="27"/>
      <c r="F1190" s="27"/>
      <c r="G1190" s="27"/>
      <c r="H1190" s="27"/>
      <c r="I1190" s="27"/>
      <c r="J1190" s="43"/>
      <c r="K1190" s="43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43"/>
      <c r="X1190" s="29"/>
      <c r="Y1190" s="30"/>
      <c r="Z1190" s="27"/>
      <c r="AA1190" s="49"/>
    </row>
    <row r="1191" spans="1:27" x14ac:dyDescent="0.35">
      <c r="A1191" s="27"/>
      <c r="B1191" s="28"/>
      <c r="C1191" s="27"/>
      <c r="D1191" s="27"/>
      <c r="E1191" s="27"/>
      <c r="F1191" s="27"/>
      <c r="G1191" s="27"/>
      <c r="H1191" s="27"/>
      <c r="I1191" s="27"/>
      <c r="J1191" s="43"/>
      <c r="K1191" s="43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43"/>
      <c r="X1191" s="29"/>
      <c r="Y1191" s="30"/>
      <c r="Z1191" s="27"/>
      <c r="AA1191" s="49"/>
    </row>
    <row r="1192" spans="1:27" x14ac:dyDescent="0.35">
      <c r="A1192" s="27"/>
      <c r="B1192" s="28"/>
      <c r="C1192" s="27"/>
      <c r="D1192" s="27"/>
      <c r="E1192" s="27"/>
      <c r="F1192" s="27"/>
      <c r="G1192" s="27"/>
      <c r="H1192" s="27"/>
      <c r="I1192" s="27"/>
      <c r="J1192" s="43"/>
      <c r="K1192" s="43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43"/>
      <c r="X1192" s="29"/>
      <c r="Y1192" s="30"/>
      <c r="Z1192" s="27"/>
      <c r="AA1192" s="49"/>
    </row>
    <row r="1193" spans="1:27" x14ac:dyDescent="0.35">
      <c r="A1193" s="27"/>
      <c r="B1193" s="28"/>
      <c r="C1193" s="27"/>
      <c r="D1193" s="27"/>
      <c r="E1193" s="27"/>
      <c r="F1193" s="27"/>
      <c r="G1193" s="27"/>
      <c r="H1193" s="27"/>
      <c r="I1193" s="27"/>
      <c r="J1193" s="43"/>
      <c r="K1193" s="43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43"/>
      <c r="X1193" s="29"/>
      <c r="Y1193" s="30"/>
      <c r="Z1193" s="27"/>
      <c r="AA1193" s="49"/>
    </row>
    <row r="1194" spans="1:27" x14ac:dyDescent="0.35">
      <c r="A1194" s="27"/>
      <c r="B1194" s="28"/>
      <c r="C1194" s="27"/>
      <c r="D1194" s="27"/>
      <c r="E1194" s="27"/>
      <c r="F1194" s="27"/>
      <c r="G1194" s="27"/>
      <c r="H1194" s="27"/>
      <c r="I1194" s="27"/>
      <c r="J1194" s="43"/>
      <c r="K1194" s="43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43"/>
      <c r="X1194" s="29"/>
      <c r="Y1194" s="30"/>
      <c r="Z1194" s="27"/>
      <c r="AA1194" s="49"/>
    </row>
    <row r="1195" spans="1:27" x14ac:dyDescent="0.35">
      <c r="A1195" s="27"/>
      <c r="B1195" s="28"/>
      <c r="C1195" s="27"/>
      <c r="D1195" s="27"/>
      <c r="E1195" s="27"/>
      <c r="F1195" s="27"/>
      <c r="G1195" s="27"/>
      <c r="H1195" s="27"/>
      <c r="I1195" s="27"/>
      <c r="J1195" s="43"/>
      <c r="K1195" s="43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43"/>
      <c r="X1195" s="29"/>
      <c r="Y1195" s="30"/>
      <c r="Z1195" s="27"/>
      <c r="AA1195" s="49"/>
    </row>
    <row r="1196" spans="1:27" x14ac:dyDescent="0.35">
      <c r="A1196" s="27"/>
      <c r="B1196" s="28"/>
      <c r="C1196" s="27"/>
      <c r="D1196" s="27"/>
      <c r="E1196" s="27"/>
      <c r="F1196" s="27"/>
      <c r="G1196" s="27"/>
      <c r="H1196" s="27"/>
      <c r="I1196" s="27"/>
      <c r="J1196" s="43"/>
      <c r="K1196" s="43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43"/>
      <c r="X1196" s="29"/>
      <c r="Y1196" s="30"/>
      <c r="Z1196" s="27"/>
      <c r="AA1196" s="49"/>
    </row>
    <row r="1197" spans="1:27" x14ac:dyDescent="0.35">
      <c r="A1197" s="27"/>
      <c r="B1197" s="28"/>
      <c r="C1197" s="27"/>
      <c r="D1197" s="27"/>
      <c r="E1197" s="27"/>
      <c r="F1197" s="27"/>
      <c r="G1197" s="27"/>
      <c r="H1197" s="27"/>
      <c r="I1197" s="27"/>
      <c r="J1197" s="43"/>
      <c r="K1197" s="43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43"/>
      <c r="X1197" s="29"/>
      <c r="Y1197" s="30"/>
      <c r="Z1197" s="27"/>
      <c r="AA1197" s="49"/>
    </row>
    <row r="1198" spans="1:27" x14ac:dyDescent="0.35">
      <c r="A1198" s="27"/>
      <c r="B1198" s="28"/>
      <c r="C1198" s="27"/>
      <c r="D1198" s="27"/>
      <c r="E1198" s="27"/>
      <c r="F1198" s="27"/>
      <c r="G1198" s="27"/>
      <c r="H1198" s="27"/>
      <c r="I1198" s="27"/>
      <c r="J1198" s="43"/>
      <c r="K1198" s="43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43"/>
      <c r="X1198" s="29"/>
      <c r="Y1198" s="30"/>
      <c r="Z1198" s="27"/>
      <c r="AA1198" s="49"/>
    </row>
    <row r="1199" spans="1:27" x14ac:dyDescent="0.35">
      <c r="A1199" s="27"/>
      <c r="B1199" s="28"/>
      <c r="C1199" s="27"/>
      <c r="D1199" s="27"/>
      <c r="E1199" s="27"/>
      <c r="F1199" s="27"/>
      <c r="G1199" s="27"/>
      <c r="H1199" s="27"/>
      <c r="I1199" s="27"/>
      <c r="J1199" s="43"/>
      <c r="K1199" s="43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43"/>
      <c r="X1199" s="29"/>
      <c r="Y1199" s="30"/>
      <c r="Z1199" s="27"/>
      <c r="AA1199" s="49"/>
    </row>
    <row r="1200" spans="1:27" x14ac:dyDescent="0.35">
      <c r="A1200" s="27"/>
      <c r="B1200" s="28"/>
      <c r="C1200" s="27"/>
      <c r="D1200" s="27"/>
      <c r="E1200" s="27"/>
      <c r="F1200" s="27"/>
      <c r="G1200" s="27"/>
      <c r="H1200" s="27"/>
      <c r="I1200" s="27"/>
      <c r="J1200" s="43"/>
      <c r="K1200" s="43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43"/>
      <c r="X1200" s="29"/>
      <c r="Y1200" s="30"/>
      <c r="Z1200" s="27"/>
      <c r="AA1200" s="49"/>
    </row>
    <row r="1201" spans="1:27" x14ac:dyDescent="0.35">
      <c r="A1201" s="27"/>
      <c r="B1201" s="28"/>
      <c r="C1201" s="27"/>
      <c r="D1201" s="27"/>
      <c r="E1201" s="27"/>
      <c r="F1201" s="27"/>
      <c r="G1201" s="27"/>
      <c r="H1201" s="27"/>
      <c r="I1201" s="27"/>
      <c r="J1201" s="43"/>
      <c r="K1201" s="43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43"/>
      <c r="X1201" s="29"/>
      <c r="Y1201" s="30"/>
      <c r="Z1201" s="27"/>
      <c r="AA1201" s="49"/>
    </row>
    <row r="1202" spans="1:27" x14ac:dyDescent="0.35">
      <c r="A1202" s="27"/>
      <c r="B1202" s="28"/>
      <c r="C1202" s="27"/>
      <c r="D1202" s="27"/>
      <c r="E1202" s="27"/>
      <c r="F1202" s="27"/>
      <c r="G1202" s="27"/>
      <c r="H1202" s="27"/>
      <c r="I1202" s="27"/>
      <c r="J1202" s="43"/>
      <c r="K1202" s="43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43"/>
      <c r="X1202" s="29"/>
      <c r="Y1202" s="30"/>
      <c r="Z1202" s="27"/>
      <c r="AA1202" s="49"/>
    </row>
    <row r="1203" spans="1:27" x14ac:dyDescent="0.35">
      <c r="A1203" s="27"/>
      <c r="B1203" s="28"/>
      <c r="C1203" s="27"/>
      <c r="D1203" s="27"/>
      <c r="E1203" s="27"/>
      <c r="F1203" s="27"/>
      <c r="G1203" s="27"/>
      <c r="H1203" s="27"/>
      <c r="I1203" s="27"/>
      <c r="J1203" s="43"/>
      <c r="K1203" s="43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43"/>
      <c r="X1203" s="29"/>
      <c r="Y1203" s="30"/>
      <c r="Z1203" s="27"/>
      <c r="AA1203" s="49"/>
    </row>
    <row r="1204" spans="1:27" x14ac:dyDescent="0.35">
      <c r="A1204" s="27"/>
      <c r="B1204" s="28"/>
      <c r="C1204" s="27"/>
      <c r="D1204" s="27"/>
      <c r="E1204" s="27"/>
      <c r="F1204" s="27"/>
      <c r="G1204" s="27"/>
      <c r="H1204" s="27"/>
      <c r="I1204" s="27"/>
      <c r="J1204" s="43"/>
      <c r="K1204" s="43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43"/>
      <c r="X1204" s="29"/>
      <c r="Y1204" s="30"/>
      <c r="Z1204" s="27"/>
      <c r="AA1204" s="49"/>
    </row>
    <row r="1205" spans="1:27" x14ac:dyDescent="0.35">
      <c r="A1205" s="27"/>
      <c r="B1205" s="28"/>
      <c r="C1205" s="27"/>
      <c r="D1205" s="27"/>
      <c r="E1205" s="27"/>
      <c r="F1205" s="27"/>
      <c r="G1205" s="27"/>
      <c r="H1205" s="27"/>
      <c r="I1205" s="27"/>
      <c r="J1205" s="43"/>
      <c r="K1205" s="43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43"/>
      <c r="X1205" s="29"/>
      <c r="Y1205" s="30"/>
      <c r="Z1205" s="27"/>
      <c r="AA1205" s="49"/>
    </row>
    <row r="1206" spans="1:27" x14ac:dyDescent="0.35">
      <c r="A1206" s="27"/>
      <c r="B1206" s="28"/>
      <c r="C1206" s="27"/>
      <c r="D1206" s="27"/>
      <c r="E1206" s="27"/>
      <c r="F1206" s="27"/>
      <c r="G1206" s="27"/>
      <c r="H1206" s="27"/>
      <c r="I1206" s="27"/>
      <c r="J1206" s="43"/>
      <c r="K1206" s="43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43"/>
      <c r="X1206" s="29"/>
      <c r="Y1206" s="30"/>
      <c r="Z1206" s="27"/>
      <c r="AA1206" s="49"/>
    </row>
    <row r="1207" spans="1:27" x14ac:dyDescent="0.35">
      <c r="A1207" s="27"/>
      <c r="B1207" s="28"/>
      <c r="C1207" s="27"/>
      <c r="D1207" s="27"/>
      <c r="E1207" s="27"/>
      <c r="F1207" s="27"/>
      <c r="G1207" s="27"/>
      <c r="H1207" s="27"/>
      <c r="I1207" s="27"/>
      <c r="J1207" s="43"/>
      <c r="K1207" s="43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43"/>
      <c r="X1207" s="29"/>
      <c r="Y1207" s="30"/>
      <c r="Z1207" s="27"/>
      <c r="AA1207" s="49"/>
    </row>
    <row r="1208" spans="1:27" x14ac:dyDescent="0.35">
      <c r="A1208" s="27"/>
      <c r="B1208" s="28"/>
      <c r="C1208" s="27"/>
      <c r="D1208" s="27"/>
      <c r="E1208" s="27"/>
      <c r="F1208" s="27"/>
      <c r="G1208" s="27"/>
      <c r="H1208" s="27"/>
      <c r="I1208" s="27"/>
      <c r="J1208" s="43"/>
      <c r="K1208" s="43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43"/>
      <c r="X1208" s="29"/>
      <c r="Y1208" s="30"/>
      <c r="Z1208" s="27"/>
      <c r="AA1208" s="49"/>
    </row>
    <row r="1209" spans="1:27" x14ac:dyDescent="0.35">
      <c r="A1209" s="27"/>
      <c r="B1209" s="28"/>
      <c r="C1209" s="27"/>
      <c r="D1209" s="27"/>
      <c r="E1209" s="27"/>
      <c r="F1209" s="27"/>
      <c r="G1209" s="27"/>
      <c r="H1209" s="27"/>
      <c r="I1209" s="27"/>
      <c r="J1209" s="43"/>
      <c r="K1209" s="43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43"/>
      <c r="X1209" s="29"/>
      <c r="Y1209" s="30"/>
      <c r="Z1209" s="27"/>
      <c r="AA1209" s="49"/>
    </row>
    <row r="1210" spans="1:27" x14ac:dyDescent="0.35">
      <c r="A1210" s="27"/>
      <c r="B1210" s="28"/>
      <c r="C1210" s="27"/>
      <c r="D1210" s="27"/>
      <c r="E1210" s="27"/>
      <c r="F1210" s="27"/>
      <c r="G1210" s="27"/>
      <c r="H1210" s="27"/>
      <c r="I1210" s="27"/>
      <c r="J1210" s="43"/>
      <c r="K1210" s="43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43"/>
      <c r="X1210" s="29"/>
      <c r="Y1210" s="30"/>
      <c r="Z1210" s="27"/>
      <c r="AA1210" s="49"/>
    </row>
    <row r="1211" spans="1:27" x14ac:dyDescent="0.35">
      <c r="A1211" s="27"/>
      <c r="B1211" s="28"/>
      <c r="C1211" s="27"/>
      <c r="D1211" s="27"/>
      <c r="E1211" s="27"/>
      <c r="F1211" s="27"/>
      <c r="G1211" s="27"/>
      <c r="H1211" s="27"/>
      <c r="I1211" s="27"/>
      <c r="J1211" s="43"/>
      <c r="K1211" s="43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43"/>
      <c r="X1211" s="29"/>
      <c r="Y1211" s="30"/>
      <c r="Z1211" s="27"/>
      <c r="AA1211" s="49"/>
    </row>
    <row r="1212" spans="1:27" x14ac:dyDescent="0.35">
      <c r="A1212" s="27"/>
      <c r="B1212" s="28"/>
      <c r="C1212" s="27"/>
      <c r="D1212" s="27"/>
      <c r="E1212" s="27"/>
      <c r="F1212" s="27"/>
      <c r="G1212" s="27"/>
      <c r="H1212" s="27"/>
      <c r="I1212" s="27"/>
      <c r="J1212" s="43"/>
      <c r="K1212" s="43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43"/>
      <c r="X1212" s="29"/>
      <c r="Y1212" s="30"/>
      <c r="Z1212" s="27"/>
      <c r="AA1212" s="49"/>
    </row>
    <row r="1213" spans="1:27" x14ac:dyDescent="0.35">
      <c r="A1213" s="27"/>
      <c r="B1213" s="28"/>
      <c r="C1213" s="27"/>
      <c r="D1213" s="27"/>
      <c r="E1213" s="27"/>
      <c r="F1213" s="27"/>
      <c r="G1213" s="27"/>
      <c r="H1213" s="27"/>
      <c r="I1213" s="27"/>
      <c r="J1213" s="43"/>
      <c r="K1213" s="43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43"/>
      <c r="X1213" s="29"/>
      <c r="Y1213" s="30"/>
      <c r="Z1213" s="27"/>
      <c r="AA1213" s="49"/>
    </row>
    <row r="1214" spans="1:27" x14ac:dyDescent="0.35">
      <c r="A1214" s="27"/>
      <c r="B1214" s="28"/>
      <c r="C1214" s="27"/>
      <c r="D1214" s="27"/>
      <c r="E1214" s="27"/>
      <c r="F1214" s="27"/>
      <c r="G1214" s="27"/>
      <c r="H1214" s="27"/>
      <c r="I1214" s="27"/>
      <c r="J1214" s="43"/>
      <c r="K1214" s="43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43"/>
      <c r="X1214" s="29"/>
      <c r="Y1214" s="30"/>
      <c r="Z1214" s="27"/>
      <c r="AA1214" s="49"/>
    </row>
    <row r="1215" spans="1:27" x14ac:dyDescent="0.35">
      <c r="A1215" s="27"/>
      <c r="B1215" s="28"/>
      <c r="C1215" s="27"/>
      <c r="D1215" s="27"/>
      <c r="E1215" s="27"/>
      <c r="F1215" s="27"/>
      <c r="G1215" s="27"/>
      <c r="H1215" s="27"/>
      <c r="I1215" s="27"/>
      <c r="J1215" s="43"/>
      <c r="K1215" s="43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43"/>
      <c r="X1215" s="29"/>
      <c r="Y1215" s="30"/>
      <c r="Z1215" s="27"/>
      <c r="AA1215" s="49"/>
    </row>
    <row r="1216" spans="1:27" x14ac:dyDescent="0.35">
      <c r="A1216" s="27"/>
      <c r="B1216" s="28"/>
      <c r="C1216" s="27"/>
      <c r="D1216" s="27"/>
      <c r="E1216" s="27"/>
      <c r="F1216" s="27"/>
      <c r="G1216" s="27"/>
      <c r="H1216" s="27"/>
      <c r="I1216" s="27"/>
      <c r="J1216" s="43"/>
      <c r="K1216" s="43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43"/>
      <c r="X1216" s="29"/>
      <c r="Y1216" s="30"/>
      <c r="Z1216" s="27"/>
      <c r="AA1216" s="49"/>
    </row>
    <row r="1217" spans="1:27" x14ac:dyDescent="0.35">
      <c r="A1217" s="27"/>
      <c r="B1217" s="28"/>
      <c r="C1217" s="27"/>
      <c r="D1217" s="27"/>
      <c r="E1217" s="27"/>
      <c r="F1217" s="27"/>
      <c r="G1217" s="27"/>
      <c r="H1217" s="27"/>
      <c r="I1217" s="27"/>
      <c r="J1217" s="43"/>
      <c r="K1217" s="43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43"/>
      <c r="X1217" s="29"/>
      <c r="Y1217" s="30"/>
      <c r="Z1217" s="27"/>
      <c r="AA1217" s="49"/>
    </row>
    <row r="1218" spans="1:27" x14ac:dyDescent="0.35">
      <c r="A1218" s="27"/>
      <c r="B1218" s="28"/>
      <c r="C1218" s="27"/>
      <c r="D1218" s="27"/>
      <c r="E1218" s="27"/>
      <c r="F1218" s="27"/>
      <c r="G1218" s="27"/>
      <c r="H1218" s="27"/>
      <c r="I1218" s="27"/>
      <c r="J1218" s="43"/>
      <c r="K1218" s="43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43"/>
      <c r="X1218" s="29"/>
      <c r="Y1218" s="30"/>
      <c r="Z1218" s="27"/>
      <c r="AA1218" s="49"/>
    </row>
    <row r="1219" spans="1:27" x14ac:dyDescent="0.35">
      <c r="A1219" s="27"/>
      <c r="B1219" s="28"/>
      <c r="C1219" s="27"/>
      <c r="D1219" s="27"/>
      <c r="E1219" s="27"/>
      <c r="F1219" s="27"/>
      <c r="G1219" s="27"/>
      <c r="H1219" s="27"/>
      <c r="I1219" s="27"/>
      <c r="J1219" s="43"/>
      <c r="K1219" s="43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43"/>
      <c r="X1219" s="29"/>
      <c r="Y1219" s="30"/>
      <c r="Z1219" s="27"/>
      <c r="AA1219" s="49"/>
    </row>
    <row r="1220" spans="1:27" x14ac:dyDescent="0.35">
      <c r="A1220" s="27"/>
      <c r="B1220" s="28"/>
      <c r="C1220" s="27"/>
      <c r="D1220" s="27"/>
      <c r="E1220" s="27"/>
      <c r="F1220" s="27"/>
      <c r="G1220" s="27"/>
      <c r="H1220" s="27"/>
      <c r="I1220" s="27"/>
      <c r="J1220" s="43"/>
      <c r="K1220" s="43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43"/>
      <c r="X1220" s="29"/>
      <c r="Y1220" s="30"/>
      <c r="Z1220" s="27"/>
      <c r="AA1220" s="49"/>
    </row>
    <row r="1221" spans="1:27" x14ac:dyDescent="0.35">
      <c r="A1221" s="27"/>
      <c r="B1221" s="28"/>
      <c r="C1221" s="27"/>
      <c r="D1221" s="27"/>
      <c r="E1221" s="27"/>
      <c r="F1221" s="27"/>
      <c r="G1221" s="27"/>
      <c r="H1221" s="27"/>
      <c r="I1221" s="27"/>
      <c r="J1221" s="43"/>
      <c r="K1221" s="43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43"/>
      <c r="X1221" s="29"/>
      <c r="Y1221" s="30"/>
      <c r="Z1221" s="27"/>
      <c r="AA1221" s="49"/>
    </row>
    <row r="1222" spans="1:27" x14ac:dyDescent="0.35">
      <c r="A1222" s="27"/>
      <c r="B1222" s="28"/>
      <c r="C1222" s="27"/>
      <c r="D1222" s="27"/>
      <c r="E1222" s="27"/>
      <c r="F1222" s="27"/>
      <c r="G1222" s="27"/>
      <c r="H1222" s="27"/>
      <c r="I1222" s="27"/>
      <c r="J1222" s="43"/>
      <c r="K1222" s="43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43"/>
      <c r="X1222" s="29"/>
      <c r="Y1222" s="30"/>
      <c r="Z1222" s="27"/>
      <c r="AA1222" s="49"/>
    </row>
    <row r="1223" spans="1:27" x14ac:dyDescent="0.35">
      <c r="A1223" s="27"/>
      <c r="B1223" s="28"/>
      <c r="C1223" s="27"/>
      <c r="D1223" s="27"/>
      <c r="E1223" s="27"/>
      <c r="F1223" s="27"/>
      <c r="G1223" s="27"/>
      <c r="H1223" s="27"/>
      <c r="I1223" s="27"/>
      <c r="J1223" s="43"/>
      <c r="K1223" s="43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43"/>
      <c r="X1223" s="29"/>
      <c r="Y1223" s="30"/>
      <c r="Z1223" s="27"/>
      <c r="AA1223" s="49"/>
    </row>
    <row r="1224" spans="1:27" x14ac:dyDescent="0.35">
      <c r="A1224" s="27"/>
      <c r="B1224" s="28"/>
      <c r="C1224" s="27"/>
      <c r="D1224" s="27"/>
      <c r="E1224" s="27"/>
      <c r="F1224" s="27"/>
      <c r="G1224" s="27"/>
      <c r="H1224" s="27"/>
      <c r="I1224" s="27"/>
      <c r="J1224" s="43"/>
      <c r="K1224" s="43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43"/>
      <c r="X1224" s="29"/>
      <c r="Y1224" s="30"/>
      <c r="Z1224" s="27"/>
      <c r="AA1224" s="49"/>
    </row>
    <row r="1225" spans="1:27" x14ac:dyDescent="0.35">
      <c r="A1225" s="27"/>
      <c r="B1225" s="28"/>
      <c r="C1225" s="27"/>
      <c r="D1225" s="27"/>
      <c r="E1225" s="27"/>
      <c r="F1225" s="27"/>
      <c r="G1225" s="27"/>
      <c r="H1225" s="27"/>
      <c r="I1225" s="27"/>
      <c r="J1225" s="43"/>
      <c r="K1225" s="43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43"/>
      <c r="X1225" s="29"/>
      <c r="Y1225" s="30"/>
      <c r="Z1225" s="27"/>
      <c r="AA1225" s="49"/>
    </row>
    <row r="1226" spans="1:27" x14ac:dyDescent="0.35">
      <c r="A1226" s="27"/>
      <c r="B1226" s="28"/>
      <c r="C1226" s="27"/>
      <c r="D1226" s="27"/>
      <c r="E1226" s="27"/>
      <c r="F1226" s="27"/>
      <c r="G1226" s="27"/>
      <c r="H1226" s="27"/>
      <c r="I1226" s="27"/>
      <c r="J1226" s="43"/>
      <c r="K1226" s="43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43"/>
      <c r="X1226" s="29"/>
      <c r="Y1226" s="30"/>
      <c r="Z1226" s="27"/>
      <c r="AA1226" s="49"/>
    </row>
    <row r="1227" spans="1:27" x14ac:dyDescent="0.35">
      <c r="A1227" s="27"/>
      <c r="B1227" s="28"/>
      <c r="C1227" s="27"/>
      <c r="D1227" s="27"/>
      <c r="E1227" s="27"/>
      <c r="F1227" s="27"/>
      <c r="G1227" s="27"/>
      <c r="H1227" s="27"/>
      <c r="I1227" s="27"/>
      <c r="J1227" s="43"/>
      <c r="K1227" s="43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43"/>
      <c r="X1227" s="29"/>
      <c r="Y1227" s="30"/>
      <c r="Z1227" s="27"/>
      <c r="AA1227" s="49"/>
    </row>
    <row r="1228" spans="1:27" x14ac:dyDescent="0.35">
      <c r="A1228" s="27"/>
      <c r="B1228" s="28"/>
      <c r="C1228" s="27"/>
      <c r="D1228" s="27"/>
      <c r="E1228" s="27"/>
      <c r="F1228" s="27"/>
      <c r="G1228" s="27"/>
      <c r="H1228" s="27"/>
      <c r="I1228" s="27"/>
      <c r="J1228" s="43"/>
      <c r="K1228" s="43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43"/>
      <c r="X1228" s="29"/>
      <c r="Y1228" s="30"/>
      <c r="Z1228" s="27"/>
      <c r="AA1228" s="49"/>
    </row>
    <row r="1229" spans="1:27" x14ac:dyDescent="0.35">
      <c r="A1229" s="27"/>
      <c r="B1229" s="28"/>
      <c r="C1229" s="27"/>
      <c r="D1229" s="27"/>
      <c r="E1229" s="27"/>
      <c r="F1229" s="27"/>
      <c r="G1229" s="27"/>
      <c r="H1229" s="27"/>
      <c r="I1229" s="27"/>
      <c r="J1229" s="43"/>
      <c r="K1229" s="43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43"/>
      <c r="X1229" s="29"/>
      <c r="Y1229" s="30"/>
      <c r="Z1229" s="27"/>
      <c r="AA1229" s="49"/>
    </row>
    <row r="1230" spans="1:27" x14ac:dyDescent="0.35">
      <c r="A1230" s="27"/>
      <c r="B1230" s="28"/>
      <c r="C1230" s="27"/>
      <c r="D1230" s="27"/>
      <c r="E1230" s="27"/>
      <c r="F1230" s="27"/>
      <c r="G1230" s="27"/>
      <c r="H1230" s="27"/>
      <c r="I1230" s="27"/>
      <c r="J1230" s="43"/>
      <c r="K1230" s="43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43"/>
      <c r="X1230" s="29"/>
      <c r="Y1230" s="30"/>
      <c r="Z1230" s="27"/>
      <c r="AA1230" s="49"/>
    </row>
    <row r="1231" spans="1:27" x14ac:dyDescent="0.35">
      <c r="A1231" s="27"/>
      <c r="B1231" s="28"/>
      <c r="C1231" s="27"/>
      <c r="D1231" s="27"/>
      <c r="E1231" s="27"/>
      <c r="F1231" s="27"/>
      <c r="G1231" s="27"/>
      <c r="H1231" s="27"/>
      <c r="I1231" s="27"/>
      <c r="J1231" s="43"/>
      <c r="K1231" s="43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43"/>
      <c r="X1231" s="29"/>
      <c r="Y1231" s="30"/>
      <c r="Z1231" s="27"/>
      <c r="AA1231" s="49"/>
    </row>
    <row r="1232" spans="1:27" x14ac:dyDescent="0.35">
      <c r="A1232" s="27"/>
      <c r="B1232" s="28"/>
      <c r="C1232" s="27"/>
      <c r="D1232" s="27"/>
      <c r="E1232" s="27"/>
      <c r="F1232" s="27"/>
      <c r="G1232" s="27"/>
      <c r="H1232" s="27"/>
      <c r="I1232" s="27"/>
      <c r="J1232" s="43"/>
      <c r="K1232" s="43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43"/>
      <c r="X1232" s="29"/>
      <c r="Y1232" s="30"/>
      <c r="Z1232" s="27"/>
      <c r="AA1232" s="49"/>
    </row>
    <row r="1233" spans="1:27" x14ac:dyDescent="0.35">
      <c r="A1233" s="27"/>
      <c r="B1233" s="28"/>
      <c r="C1233" s="27"/>
      <c r="D1233" s="27"/>
      <c r="E1233" s="27"/>
      <c r="F1233" s="27"/>
      <c r="G1233" s="27"/>
      <c r="H1233" s="27"/>
      <c r="I1233" s="27"/>
      <c r="J1233" s="43"/>
      <c r="K1233" s="43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43"/>
      <c r="X1233" s="29"/>
      <c r="Y1233" s="30"/>
      <c r="Z1233" s="27"/>
      <c r="AA1233" s="49"/>
    </row>
    <row r="1234" spans="1:27" x14ac:dyDescent="0.35">
      <c r="A1234" s="27"/>
      <c r="B1234" s="28"/>
      <c r="C1234" s="27"/>
      <c r="D1234" s="27"/>
      <c r="E1234" s="27"/>
      <c r="F1234" s="27"/>
      <c r="G1234" s="27"/>
      <c r="H1234" s="27"/>
      <c r="I1234" s="27"/>
      <c r="J1234" s="43"/>
      <c r="K1234" s="43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43"/>
      <c r="X1234" s="29"/>
      <c r="Y1234" s="30"/>
      <c r="Z1234" s="27"/>
      <c r="AA1234" s="49"/>
    </row>
    <row r="1235" spans="1:27" x14ac:dyDescent="0.35">
      <c r="A1235" s="27"/>
      <c r="B1235" s="28"/>
      <c r="C1235" s="27"/>
      <c r="D1235" s="27"/>
      <c r="E1235" s="27"/>
      <c r="F1235" s="27"/>
      <c r="G1235" s="27"/>
      <c r="H1235" s="27"/>
      <c r="I1235" s="27"/>
      <c r="J1235" s="43"/>
      <c r="K1235" s="43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43"/>
      <c r="X1235" s="29"/>
      <c r="Y1235" s="30"/>
      <c r="Z1235" s="27"/>
      <c r="AA1235" s="49"/>
    </row>
    <row r="1236" spans="1:27" x14ac:dyDescent="0.35">
      <c r="A1236" s="27"/>
      <c r="B1236" s="28"/>
      <c r="C1236" s="27"/>
      <c r="D1236" s="27"/>
      <c r="E1236" s="27"/>
      <c r="F1236" s="27"/>
      <c r="G1236" s="27"/>
      <c r="H1236" s="27"/>
      <c r="I1236" s="27"/>
      <c r="J1236" s="43"/>
      <c r="K1236" s="43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43"/>
      <c r="X1236" s="29"/>
      <c r="Y1236" s="30"/>
      <c r="Z1236" s="27"/>
      <c r="AA1236" s="49"/>
    </row>
    <row r="1237" spans="1:27" x14ac:dyDescent="0.35">
      <c r="A1237" s="27"/>
      <c r="B1237" s="28"/>
      <c r="C1237" s="27"/>
      <c r="D1237" s="27"/>
      <c r="E1237" s="27"/>
      <c r="F1237" s="27"/>
      <c r="G1237" s="27"/>
      <c r="H1237" s="27"/>
      <c r="I1237" s="27"/>
      <c r="J1237" s="43"/>
      <c r="K1237" s="43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43"/>
      <c r="X1237" s="29"/>
      <c r="Y1237" s="30"/>
      <c r="Z1237" s="27"/>
      <c r="AA1237" s="49"/>
    </row>
    <row r="1238" spans="1:27" x14ac:dyDescent="0.35">
      <c r="A1238" s="27"/>
      <c r="B1238" s="28"/>
      <c r="C1238" s="27"/>
      <c r="D1238" s="27"/>
      <c r="E1238" s="27"/>
      <c r="F1238" s="27"/>
      <c r="G1238" s="27"/>
      <c r="H1238" s="27"/>
      <c r="I1238" s="27"/>
      <c r="J1238" s="43"/>
      <c r="K1238" s="43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43"/>
      <c r="X1238" s="29"/>
      <c r="Y1238" s="30"/>
      <c r="Z1238" s="27"/>
      <c r="AA1238" s="49"/>
    </row>
    <row r="1239" spans="1:27" x14ac:dyDescent="0.35">
      <c r="A1239" s="27"/>
      <c r="B1239" s="28"/>
      <c r="C1239" s="27"/>
      <c r="D1239" s="27"/>
      <c r="E1239" s="27"/>
      <c r="F1239" s="27"/>
      <c r="G1239" s="27"/>
      <c r="H1239" s="27"/>
      <c r="I1239" s="27"/>
      <c r="J1239" s="43"/>
      <c r="K1239" s="43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43"/>
      <c r="X1239" s="29"/>
      <c r="Y1239" s="30"/>
      <c r="Z1239" s="27"/>
      <c r="AA1239" s="49"/>
    </row>
    <row r="1240" spans="1:27" x14ac:dyDescent="0.35">
      <c r="A1240" s="27"/>
      <c r="B1240" s="28"/>
      <c r="C1240" s="27"/>
      <c r="D1240" s="27"/>
      <c r="E1240" s="27"/>
      <c r="F1240" s="27"/>
      <c r="G1240" s="27"/>
      <c r="H1240" s="27"/>
      <c r="I1240" s="27"/>
      <c r="J1240" s="43"/>
      <c r="K1240" s="43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43"/>
      <c r="X1240" s="29"/>
      <c r="Y1240" s="30"/>
      <c r="Z1240" s="27"/>
      <c r="AA1240" s="49"/>
    </row>
    <row r="1241" spans="1:27" x14ac:dyDescent="0.35">
      <c r="A1241" s="27"/>
      <c r="B1241" s="28"/>
      <c r="C1241" s="27"/>
      <c r="D1241" s="27"/>
      <c r="E1241" s="27"/>
      <c r="F1241" s="27"/>
      <c r="G1241" s="27"/>
      <c r="H1241" s="27"/>
      <c r="I1241" s="27"/>
      <c r="J1241" s="43"/>
      <c r="K1241" s="43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43"/>
      <c r="X1241" s="29"/>
      <c r="Y1241" s="30"/>
      <c r="Z1241" s="27"/>
      <c r="AA1241" s="49"/>
    </row>
    <row r="1242" spans="1:27" x14ac:dyDescent="0.35">
      <c r="A1242" s="27"/>
      <c r="B1242" s="28"/>
      <c r="C1242" s="27"/>
      <c r="D1242" s="27"/>
      <c r="E1242" s="27"/>
      <c r="F1242" s="27"/>
      <c r="G1242" s="27"/>
      <c r="H1242" s="27"/>
      <c r="I1242" s="27"/>
      <c r="J1242" s="43"/>
      <c r="K1242" s="43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43"/>
      <c r="X1242" s="29"/>
      <c r="Y1242" s="30"/>
      <c r="Z1242" s="27"/>
      <c r="AA1242" s="49"/>
    </row>
    <row r="1243" spans="1:27" x14ac:dyDescent="0.35">
      <c r="A1243" s="27"/>
      <c r="B1243" s="28"/>
      <c r="C1243" s="27"/>
      <c r="D1243" s="27"/>
      <c r="E1243" s="27"/>
      <c r="F1243" s="27"/>
      <c r="G1243" s="27"/>
      <c r="H1243" s="27"/>
      <c r="I1243" s="27"/>
      <c r="J1243" s="43"/>
      <c r="K1243" s="43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43"/>
      <c r="X1243" s="29"/>
      <c r="Y1243" s="30"/>
      <c r="Z1243" s="27"/>
      <c r="AA1243" s="49"/>
    </row>
    <row r="1244" spans="1:27" x14ac:dyDescent="0.35">
      <c r="A1244" s="27"/>
      <c r="B1244" s="28"/>
      <c r="C1244" s="27"/>
      <c r="D1244" s="27"/>
      <c r="E1244" s="27"/>
      <c r="F1244" s="27"/>
      <c r="G1244" s="27"/>
      <c r="H1244" s="27"/>
      <c r="I1244" s="27"/>
      <c r="J1244" s="43"/>
      <c r="K1244" s="43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43"/>
      <c r="X1244" s="29"/>
      <c r="Y1244" s="30"/>
      <c r="Z1244" s="27"/>
      <c r="AA1244" s="49"/>
    </row>
    <row r="1245" spans="1:27" x14ac:dyDescent="0.35">
      <c r="A1245" s="27"/>
      <c r="B1245" s="28"/>
      <c r="C1245" s="27"/>
      <c r="D1245" s="27"/>
      <c r="E1245" s="27"/>
      <c r="F1245" s="27"/>
      <c r="G1245" s="27"/>
      <c r="H1245" s="27"/>
      <c r="I1245" s="27"/>
      <c r="J1245" s="43"/>
      <c r="K1245" s="43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43"/>
      <c r="X1245" s="29"/>
      <c r="Y1245" s="30"/>
      <c r="Z1245" s="27"/>
      <c r="AA1245" s="49"/>
    </row>
    <row r="1246" spans="1:27" x14ac:dyDescent="0.35">
      <c r="A1246" s="27"/>
      <c r="B1246" s="28"/>
      <c r="C1246" s="27"/>
      <c r="D1246" s="27"/>
      <c r="E1246" s="27"/>
      <c r="F1246" s="27"/>
      <c r="G1246" s="27"/>
      <c r="H1246" s="27"/>
      <c r="I1246" s="27"/>
      <c r="J1246" s="43"/>
      <c r="K1246" s="43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43"/>
      <c r="X1246" s="29"/>
      <c r="Y1246" s="30"/>
      <c r="Z1246" s="27"/>
      <c r="AA1246" s="49"/>
    </row>
    <row r="1247" spans="1:27" x14ac:dyDescent="0.35">
      <c r="A1247" s="27"/>
      <c r="B1247" s="28"/>
      <c r="C1247" s="27"/>
      <c r="D1247" s="27"/>
      <c r="E1247" s="27"/>
      <c r="F1247" s="27"/>
      <c r="G1247" s="27"/>
      <c r="H1247" s="27"/>
      <c r="I1247" s="27"/>
      <c r="J1247" s="43"/>
      <c r="K1247" s="43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43"/>
      <c r="X1247" s="29"/>
      <c r="Y1247" s="30"/>
      <c r="Z1247" s="27"/>
      <c r="AA1247" s="49"/>
    </row>
    <row r="1248" spans="1:27" x14ac:dyDescent="0.35">
      <c r="A1248" s="27"/>
      <c r="B1248" s="28"/>
      <c r="C1248" s="27"/>
      <c r="D1248" s="27"/>
      <c r="E1248" s="27"/>
      <c r="F1248" s="27"/>
      <c r="G1248" s="27"/>
      <c r="H1248" s="27"/>
      <c r="I1248" s="27"/>
      <c r="J1248" s="43"/>
      <c r="K1248" s="43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43"/>
      <c r="X1248" s="29"/>
      <c r="Y1248" s="30"/>
      <c r="Z1248" s="27"/>
      <c r="AA1248" s="49"/>
    </row>
    <row r="1249" spans="1:27" x14ac:dyDescent="0.35">
      <c r="A1249" s="27"/>
      <c r="B1249" s="28"/>
      <c r="C1249" s="27"/>
      <c r="D1249" s="27"/>
      <c r="E1249" s="27"/>
      <c r="F1249" s="27"/>
      <c r="G1249" s="27"/>
      <c r="H1249" s="27"/>
      <c r="I1249" s="27"/>
      <c r="J1249" s="43"/>
      <c r="K1249" s="43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43"/>
      <c r="X1249" s="29"/>
      <c r="Y1249" s="30"/>
      <c r="Z1249" s="27"/>
      <c r="AA1249" s="49"/>
    </row>
    <row r="1250" spans="1:27" x14ac:dyDescent="0.35">
      <c r="A1250" s="27"/>
      <c r="B1250" s="28"/>
      <c r="C1250" s="27"/>
      <c r="D1250" s="27"/>
      <c r="E1250" s="27"/>
      <c r="F1250" s="27"/>
      <c r="G1250" s="27"/>
      <c r="H1250" s="27"/>
      <c r="I1250" s="27"/>
      <c r="J1250" s="43"/>
      <c r="K1250" s="43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43"/>
      <c r="X1250" s="29"/>
      <c r="Y1250" s="30"/>
      <c r="Z1250" s="27"/>
      <c r="AA1250" s="49"/>
    </row>
    <row r="1251" spans="1:27" x14ac:dyDescent="0.35">
      <c r="A1251" s="27"/>
      <c r="B1251" s="28"/>
      <c r="C1251" s="27"/>
      <c r="D1251" s="27"/>
      <c r="E1251" s="27"/>
      <c r="F1251" s="27"/>
      <c r="G1251" s="27"/>
      <c r="H1251" s="27"/>
      <c r="I1251" s="27"/>
      <c r="J1251" s="43"/>
      <c r="K1251" s="43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43"/>
      <c r="X1251" s="29"/>
      <c r="Y1251" s="30"/>
      <c r="Z1251" s="27"/>
      <c r="AA1251" s="49"/>
    </row>
    <row r="1252" spans="1:27" x14ac:dyDescent="0.35">
      <c r="A1252" s="27"/>
      <c r="B1252" s="28"/>
      <c r="C1252" s="27"/>
      <c r="D1252" s="27"/>
      <c r="E1252" s="27"/>
      <c r="F1252" s="27"/>
      <c r="G1252" s="27"/>
      <c r="H1252" s="27"/>
      <c r="I1252" s="27"/>
      <c r="J1252" s="43"/>
      <c r="K1252" s="43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43"/>
      <c r="X1252" s="29"/>
      <c r="Y1252" s="30"/>
      <c r="Z1252" s="27"/>
      <c r="AA1252" s="49"/>
    </row>
    <row r="1253" spans="1:27" x14ac:dyDescent="0.35">
      <c r="A1253" s="27"/>
      <c r="B1253" s="28"/>
      <c r="C1253" s="27"/>
      <c r="D1253" s="27"/>
      <c r="E1253" s="27"/>
      <c r="F1253" s="27"/>
      <c r="G1253" s="27"/>
      <c r="H1253" s="27"/>
      <c r="I1253" s="27"/>
      <c r="J1253" s="43"/>
      <c r="K1253" s="43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43"/>
      <c r="X1253" s="29"/>
      <c r="Y1253" s="30"/>
      <c r="Z1253" s="27"/>
      <c r="AA1253" s="49"/>
    </row>
    <row r="1254" spans="1:27" x14ac:dyDescent="0.35">
      <c r="A1254" s="27"/>
      <c r="B1254" s="28"/>
      <c r="C1254" s="27"/>
      <c r="D1254" s="27"/>
      <c r="E1254" s="27"/>
      <c r="F1254" s="27"/>
      <c r="G1254" s="27"/>
      <c r="H1254" s="27"/>
      <c r="I1254" s="27"/>
      <c r="J1254" s="43"/>
      <c r="K1254" s="43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43"/>
      <c r="X1254" s="29"/>
      <c r="Y1254" s="30"/>
      <c r="Z1254" s="27"/>
      <c r="AA1254" s="49"/>
    </row>
    <row r="1255" spans="1:27" x14ac:dyDescent="0.35">
      <c r="A1255" s="27"/>
      <c r="B1255" s="28"/>
      <c r="C1255" s="27"/>
      <c r="D1255" s="27"/>
      <c r="E1255" s="27"/>
      <c r="F1255" s="27"/>
      <c r="G1255" s="27"/>
      <c r="H1255" s="27"/>
      <c r="I1255" s="27"/>
      <c r="J1255" s="43"/>
      <c r="K1255" s="43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43"/>
      <c r="X1255" s="29"/>
      <c r="Y1255" s="30"/>
      <c r="Z1255" s="27"/>
      <c r="AA1255" s="49"/>
    </row>
    <row r="1256" spans="1:27" x14ac:dyDescent="0.35">
      <c r="A1256" s="27"/>
      <c r="B1256" s="28"/>
      <c r="C1256" s="27"/>
      <c r="D1256" s="27"/>
      <c r="E1256" s="27"/>
      <c r="F1256" s="27"/>
      <c r="G1256" s="27"/>
      <c r="H1256" s="27"/>
      <c r="I1256" s="27"/>
      <c r="J1256" s="43"/>
      <c r="K1256" s="43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43"/>
      <c r="X1256" s="29"/>
      <c r="Y1256" s="30"/>
      <c r="Z1256" s="27"/>
      <c r="AA1256" s="49"/>
    </row>
    <row r="1257" spans="1:27" x14ac:dyDescent="0.35">
      <c r="A1257" s="27"/>
      <c r="B1257" s="28"/>
      <c r="C1257" s="27"/>
      <c r="D1257" s="27"/>
      <c r="E1257" s="27"/>
      <c r="F1257" s="27"/>
      <c r="G1257" s="27"/>
      <c r="H1257" s="27"/>
      <c r="I1257" s="27"/>
      <c r="J1257" s="43"/>
      <c r="K1257" s="43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43"/>
      <c r="X1257" s="29"/>
      <c r="Y1257" s="30"/>
      <c r="Z1257" s="27"/>
      <c r="AA1257" s="49"/>
    </row>
    <row r="1258" spans="1:27" x14ac:dyDescent="0.35">
      <c r="A1258" s="27"/>
      <c r="B1258" s="28"/>
      <c r="C1258" s="27"/>
      <c r="D1258" s="27"/>
      <c r="E1258" s="27"/>
      <c r="F1258" s="27"/>
      <c r="G1258" s="27"/>
      <c r="H1258" s="27"/>
      <c r="I1258" s="27"/>
      <c r="J1258" s="43"/>
      <c r="K1258" s="43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43"/>
      <c r="X1258" s="29"/>
      <c r="Y1258" s="30"/>
      <c r="Z1258" s="27"/>
      <c r="AA1258" s="49"/>
    </row>
    <row r="1259" spans="1:27" x14ac:dyDescent="0.35">
      <c r="A1259" s="27"/>
      <c r="B1259" s="28"/>
      <c r="C1259" s="27"/>
      <c r="D1259" s="27"/>
      <c r="E1259" s="27"/>
      <c r="F1259" s="27"/>
      <c r="G1259" s="27"/>
      <c r="H1259" s="27"/>
      <c r="I1259" s="27"/>
      <c r="J1259" s="43"/>
      <c r="K1259" s="43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43"/>
      <c r="X1259" s="29"/>
      <c r="Y1259" s="30"/>
      <c r="Z1259" s="27"/>
      <c r="AA1259" s="49"/>
    </row>
    <row r="1260" spans="1:27" x14ac:dyDescent="0.35">
      <c r="A1260" s="27"/>
      <c r="B1260" s="28"/>
      <c r="C1260" s="27"/>
      <c r="D1260" s="27"/>
      <c r="E1260" s="27"/>
      <c r="F1260" s="27"/>
      <c r="G1260" s="27"/>
      <c r="H1260" s="27"/>
      <c r="I1260" s="27"/>
      <c r="J1260" s="43"/>
      <c r="K1260" s="43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43"/>
      <c r="X1260" s="29"/>
      <c r="Y1260" s="30"/>
      <c r="Z1260" s="27"/>
      <c r="AA1260" s="49"/>
    </row>
    <row r="1261" spans="1:27" x14ac:dyDescent="0.35">
      <c r="A1261" s="27"/>
      <c r="B1261" s="28"/>
      <c r="C1261" s="27"/>
      <c r="D1261" s="27"/>
      <c r="E1261" s="27"/>
      <c r="F1261" s="27"/>
      <c r="G1261" s="27"/>
      <c r="H1261" s="27"/>
      <c r="I1261" s="27"/>
      <c r="J1261" s="43"/>
      <c r="K1261" s="43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43"/>
      <c r="X1261" s="29"/>
      <c r="Y1261" s="30"/>
      <c r="Z1261" s="27"/>
      <c r="AA1261" s="49"/>
    </row>
    <row r="1262" spans="1:27" x14ac:dyDescent="0.35">
      <c r="A1262" s="27"/>
      <c r="B1262" s="28"/>
      <c r="C1262" s="27"/>
      <c r="D1262" s="27"/>
      <c r="E1262" s="27"/>
      <c r="F1262" s="27"/>
      <c r="G1262" s="27"/>
      <c r="H1262" s="27"/>
      <c r="I1262" s="27"/>
      <c r="J1262" s="43"/>
      <c r="K1262" s="43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43"/>
      <c r="X1262" s="29"/>
      <c r="Y1262" s="30"/>
      <c r="Z1262" s="27"/>
      <c r="AA1262" s="49"/>
    </row>
    <row r="1263" spans="1:27" x14ac:dyDescent="0.35">
      <c r="A1263" s="27"/>
      <c r="B1263" s="28"/>
      <c r="C1263" s="27"/>
      <c r="D1263" s="27"/>
      <c r="E1263" s="27"/>
      <c r="F1263" s="27"/>
      <c r="G1263" s="27"/>
      <c r="H1263" s="27"/>
      <c r="I1263" s="27"/>
      <c r="J1263" s="43"/>
      <c r="K1263" s="43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43"/>
      <c r="X1263" s="29"/>
      <c r="Y1263" s="30"/>
      <c r="Z1263" s="27"/>
      <c r="AA1263" s="49"/>
    </row>
    <row r="1264" spans="1:27" x14ac:dyDescent="0.35">
      <c r="A1264" s="27"/>
      <c r="B1264" s="28"/>
      <c r="C1264" s="27"/>
      <c r="D1264" s="27"/>
      <c r="E1264" s="27"/>
      <c r="F1264" s="27"/>
      <c r="G1264" s="27"/>
      <c r="H1264" s="27"/>
      <c r="I1264" s="27"/>
      <c r="J1264" s="43"/>
      <c r="K1264" s="43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43"/>
      <c r="X1264" s="29"/>
      <c r="Y1264" s="30"/>
      <c r="Z1264" s="27"/>
      <c r="AA1264" s="49"/>
    </row>
    <row r="1265" spans="1:27" x14ac:dyDescent="0.35">
      <c r="A1265" s="27"/>
      <c r="B1265" s="28"/>
      <c r="C1265" s="27"/>
      <c r="D1265" s="27"/>
      <c r="E1265" s="27"/>
      <c r="F1265" s="27"/>
      <c r="G1265" s="27"/>
      <c r="H1265" s="27"/>
      <c r="I1265" s="27"/>
      <c r="J1265" s="43"/>
      <c r="K1265" s="43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43"/>
      <c r="X1265" s="29"/>
      <c r="Y1265" s="30"/>
      <c r="Z1265" s="27"/>
      <c r="AA1265" s="49"/>
    </row>
    <row r="1266" spans="1:27" x14ac:dyDescent="0.35">
      <c r="A1266" s="27"/>
      <c r="B1266" s="28"/>
      <c r="C1266" s="27"/>
      <c r="D1266" s="27"/>
      <c r="E1266" s="27"/>
      <c r="F1266" s="27"/>
      <c r="G1266" s="27"/>
      <c r="H1266" s="27"/>
      <c r="I1266" s="27"/>
      <c r="J1266" s="43"/>
      <c r="K1266" s="43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43"/>
      <c r="X1266" s="29"/>
      <c r="Y1266" s="30"/>
      <c r="Z1266" s="27"/>
      <c r="AA1266" s="49"/>
    </row>
    <row r="1267" spans="1:27" x14ac:dyDescent="0.35">
      <c r="A1267" s="27"/>
      <c r="B1267" s="28"/>
      <c r="C1267" s="27"/>
      <c r="D1267" s="27"/>
      <c r="E1267" s="27"/>
      <c r="F1267" s="27"/>
      <c r="G1267" s="27"/>
      <c r="H1267" s="27"/>
      <c r="I1267" s="27"/>
      <c r="J1267" s="43"/>
      <c r="K1267" s="43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43"/>
      <c r="X1267" s="29"/>
      <c r="Y1267" s="30"/>
      <c r="Z1267" s="27"/>
      <c r="AA1267" s="49"/>
    </row>
    <row r="1268" spans="1:27" x14ac:dyDescent="0.35">
      <c r="A1268" s="27"/>
      <c r="B1268" s="28"/>
      <c r="C1268" s="27"/>
      <c r="D1268" s="27"/>
      <c r="E1268" s="27"/>
      <c r="F1268" s="27"/>
      <c r="G1268" s="27"/>
      <c r="H1268" s="27"/>
      <c r="I1268" s="27"/>
      <c r="J1268" s="43"/>
      <c r="K1268" s="43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43"/>
      <c r="X1268" s="29"/>
      <c r="Y1268" s="30"/>
      <c r="Z1268" s="27"/>
      <c r="AA1268" s="49"/>
    </row>
    <row r="1269" spans="1:27" x14ac:dyDescent="0.35">
      <c r="A1269" s="27"/>
      <c r="B1269" s="28"/>
      <c r="C1269" s="27"/>
      <c r="D1269" s="27"/>
      <c r="E1269" s="27"/>
      <c r="F1269" s="27"/>
      <c r="G1269" s="27"/>
      <c r="H1269" s="27"/>
      <c r="I1269" s="27"/>
      <c r="J1269" s="43"/>
      <c r="K1269" s="43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43"/>
      <c r="X1269" s="29"/>
      <c r="Y1269" s="30"/>
      <c r="Z1269" s="27"/>
      <c r="AA1269" s="49"/>
    </row>
    <row r="1270" spans="1:27" x14ac:dyDescent="0.35">
      <c r="A1270" s="27"/>
      <c r="B1270" s="28"/>
      <c r="C1270" s="27"/>
      <c r="D1270" s="27"/>
      <c r="E1270" s="27"/>
      <c r="F1270" s="27"/>
      <c r="G1270" s="27"/>
      <c r="H1270" s="27"/>
      <c r="I1270" s="27"/>
      <c r="J1270" s="43"/>
      <c r="K1270" s="43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43"/>
      <c r="X1270" s="29"/>
      <c r="Y1270" s="30"/>
      <c r="Z1270" s="27"/>
      <c r="AA1270" s="49"/>
    </row>
    <row r="1271" spans="1:27" x14ac:dyDescent="0.35">
      <c r="A1271" s="27"/>
      <c r="B1271" s="28"/>
      <c r="C1271" s="27"/>
      <c r="D1271" s="27"/>
      <c r="E1271" s="27"/>
      <c r="F1271" s="27"/>
      <c r="G1271" s="27"/>
      <c r="H1271" s="27"/>
      <c r="I1271" s="27"/>
      <c r="J1271" s="43"/>
      <c r="K1271" s="43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43"/>
      <c r="X1271" s="29"/>
      <c r="Y1271" s="30"/>
      <c r="Z1271" s="27"/>
      <c r="AA1271" s="49"/>
    </row>
    <row r="1272" spans="1:27" x14ac:dyDescent="0.35">
      <c r="A1272" s="27"/>
      <c r="B1272" s="28"/>
      <c r="C1272" s="27"/>
      <c r="D1272" s="27"/>
      <c r="E1272" s="27"/>
      <c r="F1272" s="27"/>
      <c r="G1272" s="27"/>
      <c r="H1272" s="27"/>
      <c r="I1272" s="27"/>
      <c r="J1272" s="43"/>
      <c r="K1272" s="43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43"/>
      <c r="X1272" s="29"/>
      <c r="Y1272" s="30"/>
      <c r="Z1272" s="27"/>
      <c r="AA1272" s="49"/>
    </row>
    <row r="1273" spans="1:27" x14ac:dyDescent="0.35">
      <c r="A1273" s="27"/>
      <c r="B1273" s="28"/>
      <c r="C1273" s="27"/>
      <c r="D1273" s="27"/>
      <c r="E1273" s="27"/>
      <c r="F1273" s="27"/>
      <c r="G1273" s="27"/>
      <c r="H1273" s="27"/>
      <c r="I1273" s="27"/>
      <c r="J1273" s="43"/>
      <c r="K1273" s="43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43"/>
      <c r="X1273" s="29"/>
      <c r="Y1273" s="30"/>
      <c r="Z1273" s="27"/>
      <c r="AA1273" s="49"/>
    </row>
    <row r="1274" spans="1:27" x14ac:dyDescent="0.35">
      <c r="A1274" s="27"/>
      <c r="B1274" s="28"/>
      <c r="C1274" s="27"/>
      <c r="D1274" s="27"/>
      <c r="E1274" s="27"/>
      <c r="F1274" s="27"/>
      <c r="G1274" s="27"/>
      <c r="H1274" s="27"/>
      <c r="I1274" s="27"/>
      <c r="J1274" s="43"/>
      <c r="K1274" s="43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43"/>
      <c r="X1274" s="29"/>
      <c r="Y1274" s="30"/>
      <c r="Z1274" s="27"/>
      <c r="AA1274" s="49"/>
    </row>
    <row r="1275" spans="1:27" x14ac:dyDescent="0.35">
      <c r="A1275" s="27"/>
      <c r="B1275" s="28"/>
      <c r="C1275" s="27"/>
      <c r="D1275" s="27"/>
      <c r="E1275" s="27"/>
      <c r="F1275" s="27"/>
      <c r="G1275" s="27"/>
      <c r="H1275" s="27"/>
      <c r="I1275" s="27"/>
      <c r="J1275" s="43"/>
      <c r="K1275" s="43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43"/>
      <c r="X1275" s="29"/>
      <c r="Y1275" s="30"/>
      <c r="Z1275" s="27"/>
      <c r="AA1275" s="49"/>
    </row>
    <row r="1276" spans="1:27" x14ac:dyDescent="0.35">
      <c r="A1276" s="27"/>
      <c r="B1276" s="28"/>
      <c r="C1276" s="27"/>
      <c r="D1276" s="27"/>
      <c r="E1276" s="27"/>
      <c r="F1276" s="27"/>
      <c r="G1276" s="27"/>
      <c r="H1276" s="27"/>
      <c r="I1276" s="27"/>
      <c r="J1276" s="43"/>
      <c r="K1276" s="43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43"/>
      <c r="X1276" s="29"/>
      <c r="Y1276" s="30"/>
      <c r="Z1276" s="27"/>
      <c r="AA1276" s="49"/>
    </row>
    <row r="1277" spans="1:27" x14ac:dyDescent="0.35">
      <c r="A1277" s="27"/>
      <c r="B1277" s="28"/>
      <c r="C1277" s="27"/>
      <c r="D1277" s="27"/>
      <c r="E1277" s="27"/>
      <c r="F1277" s="27"/>
      <c r="G1277" s="27"/>
      <c r="H1277" s="27"/>
      <c r="I1277" s="27"/>
      <c r="J1277" s="43"/>
      <c r="K1277" s="43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43"/>
      <c r="X1277" s="29"/>
      <c r="Y1277" s="30"/>
      <c r="Z1277" s="27"/>
      <c r="AA1277" s="49"/>
    </row>
    <row r="1278" spans="1:27" x14ac:dyDescent="0.35">
      <c r="A1278" s="27"/>
      <c r="B1278" s="28"/>
      <c r="C1278" s="27"/>
      <c r="D1278" s="27"/>
      <c r="E1278" s="27"/>
      <c r="F1278" s="27"/>
      <c r="G1278" s="27"/>
      <c r="H1278" s="27"/>
      <c r="I1278" s="27"/>
      <c r="J1278" s="43"/>
      <c r="K1278" s="43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43"/>
      <c r="X1278" s="29"/>
      <c r="Y1278" s="30"/>
      <c r="Z1278" s="27"/>
      <c r="AA1278" s="49"/>
    </row>
    <row r="1279" spans="1:27" x14ac:dyDescent="0.35">
      <c r="A1279" s="27"/>
      <c r="B1279" s="28"/>
      <c r="C1279" s="27"/>
      <c r="D1279" s="27"/>
      <c r="E1279" s="27"/>
      <c r="F1279" s="27"/>
      <c r="G1279" s="27"/>
      <c r="H1279" s="27"/>
      <c r="I1279" s="27"/>
      <c r="J1279" s="43"/>
      <c r="K1279" s="43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43"/>
      <c r="X1279" s="29"/>
      <c r="Y1279" s="30"/>
      <c r="Z1279" s="27"/>
      <c r="AA1279" s="49"/>
    </row>
    <row r="1280" spans="1:27" x14ac:dyDescent="0.35">
      <c r="A1280" s="27"/>
      <c r="B1280" s="28"/>
      <c r="C1280" s="27"/>
      <c r="D1280" s="27"/>
      <c r="E1280" s="27"/>
      <c r="F1280" s="27"/>
      <c r="G1280" s="27"/>
      <c r="H1280" s="27"/>
      <c r="I1280" s="27"/>
      <c r="J1280" s="43"/>
      <c r="K1280" s="43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43"/>
      <c r="X1280" s="29"/>
      <c r="Y1280" s="30"/>
      <c r="Z1280" s="27"/>
      <c r="AA1280" s="49"/>
    </row>
    <row r="1281" spans="1:27" x14ac:dyDescent="0.35">
      <c r="A1281" s="27"/>
      <c r="B1281" s="28"/>
      <c r="C1281" s="27"/>
      <c r="D1281" s="27"/>
      <c r="E1281" s="27"/>
      <c r="F1281" s="27"/>
      <c r="G1281" s="27"/>
      <c r="H1281" s="27"/>
      <c r="I1281" s="27"/>
      <c r="J1281" s="43"/>
      <c r="K1281" s="43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43"/>
      <c r="X1281" s="29"/>
      <c r="Y1281" s="30"/>
      <c r="Z1281" s="27"/>
      <c r="AA1281" s="49"/>
    </row>
    <row r="1282" spans="1:27" x14ac:dyDescent="0.35">
      <c r="A1282" s="27"/>
      <c r="B1282" s="28"/>
      <c r="C1282" s="27"/>
      <c r="D1282" s="27"/>
      <c r="E1282" s="27"/>
      <c r="F1282" s="27"/>
      <c r="G1282" s="27"/>
      <c r="H1282" s="27"/>
      <c r="I1282" s="27"/>
      <c r="J1282" s="43"/>
      <c r="K1282" s="43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43"/>
      <c r="X1282" s="29"/>
      <c r="Y1282" s="30"/>
      <c r="Z1282" s="27"/>
      <c r="AA1282" s="49"/>
    </row>
    <row r="1283" spans="1:27" x14ac:dyDescent="0.35">
      <c r="A1283" s="27"/>
      <c r="B1283" s="28"/>
      <c r="C1283" s="27"/>
      <c r="D1283" s="27"/>
      <c r="E1283" s="27"/>
      <c r="F1283" s="27"/>
      <c r="G1283" s="27"/>
      <c r="H1283" s="27"/>
      <c r="I1283" s="27"/>
      <c r="J1283" s="43"/>
      <c r="K1283" s="43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43"/>
      <c r="X1283" s="29"/>
      <c r="Y1283" s="30"/>
      <c r="Z1283" s="27"/>
      <c r="AA1283" s="49"/>
    </row>
    <row r="1284" spans="1:27" x14ac:dyDescent="0.35">
      <c r="A1284" s="27"/>
      <c r="B1284" s="28"/>
      <c r="C1284" s="27"/>
      <c r="D1284" s="27"/>
      <c r="E1284" s="27"/>
      <c r="F1284" s="27"/>
      <c r="G1284" s="27"/>
      <c r="H1284" s="27"/>
      <c r="I1284" s="27"/>
      <c r="J1284" s="43"/>
      <c r="K1284" s="43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43"/>
      <c r="X1284" s="29"/>
      <c r="Y1284" s="30"/>
      <c r="Z1284" s="27"/>
      <c r="AA1284" s="49"/>
    </row>
    <row r="1285" spans="1:27" x14ac:dyDescent="0.35">
      <c r="A1285" s="27"/>
      <c r="B1285" s="28"/>
      <c r="C1285" s="27"/>
      <c r="D1285" s="27"/>
      <c r="E1285" s="27"/>
      <c r="F1285" s="27"/>
      <c r="G1285" s="27"/>
      <c r="H1285" s="27"/>
      <c r="I1285" s="27"/>
      <c r="J1285" s="43"/>
      <c r="K1285" s="43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43"/>
      <c r="X1285" s="29"/>
      <c r="Y1285" s="30"/>
      <c r="Z1285" s="27"/>
      <c r="AA1285" s="49"/>
    </row>
    <row r="1286" spans="1:27" x14ac:dyDescent="0.35">
      <c r="A1286" s="27"/>
      <c r="B1286" s="28"/>
      <c r="C1286" s="27"/>
      <c r="D1286" s="27"/>
      <c r="E1286" s="27"/>
      <c r="F1286" s="27"/>
      <c r="G1286" s="27"/>
      <c r="H1286" s="27"/>
      <c r="I1286" s="27"/>
      <c r="J1286" s="43"/>
      <c r="K1286" s="43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43"/>
      <c r="X1286" s="29"/>
      <c r="Y1286" s="30"/>
      <c r="Z1286" s="27"/>
      <c r="AA1286" s="49"/>
    </row>
    <row r="1287" spans="1:27" x14ac:dyDescent="0.35">
      <c r="A1287" s="27"/>
      <c r="B1287" s="28"/>
      <c r="C1287" s="27"/>
      <c r="D1287" s="27"/>
      <c r="E1287" s="27"/>
      <c r="F1287" s="27"/>
      <c r="G1287" s="27"/>
      <c r="H1287" s="27"/>
      <c r="I1287" s="27"/>
      <c r="J1287" s="43"/>
      <c r="K1287" s="43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43"/>
      <c r="X1287" s="29"/>
      <c r="Y1287" s="30"/>
      <c r="Z1287" s="27"/>
      <c r="AA1287" s="49"/>
    </row>
    <row r="1288" spans="1:27" x14ac:dyDescent="0.35">
      <c r="A1288" s="27"/>
      <c r="B1288" s="28"/>
      <c r="C1288" s="27"/>
      <c r="D1288" s="27"/>
      <c r="E1288" s="27"/>
      <c r="F1288" s="27"/>
      <c r="G1288" s="27"/>
      <c r="H1288" s="27"/>
      <c r="I1288" s="27"/>
      <c r="J1288" s="43"/>
      <c r="K1288" s="43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43"/>
      <c r="X1288" s="29"/>
      <c r="Y1288" s="30"/>
      <c r="Z1288" s="27"/>
      <c r="AA1288" s="49"/>
    </row>
    <row r="1289" spans="1:27" x14ac:dyDescent="0.35">
      <c r="A1289" s="27"/>
      <c r="B1289" s="28"/>
      <c r="C1289" s="27"/>
      <c r="D1289" s="27"/>
      <c r="E1289" s="27"/>
      <c r="F1289" s="27"/>
      <c r="G1289" s="27"/>
      <c r="H1289" s="27"/>
      <c r="I1289" s="27"/>
      <c r="J1289" s="43"/>
      <c r="K1289" s="43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43"/>
      <c r="X1289" s="29"/>
      <c r="Y1289" s="30"/>
      <c r="Z1289" s="27"/>
      <c r="AA1289" s="49"/>
    </row>
    <row r="1290" spans="1:27" x14ac:dyDescent="0.35">
      <c r="A1290" s="27"/>
      <c r="B1290" s="28"/>
      <c r="C1290" s="27"/>
      <c r="D1290" s="27"/>
      <c r="E1290" s="27"/>
      <c r="F1290" s="27"/>
      <c r="G1290" s="27"/>
      <c r="H1290" s="27"/>
      <c r="I1290" s="27"/>
      <c r="J1290" s="43"/>
      <c r="K1290" s="43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43"/>
      <c r="X1290" s="29"/>
      <c r="Y1290" s="30"/>
      <c r="Z1290" s="27"/>
      <c r="AA1290" s="49"/>
    </row>
    <row r="1291" spans="1:27" x14ac:dyDescent="0.35">
      <c r="A1291" s="27"/>
      <c r="B1291" s="28"/>
      <c r="C1291" s="27"/>
      <c r="D1291" s="27"/>
      <c r="E1291" s="27"/>
      <c r="F1291" s="27"/>
      <c r="G1291" s="27"/>
      <c r="H1291" s="27"/>
      <c r="I1291" s="27"/>
      <c r="J1291" s="43"/>
      <c r="K1291" s="43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43"/>
      <c r="X1291" s="29"/>
      <c r="Y1291" s="30"/>
      <c r="Z1291" s="27"/>
      <c r="AA1291" s="49"/>
    </row>
    <row r="1292" spans="1:27" x14ac:dyDescent="0.35">
      <c r="A1292" s="27"/>
      <c r="B1292" s="28"/>
      <c r="C1292" s="27"/>
      <c r="D1292" s="27"/>
      <c r="E1292" s="27"/>
      <c r="F1292" s="27"/>
      <c r="G1292" s="27"/>
      <c r="H1292" s="27"/>
      <c r="I1292" s="27"/>
      <c r="J1292" s="43"/>
      <c r="K1292" s="43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43"/>
      <c r="X1292" s="29"/>
      <c r="Y1292" s="30"/>
      <c r="Z1292" s="27"/>
      <c r="AA1292" s="49"/>
    </row>
    <row r="1293" spans="1:27" x14ac:dyDescent="0.35">
      <c r="A1293" s="27"/>
      <c r="B1293" s="28"/>
      <c r="C1293" s="27"/>
      <c r="D1293" s="27"/>
      <c r="E1293" s="27"/>
      <c r="F1293" s="27"/>
      <c r="G1293" s="27"/>
      <c r="H1293" s="27"/>
      <c r="I1293" s="27"/>
      <c r="J1293" s="43"/>
      <c r="K1293" s="43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43"/>
      <c r="X1293" s="29"/>
      <c r="Y1293" s="30"/>
      <c r="Z1293" s="27"/>
      <c r="AA1293" s="49"/>
    </row>
    <row r="1294" spans="1:27" x14ac:dyDescent="0.35">
      <c r="A1294" s="27"/>
      <c r="B1294" s="28"/>
      <c r="C1294" s="27"/>
      <c r="D1294" s="27"/>
      <c r="E1294" s="27"/>
      <c r="F1294" s="27"/>
      <c r="G1294" s="27"/>
      <c r="H1294" s="27"/>
      <c r="I1294" s="27"/>
      <c r="J1294" s="43"/>
      <c r="K1294" s="43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43"/>
      <c r="X1294" s="29"/>
      <c r="Y1294" s="30"/>
      <c r="Z1294" s="27"/>
      <c r="AA1294" s="49"/>
    </row>
    <row r="1295" spans="1:27" x14ac:dyDescent="0.35">
      <c r="A1295" s="27"/>
      <c r="B1295" s="28"/>
      <c r="C1295" s="27"/>
      <c r="D1295" s="27"/>
      <c r="E1295" s="27"/>
      <c r="F1295" s="27"/>
      <c r="G1295" s="27"/>
      <c r="H1295" s="27"/>
      <c r="I1295" s="27"/>
      <c r="J1295" s="43"/>
      <c r="K1295" s="43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43"/>
      <c r="X1295" s="29"/>
      <c r="Y1295" s="30"/>
      <c r="Z1295" s="27"/>
      <c r="AA1295" s="49"/>
    </row>
    <row r="1296" spans="1:27" x14ac:dyDescent="0.35">
      <c r="A1296" s="27"/>
      <c r="B1296" s="28"/>
      <c r="C1296" s="27"/>
      <c r="D1296" s="27"/>
      <c r="E1296" s="27"/>
      <c r="F1296" s="27"/>
      <c r="G1296" s="27"/>
      <c r="H1296" s="27"/>
      <c r="I1296" s="27"/>
      <c r="J1296" s="43"/>
      <c r="K1296" s="43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43"/>
      <c r="X1296" s="29"/>
      <c r="Y1296" s="30"/>
      <c r="Z1296" s="27"/>
      <c r="AA1296" s="49"/>
    </row>
    <row r="1297" spans="1:27" x14ac:dyDescent="0.35">
      <c r="A1297" s="27"/>
      <c r="B1297" s="28"/>
      <c r="C1297" s="27"/>
      <c r="D1297" s="27"/>
      <c r="E1297" s="27"/>
      <c r="F1297" s="27"/>
      <c r="G1297" s="27"/>
      <c r="H1297" s="27"/>
      <c r="I1297" s="27"/>
      <c r="J1297" s="43"/>
      <c r="K1297" s="43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43"/>
      <c r="X1297" s="29"/>
      <c r="Y1297" s="30"/>
      <c r="Z1297" s="27"/>
      <c r="AA1297" s="49"/>
    </row>
    <row r="1298" spans="1:27" x14ac:dyDescent="0.35">
      <c r="A1298" s="27"/>
      <c r="B1298" s="28"/>
      <c r="C1298" s="27"/>
      <c r="D1298" s="27"/>
      <c r="E1298" s="27"/>
      <c r="F1298" s="27"/>
      <c r="G1298" s="27"/>
      <c r="H1298" s="27"/>
      <c r="I1298" s="27"/>
      <c r="J1298" s="43"/>
      <c r="K1298" s="43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43"/>
      <c r="X1298" s="29"/>
      <c r="Y1298" s="30"/>
      <c r="Z1298" s="27"/>
      <c r="AA1298" s="49"/>
    </row>
    <row r="1299" spans="1:27" x14ac:dyDescent="0.35">
      <c r="A1299" s="27"/>
      <c r="B1299" s="28"/>
      <c r="C1299" s="27"/>
      <c r="D1299" s="27"/>
      <c r="E1299" s="27"/>
      <c r="F1299" s="27"/>
      <c r="G1299" s="27"/>
      <c r="H1299" s="27"/>
      <c r="I1299" s="27"/>
      <c r="J1299" s="43"/>
      <c r="K1299" s="43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43"/>
      <c r="X1299" s="29"/>
      <c r="Y1299" s="30"/>
      <c r="Z1299" s="27"/>
      <c r="AA1299" s="49"/>
    </row>
    <row r="1300" spans="1:27" x14ac:dyDescent="0.35">
      <c r="A1300" s="27"/>
      <c r="B1300" s="28"/>
      <c r="C1300" s="27"/>
      <c r="D1300" s="27"/>
      <c r="E1300" s="27"/>
      <c r="F1300" s="27"/>
      <c r="G1300" s="27"/>
      <c r="H1300" s="27"/>
      <c r="I1300" s="27"/>
      <c r="J1300" s="43"/>
      <c r="K1300" s="43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43"/>
      <c r="X1300" s="29"/>
      <c r="Y1300" s="30"/>
      <c r="Z1300" s="27"/>
      <c r="AA1300" s="49"/>
    </row>
    <row r="1301" spans="1:27" x14ac:dyDescent="0.35">
      <c r="A1301" s="27"/>
      <c r="B1301" s="28"/>
      <c r="C1301" s="27"/>
      <c r="D1301" s="27"/>
      <c r="E1301" s="27"/>
      <c r="F1301" s="27"/>
      <c r="G1301" s="27"/>
      <c r="H1301" s="27"/>
      <c r="I1301" s="27"/>
      <c r="J1301" s="43"/>
      <c r="K1301" s="43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43"/>
      <c r="X1301" s="29"/>
      <c r="Y1301" s="30"/>
      <c r="Z1301" s="27"/>
      <c r="AA1301" s="49"/>
    </row>
    <row r="1302" spans="1:27" x14ac:dyDescent="0.35">
      <c r="A1302" s="27"/>
      <c r="B1302" s="28"/>
      <c r="C1302" s="27"/>
      <c r="D1302" s="27"/>
      <c r="E1302" s="27"/>
      <c r="F1302" s="27"/>
      <c r="G1302" s="27"/>
      <c r="H1302" s="27"/>
      <c r="I1302" s="27"/>
      <c r="J1302" s="43"/>
      <c r="K1302" s="43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43"/>
      <c r="X1302" s="29"/>
      <c r="Y1302" s="30"/>
      <c r="Z1302" s="27"/>
      <c r="AA1302" s="49"/>
    </row>
    <row r="1303" spans="1:27" x14ac:dyDescent="0.35">
      <c r="A1303" s="27"/>
      <c r="B1303" s="28"/>
      <c r="C1303" s="27"/>
      <c r="D1303" s="27"/>
      <c r="E1303" s="27"/>
      <c r="F1303" s="27"/>
      <c r="G1303" s="27"/>
      <c r="H1303" s="27"/>
      <c r="I1303" s="27"/>
      <c r="J1303" s="43"/>
      <c r="K1303" s="43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43"/>
      <c r="X1303" s="29"/>
      <c r="Y1303" s="30"/>
      <c r="Z1303" s="27"/>
      <c r="AA1303" s="49"/>
    </row>
    <row r="1304" spans="1:27" x14ac:dyDescent="0.35">
      <c r="A1304" s="27"/>
      <c r="B1304" s="28"/>
      <c r="C1304" s="27"/>
      <c r="D1304" s="27"/>
      <c r="E1304" s="27"/>
      <c r="F1304" s="27"/>
      <c r="G1304" s="27"/>
      <c r="H1304" s="27"/>
      <c r="I1304" s="27"/>
      <c r="J1304" s="43"/>
      <c r="K1304" s="43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43"/>
      <c r="X1304" s="29"/>
      <c r="Y1304" s="30"/>
      <c r="Z1304" s="27"/>
      <c r="AA1304" s="49"/>
    </row>
    <row r="1305" spans="1:27" x14ac:dyDescent="0.35">
      <c r="A1305" s="27"/>
      <c r="B1305" s="28"/>
      <c r="C1305" s="27"/>
      <c r="D1305" s="27"/>
      <c r="E1305" s="27"/>
      <c r="F1305" s="27"/>
      <c r="G1305" s="27"/>
      <c r="H1305" s="27"/>
      <c r="I1305" s="27"/>
      <c r="J1305" s="43"/>
      <c r="K1305" s="43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43"/>
      <c r="X1305" s="29"/>
      <c r="Y1305" s="30"/>
      <c r="Z1305" s="27"/>
      <c r="AA1305" s="49"/>
    </row>
    <row r="1306" spans="1:27" x14ac:dyDescent="0.35">
      <c r="A1306" s="27"/>
      <c r="B1306" s="28"/>
      <c r="C1306" s="27"/>
      <c r="D1306" s="27"/>
      <c r="E1306" s="27"/>
      <c r="F1306" s="27"/>
      <c r="G1306" s="27"/>
      <c r="H1306" s="27"/>
      <c r="I1306" s="27"/>
      <c r="J1306" s="43"/>
      <c r="K1306" s="43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43"/>
      <c r="X1306" s="29"/>
      <c r="Y1306" s="30"/>
      <c r="Z1306" s="27"/>
      <c r="AA1306" s="49"/>
    </row>
    <row r="1307" spans="1:27" x14ac:dyDescent="0.35">
      <c r="A1307" s="27"/>
      <c r="B1307" s="28"/>
      <c r="C1307" s="27"/>
      <c r="D1307" s="27"/>
      <c r="E1307" s="27"/>
      <c r="F1307" s="27"/>
      <c r="G1307" s="27"/>
      <c r="H1307" s="27"/>
      <c r="I1307" s="27"/>
      <c r="J1307" s="43"/>
      <c r="K1307" s="43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43"/>
      <c r="X1307" s="29"/>
      <c r="Y1307" s="30"/>
      <c r="Z1307" s="27"/>
      <c r="AA1307" s="49"/>
    </row>
    <row r="1308" spans="1:27" x14ac:dyDescent="0.35">
      <c r="A1308" s="27"/>
      <c r="B1308" s="28"/>
      <c r="C1308" s="27"/>
      <c r="D1308" s="27"/>
      <c r="E1308" s="27"/>
      <c r="F1308" s="27"/>
      <c r="G1308" s="27"/>
      <c r="H1308" s="27"/>
      <c r="I1308" s="27"/>
      <c r="J1308" s="43"/>
      <c r="K1308" s="43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43"/>
      <c r="X1308" s="29"/>
      <c r="Y1308" s="30"/>
      <c r="Z1308" s="27"/>
      <c r="AA1308" s="49"/>
    </row>
    <row r="1309" spans="1:27" x14ac:dyDescent="0.35">
      <c r="A1309" s="27"/>
      <c r="B1309" s="28"/>
      <c r="C1309" s="27"/>
      <c r="D1309" s="27"/>
      <c r="E1309" s="27"/>
      <c r="F1309" s="27"/>
      <c r="G1309" s="27"/>
      <c r="H1309" s="27"/>
      <c r="I1309" s="27"/>
      <c r="J1309" s="43"/>
      <c r="K1309" s="43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43"/>
      <c r="X1309" s="29"/>
      <c r="Y1309" s="30"/>
      <c r="Z1309" s="27"/>
      <c r="AA1309" s="49"/>
    </row>
    <row r="1310" spans="1:27" x14ac:dyDescent="0.35">
      <c r="A1310" s="27"/>
      <c r="B1310" s="28"/>
      <c r="C1310" s="27"/>
      <c r="D1310" s="27"/>
      <c r="E1310" s="27"/>
      <c r="F1310" s="27"/>
      <c r="G1310" s="27"/>
      <c r="H1310" s="27"/>
      <c r="I1310" s="27"/>
      <c r="J1310" s="43"/>
      <c r="K1310" s="43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43"/>
      <c r="X1310" s="29"/>
      <c r="Y1310" s="30"/>
      <c r="Z1310" s="27"/>
      <c r="AA1310" s="49"/>
    </row>
    <row r="1311" spans="1:27" x14ac:dyDescent="0.35">
      <c r="A1311" s="27"/>
      <c r="B1311" s="28"/>
      <c r="C1311" s="27"/>
      <c r="D1311" s="27"/>
      <c r="E1311" s="27"/>
      <c r="F1311" s="27"/>
      <c r="G1311" s="27"/>
      <c r="H1311" s="27"/>
      <c r="I1311" s="27"/>
      <c r="J1311" s="43"/>
      <c r="K1311" s="43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43"/>
      <c r="X1311" s="29"/>
      <c r="Y1311" s="30"/>
      <c r="Z1311" s="27"/>
      <c r="AA1311" s="49"/>
    </row>
    <row r="1312" spans="1:27" x14ac:dyDescent="0.35">
      <c r="A1312" s="27"/>
      <c r="B1312" s="28"/>
      <c r="C1312" s="27"/>
      <c r="D1312" s="27"/>
      <c r="E1312" s="27"/>
      <c r="F1312" s="27"/>
      <c r="G1312" s="27"/>
      <c r="H1312" s="27"/>
      <c r="I1312" s="27"/>
      <c r="J1312" s="43"/>
      <c r="K1312" s="43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43"/>
      <c r="X1312" s="29"/>
      <c r="Y1312" s="30"/>
      <c r="Z1312" s="27"/>
      <c r="AA1312" s="49"/>
    </row>
    <row r="1313" spans="1:27" x14ac:dyDescent="0.35">
      <c r="A1313" s="27"/>
      <c r="B1313" s="28"/>
      <c r="C1313" s="27"/>
      <c r="D1313" s="27"/>
      <c r="E1313" s="27"/>
      <c r="F1313" s="27"/>
      <c r="G1313" s="27"/>
      <c r="H1313" s="27"/>
      <c r="I1313" s="27"/>
      <c r="J1313" s="43"/>
      <c r="K1313" s="43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43"/>
      <c r="X1313" s="29"/>
      <c r="Y1313" s="30"/>
      <c r="Z1313" s="27"/>
      <c r="AA1313" s="49"/>
    </row>
    <row r="1314" spans="1:27" x14ac:dyDescent="0.35">
      <c r="A1314" s="27"/>
      <c r="B1314" s="28"/>
      <c r="C1314" s="27"/>
      <c r="D1314" s="27"/>
      <c r="E1314" s="27"/>
      <c r="F1314" s="27"/>
      <c r="G1314" s="27"/>
      <c r="H1314" s="27"/>
      <c r="I1314" s="27"/>
      <c r="J1314" s="43"/>
      <c r="K1314" s="43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43"/>
      <c r="X1314" s="29"/>
      <c r="Y1314" s="30"/>
      <c r="Z1314" s="27"/>
      <c r="AA1314" s="49"/>
    </row>
    <row r="1315" spans="1:27" x14ac:dyDescent="0.35">
      <c r="A1315" s="27"/>
      <c r="B1315" s="28"/>
      <c r="C1315" s="27"/>
      <c r="D1315" s="27"/>
      <c r="E1315" s="27"/>
      <c r="F1315" s="27"/>
      <c r="G1315" s="27"/>
      <c r="H1315" s="27"/>
      <c r="I1315" s="27"/>
      <c r="J1315" s="43"/>
      <c r="K1315" s="43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43"/>
      <c r="X1315" s="29"/>
      <c r="Y1315" s="30"/>
      <c r="Z1315" s="27"/>
      <c r="AA1315" s="49"/>
    </row>
    <row r="1316" spans="1:27" x14ac:dyDescent="0.35">
      <c r="A1316" s="27"/>
      <c r="B1316" s="28"/>
      <c r="C1316" s="27"/>
      <c r="D1316" s="27"/>
      <c r="E1316" s="27"/>
      <c r="F1316" s="27"/>
      <c r="G1316" s="27"/>
      <c r="H1316" s="27"/>
      <c r="I1316" s="27"/>
      <c r="J1316" s="43"/>
      <c r="K1316" s="43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43"/>
      <c r="X1316" s="29"/>
      <c r="Y1316" s="30"/>
      <c r="Z1316" s="27"/>
      <c r="AA1316" s="49"/>
    </row>
    <row r="1317" spans="1:27" x14ac:dyDescent="0.35">
      <c r="A1317" s="27"/>
      <c r="B1317" s="28"/>
      <c r="C1317" s="27"/>
      <c r="D1317" s="27"/>
      <c r="E1317" s="27"/>
      <c r="F1317" s="27"/>
      <c r="G1317" s="27"/>
      <c r="H1317" s="27"/>
      <c r="I1317" s="27"/>
      <c r="J1317" s="43"/>
      <c r="K1317" s="43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43"/>
      <c r="X1317" s="29"/>
      <c r="Y1317" s="30"/>
      <c r="Z1317" s="27"/>
      <c r="AA1317" s="49"/>
    </row>
    <row r="1318" spans="1:27" x14ac:dyDescent="0.35">
      <c r="A1318" s="27"/>
      <c r="B1318" s="28"/>
      <c r="C1318" s="27"/>
      <c r="D1318" s="27"/>
      <c r="E1318" s="27"/>
      <c r="F1318" s="27"/>
      <c r="G1318" s="27"/>
      <c r="H1318" s="27"/>
      <c r="I1318" s="27"/>
      <c r="J1318" s="43"/>
      <c r="K1318" s="43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43"/>
      <c r="X1318" s="29"/>
      <c r="Y1318" s="30"/>
      <c r="Z1318" s="27"/>
      <c r="AA1318" s="49"/>
    </row>
    <row r="1319" spans="1:27" x14ac:dyDescent="0.35">
      <c r="A1319" s="27"/>
      <c r="B1319" s="28"/>
      <c r="C1319" s="27"/>
      <c r="D1319" s="27"/>
      <c r="E1319" s="27"/>
      <c r="F1319" s="27"/>
      <c r="G1319" s="27"/>
      <c r="H1319" s="27"/>
      <c r="I1319" s="27"/>
      <c r="J1319" s="43"/>
      <c r="K1319" s="43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43"/>
      <c r="X1319" s="29"/>
      <c r="Y1319" s="30"/>
      <c r="Z1319" s="27"/>
      <c r="AA1319" s="49"/>
    </row>
    <row r="1320" spans="1:27" x14ac:dyDescent="0.35">
      <c r="A1320" s="27"/>
      <c r="B1320" s="28"/>
      <c r="C1320" s="27"/>
      <c r="D1320" s="27"/>
      <c r="E1320" s="27"/>
      <c r="F1320" s="27"/>
      <c r="G1320" s="27"/>
      <c r="H1320" s="27"/>
      <c r="I1320" s="27"/>
      <c r="J1320" s="43"/>
      <c r="K1320" s="43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43"/>
      <c r="X1320" s="29"/>
      <c r="Y1320" s="30"/>
      <c r="Z1320" s="27"/>
      <c r="AA1320" s="49"/>
    </row>
    <row r="1321" spans="1:27" x14ac:dyDescent="0.35">
      <c r="A1321" s="27"/>
      <c r="B1321" s="28"/>
      <c r="C1321" s="27"/>
      <c r="D1321" s="27"/>
      <c r="E1321" s="27"/>
      <c r="F1321" s="27"/>
      <c r="G1321" s="27"/>
      <c r="H1321" s="27"/>
      <c r="I1321" s="27"/>
      <c r="J1321" s="43"/>
      <c r="K1321" s="43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43"/>
      <c r="X1321" s="29"/>
      <c r="Y1321" s="30"/>
      <c r="Z1321" s="27"/>
      <c r="AA1321" s="49"/>
    </row>
    <row r="1322" spans="1:27" x14ac:dyDescent="0.35">
      <c r="A1322" s="27"/>
      <c r="B1322" s="28"/>
      <c r="C1322" s="27"/>
      <c r="D1322" s="27"/>
      <c r="E1322" s="27"/>
      <c r="F1322" s="27"/>
      <c r="G1322" s="27"/>
      <c r="H1322" s="27"/>
      <c r="I1322" s="27"/>
      <c r="J1322" s="43"/>
      <c r="K1322" s="43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43"/>
      <c r="X1322" s="29"/>
      <c r="Y1322" s="30"/>
      <c r="Z1322" s="27"/>
      <c r="AA1322" s="49"/>
    </row>
    <row r="1323" spans="1:27" x14ac:dyDescent="0.35">
      <c r="A1323" s="27"/>
      <c r="B1323" s="28"/>
      <c r="C1323" s="27"/>
      <c r="D1323" s="27"/>
      <c r="E1323" s="27"/>
      <c r="F1323" s="27"/>
      <c r="G1323" s="27"/>
      <c r="H1323" s="27"/>
      <c r="I1323" s="27"/>
      <c r="J1323" s="43"/>
      <c r="K1323" s="43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43"/>
      <c r="X1323" s="29"/>
      <c r="Y1323" s="30"/>
      <c r="Z1323" s="27"/>
      <c r="AA1323" s="49"/>
    </row>
    <row r="1324" spans="1:27" x14ac:dyDescent="0.35">
      <c r="A1324" s="27"/>
      <c r="B1324" s="28"/>
      <c r="C1324" s="27"/>
      <c r="D1324" s="27"/>
      <c r="E1324" s="27"/>
      <c r="F1324" s="27"/>
      <c r="G1324" s="27"/>
      <c r="H1324" s="27"/>
      <c r="I1324" s="27"/>
      <c r="J1324" s="43"/>
      <c r="K1324" s="43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43"/>
      <c r="X1324" s="29"/>
      <c r="Y1324" s="30"/>
      <c r="Z1324" s="27"/>
      <c r="AA1324" s="49"/>
    </row>
    <row r="1325" spans="1:27" x14ac:dyDescent="0.35">
      <c r="A1325" s="27"/>
      <c r="B1325" s="28"/>
      <c r="C1325" s="27"/>
      <c r="D1325" s="27"/>
      <c r="E1325" s="27"/>
      <c r="F1325" s="27"/>
      <c r="G1325" s="27"/>
      <c r="H1325" s="27"/>
      <c r="I1325" s="27"/>
      <c r="J1325" s="43"/>
      <c r="K1325" s="43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43"/>
      <c r="X1325" s="29"/>
      <c r="Y1325" s="30"/>
      <c r="Z1325" s="27"/>
      <c r="AA1325" s="49"/>
    </row>
    <row r="1326" spans="1:27" x14ac:dyDescent="0.35">
      <c r="A1326" s="27"/>
      <c r="B1326" s="28"/>
      <c r="C1326" s="27"/>
      <c r="D1326" s="27"/>
      <c r="E1326" s="27"/>
      <c r="F1326" s="27"/>
      <c r="G1326" s="27"/>
      <c r="H1326" s="27"/>
      <c r="I1326" s="27"/>
      <c r="J1326" s="43"/>
      <c r="K1326" s="43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43"/>
      <c r="X1326" s="29"/>
      <c r="Y1326" s="30"/>
      <c r="Z1326" s="27"/>
      <c r="AA1326" s="49"/>
    </row>
    <row r="1327" spans="1:27" x14ac:dyDescent="0.35">
      <c r="A1327" s="27"/>
      <c r="B1327" s="28"/>
      <c r="C1327" s="27"/>
      <c r="D1327" s="27"/>
      <c r="E1327" s="27"/>
      <c r="F1327" s="27"/>
      <c r="G1327" s="27"/>
      <c r="H1327" s="27"/>
      <c r="I1327" s="27"/>
      <c r="J1327" s="43"/>
      <c r="K1327" s="43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43"/>
      <c r="X1327" s="29"/>
      <c r="Y1327" s="30"/>
      <c r="Z1327" s="27"/>
      <c r="AA1327" s="49"/>
    </row>
    <row r="1328" spans="1:27" x14ac:dyDescent="0.35">
      <c r="A1328" s="27"/>
      <c r="B1328" s="28"/>
      <c r="C1328" s="27"/>
      <c r="D1328" s="27"/>
      <c r="E1328" s="27"/>
      <c r="F1328" s="27"/>
      <c r="G1328" s="27"/>
      <c r="H1328" s="27"/>
      <c r="I1328" s="27"/>
      <c r="J1328" s="43"/>
      <c r="K1328" s="43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43"/>
      <c r="X1328" s="29"/>
      <c r="Y1328" s="30"/>
      <c r="Z1328" s="27"/>
      <c r="AA1328" s="49"/>
    </row>
    <row r="1329" spans="1:27" x14ac:dyDescent="0.35">
      <c r="A1329" s="27"/>
      <c r="B1329" s="28"/>
      <c r="C1329" s="27"/>
      <c r="D1329" s="27"/>
      <c r="E1329" s="27"/>
      <c r="F1329" s="27"/>
      <c r="G1329" s="27"/>
      <c r="H1329" s="27"/>
      <c r="I1329" s="27"/>
      <c r="J1329" s="43"/>
      <c r="K1329" s="43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43"/>
      <c r="X1329" s="29"/>
      <c r="Y1329" s="30"/>
      <c r="Z1329" s="27"/>
      <c r="AA1329" s="49"/>
    </row>
    <row r="1330" spans="1:27" x14ac:dyDescent="0.35">
      <c r="A1330" s="27"/>
      <c r="B1330" s="28"/>
      <c r="C1330" s="27"/>
      <c r="D1330" s="27"/>
      <c r="E1330" s="27"/>
      <c r="F1330" s="27"/>
      <c r="G1330" s="27"/>
      <c r="H1330" s="27"/>
      <c r="I1330" s="27"/>
      <c r="J1330" s="43"/>
      <c r="K1330" s="43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43"/>
      <c r="X1330" s="29"/>
      <c r="Y1330" s="30"/>
      <c r="Z1330" s="27"/>
      <c r="AA1330" s="49"/>
    </row>
    <row r="1331" spans="1:27" x14ac:dyDescent="0.35">
      <c r="A1331" s="27"/>
      <c r="B1331" s="28"/>
      <c r="C1331" s="27"/>
      <c r="D1331" s="27"/>
      <c r="E1331" s="27"/>
      <c r="F1331" s="27"/>
      <c r="G1331" s="27"/>
      <c r="H1331" s="27"/>
      <c r="I1331" s="27"/>
      <c r="J1331" s="43"/>
      <c r="K1331" s="43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43"/>
      <c r="X1331" s="29"/>
      <c r="Y1331" s="30"/>
      <c r="Z1331" s="27"/>
      <c r="AA1331" s="49"/>
    </row>
    <row r="1332" spans="1:27" x14ac:dyDescent="0.35">
      <c r="A1332" s="27"/>
      <c r="B1332" s="28"/>
      <c r="C1332" s="27"/>
      <c r="D1332" s="27"/>
      <c r="E1332" s="27"/>
      <c r="F1332" s="27"/>
      <c r="G1332" s="27"/>
      <c r="H1332" s="27"/>
      <c r="I1332" s="27"/>
      <c r="J1332" s="43"/>
      <c r="K1332" s="43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43"/>
      <c r="X1332" s="29"/>
      <c r="Y1332" s="30"/>
      <c r="Z1332" s="27"/>
      <c r="AA1332" s="49"/>
    </row>
    <row r="1333" spans="1:27" x14ac:dyDescent="0.35">
      <c r="A1333" s="27"/>
      <c r="B1333" s="28"/>
      <c r="C1333" s="27"/>
      <c r="D1333" s="27"/>
      <c r="E1333" s="27"/>
      <c r="F1333" s="27"/>
      <c r="G1333" s="27"/>
      <c r="H1333" s="27"/>
      <c r="I1333" s="27"/>
      <c r="J1333" s="43"/>
      <c r="K1333" s="43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43"/>
      <c r="X1333" s="29"/>
      <c r="Y1333" s="30"/>
      <c r="Z1333" s="27"/>
      <c r="AA1333" s="49"/>
    </row>
    <row r="1334" spans="1:27" x14ac:dyDescent="0.35">
      <c r="A1334" s="27"/>
      <c r="B1334" s="28"/>
      <c r="C1334" s="27"/>
      <c r="D1334" s="27"/>
      <c r="E1334" s="27"/>
      <c r="F1334" s="27"/>
      <c r="G1334" s="27"/>
      <c r="H1334" s="27"/>
      <c r="I1334" s="27"/>
      <c r="J1334" s="43"/>
      <c r="K1334" s="43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43"/>
      <c r="X1334" s="29"/>
      <c r="Y1334" s="30"/>
      <c r="Z1334" s="27"/>
      <c r="AA1334" s="49"/>
    </row>
    <row r="1335" spans="1:27" x14ac:dyDescent="0.35">
      <c r="A1335" s="27"/>
      <c r="B1335" s="28"/>
      <c r="C1335" s="27"/>
      <c r="D1335" s="27"/>
      <c r="E1335" s="27"/>
      <c r="F1335" s="27"/>
      <c r="G1335" s="27"/>
      <c r="H1335" s="27"/>
      <c r="I1335" s="27"/>
      <c r="J1335" s="43"/>
      <c r="K1335" s="43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43"/>
      <c r="X1335" s="29"/>
      <c r="Y1335" s="30"/>
      <c r="Z1335" s="27"/>
      <c r="AA1335" s="49"/>
    </row>
    <row r="1336" spans="1:27" x14ac:dyDescent="0.35">
      <c r="A1336" s="27"/>
      <c r="B1336" s="28"/>
      <c r="C1336" s="27"/>
      <c r="D1336" s="27"/>
      <c r="E1336" s="27"/>
      <c r="F1336" s="27"/>
      <c r="G1336" s="27"/>
      <c r="H1336" s="27"/>
      <c r="I1336" s="27"/>
      <c r="J1336" s="43"/>
      <c r="K1336" s="43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43"/>
      <c r="X1336" s="29"/>
      <c r="Y1336" s="30"/>
      <c r="Z1336" s="27"/>
      <c r="AA1336" s="49"/>
    </row>
    <row r="1337" spans="1:27" x14ac:dyDescent="0.35">
      <c r="A1337" s="27"/>
      <c r="B1337" s="28"/>
      <c r="C1337" s="27"/>
      <c r="D1337" s="27"/>
      <c r="E1337" s="27"/>
      <c r="F1337" s="27"/>
      <c r="G1337" s="27"/>
      <c r="H1337" s="27"/>
      <c r="I1337" s="27"/>
      <c r="J1337" s="43"/>
      <c r="K1337" s="43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43"/>
      <c r="X1337" s="29"/>
      <c r="Y1337" s="30"/>
      <c r="Z1337" s="27"/>
      <c r="AA1337" s="49"/>
    </row>
    <row r="1338" spans="1:27" x14ac:dyDescent="0.35">
      <c r="A1338" s="27"/>
      <c r="B1338" s="28"/>
      <c r="C1338" s="27"/>
      <c r="D1338" s="27"/>
      <c r="E1338" s="27"/>
      <c r="F1338" s="27"/>
      <c r="G1338" s="27"/>
      <c r="H1338" s="27"/>
      <c r="I1338" s="27"/>
      <c r="J1338" s="43"/>
      <c r="K1338" s="43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43"/>
      <c r="X1338" s="29"/>
      <c r="Y1338" s="30"/>
      <c r="Z1338" s="27"/>
      <c r="AA1338" s="49"/>
    </row>
    <row r="1339" spans="1:27" x14ac:dyDescent="0.35">
      <c r="A1339" s="27"/>
      <c r="B1339" s="28"/>
      <c r="C1339" s="27"/>
      <c r="D1339" s="27"/>
      <c r="E1339" s="27"/>
      <c r="F1339" s="27"/>
      <c r="G1339" s="27"/>
      <c r="H1339" s="27"/>
      <c r="I1339" s="27"/>
      <c r="J1339" s="43"/>
      <c r="K1339" s="43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43"/>
      <c r="X1339" s="29"/>
      <c r="Y1339" s="30"/>
      <c r="Z1339" s="27"/>
      <c r="AA1339" s="49"/>
    </row>
    <row r="1340" spans="1:27" x14ac:dyDescent="0.35">
      <c r="A1340" s="27"/>
      <c r="B1340" s="28"/>
      <c r="C1340" s="27"/>
      <c r="D1340" s="27"/>
      <c r="E1340" s="27"/>
      <c r="F1340" s="27"/>
      <c r="G1340" s="27"/>
      <c r="H1340" s="27"/>
      <c r="I1340" s="27"/>
      <c r="J1340" s="43"/>
      <c r="K1340" s="43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43"/>
      <c r="X1340" s="29"/>
      <c r="Y1340" s="30"/>
      <c r="Z1340" s="27"/>
      <c r="AA1340" s="49"/>
    </row>
    <row r="1341" spans="1:27" x14ac:dyDescent="0.35">
      <c r="A1341" s="27"/>
      <c r="B1341" s="28"/>
      <c r="C1341" s="27"/>
      <c r="D1341" s="27"/>
      <c r="E1341" s="27"/>
      <c r="F1341" s="27"/>
      <c r="G1341" s="27"/>
      <c r="H1341" s="27"/>
      <c r="I1341" s="27"/>
      <c r="J1341" s="43"/>
      <c r="K1341" s="43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43"/>
      <c r="X1341" s="29"/>
      <c r="Y1341" s="30"/>
      <c r="Z1341" s="27"/>
      <c r="AA1341" s="49"/>
    </row>
    <row r="1342" spans="1:27" x14ac:dyDescent="0.35">
      <c r="A1342" s="27"/>
      <c r="B1342" s="28"/>
      <c r="C1342" s="27"/>
      <c r="D1342" s="27"/>
      <c r="E1342" s="27"/>
      <c r="F1342" s="27"/>
      <c r="G1342" s="27"/>
      <c r="H1342" s="27"/>
      <c r="I1342" s="27"/>
      <c r="J1342" s="43"/>
      <c r="K1342" s="43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43"/>
      <c r="X1342" s="29"/>
      <c r="Y1342" s="30"/>
      <c r="Z1342" s="27"/>
      <c r="AA1342" s="49"/>
    </row>
    <row r="1343" spans="1:27" x14ac:dyDescent="0.35">
      <c r="A1343" s="27"/>
      <c r="B1343" s="28"/>
      <c r="C1343" s="27"/>
      <c r="D1343" s="27"/>
      <c r="E1343" s="27"/>
      <c r="F1343" s="27"/>
      <c r="G1343" s="27"/>
      <c r="H1343" s="27"/>
      <c r="I1343" s="27"/>
      <c r="J1343" s="43"/>
      <c r="K1343" s="43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43"/>
      <c r="X1343" s="29"/>
      <c r="Y1343" s="30"/>
      <c r="Z1343" s="27"/>
      <c r="AA1343" s="49"/>
    </row>
    <row r="1344" spans="1:27" x14ac:dyDescent="0.35">
      <c r="A1344" s="27"/>
      <c r="B1344" s="28"/>
      <c r="C1344" s="27"/>
      <c r="D1344" s="27"/>
      <c r="E1344" s="27"/>
      <c r="F1344" s="27"/>
      <c r="G1344" s="27"/>
      <c r="H1344" s="27"/>
      <c r="I1344" s="27"/>
      <c r="J1344" s="43"/>
      <c r="K1344" s="43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43"/>
      <c r="X1344" s="29"/>
      <c r="Y1344" s="30"/>
      <c r="Z1344" s="27"/>
      <c r="AA1344" s="49"/>
    </row>
    <row r="1345" spans="1:27" x14ac:dyDescent="0.35">
      <c r="A1345" s="27"/>
      <c r="B1345" s="28"/>
      <c r="C1345" s="27"/>
      <c r="D1345" s="27"/>
      <c r="E1345" s="27"/>
      <c r="F1345" s="27"/>
      <c r="G1345" s="27"/>
      <c r="H1345" s="27"/>
      <c r="I1345" s="27"/>
      <c r="J1345" s="43"/>
      <c r="K1345" s="43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43"/>
      <c r="X1345" s="29"/>
      <c r="Y1345" s="30"/>
      <c r="Z1345" s="27"/>
      <c r="AA1345" s="49"/>
    </row>
    <row r="1346" spans="1:27" x14ac:dyDescent="0.35">
      <c r="A1346" s="27"/>
      <c r="B1346" s="28"/>
      <c r="C1346" s="27"/>
      <c r="D1346" s="27"/>
      <c r="E1346" s="27"/>
      <c r="F1346" s="27"/>
      <c r="G1346" s="27"/>
      <c r="H1346" s="27"/>
      <c r="I1346" s="27"/>
      <c r="J1346" s="43"/>
      <c r="K1346" s="43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43"/>
      <c r="X1346" s="29"/>
      <c r="Y1346" s="30"/>
      <c r="Z1346" s="27"/>
      <c r="AA1346" s="49"/>
    </row>
    <row r="1347" spans="1:27" x14ac:dyDescent="0.35">
      <c r="A1347" s="27"/>
      <c r="B1347" s="28"/>
      <c r="C1347" s="27"/>
      <c r="D1347" s="27"/>
      <c r="E1347" s="27"/>
      <c r="F1347" s="27"/>
      <c r="G1347" s="27"/>
      <c r="H1347" s="27"/>
      <c r="I1347" s="27"/>
      <c r="J1347" s="43"/>
      <c r="K1347" s="43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43"/>
      <c r="X1347" s="29"/>
      <c r="Y1347" s="30"/>
      <c r="Z1347" s="27"/>
      <c r="AA1347" s="49"/>
    </row>
    <row r="1348" spans="1:27" x14ac:dyDescent="0.35">
      <c r="A1348" s="27"/>
      <c r="B1348" s="28"/>
      <c r="C1348" s="27"/>
      <c r="D1348" s="27"/>
      <c r="E1348" s="27"/>
      <c r="F1348" s="27"/>
      <c r="G1348" s="27"/>
      <c r="H1348" s="27"/>
      <c r="I1348" s="27"/>
      <c r="J1348" s="43"/>
      <c r="K1348" s="43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43"/>
      <c r="X1348" s="29"/>
      <c r="Y1348" s="30"/>
      <c r="Z1348" s="27"/>
      <c r="AA1348" s="49"/>
    </row>
    <row r="1349" spans="1:27" x14ac:dyDescent="0.35">
      <c r="A1349" s="27"/>
      <c r="B1349" s="28"/>
      <c r="C1349" s="27"/>
      <c r="D1349" s="27"/>
      <c r="E1349" s="27"/>
      <c r="F1349" s="27"/>
      <c r="G1349" s="27"/>
      <c r="H1349" s="27"/>
      <c r="I1349" s="27"/>
      <c r="J1349" s="43"/>
      <c r="K1349" s="43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43"/>
      <c r="X1349" s="29"/>
      <c r="Y1349" s="30"/>
      <c r="Z1349" s="27"/>
      <c r="AA1349" s="49"/>
    </row>
    <row r="1350" spans="1:27" x14ac:dyDescent="0.35">
      <c r="A1350" s="27"/>
      <c r="B1350" s="28"/>
      <c r="C1350" s="27"/>
      <c r="D1350" s="27"/>
      <c r="E1350" s="27"/>
      <c r="F1350" s="27"/>
      <c r="G1350" s="27"/>
      <c r="H1350" s="27"/>
      <c r="I1350" s="27"/>
      <c r="J1350" s="43"/>
      <c r="K1350" s="43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43"/>
      <c r="X1350" s="29"/>
      <c r="Y1350" s="30"/>
      <c r="Z1350" s="27"/>
      <c r="AA1350" s="49"/>
    </row>
    <row r="1351" spans="1:27" x14ac:dyDescent="0.35">
      <c r="A1351" s="27"/>
      <c r="B1351" s="28"/>
      <c r="C1351" s="27"/>
      <c r="D1351" s="27"/>
      <c r="E1351" s="27"/>
      <c r="F1351" s="27"/>
      <c r="G1351" s="27"/>
      <c r="H1351" s="27"/>
      <c r="I1351" s="27"/>
      <c r="J1351" s="43"/>
      <c r="K1351" s="43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43"/>
      <c r="X1351" s="29"/>
      <c r="Y1351" s="30"/>
      <c r="Z1351" s="27"/>
      <c r="AA1351" s="49"/>
    </row>
    <row r="1352" spans="1:27" x14ac:dyDescent="0.35">
      <c r="A1352" s="27"/>
      <c r="B1352" s="28"/>
      <c r="C1352" s="27"/>
      <c r="D1352" s="27"/>
      <c r="E1352" s="27"/>
      <c r="F1352" s="27"/>
      <c r="G1352" s="27"/>
      <c r="H1352" s="27"/>
      <c r="I1352" s="27"/>
      <c r="J1352" s="43"/>
      <c r="K1352" s="43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43"/>
      <c r="X1352" s="29"/>
      <c r="Y1352" s="30"/>
      <c r="Z1352" s="27"/>
      <c r="AA1352" s="49"/>
    </row>
    <row r="1353" spans="1:27" x14ac:dyDescent="0.35">
      <c r="A1353" s="27"/>
      <c r="B1353" s="28"/>
      <c r="C1353" s="27"/>
      <c r="D1353" s="27"/>
      <c r="E1353" s="27"/>
      <c r="F1353" s="27"/>
      <c r="G1353" s="27"/>
      <c r="H1353" s="27"/>
      <c r="I1353" s="27"/>
      <c r="J1353" s="43"/>
      <c r="K1353" s="43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43"/>
      <c r="X1353" s="29"/>
      <c r="Y1353" s="30"/>
      <c r="Z1353" s="27"/>
      <c r="AA1353" s="49"/>
    </row>
    <row r="1354" spans="1:27" x14ac:dyDescent="0.35">
      <c r="A1354" s="27"/>
      <c r="B1354" s="28"/>
      <c r="C1354" s="27"/>
      <c r="D1354" s="27"/>
      <c r="E1354" s="27"/>
      <c r="F1354" s="27"/>
      <c r="G1354" s="27"/>
      <c r="H1354" s="27"/>
      <c r="I1354" s="27"/>
      <c r="J1354" s="43"/>
      <c r="K1354" s="43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43"/>
      <c r="X1354" s="29"/>
      <c r="Y1354" s="30"/>
      <c r="Z1354" s="27"/>
      <c r="AA1354" s="49"/>
    </row>
    <row r="1355" spans="1:27" x14ac:dyDescent="0.35">
      <c r="A1355" s="27"/>
      <c r="B1355" s="28"/>
      <c r="C1355" s="27"/>
      <c r="D1355" s="27"/>
      <c r="E1355" s="27"/>
      <c r="F1355" s="27"/>
      <c r="G1355" s="27"/>
      <c r="H1355" s="27"/>
      <c r="I1355" s="27"/>
      <c r="J1355" s="43"/>
      <c r="K1355" s="43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43"/>
      <c r="X1355" s="29"/>
      <c r="Y1355" s="30"/>
      <c r="Z1355" s="27"/>
      <c r="AA1355" s="49"/>
    </row>
    <row r="1356" spans="1:27" x14ac:dyDescent="0.35">
      <c r="A1356" s="27"/>
      <c r="B1356" s="28"/>
      <c r="C1356" s="27"/>
      <c r="D1356" s="27"/>
      <c r="E1356" s="27"/>
      <c r="F1356" s="27"/>
      <c r="G1356" s="27"/>
      <c r="H1356" s="27"/>
      <c r="I1356" s="27"/>
      <c r="J1356" s="43"/>
      <c r="K1356" s="43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43"/>
      <c r="X1356" s="29"/>
      <c r="Y1356" s="30"/>
      <c r="Z1356" s="27"/>
      <c r="AA1356" s="49"/>
    </row>
    <row r="1357" spans="1:27" x14ac:dyDescent="0.35">
      <c r="A1357" s="27"/>
      <c r="B1357" s="28"/>
      <c r="C1357" s="27"/>
      <c r="D1357" s="27"/>
      <c r="E1357" s="27"/>
      <c r="F1357" s="27"/>
      <c r="G1357" s="27"/>
      <c r="H1357" s="27"/>
      <c r="I1357" s="27"/>
      <c r="J1357" s="43"/>
      <c r="K1357" s="43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43"/>
      <c r="X1357" s="29"/>
      <c r="Y1357" s="30"/>
      <c r="Z1357" s="27"/>
      <c r="AA1357" s="49"/>
    </row>
    <row r="1358" spans="1:27" x14ac:dyDescent="0.35">
      <c r="A1358" s="27"/>
      <c r="B1358" s="28"/>
      <c r="C1358" s="27"/>
      <c r="D1358" s="27"/>
      <c r="E1358" s="27"/>
      <c r="F1358" s="27"/>
      <c r="G1358" s="27"/>
      <c r="H1358" s="27"/>
      <c r="I1358" s="27"/>
      <c r="J1358" s="43"/>
      <c r="K1358" s="43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43"/>
      <c r="X1358" s="29"/>
      <c r="Y1358" s="30"/>
      <c r="Z1358" s="27"/>
      <c r="AA1358" s="49"/>
    </row>
    <row r="1359" spans="1:27" x14ac:dyDescent="0.35">
      <c r="A1359" s="27"/>
      <c r="B1359" s="28"/>
      <c r="C1359" s="27"/>
      <c r="D1359" s="27"/>
      <c r="E1359" s="27"/>
      <c r="F1359" s="27"/>
      <c r="G1359" s="27"/>
      <c r="H1359" s="27"/>
      <c r="I1359" s="27"/>
      <c r="J1359" s="43"/>
      <c r="K1359" s="43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43"/>
      <c r="X1359" s="29"/>
      <c r="Y1359" s="30"/>
      <c r="Z1359" s="27"/>
      <c r="AA1359" s="49"/>
    </row>
    <row r="1360" spans="1:27" x14ac:dyDescent="0.35">
      <c r="A1360" s="27"/>
      <c r="B1360" s="28"/>
      <c r="C1360" s="27"/>
      <c r="D1360" s="27"/>
      <c r="E1360" s="27"/>
      <c r="F1360" s="27"/>
      <c r="G1360" s="27"/>
      <c r="H1360" s="27"/>
      <c r="I1360" s="27"/>
      <c r="J1360" s="43"/>
      <c r="K1360" s="43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43"/>
      <c r="X1360" s="29"/>
      <c r="Y1360" s="30"/>
      <c r="Z1360" s="27"/>
      <c r="AA1360" s="49"/>
    </row>
    <row r="1361" spans="1:27" x14ac:dyDescent="0.35">
      <c r="A1361" s="27"/>
      <c r="B1361" s="28"/>
      <c r="C1361" s="27"/>
      <c r="D1361" s="27"/>
      <c r="E1361" s="27"/>
      <c r="F1361" s="27"/>
      <c r="G1361" s="27"/>
      <c r="H1361" s="27"/>
      <c r="I1361" s="27"/>
      <c r="J1361" s="43"/>
      <c r="K1361" s="43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43"/>
      <c r="X1361" s="29"/>
      <c r="Y1361" s="30"/>
      <c r="Z1361" s="27"/>
      <c r="AA1361" s="49"/>
    </row>
    <row r="1362" spans="1:27" x14ac:dyDescent="0.35">
      <c r="A1362" s="27"/>
      <c r="B1362" s="28"/>
      <c r="C1362" s="27"/>
      <c r="D1362" s="27"/>
      <c r="E1362" s="27"/>
      <c r="F1362" s="27"/>
      <c r="G1362" s="27"/>
      <c r="H1362" s="27"/>
      <c r="I1362" s="27"/>
      <c r="J1362" s="43"/>
      <c r="K1362" s="43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43"/>
      <c r="X1362" s="29"/>
      <c r="Y1362" s="30"/>
      <c r="Z1362" s="27"/>
      <c r="AA1362" s="49"/>
    </row>
    <row r="1363" spans="1:27" x14ac:dyDescent="0.35">
      <c r="A1363" s="27"/>
      <c r="B1363" s="28"/>
      <c r="C1363" s="27"/>
      <c r="D1363" s="27"/>
      <c r="E1363" s="27"/>
      <c r="F1363" s="27"/>
      <c r="G1363" s="27"/>
      <c r="H1363" s="27"/>
      <c r="I1363" s="27"/>
      <c r="J1363" s="43"/>
      <c r="K1363" s="43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43"/>
      <c r="X1363" s="29"/>
      <c r="Y1363" s="30"/>
      <c r="Z1363" s="27"/>
      <c r="AA1363" s="49"/>
    </row>
    <row r="1364" spans="1:27" x14ac:dyDescent="0.35">
      <c r="A1364" s="27"/>
      <c r="B1364" s="28"/>
      <c r="C1364" s="27"/>
      <c r="D1364" s="27"/>
      <c r="E1364" s="27"/>
      <c r="F1364" s="27"/>
      <c r="G1364" s="27"/>
      <c r="H1364" s="27"/>
      <c r="I1364" s="27"/>
      <c r="J1364" s="43"/>
      <c r="K1364" s="43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43"/>
      <c r="X1364" s="29"/>
      <c r="Y1364" s="30"/>
      <c r="Z1364" s="27"/>
      <c r="AA1364" s="49"/>
    </row>
    <row r="1365" spans="1:27" x14ac:dyDescent="0.35">
      <c r="A1365" s="27"/>
      <c r="B1365" s="28"/>
      <c r="C1365" s="27"/>
      <c r="D1365" s="27"/>
      <c r="E1365" s="27"/>
      <c r="F1365" s="27"/>
      <c r="G1365" s="27"/>
      <c r="H1365" s="27"/>
      <c r="I1365" s="27"/>
      <c r="J1365" s="43"/>
      <c r="K1365" s="43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43"/>
      <c r="X1365" s="29"/>
      <c r="Y1365" s="30"/>
      <c r="Z1365" s="27"/>
      <c r="AA1365" s="49"/>
    </row>
    <row r="1366" spans="1:27" x14ac:dyDescent="0.35">
      <c r="A1366" s="27"/>
      <c r="B1366" s="28"/>
      <c r="C1366" s="27"/>
      <c r="D1366" s="27"/>
      <c r="E1366" s="27"/>
      <c r="F1366" s="27"/>
      <c r="G1366" s="27"/>
      <c r="H1366" s="27"/>
      <c r="I1366" s="27"/>
      <c r="J1366" s="43"/>
      <c r="K1366" s="43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43"/>
      <c r="X1366" s="29"/>
      <c r="Y1366" s="30"/>
      <c r="Z1366" s="27"/>
      <c r="AA1366" s="49"/>
    </row>
    <row r="1367" spans="1:27" x14ac:dyDescent="0.35">
      <c r="A1367" s="27"/>
      <c r="B1367" s="28"/>
      <c r="C1367" s="27"/>
      <c r="D1367" s="27"/>
      <c r="E1367" s="27"/>
      <c r="F1367" s="27"/>
      <c r="G1367" s="27"/>
      <c r="H1367" s="27"/>
      <c r="I1367" s="27"/>
      <c r="J1367" s="43"/>
      <c r="K1367" s="43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43"/>
      <c r="X1367" s="29"/>
      <c r="Y1367" s="30"/>
      <c r="Z1367" s="27"/>
      <c r="AA1367" s="49"/>
    </row>
    <row r="1368" spans="1:27" x14ac:dyDescent="0.35">
      <c r="A1368" s="27"/>
      <c r="B1368" s="28"/>
      <c r="C1368" s="27"/>
      <c r="D1368" s="27"/>
      <c r="E1368" s="27"/>
      <c r="F1368" s="27"/>
      <c r="G1368" s="27"/>
      <c r="H1368" s="27"/>
      <c r="I1368" s="27"/>
      <c r="J1368" s="43"/>
      <c r="K1368" s="43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43"/>
      <c r="X1368" s="29"/>
      <c r="Y1368" s="30"/>
      <c r="Z1368" s="27"/>
      <c r="AA1368" s="49"/>
    </row>
    <row r="1369" spans="1:27" x14ac:dyDescent="0.35">
      <c r="A1369" s="27"/>
      <c r="B1369" s="28"/>
      <c r="C1369" s="27"/>
      <c r="D1369" s="27"/>
      <c r="E1369" s="27"/>
      <c r="F1369" s="27"/>
      <c r="G1369" s="27"/>
      <c r="H1369" s="27"/>
      <c r="I1369" s="27"/>
      <c r="J1369" s="43"/>
      <c r="K1369" s="43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43"/>
      <c r="X1369" s="29"/>
      <c r="Y1369" s="30"/>
      <c r="Z1369" s="27"/>
      <c r="AA1369" s="49"/>
    </row>
    <row r="1370" spans="1:27" x14ac:dyDescent="0.35">
      <c r="A1370" s="27"/>
      <c r="B1370" s="28"/>
      <c r="C1370" s="27"/>
      <c r="D1370" s="27"/>
      <c r="E1370" s="27"/>
      <c r="F1370" s="27"/>
      <c r="G1370" s="27"/>
      <c r="H1370" s="27"/>
      <c r="I1370" s="27"/>
      <c r="J1370" s="43"/>
      <c r="K1370" s="43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43"/>
      <c r="X1370" s="29"/>
      <c r="Y1370" s="30"/>
      <c r="Z1370" s="27"/>
      <c r="AA1370" s="49"/>
    </row>
    <row r="1371" spans="1:27" x14ac:dyDescent="0.35">
      <c r="A1371" s="27"/>
      <c r="B1371" s="28"/>
      <c r="C1371" s="27"/>
      <c r="D1371" s="27"/>
      <c r="E1371" s="27"/>
      <c r="F1371" s="27"/>
      <c r="G1371" s="27"/>
      <c r="H1371" s="27"/>
      <c r="I1371" s="27"/>
      <c r="J1371" s="43"/>
      <c r="K1371" s="43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43"/>
      <c r="X1371" s="29"/>
      <c r="Y1371" s="30"/>
      <c r="Z1371" s="27"/>
      <c r="AA1371" s="49"/>
    </row>
    <row r="1372" spans="1:27" x14ac:dyDescent="0.35">
      <c r="A1372" s="27"/>
      <c r="B1372" s="28"/>
      <c r="C1372" s="27"/>
      <c r="D1372" s="27"/>
      <c r="E1372" s="27"/>
      <c r="F1372" s="27"/>
      <c r="G1372" s="27"/>
      <c r="H1372" s="27"/>
      <c r="I1372" s="27"/>
      <c r="J1372" s="43"/>
      <c r="K1372" s="43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43"/>
      <c r="X1372" s="29"/>
      <c r="Y1372" s="30"/>
      <c r="Z1372" s="27"/>
      <c r="AA1372" s="49"/>
    </row>
    <row r="1373" spans="1:27" x14ac:dyDescent="0.35">
      <c r="A1373" s="27"/>
      <c r="B1373" s="28"/>
      <c r="C1373" s="27"/>
      <c r="D1373" s="27"/>
      <c r="E1373" s="27"/>
      <c r="F1373" s="27"/>
      <c r="G1373" s="27"/>
      <c r="H1373" s="27"/>
      <c r="I1373" s="27"/>
      <c r="J1373" s="43"/>
      <c r="K1373" s="43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43"/>
      <c r="X1373" s="29"/>
      <c r="Y1373" s="30"/>
      <c r="Z1373" s="27"/>
      <c r="AA1373" s="49"/>
    </row>
    <row r="1374" spans="1:27" x14ac:dyDescent="0.35">
      <c r="A1374" s="27"/>
      <c r="B1374" s="28"/>
      <c r="C1374" s="27"/>
      <c r="D1374" s="27"/>
      <c r="E1374" s="27"/>
      <c r="F1374" s="27"/>
      <c r="G1374" s="27"/>
      <c r="H1374" s="27"/>
      <c r="I1374" s="27"/>
      <c r="J1374" s="43"/>
      <c r="K1374" s="43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43"/>
      <c r="X1374" s="29"/>
      <c r="Y1374" s="30"/>
      <c r="Z1374" s="27"/>
      <c r="AA1374" s="49"/>
    </row>
    <row r="1375" spans="1:27" x14ac:dyDescent="0.35">
      <c r="A1375" s="27"/>
      <c r="B1375" s="28"/>
      <c r="C1375" s="27"/>
      <c r="D1375" s="27"/>
      <c r="E1375" s="27"/>
      <c r="F1375" s="27"/>
      <c r="G1375" s="27"/>
      <c r="H1375" s="27"/>
      <c r="I1375" s="27"/>
      <c r="J1375" s="43"/>
      <c r="K1375" s="43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43"/>
      <c r="X1375" s="29"/>
      <c r="Y1375" s="30"/>
      <c r="Z1375" s="27"/>
      <c r="AA1375" s="49"/>
    </row>
    <row r="1376" spans="1:27" x14ac:dyDescent="0.35">
      <c r="A1376" s="27"/>
      <c r="B1376" s="28"/>
      <c r="C1376" s="27"/>
      <c r="D1376" s="27"/>
      <c r="E1376" s="27"/>
      <c r="F1376" s="27"/>
      <c r="G1376" s="27"/>
      <c r="H1376" s="27"/>
      <c r="I1376" s="27"/>
      <c r="J1376" s="43"/>
      <c r="K1376" s="43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43"/>
      <c r="X1376" s="29"/>
      <c r="Y1376" s="30"/>
      <c r="Z1376" s="27"/>
      <c r="AA1376" s="49"/>
    </row>
    <row r="1377" spans="1:27" x14ac:dyDescent="0.35">
      <c r="A1377" s="27"/>
      <c r="B1377" s="28"/>
      <c r="C1377" s="27"/>
      <c r="D1377" s="27"/>
      <c r="E1377" s="27"/>
      <c r="F1377" s="27"/>
      <c r="G1377" s="27"/>
      <c r="H1377" s="27"/>
      <c r="I1377" s="27"/>
      <c r="J1377" s="43"/>
      <c r="K1377" s="43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43"/>
      <c r="X1377" s="29"/>
      <c r="Y1377" s="30"/>
      <c r="Z1377" s="27"/>
      <c r="AA1377" s="49"/>
    </row>
    <row r="1378" spans="1:27" x14ac:dyDescent="0.35">
      <c r="A1378" s="27"/>
      <c r="B1378" s="28"/>
      <c r="C1378" s="27"/>
      <c r="D1378" s="27"/>
      <c r="E1378" s="27"/>
      <c r="F1378" s="27"/>
      <c r="G1378" s="27"/>
      <c r="H1378" s="27"/>
      <c r="I1378" s="27"/>
      <c r="J1378" s="43"/>
      <c r="K1378" s="43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43"/>
      <c r="X1378" s="29"/>
      <c r="Y1378" s="30"/>
      <c r="Z1378" s="27"/>
      <c r="AA1378" s="49"/>
    </row>
    <row r="1379" spans="1:27" x14ac:dyDescent="0.35">
      <c r="A1379" s="27"/>
      <c r="B1379" s="28"/>
      <c r="C1379" s="27"/>
      <c r="D1379" s="27"/>
      <c r="E1379" s="27"/>
      <c r="F1379" s="27"/>
      <c r="G1379" s="27"/>
      <c r="H1379" s="27"/>
      <c r="I1379" s="27"/>
      <c r="J1379" s="43"/>
      <c r="K1379" s="43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43"/>
      <c r="X1379" s="29"/>
      <c r="Y1379" s="30"/>
      <c r="Z1379" s="27"/>
      <c r="AA1379" s="49"/>
    </row>
    <row r="1380" spans="1:27" x14ac:dyDescent="0.35">
      <c r="A1380" s="27"/>
      <c r="B1380" s="28"/>
      <c r="C1380" s="27"/>
      <c r="D1380" s="27"/>
      <c r="E1380" s="27"/>
      <c r="F1380" s="27"/>
      <c r="G1380" s="27"/>
      <c r="H1380" s="27"/>
      <c r="I1380" s="27"/>
      <c r="J1380" s="43"/>
      <c r="K1380" s="43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43"/>
      <c r="X1380" s="29"/>
      <c r="Y1380" s="30"/>
      <c r="Z1380" s="27"/>
      <c r="AA1380" s="49"/>
    </row>
    <row r="1381" spans="1:27" x14ac:dyDescent="0.35">
      <c r="A1381" s="27"/>
      <c r="B1381" s="28"/>
      <c r="C1381" s="27"/>
      <c r="D1381" s="27"/>
      <c r="E1381" s="27"/>
      <c r="F1381" s="27"/>
      <c r="G1381" s="27"/>
      <c r="H1381" s="27"/>
      <c r="I1381" s="27"/>
      <c r="J1381" s="43"/>
      <c r="K1381" s="43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43"/>
      <c r="X1381" s="29"/>
      <c r="Y1381" s="30"/>
      <c r="Z1381" s="27"/>
      <c r="AA1381" s="49"/>
    </row>
    <row r="1382" spans="1:27" x14ac:dyDescent="0.35">
      <c r="A1382" s="27"/>
      <c r="B1382" s="28"/>
      <c r="C1382" s="27"/>
      <c r="D1382" s="27"/>
      <c r="E1382" s="27"/>
      <c r="F1382" s="27"/>
      <c r="G1382" s="27"/>
      <c r="H1382" s="27"/>
      <c r="I1382" s="27"/>
      <c r="J1382" s="43"/>
      <c r="K1382" s="43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43"/>
      <c r="X1382" s="29"/>
      <c r="Y1382" s="30"/>
      <c r="Z1382" s="27"/>
      <c r="AA1382" s="49"/>
    </row>
    <row r="1383" spans="1:27" x14ac:dyDescent="0.35">
      <c r="A1383" s="27"/>
      <c r="B1383" s="28"/>
      <c r="C1383" s="27"/>
      <c r="D1383" s="27"/>
      <c r="E1383" s="27"/>
      <c r="F1383" s="27"/>
      <c r="G1383" s="27"/>
      <c r="H1383" s="27"/>
      <c r="I1383" s="27"/>
      <c r="J1383" s="43"/>
      <c r="K1383" s="43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43"/>
      <c r="X1383" s="29"/>
      <c r="Y1383" s="30"/>
      <c r="Z1383" s="27"/>
      <c r="AA1383" s="49"/>
    </row>
    <row r="1384" spans="1:27" x14ac:dyDescent="0.35">
      <c r="A1384" s="27"/>
      <c r="B1384" s="28"/>
      <c r="C1384" s="27"/>
      <c r="D1384" s="27"/>
      <c r="E1384" s="27"/>
      <c r="F1384" s="27"/>
      <c r="G1384" s="27"/>
      <c r="H1384" s="27"/>
      <c r="I1384" s="27"/>
      <c r="J1384" s="43"/>
      <c r="K1384" s="43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43"/>
      <c r="X1384" s="29"/>
      <c r="Y1384" s="30"/>
      <c r="Z1384" s="27"/>
      <c r="AA1384" s="49"/>
    </row>
    <row r="1385" spans="1:27" x14ac:dyDescent="0.35">
      <c r="A1385" s="27"/>
      <c r="B1385" s="28"/>
      <c r="C1385" s="27"/>
      <c r="D1385" s="27"/>
      <c r="E1385" s="27"/>
      <c r="F1385" s="27"/>
      <c r="G1385" s="27"/>
      <c r="H1385" s="27"/>
      <c r="I1385" s="27"/>
      <c r="J1385" s="43"/>
      <c r="K1385" s="43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43"/>
      <c r="X1385" s="29"/>
      <c r="Y1385" s="30"/>
      <c r="Z1385" s="27"/>
      <c r="AA1385" s="49"/>
    </row>
    <row r="1386" spans="1:27" x14ac:dyDescent="0.35">
      <c r="A1386" s="27"/>
      <c r="B1386" s="28"/>
      <c r="C1386" s="27"/>
      <c r="D1386" s="27"/>
      <c r="E1386" s="27"/>
      <c r="F1386" s="27"/>
      <c r="G1386" s="27"/>
      <c r="H1386" s="27"/>
      <c r="I1386" s="27"/>
      <c r="J1386" s="43"/>
      <c r="K1386" s="43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43"/>
      <c r="X1386" s="29"/>
      <c r="Y1386" s="30"/>
      <c r="Z1386" s="27"/>
      <c r="AA1386" s="49"/>
    </row>
    <row r="1387" spans="1:27" x14ac:dyDescent="0.35">
      <c r="A1387" s="27"/>
      <c r="B1387" s="28"/>
      <c r="C1387" s="27"/>
      <c r="D1387" s="27"/>
      <c r="E1387" s="27"/>
      <c r="F1387" s="27"/>
      <c r="G1387" s="27"/>
      <c r="H1387" s="27"/>
      <c r="I1387" s="27"/>
      <c r="J1387" s="43"/>
      <c r="K1387" s="43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43"/>
      <c r="X1387" s="29"/>
      <c r="Y1387" s="30"/>
      <c r="Z1387" s="27"/>
      <c r="AA1387" s="49"/>
    </row>
    <row r="1388" spans="1:27" x14ac:dyDescent="0.35">
      <c r="A1388" s="27"/>
      <c r="B1388" s="28"/>
      <c r="C1388" s="27"/>
      <c r="D1388" s="27"/>
      <c r="E1388" s="27"/>
      <c r="F1388" s="27"/>
      <c r="G1388" s="27"/>
      <c r="H1388" s="27"/>
      <c r="I1388" s="27"/>
      <c r="J1388" s="43"/>
      <c r="K1388" s="43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43"/>
      <c r="X1388" s="29"/>
      <c r="Y1388" s="30"/>
      <c r="Z1388" s="27"/>
      <c r="AA1388" s="49"/>
    </row>
    <row r="1389" spans="1:27" x14ac:dyDescent="0.35">
      <c r="A1389" s="27"/>
      <c r="B1389" s="28"/>
      <c r="C1389" s="27"/>
      <c r="D1389" s="27"/>
      <c r="E1389" s="27"/>
      <c r="F1389" s="27"/>
      <c r="G1389" s="27"/>
      <c r="H1389" s="27"/>
      <c r="I1389" s="27"/>
      <c r="J1389" s="43"/>
      <c r="K1389" s="43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43"/>
      <c r="X1389" s="29"/>
      <c r="Y1389" s="30"/>
      <c r="Z1389" s="27"/>
      <c r="AA1389" s="49"/>
    </row>
    <row r="1390" spans="1:27" x14ac:dyDescent="0.35">
      <c r="A1390" s="27"/>
      <c r="B1390" s="28"/>
      <c r="C1390" s="27"/>
      <c r="D1390" s="27"/>
      <c r="E1390" s="27"/>
      <c r="F1390" s="27"/>
      <c r="G1390" s="27"/>
      <c r="H1390" s="27"/>
      <c r="I1390" s="27"/>
      <c r="J1390" s="43"/>
      <c r="K1390" s="43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43"/>
      <c r="X1390" s="29"/>
      <c r="Y1390" s="30"/>
      <c r="Z1390" s="27"/>
      <c r="AA1390" s="49"/>
    </row>
    <row r="1391" spans="1:27" x14ac:dyDescent="0.35">
      <c r="A1391" s="27"/>
      <c r="B1391" s="28"/>
      <c r="C1391" s="27"/>
      <c r="D1391" s="27"/>
      <c r="E1391" s="27"/>
      <c r="F1391" s="27"/>
      <c r="G1391" s="27"/>
      <c r="H1391" s="27"/>
      <c r="I1391" s="27"/>
      <c r="J1391" s="43"/>
      <c r="K1391" s="43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43"/>
      <c r="X1391" s="29"/>
      <c r="Y1391" s="30"/>
      <c r="Z1391" s="27"/>
      <c r="AA1391" s="49"/>
    </row>
    <row r="1392" spans="1:27" x14ac:dyDescent="0.35">
      <c r="A1392" s="27"/>
      <c r="B1392" s="28"/>
      <c r="C1392" s="27"/>
      <c r="D1392" s="27"/>
      <c r="E1392" s="27"/>
      <c r="F1392" s="27"/>
      <c r="G1392" s="27"/>
      <c r="H1392" s="27"/>
      <c r="I1392" s="27"/>
      <c r="J1392" s="43"/>
      <c r="K1392" s="43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43"/>
      <c r="X1392" s="29"/>
      <c r="Y1392" s="30"/>
      <c r="Z1392" s="27"/>
      <c r="AA1392" s="49"/>
    </row>
    <row r="1393" spans="1:27" x14ac:dyDescent="0.35">
      <c r="A1393" s="27"/>
      <c r="B1393" s="28"/>
      <c r="C1393" s="27"/>
      <c r="D1393" s="27"/>
      <c r="E1393" s="27"/>
      <c r="F1393" s="27"/>
      <c r="G1393" s="27"/>
      <c r="H1393" s="27"/>
      <c r="I1393" s="27"/>
      <c r="J1393" s="43"/>
      <c r="K1393" s="43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43"/>
      <c r="X1393" s="29"/>
      <c r="Y1393" s="30"/>
      <c r="Z1393" s="27"/>
      <c r="AA1393" s="49"/>
    </row>
    <row r="1394" spans="1:27" x14ac:dyDescent="0.35">
      <c r="A1394" s="27"/>
      <c r="B1394" s="28"/>
      <c r="C1394" s="27"/>
      <c r="D1394" s="27"/>
      <c r="E1394" s="27"/>
      <c r="F1394" s="27"/>
      <c r="G1394" s="27"/>
      <c r="H1394" s="27"/>
      <c r="I1394" s="27"/>
      <c r="J1394" s="43"/>
      <c r="K1394" s="43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43"/>
      <c r="X1394" s="29"/>
      <c r="Y1394" s="30"/>
      <c r="Z1394" s="27"/>
      <c r="AA1394" s="49"/>
    </row>
    <row r="1395" spans="1:27" x14ac:dyDescent="0.35">
      <c r="A1395" s="27"/>
      <c r="B1395" s="28"/>
      <c r="C1395" s="27"/>
      <c r="D1395" s="27"/>
      <c r="E1395" s="27"/>
      <c r="F1395" s="27"/>
      <c r="G1395" s="27"/>
      <c r="H1395" s="27"/>
      <c r="I1395" s="27"/>
      <c r="J1395" s="43"/>
      <c r="K1395" s="43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43"/>
      <c r="X1395" s="29"/>
      <c r="Y1395" s="30"/>
      <c r="Z1395" s="27"/>
      <c r="AA1395" s="49"/>
    </row>
    <row r="1396" spans="1:27" x14ac:dyDescent="0.35">
      <c r="A1396" s="27"/>
      <c r="B1396" s="28"/>
      <c r="C1396" s="27"/>
      <c r="D1396" s="27"/>
      <c r="E1396" s="27"/>
      <c r="F1396" s="27"/>
      <c r="G1396" s="27"/>
      <c r="H1396" s="27"/>
      <c r="I1396" s="27"/>
      <c r="J1396" s="43"/>
      <c r="K1396" s="43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43"/>
      <c r="X1396" s="29"/>
      <c r="Y1396" s="30"/>
      <c r="Z1396" s="27"/>
      <c r="AA1396" s="49"/>
    </row>
    <row r="1397" spans="1:27" x14ac:dyDescent="0.35">
      <c r="A1397" s="27"/>
      <c r="B1397" s="28"/>
      <c r="C1397" s="27"/>
      <c r="D1397" s="27"/>
      <c r="E1397" s="27"/>
      <c r="F1397" s="27"/>
      <c r="G1397" s="27"/>
      <c r="H1397" s="27"/>
      <c r="I1397" s="27"/>
      <c r="J1397" s="43"/>
      <c r="K1397" s="43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43"/>
      <c r="X1397" s="29"/>
      <c r="Y1397" s="30"/>
      <c r="Z1397" s="27"/>
      <c r="AA1397" s="49"/>
    </row>
    <row r="1398" spans="1:27" x14ac:dyDescent="0.35">
      <c r="A1398" s="27"/>
      <c r="B1398" s="28"/>
      <c r="C1398" s="27"/>
      <c r="D1398" s="27"/>
      <c r="E1398" s="27"/>
      <c r="F1398" s="27"/>
      <c r="G1398" s="27"/>
      <c r="H1398" s="27"/>
      <c r="I1398" s="27"/>
      <c r="J1398" s="43"/>
      <c r="K1398" s="43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43"/>
      <c r="X1398" s="29"/>
      <c r="Y1398" s="30"/>
      <c r="Z1398" s="27"/>
      <c r="AA1398" s="49"/>
    </row>
    <row r="1399" spans="1:27" x14ac:dyDescent="0.35">
      <c r="A1399" s="27"/>
      <c r="B1399" s="28"/>
      <c r="C1399" s="27"/>
      <c r="D1399" s="27"/>
      <c r="E1399" s="27"/>
      <c r="F1399" s="27"/>
      <c r="G1399" s="27"/>
      <c r="H1399" s="27"/>
      <c r="I1399" s="27"/>
      <c r="J1399" s="43"/>
      <c r="K1399" s="43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43"/>
      <c r="X1399" s="29"/>
      <c r="Y1399" s="30"/>
      <c r="Z1399" s="27"/>
      <c r="AA1399" s="49"/>
    </row>
    <row r="1400" spans="1:27" x14ac:dyDescent="0.35">
      <c r="A1400" s="27"/>
      <c r="B1400" s="28"/>
      <c r="C1400" s="27"/>
      <c r="D1400" s="27"/>
      <c r="E1400" s="27"/>
      <c r="F1400" s="27"/>
      <c r="G1400" s="27"/>
      <c r="H1400" s="27"/>
      <c r="I1400" s="27"/>
      <c r="J1400" s="43"/>
      <c r="K1400" s="43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43"/>
      <c r="X1400" s="29"/>
      <c r="Y1400" s="30"/>
      <c r="Z1400" s="27"/>
      <c r="AA1400" s="49"/>
    </row>
    <row r="1401" spans="1:27" x14ac:dyDescent="0.35">
      <c r="A1401" s="27"/>
      <c r="B1401" s="28"/>
      <c r="C1401" s="27"/>
      <c r="D1401" s="27"/>
      <c r="E1401" s="27"/>
      <c r="F1401" s="27"/>
      <c r="G1401" s="27"/>
      <c r="H1401" s="27"/>
      <c r="I1401" s="27"/>
      <c r="J1401" s="43"/>
      <c r="K1401" s="43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43"/>
      <c r="X1401" s="29"/>
      <c r="Y1401" s="30"/>
      <c r="Z1401" s="27"/>
      <c r="AA1401" s="49"/>
    </row>
    <row r="1402" spans="1:27" x14ac:dyDescent="0.35">
      <c r="A1402" s="27"/>
      <c r="B1402" s="28"/>
      <c r="C1402" s="27"/>
      <c r="D1402" s="27"/>
      <c r="E1402" s="27"/>
      <c r="F1402" s="27"/>
      <c r="G1402" s="27"/>
      <c r="H1402" s="27"/>
      <c r="I1402" s="27"/>
      <c r="J1402" s="43"/>
      <c r="K1402" s="43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43"/>
      <c r="X1402" s="29"/>
      <c r="Y1402" s="30"/>
      <c r="Z1402" s="27"/>
      <c r="AA1402" s="49"/>
    </row>
    <row r="1403" spans="1:27" x14ac:dyDescent="0.35">
      <c r="A1403" s="27"/>
      <c r="B1403" s="28"/>
      <c r="C1403" s="27"/>
      <c r="D1403" s="27"/>
      <c r="E1403" s="27"/>
      <c r="F1403" s="27"/>
      <c r="G1403" s="27"/>
      <c r="H1403" s="27"/>
      <c r="I1403" s="27"/>
      <c r="J1403" s="43"/>
      <c r="K1403" s="43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43"/>
      <c r="X1403" s="29"/>
      <c r="Y1403" s="30"/>
      <c r="Z1403" s="27"/>
      <c r="AA1403" s="49"/>
    </row>
    <row r="1404" spans="1:27" x14ac:dyDescent="0.35">
      <c r="A1404" s="27"/>
      <c r="B1404" s="28"/>
      <c r="C1404" s="27"/>
      <c r="D1404" s="27"/>
      <c r="E1404" s="27"/>
      <c r="F1404" s="27"/>
      <c r="G1404" s="27"/>
      <c r="H1404" s="27"/>
      <c r="I1404" s="27"/>
      <c r="J1404" s="43"/>
      <c r="K1404" s="43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43"/>
      <c r="X1404" s="29"/>
      <c r="Y1404" s="30"/>
      <c r="Z1404" s="27"/>
      <c r="AA1404" s="49"/>
    </row>
    <row r="1405" spans="1:27" x14ac:dyDescent="0.35">
      <c r="A1405" s="27"/>
      <c r="B1405" s="28"/>
      <c r="C1405" s="27"/>
      <c r="D1405" s="27"/>
      <c r="E1405" s="27"/>
      <c r="F1405" s="27"/>
      <c r="G1405" s="27"/>
      <c r="H1405" s="27"/>
      <c r="I1405" s="27"/>
      <c r="J1405" s="43"/>
      <c r="K1405" s="43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43"/>
      <c r="X1405" s="29"/>
      <c r="Y1405" s="30"/>
      <c r="Z1405" s="27"/>
      <c r="AA1405" s="49"/>
    </row>
    <row r="1406" spans="1:27" x14ac:dyDescent="0.35">
      <c r="A1406" s="27"/>
      <c r="B1406" s="28"/>
      <c r="C1406" s="27"/>
      <c r="D1406" s="27"/>
      <c r="E1406" s="27"/>
      <c r="F1406" s="27"/>
      <c r="G1406" s="27"/>
      <c r="H1406" s="27"/>
      <c r="I1406" s="27"/>
      <c r="J1406" s="43"/>
      <c r="K1406" s="43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43"/>
      <c r="X1406" s="29"/>
      <c r="Y1406" s="30"/>
      <c r="Z1406" s="27"/>
      <c r="AA1406" s="49"/>
    </row>
    <row r="1407" spans="1:27" x14ac:dyDescent="0.35">
      <c r="A1407" s="27"/>
      <c r="B1407" s="28"/>
      <c r="C1407" s="27"/>
      <c r="D1407" s="27"/>
      <c r="E1407" s="27"/>
      <c r="F1407" s="27"/>
      <c r="G1407" s="27"/>
      <c r="H1407" s="27"/>
      <c r="I1407" s="27"/>
      <c r="J1407" s="43"/>
      <c r="K1407" s="43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43"/>
      <c r="X1407" s="29"/>
      <c r="Y1407" s="30"/>
      <c r="Z1407" s="27"/>
      <c r="AA1407" s="49"/>
    </row>
    <row r="1408" spans="1:27" x14ac:dyDescent="0.35">
      <c r="A1408" s="27"/>
      <c r="B1408" s="28"/>
      <c r="C1408" s="27"/>
      <c r="D1408" s="27"/>
      <c r="E1408" s="27"/>
      <c r="F1408" s="27"/>
      <c r="G1408" s="27"/>
      <c r="H1408" s="27"/>
      <c r="I1408" s="27"/>
      <c r="J1408" s="43"/>
      <c r="K1408" s="43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43"/>
      <c r="X1408" s="29"/>
      <c r="Y1408" s="30"/>
      <c r="Z1408" s="27"/>
      <c r="AA1408" s="49"/>
    </row>
    <row r="1409" spans="1:27" x14ac:dyDescent="0.35">
      <c r="A1409" s="27"/>
      <c r="B1409" s="28"/>
      <c r="C1409" s="27"/>
      <c r="D1409" s="27"/>
      <c r="E1409" s="27"/>
      <c r="F1409" s="27"/>
      <c r="G1409" s="27"/>
      <c r="H1409" s="27"/>
      <c r="I1409" s="27"/>
      <c r="J1409" s="43"/>
      <c r="K1409" s="43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43"/>
      <c r="X1409" s="29"/>
      <c r="Y1409" s="30"/>
      <c r="Z1409" s="27"/>
      <c r="AA1409" s="49"/>
    </row>
    <row r="1410" spans="1:27" x14ac:dyDescent="0.35">
      <c r="A1410" s="27"/>
      <c r="B1410" s="28"/>
      <c r="C1410" s="27"/>
      <c r="D1410" s="27"/>
      <c r="E1410" s="27"/>
      <c r="F1410" s="27"/>
      <c r="G1410" s="27"/>
      <c r="H1410" s="27"/>
      <c r="I1410" s="27"/>
      <c r="J1410" s="43"/>
      <c r="K1410" s="43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43"/>
      <c r="X1410" s="29"/>
      <c r="Y1410" s="30"/>
      <c r="Z1410" s="27"/>
      <c r="AA1410" s="49"/>
    </row>
    <row r="1411" spans="1:27" x14ac:dyDescent="0.35">
      <c r="A1411" s="27"/>
      <c r="B1411" s="28"/>
      <c r="C1411" s="27"/>
      <c r="D1411" s="27"/>
      <c r="E1411" s="27"/>
      <c r="F1411" s="27"/>
      <c r="G1411" s="27"/>
      <c r="H1411" s="27"/>
      <c r="I1411" s="27"/>
      <c r="J1411" s="43"/>
      <c r="K1411" s="43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43"/>
      <c r="X1411" s="29"/>
      <c r="Y1411" s="30"/>
      <c r="Z1411" s="27"/>
      <c r="AA1411" s="49"/>
    </row>
    <row r="1412" spans="1:27" x14ac:dyDescent="0.35">
      <c r="A1412" s="27"/>
      <c r="B1412" s="28"/>
      <c r="C1412" s="27"/>
      <c r="D1412" s="27"/>
      <c r="E1412" s="27"/>
      <c r="F1412" s="27"/>
      <c r="G1412" s="27"/>
      <c r="H1412" s="27"/>
      <c r="I1412" s="27"/>
      <c r="J1412" s="43"/>
      <c r="K1412" s="43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43"/>
      <c r="X1412" s="29"/>
      <c r="Y1412" s="30"/>
      <c r="Z1412" s="27"/>
      <c r="AA1412" s="49"/>
    </row>
    <row r="1413" spans="1:27" x14ac:dyDescent="0.35">
      <c r="A1413" s="27"/>
      <c r="B1413" s="28"/>
      <c r="C1413" s="27"/>
      <c r="D1413" s="27"/>
      <c r="E1413" s="27"/>
      <c r="F1413" s="27"/>
      <c r="G1413" s="27"/>
      <c r="H1413" s="27"/>
      <c r="I1413" s="27"/>
      <c r="J1413" s="43"/>
      <c r="K1413" s="43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43"/>
      <c r="X1413" s="29"/>
      <c r="Y1413" s="30"/>
      <c r="Z1413" s="27"/>
      <c r="AA1413" s="49"/>
    </row>
    <row r="1414" spans="1:27" x14ac:dyDescent="0.35">
      <c r="A1414" s="27"/>
      <c r="B1414" s="28"/>
      <c r="C1414" s="27"/>
      <c r="D1414" s="27"/>
      <c r="E1414" s="27"/>
      <c r="F1414" s="27"/>
      <c r="G1414" s="27"/>
      <c r="H1414" s="27"/>
      <c r="I1414" s="27"/>
      <c r="J1414" s="43"/>
      <c r="K1414" s="43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43"/>
      <c r="X1414" s="29"/>
      <c r="Y1414" s="30"/>
      <c r="Z1414" s="27"/>
      <c r="AA1414" s="49"/>
    </row>
    <row r="1415" spans="1:27" x14ac:dyDescent="0.35">
      <c r="A1415" s="27"/>
      <c r="B1415" s="28"/>
      <c r="C1415" s="27"/>
      <c r="D1415" s="27"/>
      <c r="E1415" s="27"/>
      <c r="F1415" s="27"/>
      <c r="G1415" s="27"/>
      <c r="H1415" s="27"/>
      <c r="I1415" s="27"/>
      <c r="J1415" s="43"/>
      <c r="K1415" s="43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43"/>
      <c r="X1415" s="29"/>
      <c r="Y1415" s="30"/>
      <c r="Z1415" s="27"/>
      <c r="AA1415" s="49"/>
    </row>
    <row r="1416" spans="1:27" x14ac:dyDescent="0.35">
      <c r="A1416" s="27"/>
      <c r="B1416" s="28"/>
      <c r="C1416" s="27"/>
      <c r="D1416" s="27"/>
      <c r="E1416" s="27"/>
      <c r="F1416" s="27"/>
      <c r="G1416" s="27"/>
      <c r="H1416" s="27"/>
      <c r="I1416" s="27"/>
      <c r="J1416" s="43"/>
      <c r="K1416" s="43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43"/>
      <c r="X1416" s="29"/>
      <c r="Y1416" s="30"/>
      <c r="Z1416" s="27"/>
      <c r="AA1416" s="49"/>
    </row>
    <row r="1417" spans="1:27" x14ac:dyDescent="0.35">
      <c r="A1417" s="27"/>
      <c r="B1417" s="28"/>
      <c r="C1417" s="27"/>
      <c r="D1417" s="27"/>
      <c r="E1417" s="27"/>
      <c r="F1417" s="27"/>
      <c r="G1417" s="27"/>
      <c r="H1417" s="27"/>
      <c r="I1417" s="27"/>
      <c r="J1417" s="43"/>
      <c r="K1417" s="43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43"/>
      <c r="X1417" s="29"/>
      <c r="Y1417" s="30"/>
      <c r="Z1417" s="27"/>
      <c r="AA1417" s="49"/>
    </row>
    <row r="1418" spans="1:27" x14ac:dyDescent="0.35">
      <c r="A1418" s="27"/>
      <c r="B1418" s="28"/>
      <c r="C1418" s="27"/>
      <c r="D1418" s="27"/>
      <c r="E1418" s="27"/>
      <c r="F1418" s="27"/>
      <c r="G1418" s="27"/>
      <c r="H1418" s="27"/>
      <c r="I1418" s="27"/>
      <c r="J1418" s="43"/>
      <c r="K1418" s="43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43"/>
      <c r="X1418" s="29"/>
      <c r="Y1418" s="30"/>
      <c r="Z1418" s="27"/>
      <c r="AA1418" s="49"/>
    </row>
    <row r="1419" spans="1:27" x14ac:dyDescent="0.35">
      <c r="A1419" s="27"/>
      <c r="B1419" s="28"/>
      <c r="C1419" s="27"/>
      <c r="D1419" s="27"/>
      <c r="E1419" s="27"/>
      <c r="F1419" s="27"/>
      <c r="G1419" s="27"/>
      <c r="H1419" s="27"/>
      <c r="I1419" s="27"/>
      <c r="J1419" s="43"/>
      <c r="K1419" s="43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43"/>
      <c r="X1419" s="29"/>
      <c r="Y1419" s="30"/>
      <c r="Z1419" s="27"/>
      <c r="AA1419" s="49"/>
    </row>
    <row r="1420" spans="1:27" x14ac:dyDescent="0.35">
      <c r="A1420" s="27"/>
      <c r="B1420" s="28"/>
      <c r="C1420" s="27"/>
      <c r="D1420" s="27"/>
      <c r="E1420" s="27"/>
      <c r="F1420" s="27"/>
      <c r="G1420" s="27"/>
      <c r="H1420" s="27"/>
      <c r="I1420" s="27"/>
      <c r="J1420" s="43"/>
      <c r="K1420" s="43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43"/>
      <c r="X1420" s="29"/>
      <c r="Y1420" s="30"/>
      <c r="Z1420" s="27"/>
      <c r="AA1420" s="49"/>
    </row>
    <row r="1421" spans="1:27" x14ac:dyDescent="0.35">
      <c r="A1421" s="27"/>
      <c r="B1421" s="28"/>
      <c r="C1421" s="27"/>
      <c r="D1421" s="27"/>
      <c r="E1421" s="27"/>
      <c r="F1421" s="27"/>
      <c r="G1421" s="27"/>
      <c r="H1421" s="27"/>
      <c r="I1421" s="27"/>
      <c r="J1421" s="43"/>
      <c r="K1421" s="43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43"/>
      <c r="X1421" s="29"/>
      <c r="Y1421" s="30"/>
      <c r="Z1421" s="27"/>
      <c r="AA1421" s="49"/>
    </row>
    <row r="1422" spans="1:27" x14ac:dyDescent="0.35">
      <c r="A1422" s="27"/>
      <c r="B1422" s="28"/>
      <c r="C1422" s="27"/>
      <c r="D1422" s="27"/>
      <c r="E1422" s="27"/>
      <c r="F1422" s="27"/>
      <c r="G1422" s="27"/>
      <c r="H1422" s="27"/>
      <c r="I1422" s="27"/>
      <c r="J1422" s="43"/>
      <c r="K1422" s="43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43"/>
      <c r="X1422" s="29"/>
      <c r="Y1422" s="30"/>
      <c r="Z1422" s="27"/>
      <c r="AA1422" s="49"/>
    </row>
    <row r="1423" spans="1:27" x14ac:dyDescent="0.35">
      <c r="A1423" s="27"/>
      <c r="B1423" s="28"/>
      <c r="C1423" s="27"/>
      <c r="D1423" s="27"/>
      <c r="E1423" s="27"/>
      <c r="F1423" s="27"/>
      <c r="G1423" s="27"/>
      <c r="H1423" s="27"/>
      <c r="I1423" s="27"/>
      <c r="J1423" s="43"/>
      <c r="K1423" s="43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43"/>
      <c r="X1423" s="29"/>
      <c r="Y1423" s="30"/>
      <c r="Z1423" s="27"/>
      <c r="AA1423" s="49"/>
    </row>
    <row r="1424" spans="1:27" x14ac:dyDescent="0.35">
      <c r="A1424" s="27"/>
      <c r="B1424" s="28"/>
      <c r="C1424" s="27"/>
      <c r="D1424" s="27"/>
      <c r="E1424" s="27"/>
      <c r="F1424" s="27"/>
      <c r="G1424" s="27"/>
      <c r="H1424" s="27"/>
      <c r="I1424" s="27"/>
      <c r="J1424" s="43"/>
      <c r="K1424" s="43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43"/>
      <c r="X1424" s="29"/>
      <c r="Y1424" s="30"/>
      <c r="Z1424" s="27"/>
      <c r="AA1424" s="49"/>
    </row>
    <row r="1425" spans="1:27" x14ac:dyDescent="0.35">
      <c r="A1425" s="27"/>
      <c r="B1425" s="28"/>
      <c r="C1425" s="27"/>
      <c r="D1425" s="27"/>
      <c r="E1425" s="27"/>
      <c r="F1425" s="27"/>
      <c r="G1425" s="27"/>
      <c r="H1425" s="27"/>
      <c r="I1425" s="27"/>
      <c r="J1425" s="43"/>
      <c r="K1425" s="43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43"/>
      <c r="X1425" s="29"/>
      <c r="Y1425" s="30"/>
      <c r="Z1425" s="27"/>
      <c r="AA1425" s="49"/>
    </row>
    <row r="1426" spans="1:27" x14ac:dyDescent="0.35">
      <c r="A1426" s="27"/>
      <c r="B1426" s="28"/>
      <c r="C1426" s="27"/>
      <c r="D1426" s="27"/>
      <c r="E1426" s="27"/>
      <c r="F1426" s="27"/>
      <c r="G1426" s="27"/>
      <c r="H1426" s="27"/>
      <c r="I1426" s="27"/>
      <c r="J1426" s="43"/>
      <c r="K1426" s="43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43"/>
      <c r="X1426" s="29"/>
      <c r="Y1426" s="30"/>
      <c r="Z1426" s="27"/>
      <c r="AA1426" s="49"/>
    </row>
    <row r="1427" spans="1:27" x14ac:dyDescent="0.35">
      <c r="A1427" s="27"/>
      <c r="B1427" s="28"/>
      <c r="C1427" s="27"/>
      <c r="D1427" s="27"/>
      <c r="E1427" s="27"/>
      <c r="F1427" s="27"/>
      <c r="G1427" s="27"/>
      <c r="H1427" s="27"/>
      <c r="I1427" s="27"/>
      <c r="J1427" s="43"/>
      <c r="K1427" s="43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43"/>
      <c r="X1427" s="29"/>
      <c r="Y1427" s="30"/>
      <c r="Z1427" s="27"/>
      <c r="AA1427" s="49"/>
    </row>
    <row r="1428" spans="1:27" x14ac:dyDescent="0.35">
      <c r="A1428" s="27"/>
      <c r="B1428" s="28"/>
      <c r="C1428" s="27"/>
      <c r="D1428" s="27"/>
      <c r="E1428" s="27"/>
      <c r="F1428" s="27"/>
      <c r="G1428" s="27"/>
      <c r="H1428" s="27"/>
      <c r="I1428" s="27"/>
      <c r="J1428" s="43"/>
      <c r="K1428" s="43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43"/>
      <c r="X1428" s="29"/>
      <c r="Y1428" s="30"/>
      <c r="Z1428" s="27"/>
      <c r="AA1428" s="49"/>
    </row>
    <row r="1429" spans="1:27" x14ac:dyDescent="0.35">
      <c r="A1429" s="27"/>
      <c r="B1429" s="28"/>
      <c r="C1429" s="27"/>
      <c r="D1429" s="27"/>
      <c r="E1429" s="27"/>
      <c r="F1429" s="27"/>
      <c r="G1429" s="27"/>
      <c r="H1429" s="27"/>
      <c r="I1429" s="27"/>
      <c r="J1429" s="43"/>
      <c r="K1429" s="43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43"/>
      <c r="X1429" s="29"/>
      <c r="Y1429" s="30"/>
      <c r="Z1429" s="27"/>
      <c r="AA1429" s="49"/>
    </row>
    <row r="1430" spans="1:27" x14ac:dyDescent="0.35">
      <c r="A1430" s="27"/>
      <c r="B1430" s="28"/>
      <c r="C1430" s="27"/>
      <c r="D1430" s="27"/>
      <c r="E1430" s="27"/>
      <c r="F1430" s="27"/>
      <c r="G1430" s="27"/>
      <c r="H1430" s="27"/>
      <c r="I1430" s="27"/>
      <c r="J1430" s="43"/>
      <c r="K1430" s="43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43"/>
      <c r="X1430" s="29"/>
      <c r="Y1430" s="30"/>
      <c r="Z1430" s="27"/>
      <c r="AA1430" s="49"/>
    </row>
    <row r="1431" spans="1:27" x14ac:dyDescent="0.35">
      <c r="A1431" s="27"/>
      <c r="B1431" s="28"/>
      <c r="C1431" s="27"/>
      <c r="D1431" s="27"/>
      <c r="E1431" s="27"/>
      <c r="F1431" s="27"/>
      <c r="G1431" s="27"/>
      <c r="H1431" s="27"/>
      <c r="I1431" s="27"/>
      <c r="J1431" s="43"/>
      <c r="K1431" s="43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43"/>
      <c r="X1431" s="29"/>
      <c r="Y1431" s="30"/>
      <c r="Z1431" s="27"/>
      <c r="AA1431" s="49"/>
    </row>
    <row r="1432" spans="1:27" x14ac:dyDescent="0.35">
      <c r="A1432" s="27"/>
      <c r="B1432" s="28"/>
      <c r="C1432" s="27"/>
      <c r="D1432" s="27"/>
      <c r="E1432" s="27"/>
      <c r="F1432" s="27"/>
      <c r="G1432" s="27"/>
      <c r="H1432" s="27"/>
      <c r="I1432" s="27"/>
      <c r="J1432" s="43"/>
      <c r="K1432" s="43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43"/>
      <c r="X1432" s="29"/>
      <c r="Y1432" s="30"/>
      <c r="Z1432" s="27"/>
      <c r="AA1432" s="49"/>
    </row>
    <row r="1433" spans="1:27" x14ac:dyDescent="0.35">
      <c r="A1433" s="27"/>
      <c r="B1433" s="28"/>
      <c r="C1433" s="27"/>
      <c r="D1433" s="27"/>
      <c r="E1433" s="27"/>
      <c r="F1433" s="27"/>
      <c r="G1433" s="27"/>
      <c r="H1433" s="27"/>
      <c r="I1433" s="27"/>
      <c r="J1433" s="43"/>
      <c r="K1433" s="43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43"/>
      <c r="X1433" s="29"/>
      <c r="Y1433" s="30"/>
      <c r="Z1433" s="27"/>
      <c r="AA1433" s="49"/>
    </row>
    <row r="1434" spans="1:27" x14ac:dyDescent="0.35">
      <c r="A1434" s="27"/>
      <c r="B1434" s="28"/>
      <c r="C1434" s="27"/>
      <c r="D1434" s="27"/>
      <c r="E1434" s="27"/>
      <c r="F1434" s="27"/>
      <c r="G1434" s="27"/>
      <c r="H1434" s="27"/>
      <c r="I1434" s="27"/>
      <c r="J1434" s="43"/>
      <c r="K1434" s="43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43"/>
      <c r="X1434" s="29"/>
      <c r="Y1434" s="30"/>
      <c r="Z1434" s="27"/>
      <c r="AA1434" s="49"/>
    </row>
    <row r="1435" spans="1:27" x14ac:dyDescent="0.35">
      <c r="A1435" s="27"/>
      <c r="B1435" s="28"/>
      <c r="C1435" s="27"/>
      <c r="D1435" s="27"/>
      <c r="E1435" s="27"/>
      <c r="F1435" s="27"/>
      <c r="G1435" s="27"/>
      <c r="H1435" s="27"/>
      <c r="I1435" s="27"/>
      <c r="J1435" s="43"/>
      <c r="K1435" s="43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43"/>
      <c r="X1435" s="29"/>
      <c r="Y1435" s="30"/>
      <c r="Z1435" s="27"/>
      <c r="AA1435" s="49"/>
    </row>
    <row r="1436" spans="1:27" x14ac:dyDescent="0.35">
      <c r="A1436" s="27"/>
      <c r="B1436" s="28"/>
      <c r="C1436" s="27"/>
      <c r="D1436" s="27"/>
      <c r="E1436" s="27"/>
      <c r="F1436" s="27"/>
      <c r="G1436" s="27"/>
      <c r="H1436" s="27"/>
      <c r="I1436" s="27"/>
      <c r="J1436" s="43"/>
      <c r="K1436" s="43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43"/>
      <c r="X1436" s="29"/>
      <c r="Y1436" s="30"/>
      <c r="Z1436" s="27"/>
      <c r="AA1436" s="49"/>
    </row>
    <row r="1437" spans="1:27" x14ac:dyDescent="0.35">
      <c r="A1437" s="27"/>
      <c r="B1437" s="28"/>
      <c r="C1437" s="27"/>
      <c r="D1437" s="27"/>
      <c r="E1437" s="27"/>
      <c r="F1437" s="27"/>
      <c r="G1437" s="27"/>
      <c r="H1437" s="27"/>
      <c r="I1437" s="27"/>
      <c r="J1437" s="43"/>
      <c r="K1437" s="43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43"/>
      <c r="X1437" s="29"/>
      <c r="Y1437" s="30"/>
      <c r="Z1437" s="27"/>
      <c r="AA1437" s="49"/>
    </row>
    <row r="1438" spans="1:27" x14ac:dyDescent="0.35">
      <c r="A1438" s="27"/>
      <c r="B1438" s="28"/>
      <c r="C1438" s="27"/>
      <c r="D1438" s="27"/>
      <c r="E1438" s="27"/>
      <c r="F1438" s="27"/>
      <c r="G1438" s="27"/>
      <c r="H1438" s="27"/>
      <c r="I1438" s="27"/>
      <c r="J1438" s="43"/>
      <c r="K1438" s="43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43"/>
      <c r="X1438" s="29"/>
      <c r="Y1438" s="30"/>
      <c r="Z1438" s="27"/>
      <c r="AA1438" s="49"/>
    </row>
    <row r="1439" spans="1:27" x14ac:dyDescent="0.35">
      <c r="A1439" s="27"/>
      <c r="B1439" s="28"/>
      <c r="C1439" s="27"/>
      <c r="D1439" s="27"/>
      <c r="E1439" s="27"/>
      <c r="F1439" s="27"/>
      <c r="G1439" s="27"/>
      <c r="H1439" s="27"/>
      <c r="I1439" s="27"/>
      <c r="J1439" s="43"/>
      <c r="K1439" s="43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43"/>
      <c r="X1439" s="29"/>
      <c r="Y1439" s="30"/>
      <c r="Z1439" s="27"/>
      <c r="AA1439" s="49"/>
    </row>
    <row r="1440" spans="1:27" x14ac:dyDescent="0.35">
      <c r="A1440" s="27"/>
      <c r="B1440" s="28"/>
      <c r="C1440" s="27"/>
      <c r="D1440" s="27"/>
      <c r="E1440" s="27"/>
      <c r="F1440" s="27"/>
      <c r="G1440" s="27"/>
      <c r="H1440" s="27"/>
      <c r="I1440" s="27"/>
      <c r="J1440" s="43"/>
      <c r="K1440" s="43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43"/>
      <c r="X1440" s="29"/>
      <c r="Y1440" s="30"/>
      <c r="Z1440" s="27"/>
      <c r="AA1440" s="49"/>
    </row>
    <row r="1441" spans="1:27" x14ac:dyDescent="0.35">
      <c r="A1441" s="27"/>
      <c r="B1441" s="28"/>
      <c r="C1441" s="27"/>
      <c r="D1441" s="27"/>
      <c r="E1441" s="27"/>
      <c r="F1441" s="27"/>
      <c r="G1441" s="27"/>
      <c r="H1441" s="27"/>
      <c r="I1441" s="27"/>
      <c r="J1441" s="43"/>
      <c r="K1441" s="43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43"/>
      <c r="X1441" s="29"/>
      <c r="Y1441" s="30"/>
      <c r="Z1441" s="27"/>
      <c r="AA1441" s="49"/>
    </row>
    <row r="1442" spans="1:27" x14ac:dyDescent="0.35">
      <c r="A1442" s="27"/>
      <c r="B1442" s="28"/>
      <c r="C1442" s="27"/>
      <c r="D1442" s="27"/>
      <c r="E1442" s="27"/>
      <c r="F1442" s="27"/>
      <c r="G1442" s="27"/>
      <c r="H1442" s="27"/>
      <c r="I1442" s="27"/>
      <c r="J1442" s="43"/>
      <c r="K1442" s="43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43"/>
      <c r="X1442" s="29"/>
      <c r="Y1442" s="30"/>
      <c r="Z1442" s="27"/>
      <c r="AA1442" s="49"/>
    </row>
    <row r="1443" spans="1:27" x14ac:dyDescent="0.35">
      <c r="A1443" s="27"/>
      <c r="B1443" s="28"/>
      <c r="C1443" s="27"/>
      <c r="D1443" s="27"/>
      <c r="E1443" s="27"/>
      <c r="F1443" s="27"/>
      <c r="G1443" s="27"/>
      <c r="H1443" s="27"/>
      <c r="I1443" s="27"/>
      <c r="J1443" s="43"/>
      <c r="K1443" s="43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43"/>
      <c r="X1443" s="29"/>
      <c r="Y1443" s="30"/>
      <c r="Z1443" s="27"/>
      <c r="AA1443" s="49"/>
    </row>
    <row r="1444" spans="1:27" x14ac:dyDescent="0.35">
      <c r="A1444" s="27"/>
      <c r="B1444" s="28"/>
      <c r="C1444" s="27"/>
      <c r="D1444" s="27"/>
      <c r="E1444" s="27"/>
      <c r="F1444" s="27"/>
      <c r="G1444" s="27"/>
      <c r="H1444" s="27"/>
      <c r="I1444" s="27"/>
      <c r="J1444" s="43"/>
      <c r="K1444" s="43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43"/>
      <c r="X1444" s="29"/>
      <c r="Y1444" s="30"/>
      <c r="Z1444" s="27"/>
      <c r="AA1444" s="49"/>
    </row>
    <row r="1445" spans="1:27" x14ac:dyDescent="0.35">
      <c r="A1445" s="27"/>
      <c r="B1445" s="28"/>
      <c r="C1445" s="27"/>
      <c r="D1445" s="27"/>
      <c r="E1445" s="27"/>
      <c r="F1445" s="27"/>
      <c r="G1445" s="27"/>
      <c r="H1445" s="27"/>
      <c r="I1445" s="27"/>
      <c r="J1445" s="43"/>
      <c r="K1445" s="43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43"/>
      <c r="X1445" s="29"/>
      <c r="Y1445" s="30"/>
      <c r="Z1445" s="27"/>
      <c r="AA1445" s="49"/>
    </row>
    <row r="1446" spans="1:27" x14ac:dyDescent="0.35">
      <c r="A1446" s="27"/>
      <c r="B1446" s="28"/>
      <c r="C1446" s="27"/>
      <c r="D1446" s="27"/>
      <c r="E1446" s="27"/>
      <c r="F1446" s="27"/>
      <c r="G1446" s="27"/>
      <c r="H1446" s="27"/>
      <c r="I1446" s="27"/>
      <c r="J1446" s="43"/>
      <c r="K1446" s="43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43"/>
      <c r="X1446" s="29"/>
      <c r="Y1446" s="30"/>
      <c r="Z1446" s="27"/>
      <c r="AA1446" s="49"/>
    </row>
    <row r="1447" spans="1:27" x14ac:dyDescent="0.35">
      <c r="A1447" s="27"/>
      <c r="B1447" s="28"/>
      <c r="C1447" s="27"/>
      <c r="D1447" s="27"/>
      <c r="E1447" s="27"/>
      <c r="F1447" s="27"/>
      <c r="G1447" s="27"/>
      <c r="H1447" s="27"/>
      <c r="I1447" s="27"/>
      <c r="J1447" s="43"/>
      <c r="K1447" s="43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43"/>
      <c r="X1447" s="29"/>
      <c r="Y1447" s="30"/>
      <c r="Z1447" s="27"/>
      <c r="AA1447" s="49"/>
    </row>
    <row r="1448" spans="1:27" x14ac:dyDescent="0.35">
      <c r="A1448" s="27"/>
      <c r="B1448" s="28"/>
      <c r="C1448" s="27"/>
      <c r="D1448" s="27"/>
      <c r="E1448" s="27"/>
      <c r="F1448" s="27"/>
      <c r="G1448" s="27"/>
      <c r="H1448" s="27"/>
      <c r="I1448" s="27"/>
      <c r="J1448" s="43"/>
      <c r="K1448" s="43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43"/>
      <c r="X1448" s="29"/>
      <c r="Y1448" s="30"/>
      <c r="Z1448" s="27"/>
      <c r="AA1448" s="49"/>
    </row>
    <row r="1449" spans="1:27" x14ac:dyDescent="0.35">
      <c r="A1449" s="27"/>
      <c r="B1449" s="28"/>
      <c r="C1449" s="27"/>
      <c r="D1449" s="27"/>
      <c r="E1449" s="27"/>
      <c r="F1449" s="27"/>
      <c r="G1449" s="27"/>
      <c r="H1449" s="27"/>
      <c r="I1449" s="27"/>
      <c r="J1449" s="43"/>
      <c r="K1449" s="43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43"/>
      <c r="X1449" s="29"/>
      <c r="Y1449" s="30"/>
      <c r="Z1449" s="27"/>
      <c r="AA1449" s="49"/>
    </row>
    <row r="1450" spans="1:27" x14ac:dyDescent="0.35">
      <c r="A1450" s="27"/>
      <c r="B1450" s="28"/>
      <c r="C1450" s="27"/>
      <c r="D1450" s="27"/>
      <c r="E1450" s="27"/>
      <c r="F1450" s="27"/>
      <c r="G1450" s="27"/>
      <c r="H1450" s="27"/>
      <c r="I1450" s="27"/>
      <c r="J1450" s="43"/>
      <c r="K1450" s="43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43"/>
      <c r="X1450" s="29"/>
      <c r="Y1450" s="30"/>
      <c r="Z1450" s="27"/>
      <c r="AA1450" s="49"/>
    </row>
    <row r="1451" spans="1:27" x14ac:dyDescent="0.35">
      <c r="A1451" s="27"/>
      <c r="B1451" s="28"/>
      <c r="C1451" s="27"/>
      <c r="D1451" s="27"/>
      <c r="E1451" s="27"/>
      <c r="F1451" s="27"/>
      <c r="G1451" s="27"/>
      <c r="H1451" s="27"/>
      <c r="I1451" s="27"/>
      <c r="J1451" s="43"/>
      <c r="K1451" s="43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43"/>
      <c r="X1451" s="29"/>
      <c r="Y1451" s="30"/>
      <c r="Z1451" s="27"/>
      <c r="AA1451" s="49"/>
    </row>
    <row r="1452" spans="1:27" x14ac:dyDescent="0.35">
      <c r="A1452" s="27"/>
      <c r="B1452" s="28"/>
      <c r="C1452" s="27"/>
      <c r="D1452" s="27"/>
      <c r="E1452" s="27"/>
      <c r="F1452" s="27"/>
      <c r="G1452" s="27"/>
      <c r="H1452" s="27"/>
      <c r="I1452" s="27"/>
      <c r="J1452" s="43"/>
      <c r="K1452" s="43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43"/>
      <c r="X1452" s="29"/>
      <c r="Y1452" s="30"/>
      <c r="Z1452" s="27"/>
      <c r="AA1452" s="49"/>
    </row>
    <row r="1453" spans="1:27" x14ac:dyDescent="0.35">
      <c r="A1453" s="27"/>
      <c r="B1453" s="28"/>
      <c r="C1453" s="27"/>
      <c r="D1453" s="27"/>
      <c r="E1453" s="27"/>
      <c r="F1453" s="27"/>
      <c r="G1453" s="27"/>
      <c r="H1453" s="27"/>
      <c r="I1453" s="27"/>
      <c r="J1453" s="43"/>
      <c r="K1453" s="43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43"/>
      <c r="X1453" s="29"/>
      <c r="Y1453" s="30"/>
      <c r="Z1453" s="27"/>
      <c r="AA1453" s="49"/>
    </row>
    <row r="1454" spans="1:27" x14ac:dyDescent="0.35">
      <c r="A1454" s="27"/>
      <c r="B1454" s="28"/>
      <c r="C1454" s="27"/>
      <c r="D1454" s="27"/>
      <c r="E1454" s="27"/>
      <c r="F1454" s="27"/>
      <c r="G1454" s="27"/>
      <c r="H1454" s="27"/>
      <c r="I1454" s="27"/>
      <c r="J1454" s="43"/>
      <c r="K1454" s="43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43"/>
      <c r="X1454" s="29"/>
      <c r="Y1454" s="30"/>
      <c r="Z1454" s="27"/>
      <c r="AA1454" s="49"/>
    </row>
    <row r="1455" spans="1:27" x14ac:dyDescent="0.35">
      <c r="A1455" s="27"/>
      <c r="B1455" s="28"/>
      <c r="C1455" s="27"/>
      <c r="D1455" s="27"/>
      <c r="E1455" s="27"/>
      <c r="F1455" s="27"/>
      <c r="G1455" s="27"/>
      <c r="H1455" s="27"/>
      <c r="I1455" s="27"/>
      <c r="J1455" s="43"/>
      <c r="K1455" s="43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43"/>
      <c r="X1455" s="29"/>
      <c r="Y1455" s="30"/>
      <c r="Z1455" s="27"/>
      <c r="AA1455" s="49"/>
    </row>
    <row r="1456" spans="1:27" x14ac:dyDescent="0.35">
      <c r="A1456" s="27"/>
      <c r="B1456" s="28"/>
      <c r="C1456" s="27"/>
      <c r="D1456" s="27"/>
      <c r="E1456" s="27"/>
      <c r="F1456" s="27"/>
      <c r="G1456" s="27"/>
      <c r="H1456" s="27"/>
      <c r="I1456" s="27"/>
      <c r="J1456" s="43"/>
      <c r="K1456" s="43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43"/>
      <c r="X1456" s="29"/>
      <c r="Y1456" s="30"/>
      <c r="Z1456" s="27"/>
      <c r="AA1456" s="49"/>
    </row>
    <row r="1457" spans="1:27" x14ac:dyDescent="0.35">
      <c r="A1457" s="27"/>
      <c r="B1457" s="28"/>
      <c r="C1457" s="27"/>
      <c r="D1457" s="27"/>
      <c r="E1457" s="27"/>
      <c r="F1457" s="27"/>
      <c r="G1457" s="27"/>
      <c r="H1457" s="27"/>
      <c r="I1457" s="27"/>
      <c r="J1457" s="43"/>
      <c r="K1457" s="43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43"/>
      <c r="X1457" s="29"/>
      <c r="Y1457" s="30"/>
      <c r="Z1457" s="27"/>
      <c r="AA1457" s="49"/>
    </row>
    <row r="1458" spans="1:27" x14ac:dyDescent="0.35">
      <c r="A1458" s="27"/>
      <c r="B1458" s="28"/>
      <c r="C1458" s="27"/>
      <c r="D1458" s="27"/>
      <c r="E1458" s="27"/>
      <c r="F1458" s="27"/>
      <c r="G1458" s="27"/>
      <c r="H1458" s="27"/>
      <c r="I1458" s="27"/>
      <c r="J1458" s="43"/>
      <c r="K1458" s="43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43"/>
      <c r="X1458" s="29"/>
      <c r="Y1458" s="30"/>
      <c r="Z1458" s="27"/>
      <c r="AA1458" s="49"/>
    </row>
    <row r="1459" spans="1:27" x14ac:dyDescent="0.35">
      <c r="A1459" s="27"/>
      <c r="B1459" s="28"/>
      <c r="C1459" s="27"/>
      <c r="D1459" s="27"/>
      <c r="E1459" s="27"/>
      <c r="F1459" s="27"/>
      <c r="G1459" s="27"/>
      <c r="H1459" s="27"/>
      <c r="I1459" s="27"/>
      <c r="J1459" s="43"/>
      <c r="K1459" s="43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43"/>
      <c r="X1459" s="29"/>
      <c r="Y1459" s="30"/>
      <c r="Z1459" s="27"/>
      <c r="AA1459" s="49"/>
    </row>
    <row r="1460" spans="1:27" x14ac:dyDescent="0.35">
      <c r="A1460" s="27"/>
      <c r="B1460" s="28"/>
      <c r="C1460" s="27"/>
      <c r="D1460" s="27"/>
      <c r="E1460" s="27"/>
      <c r="F1460" s="27"/>
      <c r="G1460" s="27"/>
      <c r="H1460" s="27"/>
      <c r="I1460" s="27"/>
      <c r="J1460" s="43"/>
      <c r="K1460" s="43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43"/>
      <c r="X1460" s="29"/>
      <c r="Y1460" s="30"/>
      <c r="Z1460" s="27"/>
      <c r="AA1460" s="49"/>
    </row>
    <row r="1461" spans="1:27" x14ac:dyDescent="0.35">
      <c r="A1461" s="27"/>
      <c r="B1461" s="28"/>
      <c r="C1461" s="27"/>
      <c r="D1461" s="27"/>
      <c r="E1461" s="27"/>
      <c r="F1461" s="27"/>
      <c r="G1461" s="27"/>
      <c r="H1461" s="27"/>
      <c r="I1461" s="27"/>
      <c r="J1461" s="43"/>
      <c r="K1461" s="43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43"/>
      <c r="X1461" s="29"/>
      <c r="Y1461" s="30"/>
      <c r="Z1461" s="27"/>
      <c r="AA1461" s="49"/>
    </row>
    <row r="1462" spans="1:27" x14ac:dyDescent="0.35">
      <c r="A1462" s="27"/>
      <c r="B1462" s="28"/>
      <c r="C1462" s="27"/>
      <c r="D1462" s="27"/>
      <c r="E1462" s="27"/>
      <c r="F1462" s="27"/>
      <c r="G1462" s="27"/>
      <c r="H1462" s="27"/>
      <c r="I1462" s="27"/>
      <c r="J1462" s="43"/>
      <c r="K1462" s="43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43"/>
      <c r="X1462" s="29"/>
      <c r="Y1462" s="30"/>
      <c r="Z1462" s="27"/>
      <c r="AA1462" s="49"/>
    </row>
    <row r="1463" spans="1:27" x14ac:dyDescent="0.35">
      <c r="A1463" s="27"/>
      <c r="B1463" s="28"/>
      <c r="C1463" s="27"/>
      <c r="D1463" s="27"/>
      <c r="E1463" s="27"/>
      <c r="F1463" s="27"/>
      <c r="G1463" s="27"/>
      <c r="H1463" s="27"/>
      <c r="I1463" s="27"/>
      <c r="J1463" s="43"/>
      <c r="K1463" s="43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43"/>
      <c r="X1463" s="29"/>
      <c r="Y1463" s="30"/>
      <c r="Z1463" s="27"/>
      <c r="AA1463" s="49"/>
    </row>
    <row r="1464" spans="1:27" x14ac:dyDescent="0.35">
      <c r="A1464" s="27"/>
      <c r="B1464" s="28"/>
      <c r="C1464" s="27"/>
      <c r="D1464" s="27"/>
      <c r="E1464" s="27"/>
      <c r="F1464" s="27"/>
      <c r="G1464" s="27"/>
      <c r="H1464" s="27"/>
      <c r="I1464" s="27"/>
      <c r="J1464" s="43"/>
      <c r="K1464" s="43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43"/>
      <c r="X1464" s="29"/>
      <c r="Y1464" s="30"/>
      <c r="Z1464" s="27"/>
      <c r="AA1464" s="49"/>
    </row>
    <row r="1465" spans="1:27" x14ac:dyDescent="0.35">
      <c r="A1465" s="27"/>
      <c r="B1465" s="28"/>
      <c r="C1465" s="27"/>
      <c r="D1465" s="27"/>
      <c r="E1465" s="27"/>
      <c r="F1465" s="27"/>
      <c r="G1465" s="27"/>
      <c r="H1465" s="27"/>
      <c r="I1465" s="27"/>
      <c r="J1465" s="43"/>
      <c r="K1465" s="43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43"/>
      <c r="X1465" s="29"/>
      <c r="Y1465" s="30"/>
      <c r="Z1465" s="27"/>
      <c r="AA1465" s="49"/>
    </row>
    <row r="1466" spans="1:27" x14ac:dyDescent="0.35">
      <c r="A1466" s="27"/>
      <c r="B1466" s="28"/>
      <c r="C1466" s="27"/>
      <c r="D1466" s="27"/>
      <c r="E1466" s="27"/>
      <c r="F1466" s="27"/>
      <c r="G1466" s="27"/>
      <c r="H1466" s="27"/>
      <c r="I1466" s="27"/>
      <c r="J1466" s="43"/>
      <c r="K1466" s="43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43"/>
      <c r="X1466" s="29"/>
      <c r="Y1466" s="30"/>
      <c r="Z1466" s="27"/>
      <c r="AA1466" s="49"/>
    </row>
    <row r="1467" spans="1:27" x14ac:dyDescent="0.35">
      <c r="A1467" s="27"/>
      <c r="B1467" s="28"/>
      <c r="C1467" s="27"/>
      <c r="D1467" s="27"/>
      <c r="E1467" s="27"/>
      <c r="F1467" s="27"/>
      <c r="G1467" s="27"/>
      <c r="H1467" s="27"/>
      <c r="I1467" s="27"/>
      <c r="J1467" s="43"/>
      <c r="K1467" s="43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43"/>
      <c r="X1467" s="29"/>
      <c r="Y1467" s="30"/>
      <c r="Z1467" s="27"/>
      <c r="AA1467" s="49"/>
    </row>
    <row r="1468" spans="1:27" x14ac:dyDescent="0.35">
      <c r="A1468" s="27"/>
      <c r="B1468" s="28"/>
      <c r="C1468" s="27"/>
      <c r="D1468" s="27"/>
      <c r="E1468" s="27"/>
      <c r="F1468" s="27"/>
      <c r="G1468" s="27"/>
      <c r="H1468" s="27"/>
      <c r="I1468" s="27"/>
      <c r="J1468" s="43"/>
      <c r="K1468" s="43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43"/>
      <c r="X1468" s="29"/>
      <c r="Y1468" s="30"/>
      <c r="Z1468" s="27"/>
      <c r="AA1468" s="49"/>
    </row>
    <row r="1469" spans="1:27" x14ac:dyDescent="0.35">
      <c r="A1469" s="27"/>
      <c r="B1469" s="28"/>
      <c r="C1469" s="27"/>
      <c r="D1469" s="27"/>
      <c r="E1469" s="27"/>
      <c r="F1469" s="27"/>
      <c r="G1469" s="27"/>
      <c r="H1469" s="27"/>
      <c r="I1469" s="27"/>
      <c r="J1469" s="43"/>
      <c r="K1469" s="43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43"/>
      <c r="X1469" s="29"/>
      <c r="Y1469" s="30"/>
      <c r="Z1469" s="27"/>
      <c r="AA1469" s="49"/>
    </row>
    <row r="1470" spans="1:27" x14ac:dyDescent="0.35">
      <c r="A1470" s="27"/>
      <c r="B1470" s="28"/>
      <c r="C1470" s="27"/>
      <c r="D1470" s="27"/>
      <c r="E1470" s="27"/>
      <c r="F1470" s="27"/>
      <c r="G1470" s="27"/>
      <c r="H1470" s="27"/>
      <c r="I1470" s="27"/>
      <c r="J1470" s="43"/>
      <c r="K1470" s="43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43"/>
      <c r="X1470" s="29"/>
      <c r="Y1470" s="30"/>
      <c r="Z1470" s="27"/>
      <c r="AA1470" s="49"/>
    </row>
    <row r="1471" spans="1:27" x14ac:dyDescent="0.35">
      <c r="A1471" s="27"/>
      <c r="B1471" s="28"/>
      <c r="C1471" s="27"/>
      <c r="D1471" s="27"/>
      <c r="E1471" s="27"/>
      <c r="F1471" s="27"/>
      <c r="G1471" s="27"/>
      <c r="H1471" s="27"/>
      <c r="I1471" s="27"/>
      <c r="J1471" s="43"/>
      <c r="K1471" s="43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43"/>
      <c r="X1471" s="29"/>
      <c r="Y1471" s="30"/>
      <c r="Z1471" s="27"/>
      <c r="AA1471" s="49"/>
    </row>
    <row r="1472" spans="1:27" x14ac:dyDescent="0.35">
      <c r="A1472" s="27"/>
      <c r="B1472" s="28"/>
      <c r="C1472" s="27"/>
      <c r="D1472" s="27"/>
      <c r="E1472" s="27"/>
      <c r="F1472" s="27"/>
      <c r="G1472" s="27"/>
      <c r="H1472" s="27"/>
      <c r="I1472" s="27"/>
      <c r="J1472" s="43"/>
      <c r="K1472" s="43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43"/>
      <c r="X1472" s="29"/>
      <c r="Y1472" s="30"/>
      <c r="Z1472" s="27"/>
      <c r="AA1472" s="49"/>
    </row>
    <row r="1473" spans="1:27" x14ac:dyDescent="0.35">
      <c r="A1473" s="27"/>
      <c r="B1473" s="28"/>
      <c r="C1473" s="27"/>
      <c r="D1473" s="27"/>
      <c r="E1473" s="27"/>
      <c r="F1473" s="27"/>
      <c r="G1473" s="27"/>
      <c r="H1473" s="27"/>
      <c r="I1473" s="27"/>
      <c r="J1473" s="43"/>
      <c r="K1473" s="43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43"/>
      <c r="X1473" s="29"/>
      <c r="Y1473" s="30"/>
      <c r="Z1473" s="27"/>
      <c r="AA1473" s="49"/>
    </row>
    <row r="1474" spans="1:27" x14ac:dyDescent="0.35">
      <c r="A1474" s="27"/>
      <c r="B1474" s="28"/>
      <c r="C1474" s="27"/>
      <c r="D1474" s="27"/>
      <c r="E1474" s="27"/>
      <c r="F1474" s="27"/>
      <c r="G1474" s="27"/>
      <c r="H1474" s="27"/>
      <c r="I1474" s="27"/>
      <c r="J1474" s="43"/>
      <c r="K1474" s="43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43"/>
      <c r="X1474" s="29"/>
      <c r="Y1474" s="30"/>
      <c r="Z1474" s="27"/>
      <c r="AA1474" s="49"/>
    </row>
    <row r="1475" spans="1:27" x14ac:dyDescent="0.35">
      <c r="A1475" s="27"/>
      <c r="B1475" s="28"/>
      <c r="C1475" s="27"/>
      <c r="D1475" s="27"/>
      <c r="E1475" s="27"/>
      <c r="F1475" s="27"/>
      <c r="G1475" s="27"/>
      <c r="H1475" s="27"/>
      <c r="I1475" s="27"/>
      <c r="J1475" s="43"/>
      <c r="K1475" s="43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43"/>
      <c r="X1475" s="29"/>
      <c r="Y1475" s="30"/>
      <c r="Z1475" s="27"/>
      <c r="AA1475" s="49"/>
    </row>
    <row r="1476" spans="1:27" x14ac:dyDescent="0.35">
      <c r="A1476" s="27"/>
      <c r="B1476" s="28"/>
      <c r="C1476" s="27"/>
      <c r="D1476" s="27"/>
      <c r="E1476" s="27"/>
      <c r="F1476" s="27"/>
      <c r="G1476" s="27"/>
      <c r="H1476" s="27"/>
      <c r="I1476" s="27"/>
      <c r="J1476" s="43"/>
      <c r="K1476" s="43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43"/>
      <c r="X1476" s="29"/>
      <c r="Y1476" s="30"/>
      <c r="Z1476" s="27"/>
      <c r="AA1476" s="49"/>
    </row>
    <row r="1477" spans="1:27" x14ac:dyDescent="0.35">
      <c r="A1477" s="27"/>
      <c r="B1477" s="28"/>
      <c r="C1477" s="27"/>
      <c r="D1477" s="27"/>
      <c r="E1477" s="27"/>
      <c r="F1477" s="27"/>
      <c r="G1477" s="27"/>
      <c r="H1477" s="27"/>
      <c r="I1477" s="27"/>
      <c r="J1477" s="43"/>
      <c r="K1477" s="43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43"/>
      <c r="X1477" s="29"/>
      <c r="Y1477" s="30"/>
      <c r="Z1477" s="27"/>
      <c r="AA1477" s="49"/>
    </row>
    <row r="1478" spans="1:27" x14ac:dyDescent="0.35">
      <c r="A1478" s="27"/>
      <c r="B1478" s="28"/>
      <c r="C1478" s="27"/>
      <c r="D1478" s="27"/>
      <c r="E1478" s="27"/>
      <c r="F1478" s="27"/>
      <c r="G1478" s="27"/>
      <c r="H1478" s="27"/>
      <c r="I1478" s="27"/>
      <c r="J1478" s="43"/>
      <c r="K1478" s="43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43"/>
      <c r="X1478" s="29"/>
      <c r="Y1478" s="30"/>
      <c r="Z1478" s="27"/>
      <c r="AA1478" s="49"/>
    </row>
    <row r="1479" spans="1:27" x14ac:dyDescent="0.35">
      <c r="A1479" s="27"/>
      <c r="B1479" s="28"/>
      <c r="C1479" s="27"/>
      <c r="D1479" s="27"/>
      <c r="E1479" s="27"/>
      <c r="F1479" s="27"/>
      <c r="G1479" s="27"/>
      <c r="H1479" s="27"/>
      <c r="I1479" s="27"/>
      <c r="J1479" s="43"/>
      <c r="K1479" s="43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43"/>
      <c r="X1479" s="29"/>
      <c r="Y1479" s="30"/>
      <c r="Z1479" s="27"/>
      <c r="AA1479" s="49"/>
    </row>
    <row r="1480" spans="1:27" x14ac:dyDescent="0.35">
      <c r="A1480" s="27"/>
      <c r="B1480" s="28"/>
      <c r="C1480" s="27"/>
      <c r="D1480" s="27"/>
      <c r="E1480" s="27"/>
      <c r="F1480" s="27"/>
      <c r="G1480" s="27"/>
      <c r="H1480" s="27"/>
      <c r="I1480" s="27"/>
      <c r="J1480" s="43"/>
      <c r="K1480" s="43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43"/>
      <c r="X1480" s="29"/>
      <c r="Y1480" s="30"/>
      <c r="Z1480" s="27"/>
      <c r="AA1480" s="49"/>
    </row>
    <row r="1481" spans="1:27" x14ac:dyDescent="0.35">
      <c r="A1481" s="27"/>
      <c r="B1481" s="28"/>
      <c r="C1481" s="27"/>
      <c r="D1481" s="27"/>
      <c r="E1481" s="27"/>
      <c r="F1481" s="27"/>
      <c r="G1481" s="27"/>
      <c r="H1481" s="27"/>
      <c r="I1481" s="27"/>
      <c r="J1481" s="43"/>
      <c r="K1481" s="43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43"/>
      <c r="X1481" s="29"/>
      <c r="Y1481" s="30"/>
      <c r="Z1481" s="27"/>
      <c r="AA1481" s="49"/>
    </row>
    <row r="1482" spans="1:27" x14ac:dyDescent="0.35">
      <c r="A1482" s="27"/>
      <c r="B1482" s="28"/>
      <c r="C1482" s="27"/>
      <c r="D1482" s="27"/>
      <c r="E1482" s="27"/>
      <c r="F1482" s="27"/>
      <c r="G1482" s="27"/>
      <c r="H1482" s="27"/>
      <c r="I1482" s="27"/>
      <c r="J1482" s="43"/>
      <c r="K1482" s="43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43"/>
      <c r="X1482" s="29"/>
      <c r="Y1482" s="30"/>
      <c r="Z1482" s="27"/>
      <c r="AA1482" s="49"/>
    </row>
    <row r="1483" spans="1:27" x14ac:dyDescent="0.35">
      <c r="A1483" s="27"/>
      <c r="B1483" s="28"/>
      <c r="C1483" s="27"/>
      <c r="D1483" s="27"/>
      <c r="E1483" s="27"/>
      <c r="F1483" s="27"/>
      <c r="G1483" s="27"/>
      <c r="H1483" s="27"/>
      <c r="I1483" s="27"/>
      <c r="J1483" s="43"/>
      <c r="K1483" s="43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43"/>
      <c r="X1483" s="29"/>
      <c r="Y1483" s="30"/>
      <c r="Z1483" s="27"/>
      <c r="AA1483" s="49"/>
    </row>
    <row r="1484" spans="1:27" x14ac:dyDescent="0.35">
      <c r="A1484" s="27"/>
      <c r="B1484" s="28"/>
      <c r="C1484" s="27"/>
      <c r="D1484" s="27"/>
      <c r="E1484" s="27"/>
      <c r="F1484" s="27"/>
      <c r="G1484" s="27"/>
      <c r="H1484" s="27"/>
      <c r="I1484" s="27"/>
      <c r="J1484" s="43"/>
      <c r="K1484" s="43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43"/>
      <c r="X1484" s="29"/>
      <c r="Y1484" s="30"/>
      <c r="Z1484" s="27"/>
      <c r="AA1484" s="49"/>
    </row>
    <row r="1485" spans="1:27" x14ac:dyDescent="0.35">
      <c r="A1485" s="27"/>
      <c r="B1485" s="28"/>
      <c r="C1485" s="27"/>
      <c r="D1485" s="27"/>
      <c r="E1485" s="27"/>
      <c r="F1485" s="27"/>
      <c r="G1485" s="27"/>
      <c r="H1485" s="27"/>
      <c r="I1485" s="27"/>
      <c r="J1485" s="43"/>
      <c r="K1485" s="43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43"/>
      <c r="X1485" s="29"/>
      <c r="Y1485" s="30"/>
      <c r="Z1485" s="27"/>
      <c r="AA1485" s="49"/>
    </row>
    <row r="1486" spans="1:27" x14ac:dyDescent="0.35">
      <c r="A1486" s="27"/>
      <c r="B1486" s="28"/>
      <c r="C1486" s="27"/>
      <c r="D1486" s="27"/>
      <c r="E1486" s="27"/>
      <c r="F1486" s="27"/>
      <c r="G1486" s="27"/>
      <c r="H1486" s="27"/>
      <c r="I1486" s="27"/>
      <c r="J1486" s="43"/>
      <c r="K1486" s="43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43"/>
      <c r="X1486" s="29"/>
      <c r="Y1486" s="30"/>
      <c r="Z1486" s="27"/>
      <c r="AA1486" s="49"/>
    </row>
    <row r="1487" spans="1:27" x14ac:dyDescent="0.35">
      <c r="A1487" s="27"/>
      <c r="B1487" s="28"/>
      <c r="C1487" s="27"/>
      <c r="D1487" s="27"/>
      <c r="E1487" s="27"/>
      <c r="F1487" s="27"/>
      <c r="G1487" s="27"/>
      <c r="H1487" s="27"/>
      <c r="I1487" s="27"/>
      <c r="J1487" s="43"/>
      <c r="K1487" s="43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43"/>
      <c r="X1487" s="29"/>
      <c r="Y1487" s="30"/>
      <c r="Z1487" s="27"/>
      <c r="AA1487" s="49"/>
    </row>
    <row r="1488" spans="1:27" x14ac:dyDescent="0.35">
      <c r="A1488" s="27"/>
      <c r="B1488" s="28"/>
      <c r="C1488" s="27"/>
      <c r="D1488" s="27"/>
      <c r="E1488" s="27"/>
      <c r="F1488" s="27"/>
      <c r="G1488" s="27"/>
      <c r="H1488" s="27"/>
      <c r="I1488" s="27"/>
      <c r="J1488" s="43"/>
      <c r="K1488" s="43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43"/>
      <c r="X1488" s="29"/>
      <c r="Y1488" s="30"/>
      <c r="Z1488" s="27"/>
      <c r="AA1488" s="49"/>
    </row>
    <row r="1489" spans="1:27" x14ac:dyDescent="0.35">
      <c r="A1489" s="27"/>
      <c r="B1489" s="28"/>
      <c r="C1489" s="27"/>
      <c r="D1489" s="27"/>
      <c r="E1489" s="27"/>
      <c r="F1489" s="27"/>
      <c r="G1489" s="27"/>
      <c r="H1489" s="27"/>
      <c r="I1489" s="27"/>
      <c r="J1489" s="43"/>
      <c r="K1489" s="43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43"/>
      <c r="X1489" s="29"/>
      <c r="Y1489" s="30"/>
      <c r="Z1489" s="27"/>
      <c r="AA1489" s="49"/>
    </row>
    <row r="1490" spans="1:27" x14ac:dyDescent="0.35">
      <c r="A1490" s="27"/>
      <c r="B1490" s="28"/>
      <c r="C1490" s="27"/>
      <c r="D1490" s="27"/>
      <c r="E1490" s="27"/>
      <c r="F1490" s="27"/>
      <c r="G1490" s="27"/>
      <c r="H1490" s="27"/>
      <c r="I1490" s="27"/>
      <c r="J1490" s="43"/>
      <c r="K1490" s="43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43"/>
      <c r="X1490" s="29"/>
      <c r="Y1490" s="30"/>
      <c r="Z1490" s="27"/>
      <c r="AA1490" s="49"/>
    </row>
    <row r="1491" spans="1:27" x14ac:dyDescent="0.35">
      <c r="A1491" s="27"/>
      <c r="B1491" s="28"/>
      <c r="C1491" s="27"/>
      <c r="D1491" s="27"/>
      <c r="E1491" s="27"/>
      <c r="F1491" s="27"/>
      <c r="G1491" s="27"/>
      <c r="H1491" s="27"/>
      <c r="I1491" s="27"/>
      <c r="J1491" s="43"/>
      <c r="K1491" s="43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43"/>
      <c r="X1491" s="29"/>
      <c r="Y1491" s="30"/>
      <c r="Z1491" s="27"/>
      <c r="AA1491" s="49"/>
    </row>
    <row r="1492" spans="1:27" x14ac:dyDescent="0.35">
      <c r="A1492" s="27"/>
      <c r="B1492" s="28"/>
      <c r="C1492" s="27"/>
      <c r="D1492" s="27"/>
      <c r="E1492" s="27"/>
      <c r="F1492" s="27"/>
      <c r="G1492" s="27"/>
      <c r="H1492" s="27"/>
      <c r="I1492" s="27"/>
      <c r="J1492" s="43"/>
      <c r="K1492" s="43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43"/>
      <c r="X1492" s="29"/>
      <c r="Y1492" s="30"/>
      <c r="Z1492" s="27"/>
      <c r="AA1492" s="49"/>
    </row>
    <row r="1493" spans="1:27" x14ac:dyDescent="0.35">
      <c r="A1493" s="27"/>
      <c r="B1493" s="28"/>
      <c r="C1493" s="27"/>
      <c r="D1493" s="27"/>
      <c r="E1493" s="27"/>
      <c r="F1493" s="27"/>
      <c r="G1493" s="27"/>
      <c r="H1493" s="27"/>
      <c r="I1493" s="27"/>
      <c r="J1493" s="43"/>
      <c r="K1493" s="43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43"/>
      <c r="X1493" s="29"/>
      <c r="Y1493" s="30"/>
      <c r="Z1493" s="27"/>
      <c r="AA1493" s="49"/>
    </row>
    <row r="1494" spans="1:27" x14ac:dyDescent="0.35">
      <c r="A1494" s="27"/>
      <c r="B1494" s="28"/>
      <c r="C1494" s="27"/>
      <c r="D1494" s="27"/>
      <c r="E1494" s="27"/>
      <c r="F1494" s="27"/>
      <c r="G1494" s="27"/>
      <c r="H1494" s="27"/>
      <c r="I1494" s="27"/>
      <c r="J1494" s="43"/>
      <c r="K1494" s="43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43"/>
      <c r="X1494" s="29"/>
      <c r="Y1494" s="30"/>
      <c r="Z1494" s="27"/>
      <c r="AA1494" s="49"/>
    </row>
    <row r="1495" spans="1:27" x14ac:dyDescent="0.35">
      <c r="A1495" s="27"/>
      <c r="B1495" s="28"/>
      <c r="C1495" s="27"/>
      <c r="D1495" s="27"/>
      <c r="E1495" s="27"/>
      <c r="F1495" s="27"/>
      <c r="G1495" s="27"/>
      <c r="H1495" s="27"/>
      <c r="I1495" s="27"/>
      <c r="J1495" s="43"/>
      <c r="K1495" s="43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43"/>
      <c r="X1495" s="29"/>
      <c r="Y1495" s="30"/>
      <c r="Z1495" s="27"/>
      <c r="AA1495" s="49"/>
    </row>
    <row r="1496" spans="1:27" x14ac:dyDescent="0.35">
      <c r="A1496" s="27"/>
      <c r="B1496" s="28"/>
      <c r="C1496" s="27"/>
      <c r="D1496" s="27"/>
      <c r="E1496" s="27"/>
      <c r="F1496" s="27"/>
      <c r="G1496" s="27"/>
      <c r="H1496" s="27"/>
      <c r="I1496" s="27"/>
      <c r="J1496" s="43"/>
      <c r="K1496" s="43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43"/>
      <c r="X1496" s="29"/>
      <c r="Y1496" s="30"/>
      <c r="Z1496" s="27"/>
      <c r="AA1496" s="49"/>
    </row>
    <row r="1497" spans="1:27" x14ac:dyDescent="0.35">
      <c r="A1497" s="27"/>
      <c r="B1497" s="28"/>
      <c r="C1497" s="27"/>
      <c r="D1497" s="27"/>
      <c r="E1497" s="27"/>
      <c r="F1497" s="27"/>
      <c r="G1497" s="27"/>
      <c r="H1497" s="27"/>
      <c r="I1497" s="27"/>
      <c r="J1497" s="43"/>
      <c r="K1497" s="43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43"/>
      <c r="X1497" s="29"/>
      <c r="Y1497" s="30"/>
      <c r="Z1497" s="27"/>
      <c r="AA1497" s="49"/>
    </row>
    <row r="1498" spans="1:27" x14ac:dyDescent="0.35">
      <c r="A1498" s="27"/>
      <c r="B1498" s="28"/>
      <c r="C1498" s="27"/>
      <c r="D1498" s="27"/>
      <c r="E1498" s="27"/>
      <c r="F1498" s="27"/>
      <c r="G1498" s="27"/>
      <c r="H1498" s="27"/>
      <c r="I1498" s="27"/>
      <c r="J1498" s="43"/>
      <c r="K1498" s="43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43"/>
      <c r="X1498" s="29"/>
      <c r="Y1498" s="30"/>
      <c r="Z1498" s="27"/>
      <c r="AA1498" s="49"/>
    </row>
    <row r="1499" spans="1:27" x14ac:dyDescent="0.35">
      <c r="A1499" s="27"/>
      <c r="B1499" s="28"/>
      <c r="C1499" s="27"/>
      <c r="D1499" s="27"/>
      <c r="E1499" s="27"/>
      <c r="F1499" s="27"/>
      <c r="G1499" s="27"/>
      <c r="H1499" s="27"/>
      <c r="I1499" s="27"/>
      <c r="J1499" s="43"/>
      <c r="K1499" s="43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43"/>
      <c r="X1499" s="29"/>
      <c r="Y1499" s="30"/>
      <c r="Z1499" s="27"/>
      <c r="AA1499" s="49"/>
    </row>
    <row r="1500" spans="1:27" x14ac:dyDescent="0.35">
      <c r="A1500" s="27"/>
      <c r="B1500" s="28"/>
      <c r="C1500" s="27"/>
      <c r="D1500" s="27"/>
      <c r="E1500" s="27"/>
      <c r="F1500" s="27"/>
      <c r="G1500" s="27"/>
      <c r="H1500" s="27"/>
      <c r="I1500" s="27"/>
      <c r="J1500" s="43"/>
      <c r="K1500" s="43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43"/>
      <c r="X1500" s="29"/>
      <c r="Y1500" s="30"/>
      <c r="Z1500" s="27"/>
      <c r="AA1500" s="49"/>
    </row>
    <row r="1501" spans="1:27" x14ac:dyDescent="0.35">
      <c r="A1501" s="27"/>
      <c r="B1501" s="28"/>
      <c r="C1501" s="27"/>
      <c r="D1501" s="27"/>
      <c r="E1501" s="27"/>
      <c r="F1501" s="27"/>
      <c r="G1501" s="27"/>
      <c r="H1501" s="27"/>
      <c r="I1501" s="27"/>
      <c r="J1501" s="43"/>
      <c r="K1501" s="43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43"/>
      <c r="X1501" s="29"/>
      <c r="Y1501" s="30"/>
      <c r="Z1501" s="27"/>
      <c r="AA1501" s="49"/>
    </row>
    <row r="1502" spans="1:27" x14ac:dyDescent="0.35">
      <c r="A1502" s="27"/>
      <c r="B1502" s="28"/>
      <c r="C1502" s="27"/>
      <c r="D1502" s="27"/>
      <c r="E1502" s="27"/>
      <c r="F1502" s="27"/>
      <c r="G1502" s="27"/>
      <c r="H1502" s="27"/>
      <c r="I1502" s="27"/>
      <c r="J1502" s="43"/>
      <c r="K1502" s="43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43"/>
      <c r="X1502" s="29"/>
      <c r="Y1502" s="30"/>
      <c r="Z1502" s="27"/>
      <c r="AA1502" s="49"/>
    </row>
    <row r="1503" spans="1:27" x14ac:dyDescent="0.35">
      <c r="A1503" s="27"/>
      <c r="B1503" s="28"/>
      <c r="C1503" s="27"/>
      <c r="D1503" s="27"/>
      <c r="E1503" s="27"/>
      <c r="F1503" s="27"/>
      <c r="G1503" s="27"/>
      <c r="H1503" s="27"/>
      <c r="I1503" s="27"/>
      <c r="J1503" s="43"/>
      <c r="K1503" s="43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43"/>
      <c r="X1503" s="29"/>
      <c r="Y1503" s="30"/>
      <c r="Z1503" s="27"/>
      <c r="AA1503" s="49"/>
    </row>
    <row r="1504" spans="1:27" x14ac:dyDescent="0.35">
      <c r="A1504" s="27"/>
      <c r="B1504" s="28"/>
      <c r="C1504" s="27"/>
      <c r="D1504" s="27"/>
      <c r="E1504" s="27"/>
      <c r="F1504" s="27"/>
      <c r="G1504" s="27"/>
      <c r="H1504" s="27"/>
      <c r="I1504" s="27"/>
      <c r="J1504" s="43"/>
      <c r="K1504" s="43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43"/>
      <c r="X1504" s="29"/>
      <c r="Y1504" s="30"/>
      <c r="Z1504" s="27"/>
      <c r="AA1504" s="49"/>
    </row>
    <row r="1505" spans="1:27" x14ac:dyDescent="0.35">
      <c r="A1505" s="27"/>
      <c r="B1505" s="28"/>
      <c r="C1505" s="27"/>
      <c r="D1505" s="27"/>
      <c r="E1505" s="27"/>
      <c r="F1505" s="27"/>
      <c r="G1505" s="27"/>
      <c r="H1505" s="27"/>
      <c r="I1505" s="27"/>
      <c r="J1505" s="43"/>
      <c r="K1505" s="43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43"/>
      <c r="X1505" s="29"/>
      <c r="Y1505" s="30"/>
      <c r="Z1505" s="27"/>
      <c r="AA1505" s="49"/>
    </row>
    <row r="1506" spans="1:27" x14ac:dyDescent="0.35">
      <c r="A1506" s="27"/>
      <c r="B1506" s="28"/>
      <c r="C1506" s="27"/>
      <c r="D1506" s="27"/>
      <c r="E1506" s="27"/>
      <c r="F1506" s="27"/>
      <c r="G1506" s="27"/>
      <c r="H1506" s="27"/>
      <c r="I1506" s="27"/>
      <c r="J1506" s="43"/>
      <c r="K1506" s="43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43"/>
      <c r="X1506" s="29"/>
      <c r="Y1506" s="30"/>
      <c r="Z1506" s="27"/>
      <c r="AA1506" s="49"/>
    </row>
    <row r="1507" spans="1:27" x14ac:dyDescent="0.35">
      <c r="A1507" s="27"/>
      <c r="B1507" s="28"/>
      <c r="C1507" s="27"/>
      <c r="D1507" s="27"/>
      <c r="E1507" s="27"/>
      <c r="F1507" s="27"/>
      <c r="G1507" s="27"/>
      <c r="H1507" s="27"/>
      <c r="I1507" s="27"/>
      <c r="J1507" s="43"/>
      <c r="K1507" s="43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43"/>
      <c r="X1507" s="29"/>
      <c r="Y1507" s="30"/>
      <c r="Z1507" s="27"/>
      <c r="AA1507" s="49"/>
    </row>
    <row r="1508" spans="1:27" x14ac:dyDescent="0.35">
      <c r="A1508" s="27"/>
      <c r="B1508" s="28"/>
      <c r="C1508" s="27"/>
      <c r="D1508" s="27"/>
      <c r="E1508" s="27"/>
      <c r="F1508" s="27"/>
      <c r="G1508" s="27"/>
      <c r="H1508" s="27"/>
      <c r="I1508" s="27"/>
      <c r="J1508" s="43"/>
      <c r="K1508" s="43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43"/>
      <c r="X1508" s="29"/>
      <c r="Y1508" s="30"/>
      <c r="Z1508" s="27"/>
      <c r="AA1508" s="49"/>
    </row>
    <row r="1509" spans="1:27" x14ac:dyDescent="0.35">
      <c r="A1509" s="27"/>
      <c r="B1509" s="28"/>
      <c r="C1509" s="27"/>
      <c r="D1509" s="27"/>
      <c r="E1509" s="27"/>
      <c r="F1509" s="27"/>
      <c r="G1509" s="27"/>
      <c r="H1509" s="27"/>
      <c r="I1509" s="27"/>
      <c r="J1509" s="43"/>
      <c r="K1509" s="43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43"/>
      <c r="X1509" s="29"/>
      <c r="Y1509" s="30"/>
      <c r="Z1509" s="27"/>
      <c r="AA1509" s="49"/>
    </row>
    <row r="1510" spans="1:27" x14ac:dyDescent="0.35">
      <c r="A1510" s="27"/>
      <c r="B1510" s="28"/>
      <c r="C1510" s="27"/>
      <c r="D1510" s="27"/>
      <c r="E1510" s="27"/>
      <c r="F1510" s="27"/>
      <c r="G1510" s="27"/>
      <c r="H1510" s="27"/>
      <c r="I1510" s="27"/>
      <c r="J1510" s="43"/>
      <c r="K1510" s="43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43"/>
      <c r="X1510" s="29"/>
      <c r="Y1510" s="30"/>
      <c r="Z1510" s="27"/>
      <c r="AA1510" s="49"/>
    </row>
    <row r="1511" spans="1:27" x14ac:dyDescent="0.35">
      <c r="A1511" s="27"/>
      <c r="B1511" s="28"/>
      <c r="C1511" s="27"/>
      <c r="D1511" s="27"/>
      <c r="E1511" s="27"/>
      <c r="F1511" s="27"/>
      <c r="G1511" s="27"/>
      <c r="H1511" s="27"/>
      <c r="I1511" s="27"/>
      <c r="J1511" s="43"/>
      <c r="K1511" s="43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43"/>
      <c r="X1511" s="29"/>
      <c r="Y1511" s="30"/>
      <c r="Z1511" s="27"/>
      <c r="AA1511" s="49"/>
    </row>
    <row r="1512" spans="1:27" x14ac:dyDescent="0.35">
      <c r="A1512" s="27"/>
      <c r="B1512" s="28"/>
      <c r="C1512" s="27"/>
      <c r="D1512" s="27"/>
      <c r="E1512" s="27"/>
      <c r="F1512" s="27"/>
      <c r="G1512" s="27"/>
      <c r="H1512" s="27"/>
      <c r="I1512" s="27"/>
      <c r="J1512" s="43"/>
      <c r="K1512" s="43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43"/>
      <c r="X1512" s="29"/>
      <c r="Y1512" s="30"/>
      <c r="Z1512" s="27"/>
      <c r="AA1512" s="49"/>
    </row>
    <row r="1513" spans="1:27" x14ac:dyDescent="0.35">
      <c r="A1513" s="27"/>
      <c r="B1513" s="28"/>
      <c r="C1513" s="27"/>
      <c r="D1513" s="27"/>
      <c r="E1513" s="27"/>
      <c r="F1513" s="27"/>
      <c r="G1513" s="27"/>
      <c r="H1513" s="27"/>
      <c r="I1513" s="27"/>
      <c r="J1513" s="43"/>
      <c r="K1513" s="43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43"/>
      <c r="X1513" s="29"/>
      <c r="Y1513" s="30"/>
      <c r="Z1513" s="27"/>
      <c r="AA1513" s="49"/>
    </row>
    <row r="1514" spans="1:27" x14ac:dyDescent="0.35">
      <c r="A1514" s="27"/>
      <c r="B1514" s="28"/>
      <c r="C1514" s="27"/>
      <c r="D1514" s="27"/>
      <c r="E1514" s="27"/>
      <c r="F1514" s="27"/>
      <c r="G1514" s="27"/>
      <c r="H1514" s="27"/>
      <c r="I1514" s="27"/>
      <c r="J1514" s="43"/>
      <c r="K1514" s="43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43"/>
      <c r="X1514" s="29"/>
      <c r="Y1514" s="30"/>
      <c r="Z1514" s="27"/>
      <c r="AA1514" s="49"/>
    </row>
    <row r="1515" spans="1:27" x14ac:dyDescent="0.35">
      <c r="A1515" s="27"/>
      <c r="B1515" s="28"/>
      <c r="C1515" s="27"/>
      <c r="D1515" s="27"/>
      <c r="E1515" s="27"/>
      <c r="F1515" s="27"/>
      <c r="G1515" s="27"/>
      <c r="H1515" s="27"/>
      <c r="I1515" s="27"/>
      <c r="J1515" s="43"/>
      <c r="K1515" s="43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43"/>
      <c r="X1515" s="29"/>
      <c r="Y1515" s="30"/>
      <c r="Z1515" s="27"/>
      <c r="AA1515" s="49"/>
    </row>
    <row r="1516" spans="1:27" x14ac:dyDescent="0.35">
      <c r="A1516" s="27"/>
      <c r="B1516" s="28"/>
      <c r="C1516" s="27"/>
      <c r="D1516" s="27"/>
      <c r="E1516" s="27"/>
      <c r="F1516" s="27"/>
      <c r="G1516" s="27"/>
      <c r="H1516" s="27"/>
      <c r="I1516" s="27"/>
      <c r="J1516" s="43"/>
      <c r="K1516" s="43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43"/>
      <c r="X1516" s="29"/>
      <c r="Y1516" s="30"/>
      <c r="Z1516" s="27"/>
      <c r="AA1516" s="49"/>
    </row>
    <row r="1517" spans="1:27" x14ac:dyDescent="0.35">
      <c r="A1517" s="27"/>
      <c r="B1517" s="28"/>
      <c r="C1517" s="27"/>
      <c r="D1517" s="27"/>
      <c r="E1517" s="27"/>
      <c r="F1517" s="27"/>
      <c r="G1517" s="27"/>
      <c r="H1517" s="27"/>
      <c r="I1517" s="27"/>
      <c r="J1517" s="43"/>
      <c r="K1517" s="43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43"/>
      <c r="X1517" s="29"/>
      <c r="Y1517" s="30"/>
      <c r="Z1517" s="27"/>
      <c r="AA1517" s="49"/>
    </row>
    <row r="1518" spans="1:27" x14ac:dyDescent="0.35">
      <c r="A1518" s="27"/>
      <c r="B1518" s="28"/>
      <c r="C1518" s="27"/>
      <c r="D1518" s="27"/>
      <c r="E1518" s="27"/>
      <c r="F1518" s="27"/>
      <c r="G1518" s="27"/>
      <c r="H1518" s="27"/>
      <c r="I1518" s="27"/>
      <c r="J1518" s="43"/>
      <c r="K1518" s="43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43"/>
      <c r="X1518" s="29"/>
      <c r="Y1518" s="30"/>
      <c r="Z1518" s="27"/>
      <c r="AA1518" s="49"/>
    </row>
    <row r="1519" spans="1:27" x14ac:dyDescent="0.35">
      <c r="A1519" s="27"/>
      <c r="B1519" s="28"/>
      <c r="C1519" s="27"/>
      <c r="D1519" s="27"/>
      <c r="E1519" s="27"/>
      <c r="F1519" s="27"/>
      <c r="G1519" s="27"/>
      <c r="H1519" s="27"/>
      <c r="I1519" s="27"/>
      <c r="J1519" s="43"/>
      <c r="K1519" s="43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43"/>
      <c r="X1519" s="29"/>
      <c r="Y1519" s="30"/>
      <c r="Z1519" s="27"/>
      <c r="AA1519" s="49"/>
    </row>
    <row r="1520" spans="1:27" x14ac:dyDescent="0.35">
      <c r="A1520" s="27"/>
      <c r="B1520" s="28"/>
      <c r="C1520" s="27"/>
      <c r="D1520" s="27"/>
      <c r="E1520" s="27"/>
      <c r="F1520" s="27"/>
      <c r="G1520" s="27"/>
      <c r="H1520" s="27"/>
      <c r="I1520" s="27"/>
      <c r="J1520" s="43"/>
      <c r="K1520" s="43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43"/>
      <c r="X1520" s="29"/>
      <c r="Y1520" s="30"/>
      <c r="Z1520" s="27"/>
      <c r="AA1520" s="49"/>
    </row>
    <row r="1521" spans="1:27" x14ac:dyDescent="0.35">
      <c r="A1521" s="27"/>
      <c r="B1521" s="28"/>
      <c r="C1521" s="27"/>
      <c r="D1521" s="27"/>
      <c r="E1521" s="27"/>
      <c r="F1521" s="27"/>
      <c r="G1521" s="27"/>
      <c r="H1521" s="27"/>
      <c r="I1521" s="27"/>
      <c r="J1521" s="43"/>
      <c r="K1521" s="43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43"/>
      <c r="X1521" s="29"/>
      <c r="Y1521" s="30"/>
      <c r="Z1521" s="27"/>
      <c r="AA1521" s="49"/>
    </row>
    <row r="1522" spans="1:27" x14ac:dyDescent="0.35">
      <c r="A1522" s="27"/>
      <c r="B1522" s="28"/>
      <c r="C1522" s="27"/>
      <c r="D1522" s="27"/>
      <c r="E1522" s="27"/>
      <c r="F1522" s="27"/>
      <c r="G1522" s="27"/>
      <c r="H1522" s="27"/>
      <c r="I1522" s="27"/>
      <c r="J1522" s="43"/>
      <c r="K1522" s="43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43"/>
      <c r="X1522" s="29"/>
      <c r="Y1522" s="30"/>
      <c r="Z1522" s="27"/>
      <c r="AA1522" s="49"/>
    </row>
    <row r="1523" spans="1:27" x14ac:dyDescent="0.35">
      <c r="A1523" s="27"/>
      <c r="B1523" s="28"/>
      <c r="C1523" s="27"/>
      <c r="D1523" s="27"/>
      <c r="E1523" s="27"/>
      <c r="F1523" s="27"/>
      <c r="G1523" s="27"/>
      <c r="H1523" s="27"/>
      <c r="I1523" s="27"/>
      <c r="J1523" s="43"/>
      <c r="K1523" s="43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43"/>
      <c r="X1523" s="29"/>
      <c r="Y1523" s="30"/>
      <c r="Z1523" s="27"/>
      <c r="AA1523" s="49"/>
    </row>
    <row r="1524" spans="1:27" x14ac:dyDescent="0.35">
      <c r="A1524" s="27"/>
      <c r="B1524" s="28"/>
      <c r="C1524" s="27"/>
      <c r="D1524" s="27"/>
      <c r="E1524" s="27"/>
      <c r="F1524" s="27"/>
      <c r="G1524" s="27"/>
      <c r="H1524" s="27"/>
      <c r="I1524" s="27"/>
      <c r="J1524" s="43"/>
      <c r="K1524" s="43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43"/>
      <c r="X1524" s="29"/>
      <c r="Y1524" s="30"/>
      <c r="Z1524" s="27"/>
      <c r="AA1524" s="49"/>
    </row>
    <row r="1525" spans="1:27" x14ac:dyDescent="0.35">
      <c r="A1525" s="27"/>
      <c r="B1525" s="28"/>
      <c r="C1525" s="27"/>
      <c r="D1525" s="27"/>
      <c r="E1525" s="27"/>
      <c r="F1525" s="27"/>
      <c r="G1525" s="27"/>
      <c r="H1525" s="27"/>
      <c r="I1525" s="27"/>
      <c r="J1525" s="43"/>
      <c r="K1525" s="43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43"/>
      <c r="X1525" s="29"/>
      <c r="Y1525" s="30"/>
      <c r="Z1525" s="27"/>
      <c r="AA1525" s="49"/>
    </row>
    <row r="1526" spans="1:27" x14ac:dyDescent="0.35">
      <c r="A1526" s="27"/>
      <c r="B1526" s="28"/>
      <c r="C1526" s="27"/>
      <c r="D1526" s="27"/>
      <c r="E1526" s="27"/>
      <c r="F1526" s="27"/>
      <c r="G1526" s="27"/>
      <c r="H1526" s="27"/>
      <c r="I1526" s="27"/>
      <c r="J1526" s="43"/>
      <c r="K1526" s="43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43"/>
      <c r="X1526" s="29"/>
      <c r="Y1526" s="30"/>
      <c r="Z1526" s="27"/>
      <c r="AA1526" s="49"/>
    </row>
    <row r="1527" spans="1:27" x14ac:dyDescent="0.35">
      <c r="A1527" s="27"/>
      <c r="B1527" s="28"/>
      <c r="C1527" s="27"/>
      <c r="D1527" s="27"/>
      <c r="E1527" s="27"/>
      <c r="F1527" s="27"/>
      <c r="G1527" s="27"/>
      <c r="H1527" s="27"/>
      <c r="I1527" s="27"/>
      <c r="J1527" s="43"/>
      <c r="K1527" s="43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43"/>
      <c r="X1527" s="29"/>
      <c r="Y1527" s="30"/>
      <c r="Z1527" s="27"/>
      <c r="AA1527" s="49"/>
    </row>
    <row r="1528" spans="1:27" x14ac:dyDescent="0.35">
      <c r="A1528" s="27"/>
      <c r="B1528" s="28"/>
      <c r="C1528" s="27"/>
      <c r="D1528" s="27"/>
      <c r="E1528" s="27"/>
      <c r="F1528" s="27"/>
      <c r="G1528" s="27"/>
      <c r="H1528" s="27"/>
      <c r="I1528" s="27"/>
      <c r="J1528" s="43"/>
      <c r="K1528" s="43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43"/>
      <c r="X1528" s="29"/>
      <c r="Y1528" s="30"/>
      <c r="Z1528" s="27"/>
      <c r="AA1528" s="49"/>
    </row>
    <row r="1529" spans="1:27" x14ac:dyDescent="0.35">
      <c r="A1529" s="27"/>
      <c r="B1529" s="28"/>
      <c r="C1529" s="27"/>
      <c r="D1529" s="27"/>
      <c r="E1529" s="27"/>
      <c r="F1529" s="27"/>
      <c r="G1529" s="27"/>
      <c r="H1529" s="27"/>
      <c r="I1529" s="27"/>
      <c r="J1529" s="43"/>
      <c r="K1529" s="43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43"/>
      <c r="X1529" s="29"/>
      <c r="Y1529" s="30"/>
      <c r="Z1529" s="27"/>
      <c r="AA1529" s="49"/>
    </row>
    <row r="1530" spans="1:27" x14ac:dyDescent="0.35">
      <c r="A1530" s="27"/>
      <c r="B1530" s="28"/>
      <c r="C1530" s="27"/>
      <c r="D1530" s="27"/>
      <c r="E1530" s="27"/>
      <c r="F1530" s="27"/>
      <c r="G1530" s="27"/>
      <c r="H1530" s="27"/>
      <c r="I1530" s="27"/>
      <c r="J1530" s="43"/>
      <c r="K1530" s="43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43"/>
      <c r="X1530" s="29"/>
      <c r="Y1530" s="30"/>
      <c r="Z1530" s="27"/>
      <c r="AA1530" s="49"/>
    </row>
    <row r="1531" spans="1:27" x14ac:dyDescent="0.35">
      <c r="A1531" s="27"/>
      <c r="B1531" s="28"/>
      <c r="C1531" s="27"/>
      <c r="D1531" s="27"/>
      <c r="E1531" s="27"/>
      <c r="F1531" s="27"/>
      <c r="G1531" s="27"/>
      <c r="H1531" s="27"/>
      <c r="I1531" s="27"/>
      <c r="J1531" s="43"/>
      <c r="K1531" s="43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43"/>
      <c r="X1531" s="29"/>
      <c r="Y1531" s="30"/>
      <c r="Z1531" s="27"/>
      <c r="AA1531" s="49"/>
    </row>
    <row r="1532" spans="1:27" x14ac:dyDescent="0.35">
      <c r="A1532" s="27"/>
      <c r="B1532" s="28"/>
      <c r="C1532" s="27"/>
      <c r="D1532" s="27"/>
      <c r="E1532" s="27"/>
      <c r="F1532" s="27"/>
      <c r="G1532" s="27"/>
      <c r="H1532" s="27"/>
      <c r="I1532" s="27"/>
      <c r="J1532" s="43"/>
      <c r="K1532" s="43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43"/>
      <c r="X1532" s="29"/>
      <c r="Y1532" s="30"/>
      <c r="Z1532" s="27"/>
      <c r="AA1532" s="49"/>
    </row>
    <row r="1533" spans="1:27" x14ac:dyDescent="0.35">
      <c r="A1533" s="27"/>
      <c r="B1533" s="28"/>
      <c r="C1533" s="27"/>
      <c r="D1533" s="27"/>
      <c r="E1533" s="27"/>
      <c r="F1533" s="27"/>
      <c r="G1533" s="27"/>
      <c r="H1533" s="27"/>
      <c r="I1533" s="27"/>
      <c r="J1533" s="43"/>
      <c r="K1533" s="43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43"/>
      <c r="X1533" s="29"/>
      <c r="Y1533" s="30"/>
      <c r="Z1533" s="27"/>
      <c r="AA1533" s="49"/>
    </row>
    <row r="1534" spans="1:27" x14ac:dyDescent="0.35">
      <c r="A1534" s="27"/>
      <c r="B1534" s="28"/>
      <c r="C1534" s="27"/>
      <c r="D1534" s="27"/>
      <c r="E1534" s="27"/>
      <c r="F1534" s="27"/>
      <c r="G1534" s="27"/>
      <c r="H1534" s="27"/>
      <c r="I1534" s="27"/>
      <c r="J1534" s="43"/>
      <c r="K1534" s="43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43"/>
      <c r="X1534" s="29"/>
      <c r="Y1534" s="30"/>
      <c r="Z1534" s="27"/>
      <c r="AA1534" s="49"/>
    </row>
    <row r="1535" spans="1:27" x14ac:dyDescent="0.35">
      <c r="A1535" s="27"/>
      <c r="B1535" s="28"/>
      <c r="C1535" s="27"/>
      <c r="D1535" s="27"/>
      <c r="E1535" s="27"/>
      <c r="F1535" s="27"/>
      <c r="G1535" s="27"/>
      <c r="H1535" s="27"/>
      <c r="I1535" s="27"/>
      <c r="J1535" s="43"/>
      <c r="K1535" s="43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43"/>
      <c r="X1535" s="29"/>
      <c r="Y1535" s="30"/>
      <c r="Z1535" s="27"/>
      <c r="AA1535" s="49"/>
    </row>
    <row r="1536" spans="1:27" x14ac:dyDescent="0.35">
      <c r="A1536" s="27"/>
      <c r="B1536" s="28"/>
      <c r="C1536" s="27"/>
      <c r="D1536" s="27"/>
      <c r="E1536" s="27"/>
      <c r="F1536" s="27"/>
      <c r="G1536" s="27"/>
      <c r="H1536" s="27"/>
      <c r="I1536" s="27"/>
      <c r="J1536" s="43"/>
      <c r="K1536" s="43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43"/>
      <c r="X1536" s="29"/>
      <c r="Y1536" s="30"/>
      <c r="Z1536" s="27"/>
      <c r="AA1536" s="49"/>
    </row>
    <row r="1537" spans="1:27" x14ac:dyDescent="0.35">
      <c r="A1537" s="27"/>
      <c r="B1537" s="28"/>
      <c r="C1537" s="27"/>
      <c r="D1537" s="27"/>
      <c r="E1537" s="27"/>
      <c r="F1537" s="27"/>
      <c r="G1537" s="27"/>
      <c r="H1537" s="27"/>
      <c r="I1537" s="27"/>
      <c r="J1537" s="43"/>
      <c r="K1537" s="43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43"/>
      <c r="X1537" s="29"/>
      <c r="Y1537" s="30"/>
      <c r="Z1537" s="27"/>
      <c r="AA1537" s="49"/>
    </row>
    <row r="1538" spans="1:27" x14ac:dyDescent="0.35">
      <c r="A1538" s="27"/>
      <c r="B1538" s="28"/>
      <c r="C1538" s="27"/>
      <c r="D1538" s="27"/>
      <c r="E1538" s="27"/>
      <c r="F1538" s="27"/>
      <c r="G1538" s="27"/>
      <c r="H1538" s="27"/>
      <c r="I1538" s="27"/>
      <c r="J1538" s="43"/>
      <c r="K1538" s="43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43"/>
      <c r="X1538" s="29"/>
      <c r="Y1538" s="30"/>
      <c r="Z1538" s="27"/>
      <c r="AA1538" s="49"/>
    </row>
    <row r="1539" spans="1:27" x14ac:dyDescent="0.35">
      <c r="A1539" s="27"/>
      <c r="B1539" s="28"/>
      <c r="C1539" s="27"/>
      <c r="D1539" s="27"/>
      <c r="E1539" s="27"/>
      <c r="F1539" s="27"/>
      <c r="G1539" s="27"/>
      <c r="H1539" s="27"/>
      <c r="I1539" s="27"/>
      <c r="J1539" s="43"/>
      <c r="K1539" s="43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43"/>
      <c r="X1539" s="29"/>
      <c r="Y1539" s="30"/>
      <c r="Z1539" s="27"/>
      <c r="AA1539" s="49"/>
    </row>
    <row r="1540" spans="1:27" x14ac:dyDescent="0.35">
      <c r="A1540" s="27"/>
      <c r="B1540" s="28"/>
      <c r="C1540" s="27"/>
      <c r="D1540" s="27"/>
      <c r="E1540" s="27"/>
      <c r="F1540" s="27"/>
      <c r="G1540" s="27"/>
      <c r="H1540" s="27"/>
      <c r="I1540" s="27"/>
      <c r="J1540" s="43"/>
      <c r="K1540" s="43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43"/>
      <c r="X1540" s="29"/>
      <c r="Y1540" s="30"/>
      <c r="Z1540" s="27"/>
      <c r="AA1540" s="49"/>
    </row>
    <row r="1541" spans="1:27" x14ac:dyDescent="0.35">
      <c r="A1541" s="27"/>
      <c r="B1541" s="28"/>
      <c r="C1541" s="27"/>
      <c r="D1541" s="27"/>
      <c r="E1541" s="27"/>
      <c r="F1541" s="27"/>
      <c r="G1541" s="27"/>
      <c r="H1541" s="27"/>
      <c r="I1541" s="27"/>
      <c r="J1541" s="43"/>
      <c r="K1541" s="43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43"/>
      <c r="X1541" s="29"/>
      <c r="Y1541" s="30"/>
      <c r="Z1541" s="27"/>
      <c r="AA1541" s="49"/>
    </row>
    <row r="1542" spans="1:27" x14ac:dyDescent="0.35">
      <c r="A1542" s="27"/>
      <c r="B1542" s="28"/>
      <c r="C1542" s="27"/>
      <c r="D1542" s="27"/>
      <c r="E1542" s="27"/>
      <c r="F1542" s="27"/>
      <c r="G1542" s="27"/>
      <c r="H1542" s="27"/>
      <c r="I1542" s="27"/>
      <c r="J1542" s="43"/>
      <c r="K1542" s="43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43"/>
      <c r="X1542" s="29"/>
      <c r="Y1542" s="30"/>
      <c r="Z1542" s="27"/>
      <c r="AA1542" s="49"/>
    </row>
    <row r="1543" spans="1:27" x14ac:dyDescent="0.35">
      <c r="A1543" s="27"/>
      <c r="B1543" s="28"/>
      <c r="C1543" s="27"/>
      <c r="D1543" s="27"/>
      <c r="E1543" s="27"/>
      <c r="F1543" s="27"/>
      <c r="G1543" s="27"/>
      <c r="H1543" s="27"/>
      <c r="I1543" s="27"/>
      <c r="J1543" s="43"/>
      <c r="K1543" s="43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43"/>
      <c r="X1543" s="29"/>
      <c r="Y1543" s="30"/>
      <c r="Z1543" s="27"/>
      <c r="AA1543" s="49"/>
    </row>
    <row r="1544" spans="1:27" x14ac:dyDescent="0.35">
      <c r="A1544" s="27"/>
      <c r="B1544" s="28"/>
      <c r="C1544" s="27"/>
      <c r="D1544" s="27"/>
      <c r="E1544" s="27"/>
      <c r="F1544" s="27"/>
      <c r="G1544" s="27"/>
      <c r="H1544" s="27"/>
      <c r="I1544" s="27"/>
      <c r="J1544" s="43"/>
      <c r="K1544" s="43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43"/>
      <c r="X1544" s="29"/>
      <c r="Y1544" s="30"/>
      <c r="Z1544" s="27"/>
      <c r="AA1544" s="49"/>
    </row>
    <row r="1545" spans="1:27" x14ac:dyDescent="0.35">
      <c r="A1545" s="27"/>
      <c r="B1545" s="28"/>
      <c r="C1545" s="27"/>
      <c r="D1545" s="27"/>
      <c r="E1545" s="27"/>
      <c r="F1545" s="27"/>
      <c r="G1545" s="27"/>
      <c r="H1545" s="27"/>
      <c r="I1545" s="27"/>
      <c r="J1545" s="43"/>
      <c r="K1545" s="43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43"/>
      <c r="X1545" s="29"/>
      <c r="Y1545" s="30"/>
      <c r="Z1545" s="27"/>
      <c r="AA1545" s="49"/>
    </row>
    <row r="1546" spans="1:27" x14ac:dyDescent="0.35">
      <c r="A1546" s="27"/>
      <c r="B1546" s="28"/>
      <c r="C1546" s="27"/>
      <c r="D1546" s="27"/>
      <c r="E1546" s="27"/>
      <c r="F1546" s="27"/>
      <c r="G1546" s="27"/>
      <c r="H1546" s="27"/>
      <c r="I1546" s="27"/>
      <c r="J1546" s="43"/>
      <c r="K1546" s="43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43"/>
      <c r="X1546" s="29"/>
      <c r="Y1546" s="30"/>
      <c r="Z1546" s="27"/>
      <c r="AA1546" s="49"/>
    </row>
    <row r="1547" spans="1:27" x14ac:dyDescent="0.35">
      <c r="A1547" s="27"/>
      <c r="B1547" s="28"/>
      <c r="C1547" s="27"/>
      <c r="D1547" s="27"/>
      <c r="E1547" s="27"/>
      <c r="F1547" s="27"/>
      <c r="G1547" s="27"/>
      <c r="H1547" s="27"/>
      <c r="I1547" s="27"/>
      <c r="J1547" s="43"/>
      <c r="K1547" s="43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43"/>
      <c r="X1547" s="29"/>
      <c r="Y1547" s="30"/>
      <c r="Z1547" s="27"/>
      <c r="AA1547" s="49"/>
    </row>
    <row r="1548" spans="1:27" x14ac:dyDescent="0.35">
      <c r="A1548" s="27"/>
      <c r="B1548" s="28"/>
      <c r="C1548" s="27"/>
      <c r="D1548" s="27"/>
      <c r="E1548" s="27"/>
      <c r="F1548" s="27"/>
      <c r="G1548" s="27"/>
      <c r="H1548" s="27"/>
      <c r="I1548" s="27"/>
      <c r="J1548" s="43"/>
      <c r="K1548" s="43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43"/>
      <c r="X1548" s="29"/>
      <c r="Y1548" s="30"/>
      <c r="Z1548" s="27"/>
      <c r="AA1548" s="49"/>
    </row>
    <row r="1549" spans="1:27" x14ac:dyDescent="0.35">
      <c r="A1549" s="27"/>
      <c r="B1549" s="28"/>
      <c r="C1549" s="27"/>
      <c r="D1549" s="27"/>
      <c r="E1549" s="27"/>
      <c r="F1549" s="27"/>
      <c r="G1549" s="27"/>
      <c r="H1549" s="27"/>
      <c r="I1549" s="27"/>
      <c r="J1549" s="43"/>
      <c r="K1549" s="43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43"/>
      <c r="X1549" s="29"/>
      <c r="Y1549" s="30"/>
      <c r="Z1549" s="27"/>
      <c r="AA1549" s="49"/>
    </row>
    <row r="1550" spans="1:27" x14ac:dyDescent="0.35">
      <c r="A1550" s="27"/>
      <c r="B1550" s="28"/>
      <c r="C1550" s="27"/>
      <c r="D1550" s="27"/>
      <c r="E1550" s="27"/>
      <c r="F1550" s="27"/>
      <c r="G1550" s="27"/>
      <c r="H1550" s="27"/>
      <c r="I1550" s="27"/>
      <c r="J1550" s="43"/>
      <c r="K1550" s="43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43"/>
      <c r="X1550" s="29"/>
      <c r="Y1550" s="30"/>
      <c r="Z1550" s="27"/>
      <c r="AA1550" s="49"/>
    </row>
    <row r="1551" spans="1:27" x14ac:dyDescent="0.35">
      <c r="A1551" s="27"/>
      <c r="B1551" s="28"/>
      <c r="C1551" s="27"/>
      <c r="D1551" s="27"/>
      <c r="E1551" s="27"/>
      <c r="F1551" s="27"/>
      <c r="G1551" s="27"/>
      <c r="H1551" s="27"/>
      <c r="I1551" s="27"/>
      <c r="J1551" s="43"/>
      <c r="K1551" s="43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43"/>
      <c r="X1551" s="29"/>
      <c r="Y1551" s="30"/>
      <c r="Z1551" s="27"/>
      <c r="AA1551" s="49"/>
    </row>
    <row r="1552" spans="1:27" x14ac:dyDescent="0.35">
      <c r="A1552" s="27"/>
      <c r="B1552" s="28"/>
      <c r="C1552" s="27"/>
      <c r="D1552" s="27"/>
      <c r="E1552" s="27"/>
      <c r="F1552" s="27"/>
      <c r="G1552" s="27"/>
      <c r="H1552" s="27"/>
      <c r="I1552" s="27"/>
      <c r="J1552" s="43"/>
      <c r="K1552" s="43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43"/>
      <c r="X1552" s="29"/>
      <c r="Y1552" s="30"/>
      <c r="Z1552" s="27"/>
      <c r="AA1552" s="49"/>
    </row>
    <row r="1553" spans="1:27" x14ac:dyDescent="0.35">
      <c r="A1553" s="27"/>
      <c r="B1553" s="28"/>
      <c r="C1553" s="27"/>
      <c r="D1553" s="27"/>
      <c r="E1553" s="27"/>
      <c r="F1553" s="27"/>
      <c r="G1553" s="27"/>
      <c r="H1553" s="27"/>
      <c r="I1553" s="27"/>
      <c r="J1553" s="43"/>
      <c r="K1553" s="43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43"/>
      <c r="X1553" s="29"/>
      <c r="Y1553" s="30"/>
      <c r="Z1553" s="27"/>
      <c r="AA1553" s="49"/>
    </row>
    <row r="1554" spans="1:27" x14ac:dyDescent="0.35">
      <c r="A1554" s="27"/>
      <c r="B1554" s="28"/>
      <c r="C1554" s="27"/>
      <c r="D1554" s="27"/>
      <c r="E1554" s="27"/>
      <c r="F1554" s="27"/>
      <c r="G1554" s="27"/>
      <c r="H1554" s="27"/>
      <c r="I1554" s="27"/>
      <c r="J1554" s="43"/>
      <c r="K1554" s="43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43"/>
      <c r="X1554" s="29"/>
      <c r="Y1554" s="30"/>
      <c r="Z1554" s="27"/>
      <c r="AA1554" s="49"/>
    </row>
    <row r="1555" spans="1:27" x14ac:dyDescent="0.35">
      <c r="A1555" s="27"/>
      <c r="B1555" s="28"/>
      <c r="C1555" s="27"/>
      <c r="D1555" s="27"/>
      <c r="E1555" s="27"/>
      <c r="F1555" s="27"/>
      <c r="G1555" s="27"/>
      <c r="H1555" s="27"/>
      <c r="I1555" s="27"/>
      <c r="J1555" s="43"/>
      <c r="K1555" s="43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43"/>
      <c r="X1555" s="29"/>
      <c r="Y1555" s="30"/>
      <c r="Z1555" s="27"/>
      <c r="AA1555" s="49"/>
    </row>
    <row r="1556" spans="1:27" x14ac:dyDescent="0.35">
      <c r="A1556" s="27"/>
      <c r="B1556" s="28"/>
      <c r="C1556" s="27"/>
      <c r="D1556" s="27"/>
      <c r="E1556" s="27"/>
      <c r="F1556" s="27"/>
      <c r="G1556" s="27"/>
      <c r="H1556" s="27"/>
      <c r="I1556" s="27"/>
      <c r="J1556" s="43"/>
      <c r="K1556" s="43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43"/>
      <c r="X1556" s="29"/>
      <c r="Y1556" s="30"/>
      <c r="Z1556" s="27"/>
      <c r="AA1556" s="49"/>
    </row>
    <row r="1557" spans="1:27" x14ac:dyDescent="0.35">
      <c r="A1557" s="27"/>
      <c r="B1557" s="28"/>
      <c r="C1557" s="27"/>
      <c r="D1557" s="27"/>
      <c r="E1557" s="27"/>
      <c r="F1557" s="27"/>
      <c r="G1557" s="27"/>
      <c r="H1557" s="27"/>
      <c r="I1557" s="27"/>
      <c r="J1557" s="43"/>
      <c r="K1557" s="43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43"/>
      <c r="X1557" s="29"/>
      <c r="Y1557" s="30"/>
      <c r="Z1557" s="27"/>
      <c r="AA1557" s="49"/>
    </row>
    <row r="1558" spans="1:27" x14ac:dyDescent="0.35">
      <c r="A1558" s="27"/>
      <c r="B1558" s="28"/>
      <c r="C1558" s="27"/>
      <c r="D1558" s="27"/>
      <c r="E1558" s="27"/>
      <c r="F1558" s="27"/>
      <c r="G1558" s="27"/>
      <c r="H1558" s="27"/>
      <c r="I1558" s="27"/>
      <c r="J1558" s="43"/>
      <c r="K1558" s="43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43"/>
      <c r="X1558" s="29"/>
      <c r="Y1558" s="30"/>
      <c r="Z1558" s="27"/>
      <c r="AA1558" s="49"/>
    </row>
    <row r="1559" spans="1:27" x14ac:dyDescent="0.35">
      <c r="A1559" s="27"/>
      <c r="B1559" s="28"/>
      <c r="C1559" s="27"/>
      <c r="D1559" s="27"/>
      <c r="E1559" s="27"/>
      <c r="F1559" s="27"/>
      <c r="G1559" s="27"/>
      <c r="H1559" s="27"/>
      <c r="I1559" s="27"/>
      <c r="J1559" s="43"/>
      <c r="K1559" s="43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43"/>
      <c r="X1559" s="29"/>
      <c r="Y1559" s="30"/>
      <c r="Z1559" s="27"/>
      <c r="AA1559" s="49"/>
    </row>
    <row r="1560" spans="1:27" x14ac:dyDescent="0.35">
      <c r="A1560" s="27"/>
      <c r="B1560" s="28"/>
      <c r="C1560" s="27"/>
      <c r="D1560" s="27"/>
      <c r="E1560" s="27"/>
      <c r="F1560" s="27"/>
      <c r="G1560" s="27"/>
      <c r="H1560" s="27"/>
      <c r="I1560" s="27"/>
      <c r="J1560" s="43"/>
      <c r="K1560" s="43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43"/>
      <c r="X1560" s="29"/>
      <c r="Y1560" s="30"/>
      <c r="Z1560" s="27"/>
      <c r="AA1560" s="49"/>
    </row>
    <row r="1561" spans="1:27" x14ac:dyDescent="0.35">
      <c r="A1561" s="27"/>
      <c r="B1561" s="28"/>
      <c r="C1561" s="27"/>
      <c r="D1561" s="27"/>
      <c r="E1561" s="27"/>
      <c r="F1561" s="27"/>
      <c r="G1561" s="27"/>
      <c r="H1561" s="27"/>
      <c r="I1561" s="27"/>
      <c r="J1561" s="43"/>
      <c r="K1561" s="43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43"/>
      <c r="X1561" s="29"/>
      <c r="Y1561" s="30"/>
      <c r="Z1561" s="27"/>
      <c r="AA1561" s="49"/>
    </row>
    <row r="1562" spans="1:27" x14ac:dyDescent="0.35">
      <c r="A1562" s="27"/>
      <c r="B1562" s="28"/>
      <c r="C1562" s="27"/>
      <c r="D1562" s="27"/>
      <c r="E1562" s="27"/>
      <c r="F1562" s="27"/>
      <c r="G1562" s="27"/>
      <c r="H1562" s="27"/>
      <c r="I1562" s="27"/>
      <c r="J1562" s="43"/>
      <c r="K1562" s="43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43"/>
      <c r="X1562" s="29"/>
      <c r="Y1562" s="30"/>
      <c r="Z1562" s="27"/>
      <c r="AA1562" s="49"/>
    </row>
    <row r="1563" spans="1:27" x14ac:dyDescent="0.35">
      <c r="A1563" s="27"/>
      <c r="B1563" s="28"/>
      <c r="C1563" s="27"/>
      <c r="D1563" s="27"/>
      <c r="E1563" s="27"/>
      <c r="F1563" s="27"/>
      <c r="G1563" s="27"/>
      <c r="H1563" s="27"/>
      <c r="I1563" s="27"/>
      <c r="J1563" s="43"/>
      <c r="K1563" s="43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43"/>
      <c r="X1563" s="29"/>
      <c r="Y1563" s="30"/>
      <c r="Z1563" s="27"/>
      <c r="AA1563" s="49"/>
    </row>
    <row r="1564" spans="1:27" x14ac:dyDescent="0.35">
      <c r="A1564" s="27"/>
      <c r="B1564" s="28"/>
      <c r="C1564" s="27"/>
      <c r="D1564" s="27"/>
      <c r="E1564" s="27"/>
      <c r="F1564" s="27"/>
      <c r="G1564" s="27"/>
      <c r="H1564" s="27"/>
      <c r="I1564" s="27"/>
      <c r="J1564" s="43"/>
      <c r="K1564" s="43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43"/>
      <c r="X1564" s="29"/>
      <c r="Y1564" s="30"/>
      <c r="Z1564" s="27"/>
      <c r="AA1564" s="49"/>
    </row>
    <row r="1565" spans="1:27" x14ac:dyDescent="0.35">
      <c r="A1565" s="27"/>
      <c r="B1565" s="28"/>
      <c r="C1565" s="27"/>
      <c r="D1565" s="27"/>
      <c r="E1565" s="27"/>
      <c r="F1565" s="27"/>
      <c r="G1565" s="27"/>
      <c r="H1565" s="27"/>
      <c r="I1565" s="27"/>
      <c r="J1565" s="43"/>
      <c r="K1565" s="43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43"/>
      <c r="X1565" s="29"/>
      <c r="Y1565" s="30"/>
      <c r="Z1565" s="27"/>
      <c r="AA1565" s="49"/>
    </row>
    <row r="1566" spans="1:27" x14ac:dyDescent="0.35">
      <c r="A1566" s="27"/>
      <c r="B1566" s="28"/>
      <c r="C1566" s="27"/>
      <c r="D1566" s="27"/>
      <c r="E1566" s="27"/>
      <c r="F1566" s="27"/>
      <c r="G1566" s="27"/>
      <c r="H1566" s="27"/>
      <c r="I1566" s="27"/>
      <c r="J1566" s="43"/>
      <c r="K1566" s="43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43"/>
      <c r="X1566" s="29"/>
      <c r="Y1566" s="30"/>
      <c r="Z1566" s="27"/>
      <c r="AA1566" s="49"/>
    </row>
    <row r="1567" spans="1:27" x14ac:dyDescent="0.35">
      <c r="A1567" s="27"/>
      <c r="B1567" s="28"/>
      <c r="C1567" s="27"/>
      <c r="D1567" s="27"/>
      <c r="E1567" s="27"/>
      <c r="F1567" s="27"/>
      <c r="G1567" s="27"/>
      <c r="H1567" s="27"/>
      <c r="I1567" s="27"/>
      <c r="J1567" s="43"/>
      <c r="K1567" s="43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43"/>
      <c r="X1567" s="29"/>
      <c r="Y1567" s="30"/>
      <c r="Z1567" s="27"/>
      <c r="AA1567" s="49"/>
    </row>
    <row r="1568" spans="1:27" x14ac:dyDescent="0.35">
      <c r="A1568" s="27"/>
      <c r="B1568" s="28"/>
      <c r="C1568" s="27"/>
      <c r="D1568" s="27"/>
      <c r="E1568" s="27"/>
      <c r="F1568" s="27"/>
      <c r="G1568" s="27"/>
      <c r="H1568" s="27"/>
      <c r="I1568" s="27"/>
      <c r="J1568" s="43"/>
      <c r="K1568" s="43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43"/>
      <c r="X1568" s="29"/>
      <c r="Y1568" s="30"/>
      <c r="Z1568" s="27"/>
      <c r="AA1568" s="49"/>
    </row>
    <row r="1569" spans="1:27" x14ac:dyDescent="0.35">
      <c r="A1569" s="27"/>
      <c r="B1569" s="28"/>
      <c r="C1569" s="27"/>
      <c r="D1569" s="27"/>
      <c r="E1569" s="27"/>
      <c r="F1569" s="27"/>
      <c r="G1569" s="27"/>
      <c r="H1569" s="27"/>
      <c r="I1569" s="27"/>
      <c r="J1569" s="43"/>
      <c r="K1569" s="43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43"/>
      <c r="X1569" s="29"/>
      <c r="Y1569" s="30"/>
      <c r="Z1569" s="27"/>
      <c r="AA1569" s="49"/>
    </row>
    <row r="1570" spans="1:27" x14ac:dyDescent="0.35">
      <c r="A1570" s="27"/>
      <c r="B1570" s="28"/>
      <c r="C1570" s="27"/>
      <c r="D1570" s="27"/>
      <c r="E1570" s="27"/>
      <c r="F1570" s="27"/>
      <c r="G1570" s="27"/>
      <c r="H1570" s="27"/>
      <c r="I1570" s="27"/>
      <c r="J1570" s="43"/>
      <c r="K1570" s="43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43"/>
      <c r="X1570" s="29"/>
      <c r="Y1570" s="30"/>
      <c r="Z1570" s="27"/>
      <c r="AA1570" s="49"/>
    </row>
    <row r="1571" spans="1:27" x14ac:dyDescent="0.35">
      <c r="A1571" s="27"/>
      <c r="B1571" s="28"/>
      <c r="C1571" s="27"/>
      <c r="D1571" s="27"/>
      <c r="E1571" s="27"/>
      <c r="F1571" s="27"/>
      <c r="G1571" s="27"/>
      <c r="H1571" s="27"/>
      <c r="I1571" s="27"/>
      <c r="J1571" s="43"/>
      <c r="K1571" s="43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43"/>
      <c r="X1571" s="29"/>
      <c r="Y1571" s="30"/>
      <c r="Z1571" s="27"/>
      <c r="AA1571" s="49"/>
    </row>
    <row r="1572" spans="1:27" x14ac:dyDescent="0.35">
      <c r="A1572" s="27"/>
      <c r="B1572" s="28"/>
      <c r="C1572" s="27"/>
      <c r="D1572" s="27"/>
      <c r="E1572" s="27"/>
      <c r="F1572" s="27"/>
      <c r="G1572" s="27"/>
      <c r="H1572" s="27"/>
      <c r="I1572" s="27"/>
      <c r="J1572" s="43"/>
      <c r="K1572" s="43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43"/>
      <c r="X1572" s="29"/>
      <c r="Y1572" s="30"/>
      <c r="Z1572" s="27"/>
      <c r="AA1572" s="49"/>
    </row>
    <row r="1573" spans="1:27" x14ac:dyDescent="0.35">
      <c r="A1573" s="27"/>
      <c r="B1573" s="28"/>
      <c r="C1573" s="27"/>
      <c r="D1573" s="27"/>
      <c r="E1573" s="27"/>
      <c r="F1573" s="27"/>
      <c r="G1573" s="27"/>
      <c r="H1573" s="27"/>
      <c r="I1573" s="27"/>
      <c r="J1573" s="43"/>
      <c r="K1573" s="43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43"/>
      <c r="X1573" s="29"/>
      <c r="Y1573" s="30"/>
      <c r="Z1573" s="27"/>
      <c r="AA1573" s="49"/>
    </row>
    <row r="1574" spans="1:27" x14ac:dyDescent="0.35">
      <c r="A1574" s="27"/>
      <c r="B1574" s="28"/>
      <c r="C1574" s="27"/>
      <c r="D1574" s="27"/>
      <c r="E1574" s="27"/>
      <c r="F1574" s="27"/>
      <c r="G1574" s="27"/>
      <c r="H1574" s="27"/>
      <c r="I1574" s="27"/>
      <c r="J1574" s="43"/>
      <c r="K1574" s="43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43"/>
      <c r="X1574" s="29"/>
      <c r="Y1574" s="30"/>
      <c r="Z1574" s="27"/>
      <c r="AA1574" s="49"/>
    </row>
    <row r="1575" spans="1:27" x14ac:dyDescent="0.35">
      <c r="A1575" s="27"/>
      <c r="B1575" s="28"/>
      <c r="C1575" s="27"/>
      <c r="D1575" s="27"/>
      <c r="E1575" s="27"/>
      <c r="F1575" s="27"/>
      <c r="G1575" s="27"/>
      <c r="H1575" s="27"/>
      <c r="I1575" s="27"/>
      <c r="J1575" s="43"/>
      <c r="K1575" s="43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43"/>
      <c r="X1575" s="29"/>
      <c r="Y1575" s="30"/>
      <c r="Z1575" s="27"/>
      <c r="AA1575" s="49"/>
    </row>
    <row r="1576" spans="1:27" x14ac:dyDescent="0.35">
      <c r="A1576" s="27"/>
      <c r="B1576" s="28"/>
      <c r="C1576" s="27"/>
      <c r="D1576" s="27"/>
      <c r="E1576" s="27"/>
      <c r="F1576" s="27"/>
      <c r="G1576" s="27"/>
      <c r="H1576" s="27"/>
      <c r="I1576" s="27"/>
      <c r="J1576" s="43"/>
      <c r="K1576" s="43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43"/>
      <c r="X1576" s="29"/>
      <c r="Y1576" s="30"/>
      <c r="Z1576" s="27"/>
      <c r="AA1576" s="49"/>
    </row>
    <row r="1577" spans="1:27" x14ac:dyDescent="0.35">
      <c r="A1577" s="27"/>
      <c r="B1577" s="28"/>
      <c r="C1577" s="27"/>
      <c r="D1577" s="27"/>
      <c r="E1577" s="27"/>
      <c r="F1577" s="27"/>
      <c r="G1577" s="27"/>
      <c r="H1577" s="27"/>
      <c r="I1577" s="27"/>
      <c r="J1577" s="43"/>
      <c r="K1577" s="43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43"/>
      <c r="X1577" s="29"/>
      <c r="Y1577" s="30"/>
      <c r="Z1577" s="27"/>
      <c r="AA1577" s="49"/>
    </row>
    <row r="1578" spans="1:27" x14ac:dyDescent="0.35">
      <c r="A1578" s="27"/>
      <c r="B1578" s="28"/>
      <c r="C1578" s="27"/>
      <c r="D1578" s="27"/>
      <c r="E1578" s="27"/>
      <c r="F1578" s="27"/>
      <c r="G1578" s="27"/>
      <c r="H1578" s="27"/>
      <c r="I1578" s="27"/>
      <c r="J1578" s="43"/>
      <c r="K1578" s="43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43"/>
      <c r="X1578" s="29"/>
      <c r="Y1578" s="30"/>
      <c r="Z1578" s="27"/>
      <c r="AA1578" s="49"/>
    </row>
    <row r="1579" spans="1:27" x14ac:dyDescent="0.35">
      <c r="A1579" s="27"/>
      <c r="B1579" s="28"/>
      <c r="C1579" s="27"/>
      <c r="D1579" s="27"/>
      <c r="E1579" s="27"/>
      <c r="F1579" s="27"/>
      <c r="G1579" s="27"/>
      <c r="H1579" s="27"/>
      <c r="I1579" s="27"/>
      <c r="J1579" s="43"/>
      <c r="K1579" s="43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43"/>
      <c r="X1579" s="29"/>
      <c r="Y1579" s="30"/>
      <c r="Z1579" s="27"/>
      <c r="AA1579" s="49"/>
    </row>
    <row r="1580" spans="1:27" x14ac:dyDescent="0.35">
      <c r="A1580" s="27"/>
      <c r="B1580" s="28"/>
      <c r="C1580" s="27"/>
      <c r="D1580" s="27"/>
      <c r="E1580" s="27"/>
      <c r="F1580" s="27"/>
      <c r="G1580" s="27"/>
      <c r="H1580" s="27"/>
      <c r="I1580" s="27"/>
      <c r="J1580" s="43"/>
      <c r="K1580" s="43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43"/>
      <c r="X1580" s="29"/>
      <c r="Y1580" s="30"/>
      <c r="Z1580" s="27"/>
      <c r="AA1580" s="49"/>
    </row>
    <row r="1581" spans="1:27" x14ac:dyDescent="0.35">
      <c r="A1581" s="27"/>
      <c r="B1581" s="28"/>
      <c r="C1581" s="27"/>
      <c r="D1581" s="27"/>
      <c r="E1581" s="27"/>
      <c r="F1581" s="27"/>
      <c r="G1581" s="27"/>
      <c r="H1581" s="27"/>
      <c r="I1581" s="27"/>
      <c r="J1581" s="43"/>
      <c r="K1581" s="43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43"/>
      <c r="X1581" s="29"/>
      <c r="Y1581" s="30"/>
      <c r="Z1581" s="27"/>
      <c r="AA1581" s="49"/>
    </row>
    <row r="1582" spans="1:27" x14ac:dyDescent="0.35">
      <c r="A1582" s="27"/>
      <c r="B1582" s="28"/>
      <c r="C1582" s="27"/>
      <c r="D1582" s="27"/>
      <c r="E1582" s="27"/>
      <c r="F1582" s="27"/>
      <c r="G1582" s="27"/>
      <c r="H1582" s="27"/>
      <c r="I1582" s="27"/>
      <c r="J1582" s="43"/>
      <c r="K1582" s="43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43"/>
      <c r="X1582" s="29"/>
      <c r="Y1582" s="30"/>
      <c r="Z1582" s="27"/>
      <c r="AA1582" s="49"/>
    </row>
    <row r="1583" spans="1:27" x14ac:dyDescent="0.35">
      <c r="A1583" s="27"/>
      <c r="B1583" s="28"/>
      <c r="C1583" s="27"/>
      <c r="D1583" s="27"/>
      <c r="E1583" s="27"/>
      <c r="F1583" s="27"/>
      <c r="G1583" s="27"/>
      <c r="H1583" s="27"/>
      <c r="I1583" s="27"/>
      <c r="J1583" s="43"/>
      <c r="K1583" s="43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43"/>
      <c r="X1583" s="29"/>
      <c r="Y1583" s="30"/>
      <c r="Z1583" s="27"/>
      <c r="AA1583" s="49"/>
    </row>
    <row r="1584" spans="1:27" x14ac:dyDescent="0.35">
      <c r="A1584" s="27"/>
      <c r="B1584" s="28"/>
      <c r="C1584" s="27"/>
      <c r="D1584" s="27"/>
      <c r="E1584" s="27"/>
      <c r="F1584" s="27"/>
      <c r="G1584" s="27"/>
      <c r="H1584" s="27"/>
      <c r="I1584" s="27"/>
      <c r="J1584" s="43"/>
      <c r="K1584" s="43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43"/>
      <c r="X1584" s="29"/>
      <c r="Y1584" s="30"/>
      <c r="Z1584" s="27"/>
      <c r="AA1584" s="49"/>
    </row>
    <row r="1585" spans="1:27" x14ac:dyDescent="0.35">
      <c r="A1585" s="27"/>
      <c r="B1585" s="28"/>
      <c r="C1585" s="27"/>
      <c r="D1585" s="27"/>
      <c r="E1585" s="27"/>
      <c r="F1585" s="27"/>
      <c r="G1585" s="27"/>
      <c r="H1585" s="27"/>
      <c r="I1585" s="27"/>
      <c r="J1585" s="43"/>
      <c r="K1585" s="43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43"/>
      <c r="X1585" s="29"/>
      <c r="Y1585" s="30"/>
      <c r="Z1585" s="27"/>
      <c r="AA1585" s="49"/>
    </row>
    <row r="1586" spans="1:27" x14ac:dyDescent="0.35">
      <c r="A1586" s="27"/>
      <c r="B1586" s="28"/>
      <c r="C1586" s="27"/>
      <c r="D1586" s="27"/>
      <c r="E1586" s="27"/>
      <c r="F1586" s="27"/>
      <c r="G1586" s="27"/>
      <c r="H1586" s="27"/>
      <c r="I1586" s="27"/>
      <c r="J1586" s="43"/>
      <c r="K1586" s="43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43"/>
      <c r="X1586" s="29"/>
      <c r="Y1586" s="30"/>
      <c r="Z1586" s="27"/>
      <c r="AA1586" s="49"/>
    </row>
    <row r="1587" spans="1:27" x14ac:dyDescent="0.35">
      <c r="A1587" s="27"/>
      <c r="B1587" s="28"/>
      <c r="C1587" s="27"/>
      <c r="D1587" s="27"/>
      <c r="E1587" s="27"/>
      <c r="F1587" s="27"/>
      <c r="G1587" s="27"/>
      <c r="H1587" s="27"/>
      <c r="I1587" s="27"/>
      <c r="J1587" s="43"/>
      <c r="K1587" s="43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43"/>
      <c r="X1587" s="29"/>
      <c r="Y1587" s="30"/>
      <c r="Z1587" s="27"/>
      <c r="AA1587" s="49"/>
    </row>
    <row r="1588" spans="1:27" x14ac:dyDescent="0.35">
      <c r="A1588" s="27"/>
      <c r="B1588" s="28"/>
      <c r="C1588" s="27"/>
      <c r="D1588" s="27"/>
      <c r="E1588" s="27"/>
      <c r="F1588" s="27"/>
      <c r="G1588" s="27"/>
      <c r="H1588" s="27"/>
      <c r="I1588" s="27"/>
      <c r="J1588" s="43"/>
      <c r="K1588" s="43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43"/>
      <c r="X1588" s="29"/>
      <c r="Y1588" s="30"/>
      <c r="Z1588" s="27"/>
      <c r="AA1588" s="49"/>
    </row>
    <row r="1589" spans="1:27" x14ac:dyDescent="0.35">
      <c r="A1589" s="27"/>
      <c r="B1589" s="28"/>
      <c r="C1589" s="27"/>
      <c r="D1589" s="27"/>
      <c r="E1589" s="27"/>
      <c r="F1589" s="27"/>
      <c r="G1589" s="27"/>
      <c r="H1589" s="27"/>
      <c r="I1589" s="27"/>
      <c r="J1589" s="43"/>
      <c r="K1589" s="43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43"/>
      <c r="X1589" s="29"/>
      <c r="Y1589" s="30"/>
      <c r="Z1589" s="27"/>
      <c r="AA1589" s="49"/>
    </row>
    <row r="1590" spans="1:27" x14ac:dyDescent="0.35">
      <c r="A1590" s="27"/>
      <c r="B1590" s="28"/>
      <c r="C1590" s="27"/>
      <c r="D1590" s="27"/>
      <c r="E1590" s="27"/>
      <c r="F1590" s="27"/>
      <c r="G1590" s="27"/>
      <c r="H1590" s="27"/>
      <c r="I1590" s="27"/>
      <c r="J1590" s="43"/>
      <c r="K1590" s="43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43"/>
      <c r="X1590" s="29"/>
      <c r="Y1590" s="30"/>
      <c r="Z1590" s="27"/>
      <c r="AA1590" s="49"/>
    </row>
    <row r="1591" spans="1:27" x14ac:dyDescent="0.35">
      <c r="A1591" s="27"/>
      <c r="B1591" s="28"/>
      <c r="C1591" s="27"/>
      <c r="D1591" s="27"/>
      <c r="E1591" s="27"/>
      <c r="F1591" s="27"/>
      <c r="G1591" s="27"/>
      <c r="H1591" s="27"/>
      <c r="I1591" s="27"/>
      <c r="J1591" s="43"/>
      <c r="K1591" s="43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43"/>
      <c r="X1591" s="29"/>
      <c r="Y1591" s="30"/>
      <c r="Z1591" s="27"/>
      <c r="AA1591" s="49"/>
    </row>
    <row r="1592" spans="1:27" x14ac:dyDescent="0.35">
      <c r="A1592" s="27"/>
      <c r="B1592" s="28"/>
      <c r="C1592" s="27"/>
      <c r="D1592" s="27"/>
      <c r="E1592" s="27"/>
      <c r="F1592" s="27"/>
      <c r="G1592" s="27"/>
      <c r="H1592" s="27"/>
      <c r="I1592" s="27"/>
      <c r="J1592" s="43"/>
      <c r="K1592" s="43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43"/>
      <c r="X1592" s="29"/>
      <c r="Y1592" s="30"/>
      <c r="Z1592" s="27"/>
      <c r="AA1592" s="49"/>
    </row>
    <row r="1593" spans="1:27" x14ac:dyDescent="0.35">
      <c r="A1593" s="27"/>
      <c r="B1593" s="28"/>
      <c r="C1593" s="27"/>
      <c r="D1593" s="27"/>
      <c r="E1593" s="27"/>
      <c r="F1593" s="27"/>
      <c r="G1593" s="27"/>
      <c r="H1593" s="27"/>
      <c r="I1593" s="27"/>
      <c r="J1593" s="43"/>
      <c r="K1593" s="43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43"/>
      <c r="X1593" s="29"/>
      <c r="Y1593" s="30"/>
      <c r="Z1593" s="27"/>
      <c r="AA1593" s="49"/>
    </row>
    <row r="1594" spans="1:27" x14ac:dyDescent="0.35">
      <c r="A1594" s="27"/>
      <c r="B1594" s="28"/>
      <c r="C1594" s="27"/>
      <c r="D1594" s="27"/>
      <c r="E1594" s="27"/>
      <c r="F1594" s="27"/>
      <c r="G1594" s="27"/>
      <c r="H1594" s="27"/>
      <c r="I1594" s="27"/>
      <c r="J1594" s="43"/>
      <c r="K1594" s="43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43"/>
      <c r="X1594" s="29"/>
      <c r="Y1594" s="30"/>
      <c r="Z1594" s="27"/>
      <c r="AA1594" s="49"/>
    </row>
    <row r="1595" spans="1:27" x14ac:dyDescent="0.35">
      <c r="A1595" s="27"/>
      <c r="B1595" s="28"/>
      <c r="C1595" s="27"/>
      <c r="D1595" s="27"/>
      <c r="E1595" s="27"/>
      <c r="F1595" s="27"/>
      <c r="G1595" s="27"/>
      <c r="H1595" s="27"/>
      <c r="I1595" s="27"/>
      <c r="J1595" s="43"/>
      <c r="K1595" s="43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43"/>
      <c r="X1595" s="29"/>
      <c r="Y1595" s="30"/>
      <c r="Z1595" s="27"/>
      <c r="AA1595" s="49"/>
    </row>
    <row r="1596" spans="1:27" x14ac:dyDescent="0.35">
      <c r="A1596" s="27"/>
      <c r="B1596" s="28"/>
      <c r="C1596" s="27"/>
      <c r="D1596" s="27"/>
      <c r="E1596" s="27"/>
      <c r="F1596" s="27"/>
      <c r="G1596" s="27"/>
      <c r="H1596" s="27"/>
      <c r="I1596" s="27"/>
      <c r="J1596" s="43"/>
      <c r="K1596" s="43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43"/>
      <c r="X1596" s="29"/>
      <c r="Y1596" s="30"/>
      <c r="Z1596" s="27"/>
      <c r="AA1596" s="49"/>
    </row>
    <row r="1597" spans="1:27" x14ac:dyDescent="0.35">
      <c r="A1597" s="27"/>
      <c r="B1597" s="28"/>
      <c r="C1597" s="27"/>
      <c r="D1597" s="27"/>
      <c r="E1597" s="27"/>
      <c r="F1597" s="27"/>
      <c r="G1597" s="27"/>
      <c r="H1597" s="27"/>
      <c r="I1597" s="27"/>
      <c r="J1597" s="43"/>
      <c r="K1597" s="43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43"/>
      <c r="X1597" s="29"/>
      <c r="Y1597" s="30"/>
      <c r="Z1597" s="27"/>
      <c r="AA1597" s="49"/>
    </row>
    <row r="1598" spans="1:27" x14ac:dyDescent="0.35">
      <c r="A1598" s="27"/>
      <c r="B1598" s="28"/>
      <c r="C1598" s="27"/>
      <c r="D1598" s="27"/>
      <c r="E1598" s="27"/>
      <c r="F1598" s="27"/>
      <c r="G1598" s="27"/>
      <c r="H1598" s="27"/>
      <c r="I1598" s="27"/>
      <c r="J1598" s="43"/>
      <c r="K1598" s="43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43"/>
      <c r="X1598" s="29"/>
      <c r="Y1598" s="30"/>
      <c r="Z1598" s="27"/>
      <c r="AA1598" s="49"/>
    </row>
    <row r="1599" spans="1:27" x14ac:dyDescent="0.35">
      <c r="A1599" s="27"/>
      <c r="B1599" s="28"/>
      <c r="C1599" s="27"/>
      <c r="D1599" s="27"/>
      <c r="E1599" s="27"/>
      <c r="F1599" s="27"/>
      <c r="G1599" s="27"/>
      <c r="H1599" s="27"/>
      <c r="I1599" s="27"/>
      <c r="J1599" s="43"/>
      <c r="K1599" s="43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43"/>
      <c r="X1599" s="29"/>
      <c r="Y1599" s="30"/>
      <c r="Z1599" s="27"/>
      <c r="AA1599" s="49"/>
    </row>
    <row r="1600" spans="1:27" x14ac:dyDescent="0.35">
      <c r="A1600" s="27"/>
      <c r="B1600" s="28"/>
      <c r="C1600" s="27"/>
      <c r="D1600" s="27"/>
      <c r="E1600" s="27"/>
      <c r="F1600" s="27"/>
      <c r="G1600" s="27"/>
      <c r="H1600" s="27"/>
      <c r="I1600" s="27"/>
      <c r="J1600" s="43"/>
      <c r="K1600" s="43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43"/>
      <c r="X1600" s="29"/>
      <c r="Y1600" s="30"/>
      <c r="Z1600" s="27"/>
      <c r="AA1600" s="49"/>
    </row>
    <row r="1601" spans="1:27" x14ac:dyDescent="0.35">
      <c r="A1601" s="27"/>
      <c r="B1601" s="28"/>
      <c r="C1601" s="27"/>
      <c r="D1601" s="27"/>
      <c r="E1601" s="27"/>
      <c r="F1601" s="27"/>
      <c r="G1601" s="27"/>
      <c r="H1601" s="27"/>
      <c r="I1601" s="27"/>
      <c r="J1601" s="43"/>
      <c r="K1601" s="43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43"/>
      <c r="X1601" s="29"/>
      <c r="Y1601" s="30"/>
      <c r="Z1601" s="27"/>
      <c r="AA1601" s="49"/>
    </row>
    <row r="1602" spans="1:27" x14ac:dyDescent="0.35">
      <c r="A1602" s="27"/>
      <c r="B1602" s="28"/>
      <c r="C1602" s="27"/>
      <c r="D1602" s="27"/>
      <c r="E1602" s="27"/>
      <c r="F1602" s="27"/>
      <c r="G1602" s="27"/>
      <c r="H1602" s="27"/>
      <c r="I1602" s="27"/>
      <c r="J1602" s="43"/>
      <c r="K1602" s="43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43"/>
      <c r="X1602" s="29"/>
      <c r="Y1602" s="30"/>
      <c r="Z1602" s="27"/>
      <c r="AA1602" s="49"/>
    </row>
    <row r="1603" spans="1:27" x14ac:dyDescent="0.35">
      <c r="A1603" s="27"/>
      <c r="B1603" s="28"/>
      <c r="C1603" s="27"/>
      <c r="D1603" s="27"/>
      <c r="E1603" s="27"/>
      <c r="F1603" s="27"/>
      <c r="G1603" s="27"/>
      <c r="H1603" s="27"/>
      <c r="I1603" s="27"/>
      <c r="J1603" s="43"/>
      <c r="K1603" s="43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43"/>
      <c r="X1603" s="29"/>
      <c r="Y1603" s="30"/>
      <c r="Z1603" s="27"/>
      <c r="AA1603" s="49"/>
    </row>
    <row r="1604" spans="1:27" x14ac:dyDescent="0.35">
      <c r="A1604" s="27"/>
      <c r="B1604" s="28"/>
      <c r="C1604" s="27"/>
      <c r="D1604" s="27"/>
      <c r="E1604" s="27"/>
      <c r="F1604" s="27"/>
      <c r="G1604" s="27"/>
      <c r="H1604" s="27"/>
      <c r="I1604" s="27"/>
      <c r="J1604" s="43"/>
      <c r="K1604" s="43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43"/>
      <c r="X1604" s="29"/>
      <c r="Y1604" s="30"/>
      <c r="Z1604" s="27"/>
      <c r="AA1604" s="49"/>
    </row>
    <row r="1605" spans="1:27" x14ac:dyDescent="0.35">
      <c r="A1605" s="27"/>
      <c r="B1605" s="28"/>
      <c r="C1605" s="27"/>
      <c r="D1605" s="27"/>
      <c r="E1605" s="27"/>
      <c r="F1605" s="27"/>
      <c r="G1605" s="27"/>
      <c r="H1605" s="27"/>
      <c r="I1605" s="27"/>
      <c r="J1605" s="43"/>
      <c r="K1605" s="43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43"/>
      <c r="X1605" s="29"/>
      <c r="Y1605" s="30"/>
      <c r="Z1605" s="27"/>
      <c r="AA1605" s="49"/>
    </row>
    <row r="1606" spans="1:27" x14ac:dyDescent="0.35">
      <c r="A1606" s="27"/>
      <c r="B1606" s="28"/>
      <c r="C1606" s="27"/>
      <c r="D1606" s="27"/>
      <c r="E1606" s="27"/>
      <c r="F1606" s="27"/>
      <c r="G1606" s="27"/>
      <c r="H1606" s="27"/>
      <c r="I1606" s="27"/>
      <c r="J1606" s="43"/>
      <c r="K1606" s="43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43"/>
      <c r="X1606" s="29"/>
      <c r="Y1606" s="30"/>
      <c r="Z1606" s="27"/>
      <c r="AA1606" s="49"/>
    </row>
    <row r="1607" spans="1:27" x14ac:dyDescent="0.35">
      <c r="A1607" s="27"/>
      <c r="B1607" s="28"/>
      <c r="C1607" s="27"/>
      <c r="D1607" s="27"/>
      <c r="E1607" s="27"/>
      <c r="F1607" s="27"/>
      <c r="G1607" s="27"/>
      <c r="H1607" s="27"/>
      <c r="I1607" s="27"/>
      <c r="J1607" s="43"/>
      <c r="K1607" s="43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43"/>
      <c r="X1607" s="29"/>
      <c r="Y1607" s="30"/>
      <c r="Z1607" s="27"/>
      <c r="AA1607" s="49"/>
    </row>
    <row r="1608" spans="1:27" x14ac:dyDescent="0.35">
      <c r="A1608" s="27"/>
      <c r="B1608" s="28"/>
      <c r="C1608" s="27"/>
      <c r="D1608" s="27"/>
      <c r="E1608" s="27"/>
      <c r="F1608" s="27"/>
      <c r="G1608" s="27"/>
      <c r="H1608" s="27"/>
      <c r="I1608" s="27"/>
      <c r="J1608" s="43"/>
      <c r="K1608" s="43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43"/>
      <c r="X1608" s="29"/>
      <c r="Y1608" s="30"/>
      <c r="Z1608" s="27"/>
      <c r="AA1608" s="49"/>
    </row>
    <row r="1609" spans="1:27" x14ac:dyDescent="0.35">
      <c r="A1609" s="27"/>
      <c r="B1609" s="28"/>
      <c r="C1609" s="27"/>
      <c r="D1609" s="27"/>
      <c r="E1609" s="27"/>
      <c r="F1609" s="27"/>
      <c r="G1609" s="27"/>
      <c r="H1609" s="27"/>
      <c r="I1609" s="27"/>
      <c r="J1609" s="43"/>
      <c r="K1609" s="43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43"/>
      <c r="X1609" s="29"/>
      <c r="Y1609" s="30"/>
      <c r="Z1609" s="27"/>
      <c r="AA1609" s="49"/>
    </row>
    <row r="1610" spans="1:27" x14ac:dyDescent="0.35">
      <c r="A1610" s="27"/>
      <c r="B1610" s="28"/>
      <c r="C1610" s="27"/>
      <c r="D1610" s="27"/>
      <c r="E1610" s="27"/>
      <c r="F1610" s="27"/>
      <c r="G1610" s="27"/>
      <c r="H1610" s="27"/>
      <c r="I1610" s="27"/>
      <c r="J1610" s="43"/>
      <c r="K1610" s="43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43"/>
      <c r="X1610" s="29"/>
      <c r="Y1610" s="30"/>
      <c r="Z1610" s="27"/>
      <c r="AA1610" s="49"/>
    </row>
    <row r="1611" spans="1:27" x14ac:dyDescent="0.35">
      <c r="A1611" s="27"/>
      <c r="B1611" s="28"/>
      <c r="C1611" s="27"/>
      <c r="D1611" s="27"/>
      <c r="E1611" s="27"/>
      <c r="F1611" s="27"/>
      <c r="G1611" s="27"/>
      <c r="H1611" s="27"/>
      <c r="I1611" s="27"/>
      <c r="J1611" s="43"/>
      <c r="K1611" s="43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43"/>
      <c r="X1611" s="29"/>
      <c r="Y1611" s="30"/>
      <c r="Z1611" s="27"/>
      <c r="AA1611" s="49"/>
    </row>
    <row r="1612" spans="1:27" x14ac:dyDescent="0.35">
      <c r="A1612" s="27"/>
      <c r="B1612" s="28"/>
      <c r="C1612" s="27"/>
      <c r="D1612" s="27"/>
      <c r="E1612" s="27"/>
      <c r="F1612" s="27"/>
      <c r="G1612" s="27"/>
      <c r="H1612" s="27"/>
      <c r="I1612" s="27"/>
      <c r="J1612" s="43"/>
      <c r="K1612" s="43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43"/>
      <c r="X1612" s="29"/>
      <c r="Y1612" s="30"/>
      <c r="Z1612" s="27"/>
      <c r="AA1612" s="49"/>
    </row>
    <row r="1613" spans="1:27" x14ac:dyDescent="0.35">
      <c r="A1613" s="27"/>
      <c r="B1613" s="28"/>
      <c r="C1613" s="27"/>
      <c r="D1613" s="27"/>
      <c r="E1613" s="27"/>
      <c r="F1613" s="27"/>
      <c r="G1613" s="27"/>
      <c r="H1613" s="27"/>
      <c r="I1613" s="27"/>
      <c r="J1613" s="43"/>
      <c r="K1613" s="43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43"/>
      <c r="X1613" s="29"/>
      <c r="Y1613" s="30"/>
      <c r="Z1613" s="27"/>
      <c r="AA1613" s="49"/>
    </row>
    <row r="1614" spans="1:27" x14ac:dyDescent="0.35">
      <c r="A1614" s="27"/>
      <c r="B1614" s="28"/>
      <c r="C1614" s="27"/>
      <c r="D1614" s="27"/>
      <c r="E1614" s="27"/>
      <c r="F1614" s="27"/>
      <c r="G1614" s="27"/>
      <c r="H1614" s="27"/>
      <c r="I1614" s="27"/>
      <c r="J1614" s="43"/>
      <c r="K1614" s="43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43"/>
      <c r="X1614" s="29"/>
      <c r="Y1614" s="30"/>
      <c r="Z1614" s="27"/>
      <c r="AA1614" s="49"/>
    </row>
    <row r="1615" spans="1:27" x14ac:dyDescent="0.35">
      <c r="A1615" s="27"/>
      <c r="B1615" s="28"/>
      <c r="C1615" s="27"/>
      <c r="D1615" s="27"/>
      <c r="E1615" s="27"/>
      <c r="F1615" s="27"/>
      <c r="G1615" s="27"/>
      <c r="H1615" s="27"/>
      <c r="I1615" s="27"/>
      <c r="J1615" s="43"/>
      <c r="K1615" s="43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43"/>
      <c r="X1615" s="29"/>
      <c r="Y1615" s="30"/>
      <c r="Z1615" s="27"/>
      <c r="AA1615" s="49"/>
    </row>
    <row r="1616" spans="1:27" x14ac:dyDescent="0.35">
      <c r="A1616" s="27"/>
      <c r="B1616" s="28"/>
      <c r="C1616" s="27"/>
      <c r="D1616" s="27"/>
      <c r="E1616" s="27"/>
      <c r="F1616" s="27"/>
      <c r="G1616" s="27"/>
      <c r="H1616" s="27"/>
      <c r="I1616" s="27"/>
      <c r="J1616" s="43"/>
      <c r="K1616" s="43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43"/>
      <c r="X1616" s="29"/>
      <c r="Y1616" s="30"/>
      <c r="Z1616" s="27"/>
      <c r="AA1616" s="49"/>
    </row>
    <row r="1617" spans="1:27" x14ac:dyDescent="0.35">
      <c r="A1617" s="27"/>
      <c r="B1617" s="28"/>
      <c r="C1617" s="27"/>
      <c r="D1617" s="27"/>
      <c r="E1617" s="27"/>
      <c r="F1617" s="27"/>
      <c r="G1617" s="27"/>
      <c r="H1617" s="27"/>
      <c r="I1617" s="27"/>
      <c r="J1617" s="43"/>
      <c r="K1617" s="43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43"/>
      <c r="X1617" s="29"/>
      <c r="Y1617" s="30"/>
      <c r="Z1617" s="27"/>
      <c r="AA1617" s="49"/>
    </row>
    <row r="1618" spans="1:27" x14ac:dyDescent="0.35">
      <c r="A1618" s="27"/>
      <c r="B1618" s="28"/>
      <c r="C1618" s="27"/>
      <c r="D1618" s="27"/>
      <c r="E1618" s="27"/>
      <c r="F1618" s="27"/>
      <c r="G1618" s="27"/>
      <c r="H1618" s="27"/>
      <c r="I1618" s="27"/>
      <c r="J1618" s="43"/>
      <c r="K1618" s="43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43"/>
      <c r="X1618" s="29"/>
      <c r="Y1618" s="30"/>
      <c r="Z1618" s="27"/>
      <c r="AA1618" s="49"/>
    </row>
    <row r="1619" spans="1:27" x14ac:dyDescent="0.35">
      <c r="A1619" s="27"/>
      <c r="B1619" s="28"/>
      <c r="C1619" s="27"/>
      <c r="D1619" s="27"/>
      <c r="E1619" s="27"/>
      <c r="F1619" s="27"/>
      <c r="G1619" s="27"/>
      <c r="H1619" s="27"/>
      <c r="I1619" s="27"/>
      <c r="J1619" s="43"/>
      <c r="K1619" s="43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43"/>
      <c r="X1619" s="29"/>
      <c r="Y1619" s="30"/>
      <c r="Z1619" s="27"/>
      <c r="AA1619" s="49"/>
    </row>
    <row r="1620" spans="1:27" x14ac:dyDescent="0.35">
      <c r="A1620" s="27"/>
      <c r="B1620" s="28"/>
      <c r="C1620" s="27"/>
      <c r="D1620" s="27"/>
      <c r="E1620" s="27"/>
      <c r="F1620" s="27"/>
      <c r="G1620" s="27"/>
      <c r="H1620" s="27"/>
      <c r="I1620" s="27"/>
      <c r="J1620" s="43"/>
      <c r="K1620" s="43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43"/>
      <c r="X1620" s="29"/>
      <c r="Y1620" s="30"/>
      <c r="Z1620" s="27"/>
      <c r="AA1620" s="49"/>
    </row>
    <row r="1621" spans="1:27" x14ac:dyDescent="0.35">
      <c r="A1621" s="27"/>
      <c r="B1621" s="28"/>
      <c r="C1621" s="27"/>
      <c r="D1621" s="27"/>
      <c r="E1621" s="27"/>
      <c r="F1621" s="27"/>
      <c r="G1621" s="27"/>
      <c r="H1621" s="27"/>
      <c r="I1621" s="27"/>
      <c r="J1621" s="43"/>
      <c r="K1621" s="43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43"/>
      <c r="X1621" s="29"/>
      <c r="Y1621" s="30"/>
      <c r="Z1621" s="27"/>
      <c r="AA1621" s="49"/>
    </row>
    <row r="1622" spans="1:27" x14ac:dyDescent="0.35">
      <c r="A1622" s="27"/>
      <c r="B1622" s="28"/>
      <c r="C1622" s="27"/>
      <c r="D1622" s="27"/>
      <c r="E1622" s="27"/>
      <c r="F1622" s="27"/>
      <c r="G1622" s="27"/>
      <c r="H1622" s="27"/>
      <c r="I1622" s="27"/>
      <c r="J1622" s="43"/>
      <c r="K1622" s="43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43"/>
      <c r="X1622" s="29"/>
      <c r="Y1622" s="30"/>
      <c r="Z1622" s="27"/>
      <c r="AA1622" s="49"/>
    </row>
    <row r="1623" spans="1:27" x14ac:dyDescent="0.35">
      <c r="A1623" s="27"/>
      <c r="B1623" s="28"/>
      <c r="C1623" s="27"/>
      <c r="D1623" s="27"/>
      <c r="E1623" s="27"/>
      <c r="F1623" s="27"/>
      <c r="G1623" s="27"/>
      <c r="H1623" s="27"/>
      <c r="I1623" s="27"/>
      <c r="J1623" s="43"/>
      <c r="K1623" s="43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43"/>
      <c r="X1623" s="29"/>
      <c r="Y1623" s="30"/>
      <c r="Z1623" s="27"/>
      <c r="AA1623" s="49"/>
    </row>
    <row r="1624" spans="1:27" x14ac:dyDescent="0.35">
      <c r="A1624" s="27"/>
      <c r="B1624" s="28"/>
      <c r="C1624" s="27"/>
      <c r="D1624" s="27"/>
      <c r="E1624" s="27"/>
      <c r="F1624" s="27"/>
      <c r="G1624" s="27"/>
      <c r="H1624" s="27"/>
      <c r="I1624" s="27"/>
      <c r="J1624" s="43"/>
      <c r="K1624" s="43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43"/>
      <c r="X1624" s="29"/>
      <c r="Y1624" s="30"/>
      <c r="Z1624" s="27"/>
      <c r="AA1624" s="49"/>
    </row>
  </sheetData>
  <autoFilter ref="A2:AA1005" xr:uid="{00000000-0001-0000-0100-000000000000}"/>
  <conditionalFormatting sqref="P1">
    <cfRule type="expression" dxfId="46" priority="4">
      <formula>ROUND(P1,0)=0</formula>
    </cfRule>
    <cfRule type="expression" dxfId="45" priority="3">
      <formula>ROUND(P1,0)&lt;&gt;0</formula>
    </cfRule>
  </conditionalFormatting>
  <conditionalFormatting sqref="AB1">
    <cfRule type="expression" dxfId="44" priority="1">
      <formula>ROUND(AB1,0)&lt;&gt;0</formula>
    </cfRule>
    <cfRule type="expression" dxfId="43" priority="2">
      <formula>ROUND(AB1,0)=0</formula>
    </cfRule>
  </conditionalFormatting>
  <pageMargins left="0.7" right="0.7" top="0.75" bottom="0.75" header="0.3" footer="0.3"/>
  <pageSetup paperSize="285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DC4F94-DFB8-4CF7-8115-043931332E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Documentation</vt:lpstr>
      <vt:lpstr>Settings</vt:lpstr>
      <vt:lpstr>Pivot Table</vt:lpstr>
      <vt:lpstr>Original Data</vt:lpstr>
      <vt:lpstr>dest</vt:lpstr>
      <vt:lpstr>filename</vt:lpstr>
      <vt:lpstr>idir</vt:lpstr>
      <vt:lpstr>ifile</vt:lpstr>
      <vt:lpstr>MonthApplied</vt:lpstr>
      <vt:lpstr>ProducerTable</vt:lpstr>
      <vt:lpstr>YearApplied</vt:lpstr>
    </vt:vector>
  </TitlesOfParts>
  <Company>MFH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Wirtner</dc:creator>
  <cp:lastModifiedBy>Yu-Sheng Lee</cp:lastModifiedBy>
  <cp:lastPrinted>2022-09-26T20:32:56Z</cp:lastPrinted>
  <dcterms:created xsi:type="dcterms:W3CDTF">2017-06-19T22:28:16Z</dcterms:created>
  <dcterms:modified xsi:type="dcterms:W3CDTF">2023-04-03T20:01:24Z</dcterms:modified>
</cp:coreProperties>
</file>