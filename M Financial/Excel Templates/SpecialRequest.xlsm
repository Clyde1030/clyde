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clyde\Excel Templates\"/>
    </mc:Choice>
  </mc:AlternateContent>
  <xr:revisionPtr revIDLastSave="0" documentId="13_ncr:1_{28F42CA2-3C4B-4FBC-870F-A2792A1E7E2C}" xr6:coauthVersionLast="47" xr6:coauthVersionMax="47" xr10:uidLastSave="{00000000-0000-0000-0000-000000000000}"/>
  <bookViews>
    <workbookView xWindow="28680" yWindow="-120" windowWidth="29040" windowHeight="15840" tabRatio="642" xr2:uid="{00000000-000D-0000-FFFF-FFFF00000000}"/>
  </bookViews>
  <sheets>
    <sheet name="Tami W Control" sheetId="12" r:id="rId1"/>
    <sheet name="Market Share" sheetId="2" r:id="rId2"/>
    <sheet name="ProdType" sheetId="10" r:id="rId3"/>
    <sheet name="Leslie Darrigo" sheetId="13" r:id="rId4"/>
    <sheet name="Derek Palumbo" sheetId="7" r:id="rId5"/>
    <sheet name="Kati Anderson" sheetId="15" r:id="rId6"/>
    <sheet name="Final Pivot Email List" sheetId="1" state="hidden" r:id="rId7"/>
  </sheets>
  <functionGroups builtInGroupCount="19"/>
  <definedNames>
    <definedName name="_xlnm._FilterDatabase" localSheetId="4" hidden="1">'Derek Palumbo'!$A$2:$D$153</definedName>
    <definedName name="_xlnm._FilterDatabase" localSheetId="3" hidden="1">'Leslie Darrigo'!#REF!</definedName>
    <definedName name="_xlnm._FilterDatabase" localSheetId="1" hidden="1">'Market Share'!$A$2:$H$1941</definedName>
    <definedName name="_xlnm._FilterDatabase" localSheetId="2" hidden="1">ProdType!$A$2:$H$2</definedName>
    <definedName name="MarketShare">'Market Share'!$A$3:$H$5000</definedName>
    <definedName name="Name_MarketShare">'Tami W Control'!$D$12</definedName>
    <definedName name="Name_Prenetration">'Derek Palumbo'!$I$11</definedName>
    <definedName name="Name_ProdStory">'Kati Anderson'!$D$12</definedName>
    <definedName name="Name_ProdType">'Tami W Control'!$E$12</definedName>
    <definedName name="Name_Report">'Leslie Darrigo'!$D$12</definedName>
    <definedName name="Penetration">'Derek Palumbo'!$A$3:$D$500</definedName>
    <definedName name="ProdType">ProdType!$A$3:$H$500</definedName>
    <definedName name="ProductionStory">'Kati Anderson'!$B$22:$H$35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2" i="15" l="1"/>
  <c r="N50" i="15" l="1" a="1"/>
  <c r="N50" i="15" s="1"/>
  <c r="M50" i="15" a="1"/>
  <c r="M50" i="15" s="1"/>
  <c r="N49" i="15" a="1"/>
  <c r="N49" i="15" s="1"/>
  <c r="M49" i="15" a="1"/>
  <c r="M49" i="15" s="1"/>
  <c r="N48" i="15" a="1"/>
  <c r="N48" i="15" s="1"/>
  <c r="M48" i="15" a="1"/>
  <c r="M48" i="15" s="1"/>
  <c r="N47" i="15" a="1"/>
  <c r="N47" i="15" s="1"/>
  <c r="M47" i="15" a="1"/>
  <c r="M47" i="15" s="1"/>
  <c r="N46" i="15" a="1"/>
  <c r="N46" i="15" s="1"/>
  <c r="M46" i="15" a="1"/>
  <c r="M46" i="15" s="1"/>
  <c r="P45" i="15" s="1"/>
  <c r="N45" i="15" a="1"/>
  <c r="N45" i="15" s="1"/>
  <c r="M45" i="15" a="1"/>
  <c r="M45" i="15" s="1"/>
  <c r="N44" i="15" a="1"/>
  <c r="N44" i="15" s="1"/>
  <c r="M44" i="15" a="1"/>
  <c r="M44" i="15" s="1"/>
  <c r="N43" i="15" a="1"/>
  <c r="N43" i="15" s="1"/>
  <c r="M43" i="15" a="1"/>
  <c r="M43" i="15" s="1"/>
  <c r="N42" i="15" a="1"/>
  <c r="N42" i="15" s="1"/>
  <c r="M42" i="15" a="1"/>
  <c r="M42" i="15" s="1"/>
  <c r="N41" i="15" a="1"/>
  <c r="N41" i="15" s="1"/>
  <c r="M41" i="15" a="1"/>
  <c r="M41" i="15" s="1"/>
  <c r="N40" i="15" a="1"/>
  <c r="N40" i="15" s="1"/>
  <c r="P42" i="15" s="1"/>
  <c r="M40" i="15" a="1"/>
  <c r="M40" i="15" s="1"/>
  <c r="P40" i="15" s="1"/>
  <c r="N23" i="15" a="1"/>
  <c r="N23" i="15" s="1"/>
  <c r="N24" i="15" a="1"/>
  <c r="N24" i="15" s="1"/>
  <c r="N25" i="15" a="1"/>
  <c r="N25" i="15" s="1"/>
  <c r="N26" i="15" a="1"/>
  <c r="N26" i="15" s="1"/>
  <c r="N27" i="15" a="1"/>
  <c r="N27" i="15" s="1"/>
  <c r="N28" i="15" a="1"/>
  <c r="N28" i="15" s="1"/>
  <c r="N29" i="15" a="1"/>
  <c r="N29" i="15" s="1"/>
  <c r="N30" i="15" a="1"/>
  <c r="N30" i="15" s="1"/>
  <c r="N31" i="15" a="1"/>
  <c r="N31" i="15" s="1"/>
  <c r="N32" i="15" a="1"/>
  <c r="N32" i="15" s="1"/>
  <c r="N22" i="15" a="1"/>
  <c r="N22" i="15" s="1"/>
  <c r="P24" i="15" s="1"/>
  <c r="M32" i="15" a="1"/>
  <c r="M32" i="15" s="1"/>
  <c r="M31" i="15" a="1"/>
  <c r="M31" i="15" s="1"/>
  <c r="M30" i="15" a="1"/>
  <c r="M30" i="15" s="1"/>
  <c r="M29" i="15" a="1"/>
  <c r="M29" i="15" s="1"/>
  <c r="M28" i="15" a="1"/>
  <c r="M28" i="15" s="1"/>
  <c r="M27" i="15" a="1"/>
  <c r="M27" i="15" s="1"/>
  <c r="M26" i="15" a="1"/>
  <c r="M26" i="15" s="1"/>
  <c r="M25" i="15" a="1"/>
  <c r="M25" i="15" s="1"/>
  <c r="M24" i="15" a="1"/>
  <c r="M24" i="15" s="1"/>
  <c r="M23" i="15" a="1"/>
  <c r="M23" i="15" s="1"/>
  <c r="M22" i="15" a="1"/>
  <c r="M22" i="15" s="1"/>
  <c r="P41" i="15" l="1"/>
  <c r="P43" i="15"/>
  <c r="P33" i="15"/>
  <c r="P44" i="15"/>
  <c r="P31" i="15"/>
  <c r="P47" i="15"/>
  <c r="P49" i="15"/>
  <c r="P51" i="15"/>
  <c r="P23" i="15"/>
  <c r="P29" i="15"/>
  <c r="P26" i="15"/>
  <c r="P27" i="15"/>
  <c r="P50" i="15" l="1"/>
  <c r="P52" i="15" s="1"/>
  <c r="P22" i="15"/>
  <c r="P25" i="15" s="1"/>
  <c r="P32" i="15" s="1"/>
  <c r="P34" i="15" s="1"/>
  <c r="D12" i="13" l="1"/>
  <c r="B23" i="13"/>
  <c r="D24" i="13"/>
  <c r="I11" i="7"/>
  <c r="I12" i="7"/>
  <c r="E13" i="12" l="1"/>
  <c r="D12" i="12"/>
  <c r="E12" i="12"/>
  <c r="D13" i="12"/>
  <c r="J46" i="1" l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<sst xmlns="http://schemas.openxmlformats.org/spreadsheetml/2006/main" count="333" uniqueCount="166">
  <si>
    <t>Andy Kramer &lt;Andy.Kramer@mfin.com&gt;</t>
  </si>
  <si>
    <t xml:space="preserve"> Matt Mylroie &lt;Matt.Mylroie@mfin.com&gt;</t>
  </si>
  <si>
    <t xml:space="preserve"> Michael Banis &lt;Michael.Banis@mfin.com&gt;</t>
  </si>
  <si>
    <t xml:space="preserve"> Rodger Hergenrader &lt;Rodger.Hergenrader@mfin.com&gt;</t>
  </si>
  <si>
    <t xml:space="preserve"> Aaron Janssen &lt;Aaron.Janssen@mfin.com&gt;</t>
  </si>
  <si>
    <t xml:space="preserve"> Alanna Buck &lt;Alanna.Buck@mfin.com&gt;</t>
  </si>
  <si>
    <t xml:space="preserve"> David Anderson &lt;David.Anderson@mfin.com&gt;</t>
  </si>
  <si>
    <t xml:space="preserve"> Dennis McMahan &lt;Dennis.McMahan@mfin.com&gt;</t>
  </si>
  <si>
    <t xml:space="preserve"> Erica Wohlfahrt &lt;Erica.Wohlfahrt@mfin.com&gt;</t>
  </si>
  <si>
    <t xml:space="preserve"> Evan Seach &lt;Evan.Seach@mfin.com&gt;</t>
  </si>
  <si>
    <t xml:space="preserve"> Jeff Struthers &lt;Jeff.Struthers@mfin.com&gt;</t>
  </si>
  <si>
    <t xml:space="preserve"> Kim Williams &lt;Kim.Williams@mfin.com&gt;</t>
  </si>
  <si>
    <t xml:space="preserve"> Kimberley Martindell &lt;Kimberley.Martindell@mfin.com&gt;</t>
  </si>
  <si>
    <t xml:space="preserve"> Kyle Jones &lt;Kyle.Jones@mfin.com&gt;</t>
  </si>
  <si>
    <t xml:space="preserve"> Mark Jones &lt;Mark.Jones@mfin.com&gt;</t>
  </si>
  <si>
    <t xml:space="preserve"> Kellie Marx &lt;Kellie.Marx@mfin.com&gt;</t>
  </si>
  <si>
    <t xml:space="preserve"> Peggy Hoagland &lt;Peggy.Hoagland@mfin.com&gt;</t>
  </si>
  <si>
    <t xml:space="preserve"> Tami Barraclough &lt;Tami.Barraclough@mfin.com&gt;</t>
  </si>
  <si>
    <t xml:space="preserve"> Bruce Fuller &lt;Bruce.Fuller@mfin.com&gt;</t>
  </si>
  <si>
    <t xml:space="preserve"> Erik Reynolds &lt;Erik.Reynolds@mfin.com&gt;</t>
  </si>
  <si>
    <t xml:space="preserve"> ReNae Schwartz &lt;ReNae.Schwartz@mfin.com&gt;</t>
  </si>
  <si>
    <t xml:space="preserve"> Shelley Sievers &lt;Shelley.Sievers@mfin.com&gt;</t>
  </si>
  <si>
    <t xml:space="preserve"> Hans Avery &lt;Hans.Avery@mfin.com&gt;</t>
  </si>
  <si>
    <t xml:space="preserve"> Kati Anderson &lt;Kati.Anderson@mfin.com&gt;</t>
  </si>
  <si>
    <t xml:space="preserve"> Phillip Willsey &lt;Phillip.Willsey@mfin.com&gt;</t>
  </si>
  <si>
    <t xml:space="preserve"> Hannah Hasbrook &lt;Hannah.Hasbrook@mfin.com&gt;</t>
  </si>
  <si>
    <t xml:space="preserve"> Carolyn Bahrman &lt;Carolyn.Bahrman@mfin.com&gt;</t>
  </si>
  <si>
    <t xml:space="preserve"> Greg Pelletier &lt;Greg.Pelletier@mfin.com&gt;</t>
  </si>
  <si>
    <t xml:space="preserve"> Eric Smith &lt;Eric.Smith@mfin.com&gt;</t>
  </si>
  <si>
    <t xml:space="preserve"> Andy Kramer &lt;Andy.Kramer@mfin.com&gt;</t>
  </si>
  <si>
    <t xml:space="preserve"> Elizabeth Breedlove &lt;Elizabeth.Breedlove@mfin.com&gt;</t>
  </si>
  <si>
    <t xml:space="preserve"> Kevin Kukar &lt;Kevin.Kukar@mfin.com&gt;</t>
  </si>
  <si>
    <t xml:space="preserve"> Erik Bjorvik &lt;Erik.Bjorvik@mfin.com&gt;</t>
  </si>
  <si>
    <t xml:space="preserve"> Neil Kulkarni &lt;Neil.Kulkarni@mfin.com&gt;</t>
  </si>
  <si>
    <t xml:space="preserve"> Shauna Peart &lt;Shauna.Peart@mfin.com&gt;</t>
  </si>
  <si>
    <t xml:space="preserve"> Cheryl Egazarian &lt;Cheryl.Egazarian@mfin.com&gt;</t>
  </si>
  <si>
    <t xml:space="preserve"> Amanda Novak &lt;Amanda.Novak@mfin.com&gt;</t>
  </si>
  <si>
    <t xml:space="preserve"> Antong Hou &lt;Antong.Hou@mfin.com&gt;</t>
  </si>
  <si>
    <t xml:space="preserve"> Brian Hong &lt;Brian.Hong@mfin.com&gt;</t>
  </si>
  <si>
    <t xml:space="preserve"> Kyle Davis &lt;Kyle.Davis@mfin.com&gt;</t>
  </si>
  <si>
    <t xml:space="preserve"> Robert Wagner &lt;Robert.Wagner@mfin.com&gt;</t>
  </si>
  <si>
    <t xml:space="preserve"> Riley Skyles &lt;Riley.Skyles@mfin.com&gt;</t>
  </si>
  <si>
    <t>Andy.Kramer@mfin.com;</t>
  </si>
  <si>
    <t>Matt.Mylroie@mfin.com;</t>
  </si>
  <si>
    <t>Michael.Banis@mfin.com;</t>
  </si>
  <si>
    <t>Rodger.Hergenrader@mfin.com;</t>
  </si>
  <si>
    <t>Aaron.Janssen@mfin.com;</t>
  </si>
  <si>
    <t>Alanna.Buck@mfin.com;</t>
  </si>
  <si>
    <t>David.Anderson@mfin.com;</t>
  </si>
  <si>
    <t>Dennis.McMahan@mfin.com;</t>
  </si>
  <si>
    <t>Erica.Wohlfahrt@mfin.com;</t>
  </si>
  <si>
    <t>Evan.Seach@mfin.com;</t>
  </si>
  <si>
    <t>Jeff.Struthers@mfin.com;</t>
  </si>
  <si>
    <t>Kim.Williams@mfin.com;</t>
  </si>
  <si>
    <t>Kimberley.Martindell@mfin.com;</t>
  </si>
  <si>
    <t>Kyle.Jones@mfin.com;</t>
  </si>
  <si>
    <t>Mark.Jones@mfin.com;</t>
  </si>
  <si>
    <t>Kellie.Marx@mfin.com;</t>
  </si>
  <si>
    <t>Peggy.Hoagland@mfin.com;</t>
  </si>
  <si>
    <t>Tami.Barraclough@mfin.com;</t>
  </si>
  <si>
    <t>Bruce.Fuller@mfin.com;</t>
  </si>
  <si>
    <t>Erik.Reynolds@mfin.com;</t>
  </si>
  <si>
    <t>ReNae.Schwartz@mfin.com;</t>
  </si>
  <si>
    <t>Shelley.Sievers@mfin.com;</t>
  </si>
  <si>
    <t>Hans.Avery@mfin.com;</t>
  </si>
  <si>
    <t>Kati.Anderson@mfin.com;</t>
  </si>
  <si>
    <t>Phillip.Willsey@mfin.com;</t>
  </si>
  <si>
    <t>Hannah.Hasbrook@mfin.com;</t>
  </si>
  <si>
    <t>Carolyn.Bahrman@mfin.com;</t>
  </si>
  <si>
    <t>Greg.Pelletier@mfin.com;</t>
  </si>
  <si>
    <t>Eric.Smith@mfin.com;</t>
  </si>
  <si>
    <t>Elizabeth.Breedlove@mfin.com;</t>
  </si>
  <si>
    <t>Kevin.Kukar@mfin.com;</t>
  </si>
  <si>
    <t>Erik.Bjorvik@mfin.com;</t>
  </si>
  <si>
    <t>Neil.Kulkarni@mfin.com;</t>
  </si>
  <si>
    <t>Shauna.Peart@mfin.com;</t>
  </si>
  <si>
    <t>Cheryl.Egazarian@mfin.com;</t>
  </si>
  <si>
    <t>Amanda.Novak@mfin.com;</t>
  </si>
  <si>
    <t>Antong.Hou@mfin.com;</t>
  </si>
  <si>
    <t>Brian.Hong@mfin.com;</t>
  </si>
  <si>
    <t>Kyle.Davis@mfin.com;</t>
  </si>
  <si>
    <t>Robert.Wagner@mfin.com;</t>
  </si>
  <si>
    <t>Riley.Skyles@mfin.com;</t>
  </si>
  <si>
    <t>Life</t>
  </si>
  <si>
    <t>Non-Mag</t>
  </si>
  <si>
    <t>M-Carrier</t>
  </si>
  <si>
    <t>Non-Group</t>
  </si>
  <si>
    <t>line</t>
  </si>
  <si>
    <t>Magnastar</t>
  </si>
  <si>
    <t>Comm. Life</t>
  </si>
  <si>
    <t>Non-M</t>
  </si>
  <si>
    <t>Annuity</t>
  </si>
  <si>
    <t>Low/Non Comm. Life</t>
  </si>
  <si>
    <t>Total Life</t>
  </si>
  <si>
    <t>Disability</t>
  </si>
  <si>
    <t>Group</t>
  </si>
  <si>
    <t>Group Disability</t>
  </si>
  <si>
    <t>401(k)</t>
  </si>
  <si>
    <t>Life Settlements</t>
  </si>
  <si>
    <t>Magnastar Annuity</t>
  </si>
  <si>
    <t>401K</t>
  </si>
  <si>
    <t>Total M Carr Sales</t>
  </si>
  <si>
    <t>Non-M Carrier</t>
  </si>
  <si>
    <t>Total Sales</t>
  </si>
  <si>
    <t>MemberFirm</t>
  </si>
  <si>
    <t>TotalCommissionable</t>
  </si>
  <si>
    <t>JHTotalCommissionable</t>
  </si>
  <si>
    <t>JHPercent</t>
  </si>
  <si>
    <t>Year</t>
  </si>
  <si>
    <t>Month</t>
  </si>
  <si>
    <t>Tami Wroblewski</t>
  </si>
  <si>
    <t>Requester</t>
  </si>
  <si>
    <t>Derek Palumbo</t>
  </si>
  <si>
    <t>Email</t>
  </si>
  <si>
    <t>YearApplied</t>
  </si>
  <si>
    <t>Type</t>
  </si>
  <si>
    <t>Territory</t>
  </si>
  <si>
    <t>AllTarget</t>
  </si>
  <si>
    <t>AllExcess</t>
  </si>
  <si>
    <t>PLTarget</t>
  </si>
  <si>
    <t>PLExcess</t>
  </si>
  <si>
    <t>MonthApplied</t>
  </si>
  <si>
    <t>Carrier</t>
  </si>
  <si>
    <t>TargetPremium</t>
  </si>
  <si>
    <t>ExcessPremium</t>
  </si>
  <si>
    <t>SQL Script</t>
  </si>
  <si>
    <t>Update Steps</t>
  </si>
  <si>
    <t>http://mreportsdev.mfin.com/Reports/Pages/Report.aspx?ItemPath=%2fSales+Reports%2fSales+By+MemberFirm&amp;ViewMode=Detail</t>
  </si>
  <si>
    <t>1. Go to</t>
  </si>
  <si>
    <t>1.       Download the Excel file and save to Request folder</t>
  </si>
  <si>
    <t>2.       Unmerge columns A to B</t>
  </si>
  <si>
    <t>3.       Move Confidential heading and Report title to column C</t>
  </si>
  <si>
    <t>4.       Remove column B</t>
  </si>
  <si>
    <t>5.       Merge and Center B1:J1 and B2:J2</t>
  </si>
  <si>
    <t>6.       Auto fit column A</t>
  </si>
  <si>
    <t>7.       Add filters for B19:K19</t>
  </si>
  <si>
    <t>8.       Same step for sheet 2</t>
  </si>
  <si>
    <t>4. If the email looks good, send out the email</t>
  </si>
  <si>
    <t>Server</t>
  </si>
  <si>
    <t>Database</t>
  </si>
  <si>
    <t>ProductionAndOverride</t>
  </si>
  <si>
    <t>pdxvmdb11</t>
  </si>
  <si>
    <t>Comm Premium (Millions)</t>
  </si>
  <si>
    <t>Non-Comm Premium (Millions)</t>
  </si>
  <si>
    <t>LOB</t>
  </si>
  <si>
    <t>M Carrier</t>
  </si>
  <si>
    <t>Market Share</t>
  </si>
  <si>
    <t>Quarterly Penetration Report</t>
  </si>
  <si>
    <t>Production by Type</t>
  </si>
  <si>
    <t>File Path</t>
  </si>
  <si>
    <t>Production By Territory and Product Type</t>
  </si>
  <si>
    <t>Leslie Darrigo</t>
  </si>
  <si>
    <r>
      <t xml:space="preserve">3. Press the </t>
    </r>
    <r>
      <rPr>
        <b/>
        <sz val="11"/>
        <color theme="1"/>
        <rFont val="Calibri"/>
        <family val="2"/>
        <scheme val="minor"/>
      </rPr>
      <t>[Populate Report]</t>
    </r>
    <r>
      <rPr>
        <sz val="11"/>
        <color theme="1"/>
        <rFont val="Calibri"/>
        <family val="2"/>
        <scheme val="minor"/>
      </rPr>
      <t xml:space="preserve"> Button and then </t>
    </r>
    <r>
      <rPr>
        <b/>
        <sz val="11"/>
        <color theme="1"/>
        <rFont val="Calibri"/>
        <family val="2"/>
        <scheme val="minor"/>
      </rPr>
      <t>[Draft Email]</t>
    </r>
    <r>
      <rPr>
        <sz val="11"/>
        <color theme="1"/>
        <rFont val="Calibri"/>
        <family val="2"/>
        <scheme val="minor"/>
      </rPr>
      <t xml:space="preserve"> button</t>
    </r>
  </si>
  <si>
    <t>This is the manual steps that the Macro do:</t>
  </si>
  <si>
    <t>&lt;-has to be xls format</t>
  </si>
  <si>
    <t>&lt;--integer</t>
  </si>
  <si>
    <t>Kati Anderson</t>
  </si>
  <si>
    <t>J:\Acctng\Production\Production Process Documentation\SQL Queries\Production Story.sql</t>
  </si>
  <si>
    <t>Production Story</t>
  </si>
  <si>
    <t>CommPrem(M)</t>
  </si>
  <si>
    <t>NonCommPrem(M)</t>
  </si>
  <si>
    <t>Data</t>
  </si>
  <si>
    <t>Correct Order</t>
  </si>
  <si>
    <t>Export</t>
  </si>
  <si>
    <t>From SQL - Current Month</t>
  </si>
  <si>
    <t>From SQL - Previous Month Copied from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</si>
</sst>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9" fontId="0" fillId="0" borderId="0" xfId="2" applyFont="1"/>
    <xf numFmtId="0" fontId="0" fillId="3" borderId="0" xfId="0" applyFill="1"/>
    <xf numFmtId="9" fontId="0" fillId="3" borderId="0" xfId="2" applyFont="1" applyFill="1"/>
    <xf numFmtId="0" fontId="0" fillId="4" borderId="0" xfId="0" applyFill="1"/>
    <xf numFmtId="0" fontId="2" fillId="4" borderId="0" xfId="0" applyFont="1" applyFill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0" fillId="5" borderId="0" xfId="0" applyFill="1"/>
    <xf numFmtId="0" fontId="0" fillId="5" borderId="0" xfId="0" quotePrefix="1" applyFill="1"/>
    <xf numFmtId="0" fontId="4" fillId="0" borderId="0" xfId="3" applyAlignment="1">
      <alignment horizontal="left" vertical="center" indent="14"/>
    </xf>
    <xf numFmtId="0" fontId="4" fillId="0" borderId="0" xfId="3"/>
    <xf numFmtId="14" fontId="0" fillId="0" borderId="0" xfId="0" applyNumberFormat="1"/>
    <xf numFmtId="0" fontId="2" fillId="0" borderId="0" xfId="0" applyFont="1"/>
    <xf numFmtId="0" fontId="6" fillId="0" borderId="0" xfId="0" applyFont="1"/>
    <xf numFmtId="0" fontId="7" fillId="4" borderId="0" xfId="0" quotePrefix="1" applyFont="1" applyFill="1"/>
    <xf numFmtId="0" fontId="4" fillId="4" borderId="0" xfId="3" applyFill="1"/>
    <xf numFmtId="0" fontId="0" fillId="6" borderId="0" xfId="0" applyFill="1"/>
    <xf numFmtId="10" fontId="0" fillId="0" borderId="0" xfId="2" applyNumberFormat="1" applyFont="1"/>
    <xf numFmtId="43" fontId="0" fillId="0" borderId="0" xfId="1" applyFont="1"/>
    <xf numFmtId="0" fontId="8" fillId="4" borderId="0" xfId="0" applyFont="1" applyFill="1"/>
    <xf numFmtId="0" fontId="0" fillId="10" borderId="0" xfId="0" applyFill="1"/>
    <xf numFmtId="0" fontId="0" fillId="11" borderId="0" xfId="0" applyFill="1"/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center" wrapText="1"/>
    </xf>
    <xf numFmtId="0" fontId="0" fillId="7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9" borderId="0" xfId="0" applyFont="1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0" xfId="0" applyFill="1"/>
    <xf numFmtId="0" fontId="4" fillId="4" borderId="1" xfId="3" applyFill="1" applyBorder="1"/>
    <xf numFmtId="0" fontId="0" fillId="8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1746250</xdr:colOff>
          <xdr:row>3</xdr:row>
          <xdr:rowOff>12700</xdr:rowOff>
        </xdr:from>
        <xdr:to>
          <xdr:col>3</xdr:col>
          <xdr:colOff>3581400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4000500</xdr:colOff>
          <xdr:row>3</xdr:row>
          <xdr:rowOff>6350</xdr:rowOff>
        </xdr:from>
        <xdr:to>
          <xdr:col>3</xdr:col>
          <xdr:colOff>5835650</xdr:colOff>
          <xdr:row>7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3</xdr:row>
          <xdr:rowOff>19050</xdr:rowOff>
        </xdr:from>
        <xdr:to>
          <xdr:col>3</xdr:col>
          <xdr:colOff>2565400</xdr:colOff>
          <xdr:row>8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3086100</xdr:colOff>
          <xdr:row>3</xdr:row>
          <xdr:rowOff>31750</xdr:rowOff>
        </xdr:from>
        <xdr:to>
          <xdr:col>3</xdr:col>
          <xdr:colOff>4927600</xdr:colOff>
          <xdr:row>8</xdr:row>
          <xdr:rowOff>19050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Draft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2</xdr:row>
          <xdr:rowOff>19050</xdr:rowOff>
        </xdr:from>
        <xdr:to>
          <xdr:col>8</xdr:col>
          <xdr:colOff>2565400</xdr:colOff>
          <xdr:row>7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3086100</xdr:colOff>
          <xdr:row>2</xdr:row>
          <xdr:rowOff>31750</xdr:rowOff>
        </xdr:from>
        <xdr:to>
          <xdr:col>8</xdr:col>
          <xdr:colOff>4927600</xdr:colOff>
          <xdr:row>7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Draft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1187450</xdr:colOff>
          <xdr:row>3</xdr:row>
          <xdr:rowOff>19050</xdr:rowOff>
        </xdr:from>
        <xdr:to>
          <xdr:col>4</xdr:col>
          <xdr:colOff>1111250</xdr:colOff>
          <xdr:row>8</xdr:row>
          <xdr:rowOff>6350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19050</xdr:rowOff>
        </xdr:from>
        <xdr:to>
          <xdr:col>6</xdr:col>
          <xdr:colOff>889000</xdr:colOff>
          <xdr:row>8</xdr:row>
          <xdr:rowOff>6350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Draft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mreportsdev.mfin.com/Reports/Pages/Report.aspx?ItemPath=%2fSales+Reports%2fSales+By+MemberFirm&amp;ViewMode=Detail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78A74-C5C1-4F8E-8A3D-AD5C7AA3E268}">
  <sheetPr codeName="Sheet8">
    <tabColor theme="4" tint="0.39997558519241921"/>
  </sheetPr>
  <dimension ref="B3:F23"/>
  <sheetViews>
    <sheetView tabSelected="1" zoomScaleNormal="100" workbookViewId="0">
      <selection activeCell="C9" sqref="C9"/>
    </sheetView>
  </sheetViews>
  <sheetFormatPr defaultRowHeight="14.5" x14ac:dyDescent="0.35"/>
  <cols>
    <col min="2" max="2" width="9.6328125" bestFit="1" customWidth="1"/>
    <col min="3" max="3" width="15.6328125" customWidth="1"/>
    <col min="4" max="4" width="95.26953125" bestFit="1" customWidth="1"/>
    <col min="5" max="5" width="96.6328125" bestFit="1" customWidth="1"/>
  </cols>
  <sheetData>
    <row r="3" spans="2:6" x14ac:dyDescent="0.35">
      <c r="B3" s="4"/>
      <c r="C3" s="4"/>
      <c r="D3" s="4"/>
      <c r="E3" s="4"/>
      <c r="F3" s="4"/>
    </row>
    <row r="4" spans="2:6" x14ac:dyDescent="0.35">
      <c r="B4" s="4" t="s">
        <v>108</v>
      </c>
      <c r="C4" s="8">
        <v>2022</v>
      </c>
      <c r="D4" s="4"/>
      <c r="E4" s="4"/>
      <c r="F4" s="4"/>
    </row>
    <row r="5" spans="2:6" x14ac:dyDescent="0.35">
      <c r="B5" s="4" t="s">
        <v>109</v>
      </c>
      <c r="C5" s="9">
        <v>10</v>
      </c>
      <c r="D5" s="15" t="s">
        <v>155</v>
      </c>
      <c r="E5" s="4"/>
      <c r="F5" s="4"/>
    </row>
    <row r="6" spans="2:6" x14ac:dyDescent="0.35">
      <c r="B6" s="4" t="s">
        <v>138</v>
      </c>
      <c r="C6" s="8" t="s">
        <v>141</v>
      </c>
      <c r="D6" s="4"/>
      <c r="E6" s="4"/>
      <c r="F6" s="4"/>
    </row>
    <row r="7" spans="2:6" x14ac:dyDescent="0.35">
      <c r="B7" s="4" t="s">
        <v>139</v>
      </c>
      <c r="C7" s="8" t="s">
        <v>140</v>
      </c>
      <c r="D7" s="4"/>
      <c r="E7" s="4"/>
      <c r="F7" s="4"/>
    </row>
    <row r="8" spans="2:6" x14ac:dyDescent="0.35">
      <c r="B8" s="4" t="s">
        <v>111</v>
      </c>
      <c r="C8" s="4" t="s">
        <v>110</v>
      </c>
      <c r="D8" s="4"/>
      <c r="E8" s="4"/>
      <c r="F8" s="4"/>
    </row>
    <row r="9" spans="2:6" x14ac:dyDescent="0.35">
      <c r="B9" s="4" t="s">
        <v>113</v>
      </c>
      <c r="C9" s="4"/>
      <c r="D9" s="4"/>
      <c r="E9" s="4"/>
      <c r="F9" s="4"/>
    </row>
    <row r="10" spans="2:6" x14ac:dyDescent="0.35">
      <c r="B10" s="4"/>
      <c r="C10" s="4"/>
      <c r="D10" s="4"/>
      <c r="E10" s="4"/>
      <c r="F10" s="4"/>
    </row>
    <row r="11" spans="2:6" x14ac:dyDescent="0.35">
      <c r="B11" s="4"/>
      <c r="C11" s="6"/>
      <c r="D11" s="6" t="s">
        <v>146</v>
      </c>
      <c r="E11" s="6" t="s">
        <v>148</v>
      </c>
      <c r="F11" s="4"/>
    </row>
    <row r="12" spans="2:6" x14ac:dyDescent="0.35">
      <c r="B12" s="4"/>
      <c r="C12" s="6" t="s">
        <v>149</v>
      </c>
      <c r="D12" s="7" t="str">
        <f>"J:\Acctng\Production\"&amp;C4&amp;"\Requests\Tami Wroblewski\Market Share\"&amp;"PL Market Share YTD "&amp;TEXT(INT(C5)*29,"mmmm")&amp;" "&amp;C4&amp;".xlsx"</f>
        <v>J:\Acctng\Production\2022\Requests\Tami Wroblewski\Market Share\PL Market Share YTD October 2022.xlsx</v>
      </c>
      <c r="E12" s="7" t="str">
        <f>"J:\Acctng\Production\"&amp;C4&amp;"\Requests\Tami Wroblewski\Production by Type\"&amp;"PL Production thru "&amp;TEXT(INT(C5)*29,"mmmm")&amp;" "&amp;C4&amp;".xlsx"</f>
        <v>J:\Acctng\Production\2022\Requests\Tami Wroblewski\Production by Type\PL Production thru October 2022.xlsx</v>
      </c>
      <c r="F12" s="4"/>
    </row>
    <row r="13" spans="2:6" x14ac:dyDescent="0.35">
      <c r="B13" s="4"/>
      <c r="C13" s="6" t="s">
        <v>125</v>
      </c>
      <c r="D13" s="7" t="str">
        <f>"J:\Acctng\Production\"&amp;C4&amp;"\Requests\Tami Wroblewski\Market Share\PL Market Share.sql"</f>
        <v>J:\Acctng\Production\2022\Requests\Tami Wroblewski\Market Share\PL Market Share.sql</v>
      </c>
      <c r="E13" s="7" t="str">
        <f>"J:\Acctng\Production\"&amp;C4&amp;"\Requests\Tami Wroblewski\Production by Type\PL Production by Type- Region.sql"</f>
        <v>J:\Acctng\Production\2022\Requests\Tami Wroblewski\Production by Type\PL Production by Type- Region.sql</v>
      </c>
      <c r="F13" s="4"/>
    </row>
    <row r="14" spans="2:6" x14ac:dyDescent="0.35">
      <c r="B14" s="4"/>
      <c r="C14" s="4"/>
      <c r="D14" s="4"/>
      <c r="E14" s="4"/>
      <c r="F14" s="4"/>
    </row>
    <row r="15" spans="2:6" x14ac:dyDescent="0.35">
      <c r="B15" s="4"/>
      <c r="C15" s="5"/>
      <c r="D15" s="5"/>
      <c r="E15" s="4"/>
      <c r="F15" s="4"/>
    </row>
    <row r="19" spans="3:3" x14ac:dyDescent="0.35">
      <c r="C19" s="12"/>
    </row>
    <row r="22" spans="3:3" x14ac:dyDescent="0.35">
      <c r="C22" s="12"/>
    </row>
    <row r="23" spans="3:3" x14ac:dyDescent="0.35">
      <c r="C23" s="1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mi.Tami">
                <anchor moveWithCells="1" sizeWithCells="1">
                  <from>
                    <xdr:col>3</xdr:col>
                    <xdr:colOff>1746250</xdr:colOff>
                    <xdr:row>3</xdr:row>
                    <xdr:rowOff>12700</xdr:rowOff>
                  </from>
                  <to>
                    <xdr:col>3</xdr:col>
                    <xdr:colOff>3581400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mail">
                <anchor moveWithCells="1" sizeWithCells="1">
                  <from>
                    <xdr:col>3</xdr:col>
                    <xdr:colOff>4000500</xdr:colOff>
                    <xdr:row>3</xdr:row>
                    <xdr:rowOff>6350</xdr:rowOff>
                  </from>
                  <to>
                    <xdr:col>3</xdr:col>
                    <xdr:colOff>5835650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08F60-E87E-4C9C-B9FE-CC18F93D10B4}">
  <sheetPr codeName="Sheet2">
    <tabColor theme="4" tint="0.39997558519241921"/>
  </sheetPr>
  <dimension ref="A1:H1941"/>
  <sheetViews>
    <sheetView workbookViewId="0">
      <selection activeCell="A2" sqref="A2"/>
    </sheetView>
  </sheetViews>
  <sheetFormatPr defaultRowHeight="14.5" x14ac:dyDescent="0.35"/>
  <cols>
    <col min="1" max="1" width="13.6328125" bestFit="1" customWidth="1"/>
    <col min="2" max="2" width="50.1796875" bestFit="1" customWidth="1"/>
    <col min="3" max="3" width="13.453125" bestFit="1" customWidth="1"/>
    <col min="4" max="4" width="10.6328125" bestFit="1" customWidth="1"/>
    <col min="5" max="6" width="14.6328125" bestFit="1" customWidth="1"/>
    <col min="7" max="8" width="13.6328125" bestFit="1" customWidth="1"/>
  </cols>
  <sheetData>
    <row r="1" spans="1:8" x14ac:dyDescent="0.35">
      <c r="A1" s="13" t="s">
        <v>146</v>
      </c>
    </row>
    <row r="2" spans="1:8" x14ac:dyDescent="0.35">
      <c r="A2" s="8" t="s">
        <v>114</v>
      </c>
      <c r="B2" s="8" t="s">
        <v>104</v>
      </c>
      <c r="C2" s="8" t="s">
        <v>115</v>
      </c>
      <c r="D2" s="8" t="s">
        <v>116</v>
      </c>
      <c r="E2" s="8" t="s">
        <v>117</v>
      </c>
      <c r="F2" s="8" t="s">
        <v>118</v>
      </c>
      <c r="G2" s="8" t="s">
        <v>119</v>
      </c>
      <c r="H2" s="8" t="s">
        <v>120</v>
      </c>
    </row>
    <row r="3" spans="1:8" x14ac:dyDescent="0.35">
      <c r="E3" s="19"/>
      <c r="F3" s="19"/>
      <c r="G3" s="19"/>
      <c r="H3" s="19"/>
    </row>
    <row r="4" spans="1:8" x14ac:dyDescent="0.35">
      <c r="E4" s="19"/>
      <c r="F4" s="19"/>
      <c r="G4" s="19"/>
      <c r="H4" s="19"/>
    </row>
    <row r="5" spans="1:8" x14ac:dyDescent="0.35">
      <c r="E5" s="19"/>
      <c r="F5" s="19"/>
      <c r="G5" s="19"/>
      <c r="H5" s="19"/>
    </row>
    <row r="6" spans="1:8" x14ac:dyDescent="0.35">
      <c r="E6" s="19"/>
      <c r="F6" s="19"/>
      <c r="G6" s="19"/>
      <c r="H6" s="19"/>
    </row>
    <row r="7" spans="1:8" x14ac:dyDescent="0.35">
      <c r="E7" s="19"/>
      <c r="F7" s="19"/>
      <c r="G7" s="19"/>
      <c r="H7" s="19"/>
    </row>
    <row r="8" spans="1:8" x14ac:dyDescent="0.35">
      <c r="E8" s="19"/>
      <c r="F8" s="19"/>
      <c r="G8" s="19"/>
      <c r="H8" s="19"/>
    </row>
    <row r="9" spans="1:8" x14ac:dyDescent="0.35">
      <c r="E9" s="19"/>
      <c r="F9" s="19"/>
      <c r="G9" s="19"/>
      <c r="H9" s="19"/>
    </row>
    <row r="10" spans="1:8" x14ac:dyDescent="0.35">
      <c r="E10" s="19"/>
      <c r="F10" s="19"/>
      <c r="G10" s="19"/>
      <c r="H10" s="19"/>
    </row>
    <row r="11" spans="1:8" x14ac:dyDescent="0.35">
      <c r="E11" s="19"/>
      <c r="F11" s="19"/>
      <c r="G11" s="19"/>
      <c r="H11" s="19"/>
    </row>
    <row r="12" spans="1:8" x14ac:dyDescent="0.35">
      <c r="E12" s="19"/>
      <c r="F12" s="19"/>
      <c r="G12" s="19"/>
      <c r="H12" s="19"/>
    </row>
    <row r="13" spans="1:8" x14ac:dyDescent="0.35">
      <c r="E13" s="19"/>
      <c r="F13" s="19"/>
      <c r="G13" s="19"/>
      <c r="H13" s="19"/>
    </row>
    <row r="14" spans="1:8" x14ac:dyDescent="0.35">
      <c r="E14" s="19"/>
      <c r="F14" s="19"/>
      <c r="G14" s="19"/>
      <c r="H14" s="19"/>
    </row>
    <row r="15" spans="1:8" x14ac:dyDescent="0.35">
      <c r="E15" s="19"/>
      <c r="F15" s="19"/>
      <c r="G15" s="19"/>
      <c r="H15" s="19"/>
    </row>
    <row r="16" spans="1:8" x14ac:dyDescent="0.35">
      <c r="E16" s="19"/>
      <c r="F16" s="19"/>
      <c r="G16" s="19"/>
      <c r="H16" s="19"/>
    </row>
    <row r="17" spans="5:8" x14ac:dyDescent="0.35">
      <c r="E17" s="19"/>
      <c r="F17" s="19"/>
      <c r="G17" s="19"/>
      <c r="H17" s="19"/>
    </row>
    <row r="18" spans="5:8" x14ac:dyDescent="0.35">
      <c r="E18" s="19"/>
      <c r="F18" s="19"/>
      <c r="G18" s="19"/>
      <c r="H18" s="19"/>
    </row>
    <row r="19" spans="5:8" x14ac:dyDescent="0.35">
      <c r="E19" s="19"/>
      <c r="F19" s="19"/>
      <c r="G19" s="19"/>
      <c r="H19" s="19"/>
    </row>
    <row r="20" spans="5:8" x14ac:dyDescent="0.35">
      <c r="E20" s="19"/>
      <c r="F20" s="19"/>
      <c r="G20" s="19"/>
      <c r="H20" s="19"/>
    </row>
    <row r="21" spans="5:8" x14ac:dyDescent="0.35">
      <c r="E21" s="19"/>
      <c r="F21" s="19"/>
      <c r="G21" s="19"/>
      <c r="H21" s="19"/>
    </row>
    <row r="22" spans="5:8" x14ac:dyDescent="0.35">
      <c r="E22" s="19"/>
      <c r="F22" s="19"/>
      <c r="G22" s="19"/>
      <c r="H22" s="19"/>
    </row>
    <row r="23" spans="5:8" x14ac:dyDescent="0.35">
      <c r="E23" s="19"/>
      <c r="F23" s="19"/>
      <c r="G23" s="19"/>
      <c r="H23" s="19"/>
    </row>
    <row r="24" spans="5:8" x14ac:dyDescent="0.35">
      <c r="E24" s="19"/>
      <c r="F24" s="19"/>
      <c r="G24" s="19"/>
      <c r="H24" s="19"/>
    </row>
    <row r="25" spans="5:8" x14ac:dyDescent="0.35">
      <c r="E25" s="19"/>
      <c r="F25" s="19"/>
      <c r="G25" s="19"/>
      <c r="H25" s="19"/>
    </row>
    <row r="26" spans="5:8" x14ac:dyDescent="0.35">
      <c r="E26" s="19"/>
      <c r="F26" s="19"/>
      <c r="G26" s="19"/>
      <c r="H26" s="19"/>
    </row>
    <row r="27" spans="5:8" x14ac:dyDescent="0.35">
      <c r="E27" s="19"/>
      <c r="F27" s="19"/>
      <c r="G27" s="19"/>
      <c r="H27" s="19"/>
    </row>
    <row r="28" spans="5:8" x14ac:dyDescent="0.35">
      <c r="E28" s="19"/>
      <c r="F28" s="19"/>
      <c r="G28" s="19"/>
      <c r="H28" s="19"/>
    </row>
    <row r="29" spans="5:8" x14ac:dyDescent="0.35">
      <c r="E29" s="19"/>
      <c r="F29" s="19"/>
      <c r="G29" s="19"/>
      <c r="H29" s="19"/>
    </row>
    <row r="30" spans="5:8" x14ac:dyDescent="0.35">
      <c r="E30" s="19"/>
      <c r="F30" s="19"/>
      <c r="G30" s="19"/>
      <c r="H30" s="19"/>
    </row>
    <row r="31" spans="5:8" x14ac:dyDescent="0.35">
      <c r="E31" s="19"/>
      <c r="F31" s="19"/>
      <c r="G31" s="19"/>
      <c r="H31" s="19"/>
    </row>
    <row r="32" spans="5:8" x14ac:dyDescent="0.35">
      <c r="E32" s="19"/>
      <c r="F32" s="19"/>
      <c r="G32" s="19"/>
      <c r="H32" s="19"/>
    </row>
    <row r="33" spans="5:8" x14ac:dyDescent="0.35">
      <c r="E33" s="19"/>
      <c r="F33" s="19"/>
      <c r="G33" s="19"/>
      <c r="H33" s="19"/>
    </row>
    <row r="34" spans="5:8" x14ac:dyDescent="0.35">
      <c r="E34" s="19"/>
      <c r="F34" s="19"/>
      <c r="G34" s="19"/>
      <c r="H34" s="19"/>
    </row>
    <row r="35" spans="5:8" x14ac:dyDescent="0.35">
      <c r="E35" s="19"/>
      <c r="F35" s="19"/>
      <c r="G35" s="19"/>
      <c r="H35" s="19"/>
    </row>
    <row r="36" spans="5:8" x14ac:dyDescent="0.35">
      <c r="E36" s="19"/>
      <c r="F36" s="19"/>
      <c r="G36" s="19"/>
      <c r="H36" s="19"/>
    </row>
    <row r="37" spans="5:8" x14ac:dyDescent="0.35">
      <c r="E37" s="19"/>
      <c r="F37" s="19"/>
      <c r="G37" s="19"/>
      <c r="H37" s="19"/>
    </row>
    <row r="38" spans="5:8" x14ac:dyDescent="0.35">
      <c r="E38" s="19"/>
      <c r="F38" s="19"/>
      <c r="G38" s="19"/>
      <c r="H38" s="19"/>
    </row>
    <row r="39" spans="5:8" x14ac:dyDescent="0.35">
      <c r="E39" s="19"/>
      <c r="F39" s="19"/>
      <c r="G39" s="19"/>
      <c r="H39" s="19"/>
    </row>
    <row r="40" spans="5:8" x14ac:dyDescent="0.35">
      <c r="E40" s="19"/>
      <c r="F40" s="19"/>
      <c r="G40" s="19"/>
      <c r="H40" s="19"/>
    </row>
    <row r="41" spans="5:8" x14ac:dyDescent="0.35">
      <c r="E41" s="19"/>
      <c r="F41" s="19"/>
      <c r="G41" s="19"/>
      <c r="H41" s="19"/>
    </row>
    <row r="42" spans="5:8" x14ac:dyDescent="0.35">
      <c r="E42" s="19"/>
      <c r="F42" s="19"/>
      <c r="G42" s="19"/>
      <c r="H42" s="19"/>
    </row>
    <row r="43" spans="5:8" x14ac:dyDescent="0.35">
      <c r="E43" s="19"/>
      <c r="F43" s="19"/>
      <c r="G43" s="19"/>
      <c r="H43" s="19"/>
    </row>
    <row r="44" spans="5:8" x14ac:dyDescent="0.35">
      <c r="E44" s="19"/>
      <c r="F44" s="19"/>
      <c r="G44" s="19"/>
      <c r="H44" s="19"/>
    </row>
    <row r="45" spans="5:8" x14ac:dyDescent="0.35">
      <c r="E45" s="19"/>
      <c r="F45" s="19"/>
      <c r="G45" s="19"/>
      <c r="H45" s="19"/>
    </row>
    <row r="46" spans="5:8" x14ac:dyDescent="0.35">
      <c r="E46" s="19"/>
      <c r="F46" s="19"/>
      <c r="G46" s="19"/>
      <c r="H46" s="19"/>
    </row>
    <row r="47" spans="5:8" x14ac:dyDescent="0.35">
      <c r="E47" s="19"/>
      <c r="F47" s="19"/>
      <c r="G47" s="19"/>
      <c r="H47" s="19"/>
    </row>
    <row r="48" spans="5:8" x14ac:dyDescent="0.35">
      <c r="E48" s="19"/>
      <c r="F48" s="19"/>
      <c r="G48" s="19"/>
      <c r="H48" s="19"/>
    </row>
    <row r="49" spans="5:8" x14ac:dyDescent="0.35">
      <c r="E49" s="19"/>
      <c r="F49" s="19"/>
      <c r="G49" s="19"/>
      <c r="H49" s="19"/>
    </row>
    <row r="50" spans="5:8" x14ac:dyDescent="0.35">
      <c r="E50" s="19"/>
      <c r="F50" s="19"/>
      <c r="G50" s="19"/>
      <c r="H50" s="19"/>
    </row>
    <row r="51" spans="5:8" x14ac:dyDescent="0.35">
      <c r="E51" s="19"/>
      <c r="F51" s="19"/>
      <c r="G51" s="19"/>
      <c r="H51" s="19"/>
    </row>
    <row r="52" spans="5:8" x14ac:dyDescent="0.35">
      <c r="E52" s="19"/>
      <c r="F52" s="19"/>
      <c r="G52" s="19"/>
      <c r="H52" s="19"/>
    </row>
    <row r="53" spans="5:8" x14ac:dyDescent="0.35">
      <c r="E53" s="19"/>
      <c r="F53" s="19"/>
      <c r="G53" s="19"/>
      <c r="H53" s="19"/>
    </row>
    <row r="54" spans="5:8" x14ac:dyDescent="0.35">
      <c r="E54" s="19"/>
      <c r="F54" s="19"/>
      <c r="G54" s="19"/>
      <c r="H54" s="19"/>
    </row>
    <row r="55" spans="5:8" x14ac:dyDescent="0.35">
      <c r="E55" s="19"/>
      <c r="F55" s="19"/>
      <c r="G55" s="19"/>
      <c r="H55" s="19"/>
    </row>
    <row r="56" spans="5:8" x14ac:dyDescent="0.35">
      <c r="E56" s="19"/>
      <c r="F56" s="19"/>
      <c r="G56" s="19"/>
      <c r="H56" s="19"/>
    </row>
    <row r="57" spans="5:8" x14ac:dyDescent="0.35">
      <c r="E57" s="19"/>
      <c r="F57" s="19"/>
      <c r="G57" s="19"/>
      <c r="H57" s="19"/>
    </row>
    <row r="58" spans="5:8" x14ac:dyDescent="0.35">
      <c r="E58" s="19"/>
      <c r="F58" s="19"/>
      <c r="G58" s="19"/>
      <c r="H58" s="19"/>
    </row>
    <row r="59" spans="5:8" x14ac:dyDescent="0.35">
      <c r="E59" s="19"/>
      <c r="F59" s="19"/>
      <c r="G59" s="19"/>
      <c r="H59" s="19"/>
    </row>
    <row r="60" spans="5:8" x14ac:dyDescent="0.35">
      <c r="E60" s="19"/>
      <c r="F60" s="19"/>
      <c r="G60" s="19"/>
      <c r="H60" s="19"/>
    </row>
    <row r="61" spans="5:8" x14ac:dyDescent="0.35">
      <c r="E61" s="19"/>
      <c r="F61" s="19"/>
      <c r="G61" s="19"/>
      <c r="H61" s="19"/>
    </row>
    <row r="62" spans="5:8" x14ac:dyDescent="0.35">
      <c r="E62" s="19"/>
      <c r="F62" s="19"/>
      <c r="G62" s="19"/>
      <c r="H62" s="19"/>
    </row>
    <row r="63" spans="5:8" x14ac:dyDescent="0.35">
      <c r="E63" s="19"/>
      <c r="F63" s="19"/>
      <c r="G63" s="19"/>
      <c r="H63" s="19"/>
    </row>
    <row r="64" spans="5:8" x14ac:dyDescent="0.35">
      <c r="E64" s="19"/>
      <c r="F64" s="19"/>
      <c r="G64" s="19"/>
      <c r="H64" s="19"/>
    </row>
    <row r="65" spans="5:8" x14ac:dyDescent="0.35">
      <c r="E65" s="19"/>
      <c r="F65" s="19"/>
      <c r="G65" s="19"/>
      <c r="H65" s="19"/>
    </row>
    <row r="66" spans="5:8" x14ac:dyDescent="0.35">
      <c r="E66" s="19"/>
      <c r="F66" s="19"/>
      <c r="G66" s="19"/>
      <c r="H66" s="19"/>
    </row>
    <row r="67" spans="5:8" x14ac:dyDescent="0.35">
      <c r="E67" s="19"/>
      <c r="F67" s="19"/>
      <c r="G67" s="19"/>
      <c r="H67" s="19"/>
    </row>
    <row r="68" spans="5:8" x14ac:dyDescent="0.35">
      <c r="E68" s="19"/>
      <c r="F68" s="19"/>
      <c r="G68" s="19"/>
      <c r="H68" s="19"/>
    </row>
    <row r="69" spans="5:8" x14ac:dyDescent="0.35">
      <c r="E69" s="19"/>
      <c r="F69" s="19"/>
      <c r="G69" s="19"/>
      <c r="H69" s="19"/>
    </row>
    <row r="70" spans="5:8" x14ac:dyDescent="0.35">
      <c r="E70" s="19"/>
      <c r="F70" s="19"/>
      <c r="G70" s="19"/>
      <c r="H70" s="19"/>
    </row>
    <row r="71" spans="5:8" x14ac:dyDescent="0.35">
      <c r="E71" s="19"/>
      <c r="F71" s="19"/>
      <c r="G71" s="19"/>
      <c r="H71" s="19"/>
    </row>
    <row r="72" spans="5:8" x14ac:dyDescent="0.35">
      <c r="E72" s="19"/>
      <c r="F72" s="19"/>
      <c r="G72" s="19"/>
      <c r="H72" s="19"/>
    </row>
    <row r="73" spans="5:8" x14ac:dyDescent="0.35">
      <c r="E73" s="19"/>
      <c r="F73" s="19"/>
      <c r="G73" s="19"/>
      <c r="H73" s="19"/>
    </row>
    <row r="74" spans="5:8" x14ac:dyDescent="0.35">
      <c r="E74" s="19"/>
      <c r="F74" s="19"/>
      <c r="G74" s="19"/>
      <c r="H74" s="19"/>
    </row>
    <row r="75" spans="5:8" x14ac:dyDescent="0.35">
      <c r="E75" s="19"/>
      <c r="F75" s="19"/>
      <c r="G75" s="19"/>
      <c r="H75" s="19"/>
    </row>
    <row r="76" spans="5:8" x14ac:dyDescent="0.35">
      <c r="E76" s="19"/>
      <c r="F76" s="19"/>
      <c r="G76" s="19"/>
      <c r="H76" s="19"/>
    </row>
    <row r="77" spans="5:8" x14ac:dyDescent="0.35">
      <c r="E77" s="19"/>
      <c r="F77" s="19"/>
      <c r="G77" s="19"/>
      <c r="H77" s="19"/>
    </row>
    <row r="78" spans="5:8" x14ac:dyDescent="0.35">
      <c r="E78" s="19"/>
      <c r="F78" s="19"/>
      <c r="G78" s="19"/>
      <c r="H78" s="19"/>
    </row>
    <row r="79" spans="5:8" x14ac:dyDescent="0.35">
      <c r="E79" s="19"/>
      <c r="F79" s="19"/>
      <c r="G79" s="19"/>
      <c r="H79" s="19"/>
    </row>
    <row r="80" spans="5:8" x14ac:dyDescent="0.35">
      <c r="E80" s="19"/>
      <c r="F80" s="19"/>
      <c r="G80" s="19"/>
      <c r="H80" s="19"/>
    </row>
    <row r="81" spans="5:8" x14ac:dyDescent="0.35">
      <c r="E81" s="19"/>
      <c r="F81" s="19"/>
      <c r="G81" s="19"/>
      <c r="H81" s="19"/>
    </row>
    <row r="82" spans="5:8" x14ac:dyDescent="0.35">
      <c r="E82" s="19"/>
      <c r="F82" s="19"/>
      <c r="G82" s="19"/>
      <c r="H82" s="19"/>
    </row>
    <row r="83" spans="5:8" x14ac:dyDescent="0.35">
      <c r="E83" s="19"/>
      <c r="F83" s="19"/>
      <c r="G83" s="19"/>
      <c r="H83" s="19"/>
    </row>
    <row r="84" spans="5:8" x14ac:dyDescent="0.35">
      <c r="E84" s="19"/>
      <c r="F84" s="19"/>
      <c r="G84" s="19"/>
      <c r="H84" s="19"/>
    </row>
    <row r="85" spans="5:8" x14ac:dyDescent="0.35">
      <c r="E85" s="19"/>
      <c r="F85" s="19"/>
      <c r="G85" s="19"/>
      <c r="H85" s="19"/>
    </row>
    <row r="86" spans="5:8" x14ac:dyDescent="0.35">
      <c r="E86" s="19"/>
      <c r="F86" s="19"/>
      <c r="G86" s="19"/>
      <c r="H86" s="19"/>
    </row>
    <row r="87" spans="5:8" x14ac:dyDescent="0.35">
      <c r="E87" s="19"/>
      <c r="F87" s="19"/>
      <c r="G87" s="19"/>
      <c r="H87" s="19"/>
    </row>
    <row r="88" spans="5:8" x14ac:dyDescent="0.35">
      <c r="E88" s="19"/>
      <c r="F88" s="19"/>
      <c r="G88" s="19"/>
      <c r="H88" s="19"/>
    </row>
    <row r="89" spans="5:8" x14ac:dyDescent="0.35">
      <c r="E89" s="19"/>
      <c r="F89" s="19"/>
      <c r="G89" s="19"/>
      <c r="H89" s="19"/>
    </row>
    <row r="90" spans="5:8" x14ac:dyDescent="0.35">
      <c r="E90" s="19"/>
      <c r="F90" s="19"/>
      <c r="G90" s="19"/>
      <c r="H90" s="19"/>
    </row>
    <row r="91" spans="5:8" x14ac:dyDescent="0.35">
      <c r="E91" s="19"/>
      <c r="F91" s="19"/>
      <c r="G91" s="19"/>
      <c r="H91" s="19"/>
    </row>
    <row r="92" spans="5:8" x14ac:dyDescent="0.35">
      <c r="E92" s="19"/>
      <c r="F92" s="19"/>
      <c r="G92" s="19"/>
      <c r="H92" s="19"/>
    </row>
    <row r="93" spans="5:8" x14ac:dyDescent="0.35">
      <c r="E93" s="19"/>
      <c r="F93" s="19"/>
      <c r="G93" s="19"/>
      <c r="H93" s="19"/>
    </row>
    <row r="94" spans="5:8" x14ac:dyDescent="0.35">
      <c r="E94" s="19"/>
      <c r="F94" s="19"/>
      <c r="G94" s="19"/>
      <c r="H94" s="19"/>
    </row>
    <row r="95" spans="5:8" x14ac:dyDescent="0.35">
      <c r="E95" s="19"/>
      <c r="F95" s="19"/>
      <c r="G95" s="19"/>
      <c r="H95" s="19"/>
    </row>
    <row r="96" spans="5:8" x14ac:dyDescent="0.35">
      <c r="E96" s="19"/>
      <c r="F96" s="19"/>
      <c r="G96" s="19"/>
      <c r="H96" s="19"/>
    </row>
    <row r="97" spans="5:8" x14ac:dyDescent="0.35">
      <c r="E97" s="19"/>
      <c r="F97" s="19"/>
      <c r="G97" s="19"/>
      <c r="H97" s="19"/>
    </row>
    <row r="98" spans="5:8" x14ac:dyDescent="0.35">
      <c r="E98" s="19"/>
      <c r="F98" s="19"/>
      <c r="G98" s="19"/>
      <c r="H98" s="19"/>
    </row>
    <row r="99" spans="5:8" x14ac:dyDescent="0.35">
      <c r="E99" s="19"/>
      <c r="F99" s="19"/>
      <c r="G99" s="19"/>
      <c r="H99" s="19"/>
    </row>
    <row r="100" spans="5:8" x14ac:dyDescent="0.35">
      <c r="E100" s="19"/>
      <c r="F100" s="19"/>
      <c r="G100" s="19"/>
      <c r="H100" s="19"/>
    </row>
    <row r="101" spans="5:8" x14ac:dyDescent="0.35">
      <c r="E101" s="19"/>
      <c r="F101" s="19"/>
      <c r="G101" s="19"/>
      <c r="H101" s="19"/>
    </row>
    <row r="102" spans="5:8" x14ac:dyDescent="0.35">
      <c r="E102" s="19"/>
      <c r="F102" s="19"/>
      <c r="G102" s="19"/>
      <c r="H102" s="19"/>
    </row>
    <row r="103" spans="5:8" x14ac:dyDescent="0.35">
      <c r="E103" s="19"/>
      <c r="F103" s="19"/>
      <c r="G103" s="19"/>
      <c r="H103" s="19"/>
    </row>
    <row r="104" spans="5:8" x14ac:dyDescent="0.35">
      <c r="E104" s="19"/>
      <c r="F104" s="19"/>
      <c r="G104" s="19"/>
      <c r="H104" s="19"/>
    </row>
    <row r="105" spans="5:8" x14ac:dyDescent="0.35">
      <c r="E105" s="19"/>
      <c r="F105" s="19"/>
      <c r="G105" s="19"/>
      <c r="H105" s="19"/>
    </row>
    <row r="106" spans="5:8" x14ac:dyDescent="0.35">
      <c r="E106" s="19"/>
      <c r="F106" s="19"/>
      <c r="G106" s="19"/>
      <c r="H106" s="19"/>
    </row>
    <row r="107" spans="5:8" x14ac:dyDescent="0.35">
      <c r="E107" s="19"/>
      <c r="F107" s="19"/>
      <c r="G107" s="19"/>
      <c r="H107" s="19"/>
    </row>
    <row r="108" spans="5:8" x14ac:dyDescent="0.35">
      <c r="E108" s="19"/>
      <c r="F108" s="19"/>
      <c r="G108" s="19"/>
      <c r="H108" s="19"/>
    </row>
    <row r="109" spans="5:8" x14ac:dyDescent="0.35">
      <c r="E109" s="19"/>
      <c r="F109" s="19"/>
      <c r="G109" s="19"/>
      <c r="H109" s="19"/>
    </row>
    <row r="110" spans="5:8" x14ac:dyDescent="0.35">
      <c r="E110" s="19"/>
      <c r="F110" s="19"/>
      <c r="G110" s="19"/>
      <c r="H110" s="19"/>
    </row>
    <row r="111" spans="5:8" x14ac:dyDescent="0.35">
      <c r="E111" s="19"/>
      <c r="F111" s="19"/>
      <c r="G111" s="19"/>
      <c r="H111" s="19"/>
    </row>
    <row r="112" spans="5:8" x14ac:dyDescent="0.35">
      <c r="E112" s="19"/>
      <c r="F112" s="19"/>
      <c r="G112" s="19"/>
      <c r="H112" s="19"/>
    </row>
    <row r="113" spans="5:8" x14ac:dyDescent="0.35">
      <c r="E113" s="19"/>
      <c r="F113" s="19"/>
      <c r="G113" s="19"/>
      <c r="H113" s="19"/>
    </row>
    <row r="114" spans="5:8" x14ac:dyDescent="0.35">
      <c r="E114" s="19"/>
      <c r="F114" s="19"/>
      <c r="G114" s="19"/>
      <c r="H114" s="19"/>
    </row>
    <row r="115" spans="5:8" x14ac:dyDescent="0.35">
      <c r="E115" s="19"/>
      <c r="F115" s="19"/>
      <c r="G115" s="19"/>
      <c r="H115" s="19"/>
    </row>
    <row r="116" spans="5:8" x14ac:dyDescent="0.35">
      <c r="E116" s="19"/>
      <c r="F116" s="19"/>
      <c r="G116" s="19"/>
      <c r="H116" s="19"/>
    </row>
    <row r="117" spans="5:8" x14ac:dyDescent="0.35">
      <c r="E117" s="19"/>
      <c r="F117" s="19"/>
      <c r="G117" s="19"/>
      <c r="H117" s="19"/>
    </row>
    <row r="118" spans="5:8" x14ac:dyDescent="0.35">
      <c r="E118" s="19"/>
      <c r="F118" s="19"/>
      <c r="G118" s="19"/>
      <c r="H118" s="19"/>
    </row>
    <row r="119" spans="5:8" x14ac:dyDescent="0.35">
      <c r="E119" s="19"/>
      <c r="F119" s="19"/>
      <c r="G119" s="19"/>
      <c r="H119" s="19"/>
    </row>
    <row r="120" spans="5:8" x14ac:dyDescent="0.35">
      <c r="E120" s="19"/>
      <c r="F120" s="19"/>
      <c r="G120" s="19"/>
      <c r="H120" s="19"/>
    </row>
    <row r="121" spans="5:8" x14ac:dyDescent="0.35">
      <c r="E121" s="19"/>
      <c r="F121" s="19"/>
      <c r="G121" s="19"/>
      <c r="H121" s="19"/>
    </row>
    <row r="122" spans="5:8" x14ac:dyDescent="0.35">
      <c r="E122" s="19"/>
      <c r="F122" s="19"/>
      <c r="G122" s="19"/>
      <c r="H122" s="19"/>
    </row>
    <row r="123" spans="5:8" x14ac:dyDescent="0.35">
      <c r="E123" s="19"/>
      <c r="F123" s="19"/>
      <c r="G123" s="19"/>
      <c r="H123" s="19"/>
    </row>
    <row r="124" spans="5:8" x14ac:dyDescent="0.35">
      <c r="E124" s="19"/>
      <c r="F124" s="19"/>
      <c r="G124" s="19"/>
      <c r="H124" s="19"/>
    </row>
    <row r="125" spans="5:8" x14ac:dyDescent="0.35">
      <c r="E125" s="19"/>
      <c r="F125" s="19"/>
      <c r="G125" s="19"/>
      <c r="H125" s="19"/>
    </row>
    <row r="126" spans="5:8" x14ac:dyDescent="0.35">
      <c r="E126" s="19"/>
      <c r="F126" s="19"/>
      <c r="G126" s="19"/>
      <c r="H126" s="19"/>
    </row>
    <row r="127" spans="5:8" x14ac:dyDescent="0.35">
      <c r="E127" s="19"/>
      <c r="F127" s="19"/>
      <c r="G127" s="19"/>
      <c r="H127" s="19"/>
    </row>
    <row r="128" spans="5:8" x14ac:dyDescent="0.35">
      <c r="E128" s="19"/>
      <c r="F128" s="19"/>
      <c r="G128" s="19"/>
      <c r="H128" s="19"/>
    </row>
    <row r="129" spans="5:8" x14ac:dyDescent="0.35">
      <c r="E129" s="19"/>
      <c r="F129" s="19"/>
      <c r="G129" s="19"/>
      <c r="H129" s="19"/>
    </row>
    <row r="130" spans="5:8" x14ac:dyDescent="0.35">
      <c r="E130" s="19"/>
      <c r="F130" s="19"/>
      <c r="G130" s="19"/>
      <c r="H130" s="19"/>
    </row>
    <row r="131" spans="5:8" x14ac:dyDescent="0.35">
      <c r="E131" s="19"/>
      <c r="F131" s="19"/>
      <c r="G131" s="19"/>
      <c r="H131" s="19"/>
    </row>
    <row r="132" spans="5:8" x14ac:dyDescent="0.35">
      <c r="E132" s="19"/>
      <c r="F132" s="19"/>
      <c r="G132" s="19"/>
      <c r="H132" s="19"/>
    </row>
    <row r="133" spans="5:8" x14ac:dyDescent="0.35">
      <c r="E133" s="19"/>
      <c r="F133" s="19"/>
      <c r="G133" s="19"/>
      <c r="H133" s="19"/>
    </row>
    <row r="134" spans="5:8" x14ac:dyDescent="0.35">
      <c r="E134" s="19"/>
      <c r="F134" s="19"/>
      <c r="G134" s="19"/>
      <c r="H134" s="19"/>
    </row>
    <row r="135" spans="5:8" x14ac:dyDescent="0.35">
      <c r="E135" s="19"/>
      <c r="F135" s="19"/>
      <c r="G135" s="19"/>
      <c r="H135" s="19"/>
    </row>
    <row r="136" spans="5:8" x14ac:dyDescent="0.35">
      <c r="E136" s="19"/>
      <c r="F136" s="19"/>
      <c r="G136" s="19"/>
      <c r="H136" s="19"/>
    </row>
    <row r="137" spans="5:8" x14ac:dyDescent="0.35">
      <c r="E137" s="19"/>
      <c r="F137" s="19"/>
      <c r="G137" s="19"/>
      <c r="H137" s="19"/>
    </row>
    <row r="138" spans="5:8" x14ac:dyDescent="0.35">
      <c r="E138" s="19"/>
      <c r="F138" s="19"/>
      <c r="G138" s="19"/>
      <c r="H138" s="19"/>
    </row>
    <row r="139" spans="5:8" x14ac:dyDescent="0.35">
      <c r="E139" s="19"/>
      <c r="F139" s="19"/>
      <c r="G139" s="19"/>
      <c r="H139" s="19"/>
    </row>
    <row r="140" spans="5:8" x14ac:dyDescent="0.35">
      <c r="E140" s="19"/>
      <c r="F140" s="19"/>
      <c r="G140" s="19"/>
      <c r="H140" s="19"/>
    </row>
    <row r="141" spans="5:8" x14ac:dyDescent="0.35">
      <c r="E141" s="19"/>
      <c r="F141" s="19"/>
      <c r="G141" s="19"/>
      <c r="H141" s="19"/>
    </row>
    <row r="142" spans="5:8" x14ac:dyDescent="0.35">
      <c r="E142" s="19"/>
      <c r="F142" s="19"/>
      <c r="G142" s="19"/>
      <c r="H142" s="19"/>
    </row>
    <row r="143" spans="5:8" x14ac:dyDescent="0.35">
      <c r="E143" s="19"/>
      <c r="F143" s="19"/>
      <c r="G143" s="19"/>
      <c r="H143" s="19"/>
    </row>
    <row r="144" spans="5:8" x14ac:dyDescent="0.35">
      <c r="E144" s="19"/>
      <c r="F144" s="19"/>
      <c r="G144" s="19"/>
      <c r="H144" s="19"/>
    </row>
    <row r="145" spans="5:8" x14ac:dyDescent="0.35">
      <c r="E145" s="19"/>
      <c r="F145" s="19"/>
      <c r="G145" s="19"/>
      <c r="H145" s="19"/>
    </row>
    <row r="146" spans="5:8" x14ac:dyDescent="0.35">
      <c r="E146" s="19"/>
      <c r="F146" s="19"/>
      <c r="G146" s="19"/>
      <c r="H146" s="19"/>
    </row>
    <row r="147" spans="5:8" x14ac:dyDescent="0.35">
      <c r="E147" s="19"/>
      <c r="F147" s="19"/>
      <c r="G147" s="19"/>
      <c r="H147" s="19"/>
    </row>
    <row r="148" spans="5:8" x14ac:dyDescent="0.35">
      <c r="E148" s="19"/>
      <c r="F148" s="19"/>
      <c r="G148" s="19"/>
      <c r="H148" s="19"/>
    </row>
    <row r="149" spans="5:8" x14ac:dyDescent="0.35">
      <c r="E149" s="19"/>
      <c r="F149" s="19"/>
      <c r="G149" s="19"/>
      <c r="H149" s="19"/>
    </row>
    <row r="150" spans="5:8" x14ac:dyDescent="0.35">
      <c r="E150" s="19"/>
      <c r="F150" s="19"/>
      <c r="G150" s="19"/>
      <c r="H150" s="19"/>
    </row>
    <row r="151" spans="5:8" x14ac:dyDescent="0.35">
      <c r="E151" s="19"/>
      <c r="F151" s="19"/>
      <c r="G151" s="19"/>
      <c r="H151" s="19"/>
    </row>
    <row r="152" spans="5:8" x14ac:dyDescent="0.35">
      <c r="E152" s="19"/>
      <c r="F152" s="19"/>
      <c r="G152" s="19"/>
      <c r="H152" s="19"/>
    </row>
    <row r="153" spans="5:8" x14ac:dyDescent="0.35">
      <c r="E153" s="19"/>
      <c r="F153" s="19"/>
      <c r="G153" s="19"/>
      <c r="H153" s="19"/>
    </row>
    <row r="154" spans="5:8" x14ac:dyDescent="0.35">
      <c r="E154" s="19"/>
      <c r="F154" s="19"/>
      <c r="G154" s="19"/>
      <c r="H154" s="19"/>
    </row>
    <row r="155" spans="5:8" x14ac:dyDescent="0.35">
      <c r="E155" s="19"/>
      <c r="F155" s="19"/>
      <c r="G155" s="19"/>
      <c r="H155" s="19"/>
    </row>
    <row r="156" spans="5:8" x14ac:dyDescent="0.35">
      <c r="E156" s="19"/>
      <c r="F156" s="19"/>
      <c r="G156" s="19"/>
      <c r="H156" s="19"/>
    </row>
    <row r="157" spans="5:8" x14ac:dyDescent="0.35">
      <c r="E157" s="19"/>
      <c r="F157" s="19"/>
      <c r="G157" s="19"/>
      <c r="H157" s="19"/>
    </row>
    <row r="158" spans="5:8" x14ac:dyDescent="0.35">
      <c r="E158" s="19"/>
      <c r="F158" s="19"/>
      <c r="G158" s="19"/>
      <c r="H158" s="19"/>
    </row>
    <row r="159" spans="5:8" x14ac:dyDescent="0.35">
      <c r="E159" s="19"/>
      <c r="F159" s="19"/>
      <c r="G159" s="19"/>
      <c r="H159" s="19"/>
    </row>
    <row r="160" spans="5:8" x14ac:dyDescent="0.35">
      <c r="E160" s="19"/>
      <c r="F160" s="19"/>
      <c r="G160" s="19"/>
      <c r="H160" s="19"/>
    </row>
    <row r="161" spans="5:8" x14ac:dyDescent="0.35">
      <c r="E161" s="19"/>
      <c r="F161" s="19"/>
      <c r="G161" s="19"/>
      <c r="H161" s="19"/>
    </row>
    <row r="162" spans="5:8" x14ac:dyDescent="0.35">
      <c r="E162" s="19"/>
      <c r="F162" s="19"/>
      <c r="G162" s="19"/>
      <c r="H162" s="19"/>
    </row>
    <row r="163" spans="5:8" x14ac:dyDescent="0.35">
      <c r="E163" s="19"/>
      <c r="F163" s="19"/>
      <c r="G163" s="19"/>
      <c r="H163" s="19"/>
    </row>
    <row r="164" spans="5:8" x14ac:dyDescent="0.35">
      <c r="E164" s="19"/>
      <c r="F164" s="19"/>
      <c r="G164" s="19"/>
      <c r="H164" s="19"/>
    </row>
    <row r="165" spans="5:8" x14ac:dyDescent="0.35">
      <c r="E165" s="19"/>
      <c r="F165" s="19"/>
      <c r="G165" s="19"/>
      <c r="H165" s="19"/>
    </row>
    <row r="166" spans="5:8" x14ac:dyDescent="0.35">
      <c r="E166" s="19"/>
      <c r="F166" s="19"/>
      <c r="G166" s="19"/>
      <c r="H166" s="19"/>
    </row>
    <row r="167" spans="5:8" x14ac:dyDescent="0.35">
      <c r="E167" s="19"/>
      <c r="F167" s="19"/>
      <c r="G167" s="19"/>
      <c r="H167" s="19"/>
    </row>
    <row r="168" spans="5:8" x14ac:dyDescent="0.35">
      <c r="E168" s="19"/>
      <c r="F168" s="19"/>
      <c r="G168" s="19"/>
      <c r="H168" s="19"/>
    </row>
    <row r="169" spans="5:8" x14ac:dyDescent="0.35">
      <c r="E169" s="19"/>
      <c r="F169" s="19"/>
      <c r="G169" s="19"/>
      <c r="H169" s="19"/>
    </row>
    <row r="170" spans="5:8" x14ac:dyDescent="0.35">
      <c r="E170" s="19"/>
      <c r="F170" s="19"/>
      <c r="G170" s="19"/>
      <c r="H170" s="19"/>
    </row>
    <row r="171" spans="5:8" x14ac:dyDescent="0.35">
      <c r="E171" s="19"/>
      <c r="F171" s="19"/>
      <c r="G171" s="19"/>
      <c r="H171" s="19"/>
    </row>
    <row r="172" spans="5:8" x14ac:dyDescent="0.35">
      <c r="E172" s="19"/>
      <c r="F172" s="19"/>
      <c r="G172" s="19"/>
      <c r="H172" s="19"/>
    </row>
    <row r="173" spans="5:8" x14ac:dyDescent="0.35">
      <c r="E173" s="19"/>
      <c r="F173" s="19"/>
      <c r="G173" s="19"/>
      <c r="H173" s="19"/>
    </row>
    <row r="174" spans="5:8" x14ac:dyDescent="0.35">
      <c r="E174" s="19"/>
      <c r="F174" s="19"/>
      <c r="G174" s="19"/>
      <c r="H174" s="19"/>
    </row>
    <row r="175" spans="5:8" x14ac:dyDescent="0.35">
      <c r="E175" s="19"/>
      <c r="F175" s="19"/>
      <c r="G175" s="19"/>
      <c r="H175" s="19"/>
    </row>
    <row r="176" spans="5:8" x14ac:dyDescent="0.35">
      <c r="E176" s="19"/>
      <c r="F176" s="19"/>
      <c r="G176" s="19"/>
      <c r="H176" s="19"/>
    </row>
    <row r="177" spans="5:8" x14ac:dyDescent="0.35">
      <c r="E177" s="19"/>
      <c r="F177" s="19"/>
      <c r="G177" s="19"/>
      <c r="H177" s="19"/>
    </row>
    <row r="178" spans="5:8" x14ac:dyDescent="0.35">
      <c r="E178" s="19"/>
      <c r="F178" s="19"/>
      <c r="G178" s="19"/>
      <c r="H178" s="19"/>
    </row>
    <row r="179" spans="5:8" x14ac:dyDescent="0.35">
      <c r="E179" s="19"/>
      <c r="F179" s="19"/>
      <c r="G179" s="19"/>
      <c r="H179" s="19"/>
    </row>
    <row r="180" spans="5:8" x14ac:dyDescent="0.35">
      <c r="E180" s="19"/>
      <c r="F180" s="19"/>
      <c r="G180" s="19"/>
      <c r="H180" s="19"/>
    </row>
    <row r="181" spans="5:8" x14ac:dyDescent="0.35">
      <c r="E181" s="19"/>
      <c r="F181" s="19"/>
      <c r="G181" s="19"/>
      <c r="H181" s="19"/>
    </row>
    <row r="182" spans="5:8" x14ac:dyDescent="0.35">
      <c r="E182" s="19"/>
      <c r="F182" s="19"/>
      <c r="G182" s="19"/>
      <c r="H182" s="19"/>
    </row>
    <row r="183" spans="5:8" x14ac:dyDescent="0.35">
      <c r="E183" s="19"/>
      <c r="F183" s="19"/>
      <c r="G183" s="19"/>
      <c r="H183" s="19"/>
    </row>
    <row r="184" spans="5:8" x14ac:dyDescent="0.35">
      <c r="E184" s="19"/>
      <c r="F184" s="19"/>
      <c r="G184" s="19"/>
      <c r="H184" s="19"/>
    </row>
    <row r="185" spans="5:8" x14ac:dyDescent="0.35">
      <c r="E185" s="19"/>
      <c r="F185" s="19"/>
      <c r="G185" s="19"/>
      <c r="H185" s="19"/>
    </row>
    <row r="186" spans="5:8" x14ac:dyDescent="0.35">
      <c r="E186" s="19"/>
      <c r="F186" s="19"/>
      <c r="G186" s="19"/>
      <c r="H186" s="19"/>
    </row>
    <row r="187" spans="5:8" x14ac:dyDescent="0.35">
      <c r="E187" s="19"/>
      <c r="F187" s="19"/>
      <c r="G187" s="19"/>
      <c r="H187" s="19"/>
    </row>
    <row r="188" spans="5:8" x14ac:dyDescent="0.35">
      <c r="E188" s="19"/>
      <c r="F188" s="19"/>
      <c r="G188" s="19"/>
      <c r="H188" s="19"/>
    </row>
    <row r="189" spans="5:8" x14ac:dyDescent="0.35">
      <c r="E189" s="19"/>
      <c r="F189" s="19"/>
      <c r="G189" s="19"/>
      <c r="H189" s="19"/>
    </row>
    <row r="190" spans="5:8" x14ac:dyDescent="0.35">
      <c r="E190" s="19"/>
      <c r="F190" s="19"/>
      <c r="G190" s="19"/>
      <c r="H190" s="19"/>
    </row>
    <row r="191" spans="5:8" x14ac:dyDescent="0.35">
      <c r="E191" s="19"/>
      <c r="F191" s="19"/>
      <c r="G191" s="19"/>
      <c r="H191" s="19"/>
    </row>
    <row r="192" spans="5:8" x14ac:dyDescent="0.35">
      <c r="E192" s="19"/>
      <c r="F192" s="19"/>
      <c r="G192" s="19"/>
      <c r="H192" s="19"/>
    </row>
    <row r="193" spans="5:8" x14ac:dyDescent="0.35">
      <c r="E193" s="19"/>
      <c r="F193" s="19"/>
      <c r="G193" s="19"/>
      <c r="H193" s="19"/>
    </row>
    <row r="194" spans="5:8" x14ac:dyDescent="0.35">
      <c r="E194" s="19"/>
      <c r="F194" s="19"/>
      <c r="G194" s="19"/>
      <c r="H194" s="19"/>
    </row>
    <row r="195" spans="5:8" x14ac:dyDescent="0.35">
      <c r="E195" s="19"/>
      <c r="F195" s="19"/>
      <c r="G195" s="19"/>
      <c r="H195" s="19"/>
    </row>
    <row r="196" spans="5:8" x14ac:dyDescent="0.35">
      <c r="E196" s="19"/>
      <c r="F196" s="19"/>
      <c r="G196" s="19"/>
      <c r="H196" s="19"/>
    </row>
    <row r="197" spans="5:8" x14ac:dyDescent="0.35">
      <c r="E197" s="19"/>
      <c r="F197" s="19"/>
      <c r="G197" s="19"/>
      <c r="H197" s="19"/>
    </row>
    <row r="198" spans="5:8" x14ac:dyDescent="0.35">
      <c r="E198" s="19"/>
      <c r="F198" s="19"/>
      <c r="G198" s="19"/>
      <c r="H198" s="19"/>
    </row>
    <row r="199" spans="5:8" x14ac:dyDescent="0.35">
      <c r="E199" s="19"/>
      <c r="F199" s="19"/>
      <c r="G199" s="19"/>
      <c r="H199" s="19"/>
    </row>
    <row r="200" spans="5:8" x14ac:dyDescent="0.35">
      <c r="E200" s="19"/>
      <c r="F200" s="19"/>
      <c r="G200" s="19"/>
      <c r="H200" s="19"/>
    </row>
    <row r="201" spans="5:8" x14ac:dyDescent="0.35">
      <c r="E201" s="19"/>
      <c r="F201" s="19"/>
      <c r="G201" s="19"/>
      <c r="H201" s="19"/>
    </row>
    <row r="202" spans="5:8" x14ac:dyDescent="0.35">
      <c r="E202" s="19"/>
      <c r="F202" s="19"/>
      <c r="G202" s="19"/>
      <c r="H202" s="19"/>
    </row>
    <row r="203" spans="5:8" x14ac:dyDescent="0.35">
      <c r="E203" s="19"/>
      <c r="F203" s="19"/>
      <c r="G203" s="19"/>
      <c r="H203" s="19"/>
    </row>
    <row r="204" spans="5:8" x14ac:dyDescent="0.35">
      <c r="E204" s="19"/>
      <c r="F204" s="19"/>
      <c r="G204" s="19"/>
      <c r="H204" s="19"/>
    </row>
    <row r="205" spans="5:8" x14ac:dyDescent="0.35">
      <c r="E205" s="19"/>
      <c r="F205" s="19"/>
      <c r="G205" s="19"/>
      <c r="H205" s="19"/>
    </row>
    <row r="206" spans="5:8" x14ac:dyDescent="0.35">
      <c r="E206" s="19"/>
      <c r="F206" s="19"/>
      <c r="G206" s="19"/>
      <c r="H206" s="19"/>
    </row>
    <row r="207" spans="5:8" x14ac:dyDescent="0.35">
      <c r="E207" s="19"/>
      <c r="F207" s="19"/>
      <c r="G207" s="19"/>
      <c r="H207" s="19"/>
    </row>
    <row r="208" spans="5:8" x14ac:dyDescent="0.35">
      <c r="E208" s="19"/>
      <c r="F208" s="19"/>
      <c r="G208" s="19"/>
      <c r="H208" s="19"/>
    </row>
    <row r="209" spans="5:8" x14ac:dyDescent="0.35">
      <c r="E209" s="19"/>
      <c r="F209" s="19"/>
      <c r="G209" s="19"/>
      <c r="H209" s="19"/>
    </row>
    <row r="210" spans="5:8" x14ac:dyDescent="0.35">
      <c r="E210" s="19"/>
      <c r="F210" s="19"/>
      <c r="G210" s="19"/>
      <c r="H210" s="19"/>
    </row>
    <row r="211" spans="5:8" x14ac:dyDescent="0.35">
      <c r="E211" s="19"/>
      <c r="F211" s="19"/>
      <c r="G211" s="19"/>
      <c r="H211" s="19"/>
    </row>
    <row r="212" spans="5:8" x14ac:dyDescent="0.35">
      <c r="E212" s="19"/>
      <c r="F212" s="19"/>
      <c r="G212" s="19"/>
      <c r="H212" s="19"/>
    </row>
    <row r="213" spans="5:8" x14ac:dyDescent="0.35">
      <c r="E213" s="19"/>
      <c r="F213" s="19"/>
      <c r="G213" s="19"/>
      <c r="H213" s="19"/>
    </row>
    <row r="214" spans="5:8" x14ac:dyDescent="0.35">
      <c r="E214" s="19"/>
      <c r="F214" s="19"/>
      <c r="G214" s="19"/>
      <c r="H214" s="19"/>
    </row>
    <row r="215" spans="5:8" x14ac:dyDescent="0.35">
      <c r="E215" s="19"/>
      <c r="F215" s="19"/>
      <c r="G215" s="19"/>
      <c r="H215" s="19"/>
    </row>
    <row r="216" spans="5:8" x14ac:dyDescent="0.35">
      <c r="E216" s="19"/>
      <c r="F216" s="19"/>
      <c r="G216" s="19"/>
      <c r="H216" s="19"/>
    </row>
    <row r="217" spans="5:8" x14ac:dyDescent="0.35">
      <c r="E217" s="19"/>
      <c r="F217" s="19"/>
      <c r="G217" s="19"/>
      <c r="H217" s="19"/>
    </row>
    <row r="218" spans="5:8" x14ac:dyDescent="0.35">
      <c r="E218" s="19"/>
      <c r="F218" s="19"/>
      <c r="G218" s="19"/>
      <c r="H218" s="19"/>
    </row>
    <row r="219" spans="5:8" x14ac:dyDescent="0.35">
      <c r="E219" s="19"/>
      <c r="F219" s="19"/>
      <c r="G219" s="19"/>
      <c r="H219" s="19"/>
    </row>
    <row r="220" spans="5:8" x14ac:dyDescent="0.35">
      <c r="E220" s="19"/>
      <c r="F220" s="19"/>
      <c r="G220" s="19"/>
      <c r="H220" s="19"/>
    </row>
    <row r="221" spans="5:8" x14ac:dyDescent="0.35">
      <c r="E221" s="19"/>
      <c r="F221" s="19"/>
      <c r="G221" s="19"/>
      <c r="H221" s="19"/>
    </row>
    <row r="222" spans="5:8" x14ac:dyDescent="0.35">
      <c r="E222" s="19"/>
      <c r="F222" s="19"/>
      <c r="G222" s="19"/>
      <c r="H222" s="19"/>
    </row>
    <row r="223" spans="5:8" x14ac:dyDescent="0.35">
      <c r="E223" s="19"/>
      <c r="F223" s="19"/>
      <c r="G223" s="19"/>
      <c r="H223" s="19"/>
    </row>
    <row r="224" spans="5:8" x14ac:dyDescent="0.35">
      <c r="E224" s="19"/>
      <c r="F224" s="19"/>
      <c r="G224" s="19"/>
      <c r="H224" s="19"/>
    </row>
    <row r="225" spans="5:8" x14ac:dyDescent="0.35">
      <c r="E225" s="19"/>
      <c r="F225" s="19"/>
      <c r="G225" s="19"/>
      <c r="H225" s="19"/>
    </row>
    <row r="226" spans="5:8" x14ac:dyDescent="0.35">
      <c r="E226" s="19"/>
      <c r="F226" s="19"/>
      <c r="G226" s="19"/>
      <c r="H226" s="19"/>
    </row>
    <row r="227" spans="5:8" x14ac:dyDescent="0.35">
      <c r="E227" s="19"/>
      <c r="F227" s="19"/>
      <c r="G227" s="19"/>
      <c r="H227" s="19"/>
    </row>
    <row r="228" spans="5:8" x14ac:dyDescent="0.35">
      <c r="E228" s="19"/>
      <c r="F228" s="19"/>
      <c r="G228" s="19"/>
      <c r="H228" s="19"/>
    </row>
    <row r="229" spans="5:8" x14ac:dyDescent="0.35">
      <c r="E229" s="19"/>
      <c r="F229" s="19"/>
      <c r="G229" s="19"/>
      <c r="H229" s="19"/>
    </row>
    <row r="230" spans="5:8" x14ac:dyDescent="0.35">
      <c r="E230" s="19"/>
      <c r="F230" s="19"/>
      <c r="G230" s="19"/>
      <c r="H230" s="19"/>
    </row>
    <row r="231" spans="5:8" x14ac:dyDescent="0.35">
      <c r="E231" s="19"/>
      <c r="F231" s="19"/>
      <c r="G231" s="19"/>
      <c r="H231" s="19"/>
    </row>
    <row r="232" spans="5:8" x14ac:dyDescent="0.35">
      <c r="E232" s="19"/>
      <c r="F232" s="19"/>
      <c r="G232" s="19"/>
      <c r="H232" s="19"/>
    </row>
    <row r="233" spans="5:8" x14ac:dyDescent="0.35">
      <c r="E233" s="19"/>
      <c r="F233" s="19"/>
      <c r="G233" s="19"/>
      <c r="H233" s="19"/>
    </row>
    <row r="234" spans="5:8" x14ac:dyDescent="0.35">
      <c r="E234" s="19"/>
      <c r="F234" s="19"/>
      <c r="G234" s="19"/>
      <c r="H234" s="19"/>
    </row>
    <row r="235" spans="5:8" x14ac:dyDescent="0.35">
      <c r="E235" s="19"/>
      <c r="F235" s="19"/>
      <c r="G235" s="19"/>
      <c r="H235" s="19"/>
    </row>
    <row r="236" spans="5:8" x14ac:dyDescent="0.35">
      <c r="E236" s="19"/>
      <c r="F236" s="19"/>
      <c r="G236" s="19"/>
      <c r="H236" s="19"/>
    </row>
    <row r="237" spans="5:8" x14ac:dyDescent="0.35">
      <c r="E237" s="19"/>
      <c r="F237" s="19"/>
      <c r="G237" s="19"/>
      <c r="H237" s="19"/>
    </row>
    <row r="238" spans="5:8" x14ac:dyDescent="0.35">
      <c r="E238" s="19"/>
      <c r="F238" s="19"/>
      <c r="G238" s="19"/>
      <c r="H238" s="19"/>
    </row>
    <row r="239" spans="5:8" x14ac:dyDescent="0.35">
      <c r="E239" s="19"/>
      <c r="F239" s="19"/>
      <c r="G239" s="19"/>
      <c r="H239" s="19"/>
    </row>
    <row r="240" spans="5:8" x14ac:dyDescent="0.35">
      <c r="E240" s="19"/>
      <c r="F240" s="19"/>
      <c r="G240" s="19"/>
      <c r="H240" s="19"/>
    </row>
    <row r="241" spans="5:8" x14ac:dyDescent="0.35">
      <c r="E241" s="19"/>
      <c r="F241" s="19"/>
      <c r="G241" s="19"/>
      <c r="H241" s="19"/>
    </row>
    <row r="242" spans="5:8" x14ac:dyDescent="0.35">
      <c r="E242" s="19"/>
      <c r="F242" s="19"/>
      <c r="G242" s="19"/>
      <c r="H242" s="19"/>
    </row>
    <row r="243" spans="5:8" x14ac:dyDescent="0.35">
      <c r="E243" s="19"/>
      <c r="F243" s="19"/>
      <c r="G243" s="19"/>
      <c r="H243" s="19"/>
    </row>
    <row r="244" spans="5:8" x14ac:dyDescent="0.35">
      <c r="E244" s="19"/>
      <c r="F244" s="19"/>
      <c r="G244" s="19"/>
      <c r="H244" s="19"/>
    </row>
    <row r="245" spans="5:8" x14ac:dyDescent="0.35">
      <c r="E245" s="19"/>
      <c r="F245" s="19"/>
      <c r="G245" s="19"/>
      <c r="H245" s="19"/>
    </row>
    <row r="246" spans="5:8" x14ac:dyDescent="0.35">
      <c r="E246" s="19"/>
      <c r="F246" s="19"/>
      <c r="G246" s="19"/>
      <c r="H246" s="19"/>
    </row>
    <row r="247" spans="5:8" x14ac:dyDescent="0.35">
      <c r="E247" s="19"/>
      <c r="F247" s="19"/>
      <c r="G247" s="19"/>
      <c r="H247" s="19"/>
    </row>
    <row r="248" spans="5:8" x14ac:dyDescent="0.35">
      <c r="E248" s="19"/>
      <c r="F248" s="19"/>
      <c r="G248" s="19"/>
      <c r="H248" s="19"/>
    </row>
    <row r="249" spans="5:8" x14ac:dyDescent="0.35">
      <c r="E249" s="19"/>
      <c r="F249" s="19"/>
      <c r="G249" s="19"/>
      <c r="H249" s="19"/>
    </row>
    <row r="250" spans="5:8" x14ac:dyDescent="0.35">
      <c r="E250" s="19"/>
      <c r="F250" s="19"/>
      <c r="G250" s="19"/>
      <c r="H250" s="19"/>
    </row>
    <row r="251" spans="5:8" x14ac:dyDescent="0.35">
      <c r="E251" s="19"/>
      <c r="F251" s="19"/>
      <c r="G251" s="19"/>
      <c r="H251" s="19"/>
    </row>
    <row r="252" spans="5:8" x14ac:dyDescent="0.35">
      <c r="E252" s="19"/>
      <c r="F252" s="19"/>
      <c r="G252" s="19"/>
      <c r="H252" s="19"/>
    </row>
    <row r="253" spans="5:8" x14ac:dyDescent="0.35">
      <c r="E253" s="19"/>
      <c r="F253" s="19"/>
      <c r="G253" s="19"/>
      <c r="H253" s="19"/>
    </row>
    <row r="254" spans="5:8" x14ac:dyDescent="0.35">
      <c r="E254" s="19"/>
      <c r="F254" s="19"/>
      <c r="G254" s="19"/>
      <c r="H254" s="19"/>
    </row>
    <row r="255" spans="5:8" x14ac:dyDescent="0.35">
      <c r="E255" s="19"/>
      <c r="F255" s="19"/>
      <c r="G255" s="19"/>
      <c r="H255" s="19"/>
    </row>
    <row r="256" spans="5:8" x14ac:dyDescent="0.35">
      <c r="E256" s="19"/>
      <c r="F256" s="19"/>
      <c r="G256" s="19"/>
      <c r="H256" s="19"/>
    </row>
    <row r="257" spans="5:8" x14ac:dyDescent="0.35">
      <c r="E257" s="19"/>
      <c r="F257" s="19"/>
      <c r="G257" s="19"/>
      <c r="H257" s="19"/>
    </row>
    <row r="258" spans="5:8" x14ac:dyDescent="0.35">
      <c r="E258" s="19"/>
      <c r="F258" s="19"/>
      <c r="G258" s="19"/>
      <c r="H258" s="19"/>
    </row>
    <row r="259" spans="5:8" x14ac:dyDescent="0.35">
      <c r="E259" s="19"/>
      <c r="F259" s="19"/>
      <c r="G259" s="19"/>
      <c r="H259" s="19"/>
    </row>
    <row r="260" spans="5:8" x14ac:dyDescent="0.35">
      <c r="E260" s="19"/>
      <c r="F260" s="19"/>
      <c r="G260" s="19"/>
      <c r="H260" s="19"/>
    </row>
    <row r="261" spans="5:8" x14ac:dyDescent="0.35">
      <c r="E261" s="19"/>
      <c r="F261" s="19"/>
      <c r="G261" s="19"/>
      <c r="H261" s="19"/>
    </row>
    <row r="262" spans="5:8" x14ac:dyDescent="0.35">
      <c r="E262" s="19"/>
      <c r="F262" s="19"/>
      <c r="G262" s="19"/>
      <c r="H262" s="19"/>
    </row>
    <row r="263" spans="5:8" x14ac:dyDescent="0.35">
      <c r="E263" s="19"/>
      <c r="F263" s="19"/>
      <c r="G263" s="19"/>
      <c r="H263" s="19"/>
    </row>
    <row r="264" spans="5:8" x14ac:dyDescent="0.35">
      <c r="E264" s="19"/>
      <c r="F264" s="19"/>
      <c r="G264" s="19"/>
      <c r="H264" s="19"/>
    </row>
    <row r="265" spans="5:8" x14ac:dyDescent="0.35">
      <c r="E265" s="19"/>
      <c r="F265" s="19"/>
      <c r="G265" s="19"/>
      <c r="H265" s="19"/>
    </row>
    <row r="266" spans="5:8" x14ac:dyDescent="0.35">
      <c r="E266" s="19"/>
      <c r="F266" s="19"/>
      <c r="G266" s="19"/>
      <c r="H266" s="19"/>
    </row>
    <row r="267" spans="5:8" x14ac:dyDescent="0.35">
      <c r="E267" s="19"/>
      <c r="F267" s="19"/>
      <c r="G267" s="19"/>
      <c r="H267" s="19"/>
    </row>
    <row r="268" spans="5:8" x14ac:dyDescent="0.35">
      <c r="E268" s="19"/>
      <c r="F268" s="19"/>
      <c r="G268" s="19"/>
      <c r="H268" s="19"/>
    </row>
    <row r="269" spans="5:8" x14ac:dyDescent="0.35">
      <c r="E269" s="19"/>
      <c r="F269" s="19"/>
      <c r="G269" s="19"/>
      <c r="H269" s="19"/>
    </row>
    <row r="270" spans="5:8" x14ac:dyDescent="0.35">
      <c r="E270" s="19"/>
      <c r="F270" s="19"/>
      <c r="G270" s="19"/>
      <c r="H270" s="19"/>
    </row>
    <row r="271" spans="5:8" x14ac:dyDescent="0.35">
      <c r="E271" s="19"/>
      <c r="F271" s="19"/>
      <c r="G271" s="19"/>
      <c r="H271" s="19"/>
    </row>
    <row r="272" spans="5:8" x14ac:dyDescent="0.35">
      <c r="E272" s="19"/>
      <c r="F272" s="19"/>
      <c r="G272" s="19"/>
      <c r="H272" s="19"/>
    </row>
    <row r="273" spans="5:8" x14ac:dyDescent="0.35">
      <c r="E273" s="19"/>
      <c r="F273" s="19"/>
      <c r="G273" s="19"/>
      <c r="H273" s="19"/>
    </row>
    <row r="274" spans="5:8" x14ac:dyDescent="0.35">
      <c r="E274" s="19"/>
      <c r="F274" s="19"/>
      <c r="G274" s="19"/>
      <c r="H274" s="19"/>
    </row>
    <row r="275" spans="5:8" x14ac:dyDescent="0.35">
      <c r="E275" s="19"/>
      <c r="F275" s="19"/>
      <c r="G275" s="19"/>
      <c r="H275" s="19"/>
    </row>
    <row r="276" spans="5:8" x14ac:dyDescent="0.35">
      <c r="E276" s="19"/>
      <c r="F276" s="19"/>
      <c r="G276" s="19"/>
      <c r="H276" s="19"/>
    </row>
    <row r="277" spans="5:8" x14ac:dyDescent="0.35">
      <c r="E277" s="19"/>
      <c r="F277" s="19"/>
      <c r="G277" s="19"/>
      <c r="H277" s="19"/>
    </row>
    <row r="278" spans="5:8" x14ac:dyDescent="0.35">
      <c r="E278" s="19"/>
      <c r="F278" s="19"/>
      <c r="G278" s="19"/>
      <c r="H278" s="19"/>
    </row>
    <row r="279" spans="5:8" x14ac:dyDescent="0.35">
      <c r="E279" s="19"/>
      <c r="F279" s="19"/>
      <c r="G279" s="19"/>
      <c r="H279" s="19"/>
    </row>
    <row r="280" spans="5:8" x14ac:dyDescent="0.35">
      <c r="E280" s="19"/>
      <c r="F280" s="19"/>
      <c r="G280" s="19"/>
      <c r="H280" s="19"/>
    </row>
    <row r="281" spans="5:8" x14ac:dyDescent="0.35">
      <c r="E281" s="19"/>
      <c r="F281" s="19"/>
      <c r="G281" s="19"/>
      <c r="H281" s="19"/>
    </row>
    <row r="282" spans="5:8" x14ac:dyDescent="0.35">
      <c r="E282" s="19"/>
      <c r="F282" s="19"/>
      <c r="G282" s="19"/>
      <c r="H282" s="19"/>
    </row>
    <row r="283" spans="5:8" x14ac:dyDescent="0.35">
      <c r="E283" s="19"/>
      <c r="F283" s="19"/>
      <c r="G283" s="19"/>
      <c r="H283" s="19"/>
    </row>
    <row r="284" spans="5:8" x14ac:dyDescent="0.35">
      <c r="E284" s="19"/>
      <c r="F284" s="19"/>
      <c r="G284" s="19"/>
      <c r="H284" s="19"/>
    </row>
    <row r="285" spans="5:8" x14ac:dyDescent="0.35">
      <c r="E285" s="19"/>
      <c r="F285" s="19"/>
      <c r="G285" s="19"/>
      <c r="H285" s="19"/>
    </row>
    <row r="286" spans="5:8" x14ac:dyDescent="0.35">
      <c r="E286" s="19"/>
      <c r="F286" s="19"/>
      <c r="G286" s="19"/>
      <c r="H286" s="19"/>
    </row>
    <row r="287" spans="5:8" x14ac:dyDescent="0.35">
      <c r="E287" s="19"/>
      <c r="F287" s="19"/>
      <c r="G287" s="19"/>
      <c r="H287" s="19"/>
    </row>
    <row r="288" spans="5:8" x14ac:dyDescent="0.35">
      <c r="E288" s="19"/>
      <c r="F288" s="19"/>
      <c r="G288" s="19"/>
      <c r="H288" s="19"/>
    </row>
    <row r="289" spans="5:8" x14ac:dyDescent="0.35">
      <c r="E289" s="19"/>
      <c r="F289" s="19"/>
      <c r="G289" s="19"/>
      <c r="H289" s="19"/>
    </row>
    <row r="290" spans="5:8" x14ac:dyDescent="0.35">
      <c r="E290" s="19"/>
      <c r="F290" s="19"/>
      <c r="G290" s="19"/>
      <c r="H290" s="19"/>
    </row>
    <row r="291" spans="5:8" x14ac:dyDescent="0.35">
      <c r="E291" s="19"/>
      <c r="F291" s="19"/>
      <c r="G291" s="19"/>
      <c r="H291" s="19"/>
    </row>
    <row r="292" spans="5:8" x14ac:dyDescent="0.35">
      <c r="E292" s="19"/>
      <c r="F292" s="19"/>
      <c r="G292" s="19"/>
      <c r="H292" s="19"/>
    </row>
    <row r="293" spans="5:8" x14ac:dyDescent="0.35">
      <c r="E293" s="19"/>
      <c r="F293" s="19"/>
      <c r="G293" s="19"/>
      <c r="H293" s="19"/>
    </row>
    <row r="294" spans="5:8" x14ac:dyDescent="0.35">
      <c r="E294" s="19"/>
      <c r="F294" s="19"/>
      <c r="G294" s="19"/>
      <c r="H294" s="19"/>
    </row>
    <row r="295" spans="5:8" x14ac:dyDescent="0.35">
      <c r="E295" s="19"/>
      <c r="F295" s="19"/>
      <c r="G295" s="19"/>
      <c r="H295" s="19"/>
    </row>
    <row r="296" spans="5:8" x14ac:dyDescent="0.35">
      <c r="E296" s="19"/>
      <c r="F296" s="19"/>
      <c r="G296" s="19"/>
      <c r="H296" s="19"/>
    </row>
    <row r="297" spans="5:8" x14ac:dyDescent="0.35">
      <c r="E297" s="19"/>
      <c r="F297" s="19"/>
      <c r="G297" s="19"/>
      <c r="H297" s="19"/>
    </row>
    <row r="298" spans="5:8" x14ac:dyDescent="0.35">
      <c r="E298" s="19"/>
      <c r="F298" s="19"/>
      <c r="G298" s="19"/>
      <c r="H298" s="19"/>
    </row>
    <row r="299" spans="5:8" x14ac:dyDescent="0.35">
      <c r="E299" s="19"/>
      <c r="F299" s="19"/>
      <c r="G299" s="19"/>
      <c r="H299" s="19"/>
    </row>
    <row r="300" spans="5:8" x14ac:dyDescent="0.35">
      <c r="E300" s="19"/>
      <c r="F300" s="19"/>
      <c r="G300" s="19"/>
      <c r="H300" s="19"/>
    </row>
    <row r="301" spans="5:8" x14ac:dyDescent="0.35">
      <c r="E301" s="19"/>
      <c r="F301" s="19"/>
      <c r="G301" s="19"/>
      <c r="H301" s="19"/>
    </row>
    <row r="302" spans="5:8" x14ac:dyDescent="0.35">
      <c r="E302" s="19"/>
      <c r="F302" s="19"/>
      <c r="G302" s="19"/>
      <c r="H302" s="19"/>
    </row>
    <row r="303" spans="5:8" x14ac:dyDescent="0.35">
      <c r="E303" s="19"/>
      <c r="F303" s="19"/>
      <c r="G303" s="19"/>
      <c r="H303" s="19"/>
    </row>
    <row r="304" spans="5:8" x14ac:dyDescent="0.35">
      <c r="E304" s="19"/>
      <c r="F304" s="19"/>
      <c r="G304" s="19"/>
      <c r="H304" s="19"/>
    </row>
    <row r="305" spans="5:8" x14ac:dyDescent="0.35">
      <c r="E305" s="19"/>
      <c r="F305" s="19"/>
      <c r="G305" s="19"/>
      <c r="H305" s="19"/>
    </row>
    <row r="306" spans="5:8" x14ac:dyDescent="0.35">
      <c r="E306" s="19"/>
      <c r="F306" s="19"/>
      <c r="G306" s="19"/>
      <c r="H306" s="19"/>
    </row>
    <row r="307" spans="5:8" x14ac:dyDescent="0.35">
      <c r="E307" s="19"/>
      <c r="F307" s="19"/>
      <c r="G307" s="19"/>
      <c r="H307" s="19"/>
    </row>
    <row r="308" spans="5:8" x14ac:dyDescent="0.35">
      <c r="E308" s="19"/>
      <c r="F308" s="19"/>
      <c r="G308" s="19"/>
      <c r="H308" s="19"/>
    </row>
    <row r="309" spans="5:8" x14ac:dyDescent="0.35">
      <c r="E309" s="19"/>
      <c r="F309" s="19"/>
      <c r="G309" s="19"/>
      <c r="H309" s="19"/>
    </row>
    <row r="310" spans="5:8" x14ac:dyDescent="0.35">
      <c r="E310" s="19"/>
      <c r="F310" s="19"/>
      <c r="G310" s="19"/>
      <c r="H310" s="19"/>
    </row>
    <row r="311" spans="5:8" x14ac:dyDescent="0.35">
      <c r="E311" s="19"/>
      <c r="F311" s="19"/>
      <c r="G311" s="19"/>
      <c r="H311" s="19"/>
    </row>
    <row r="312" spans="5:8" x14ac:dyDescent="0.35">
      <c r="E312" s="19"/>
      <c r="F312" s="19"/>
      <c r="G312" s="19"/>
      <c r="H312" s="19"/>
    </row>
    <row r="313" spans="5:8" x14ac:dyDescent="0.35">
      <c r="E313" s="19"/>
      <c r="F313" s="19"/>
      <c r="G313" s="19"/>
      <c r="H313" s="19"/>
    </row>
    <row r="314" spans="5:8" x14ac:dyDescent="0.35">
      <c r="E314" s="19"/>
      <c r="F314" s="19"/>
      <c r="G314" s="19"/>
      <c r="H314" s="19"/>
    </row>
    <row r="315" spans="5:8" x14ac:dyDescent="0.35">
      <c r="E315" s="19"/>
      <c r="F315" s="19"/>
      <c r="G315" s="19"/>
      <c r="H315" s="19"/>
    </row>
    <row r="316" spans="5:8" x14ac:dyDescent="0.35">
      <c r="E316" s="19"/>
      <c r="F316" s="19"/>
      <c r="G316" s="19"/>
      <c r="H316" s="19"/>
    </row>
    <row r="317" spans="5:8" x14ac:dyDescent="0.35">
      <c r="E317" s="19"/>
      <c r="F317" s="19"/>
      <c r="G317" s="19"/>
      <c r="H317" s="19"/>
    </row>
    <row r="318" spans="5:8" x14ac:dyDescent="0.35">
      <c r="E318" s="19"/>
      <c r="F318" s="19"/>
      <c r="G318" s="19"/>
      <c r="H318" s="19"/>
    </row>
    <row r="319" spans="5:8" x14ac:dyDescent="0.35">
      <c r="E319" s="19"/>
      <c r="F319" s="19"/>
      <c r="G319" s="19"/>
      <c r="H319" s="19"/>
    </row>
    <row r="320" spans="5:8" x14ac:dyDescent="0.35">
      <c r="E320" s="19"/>
      <c r="F320" s="19"/>
      <c r="G320" s="19"/>
      <c r="H320" s="19"/>
    </row>
    <row r="321" spans="5:8" x14ac:dyDescent="0.35">
      <c r="E321" s="19"/>
      <c r="F321" s="19"/>
      <c r="G321" s="19"/>
      <c r="H321" s="19"/>
    </row>
    <row r="322" spans="5:8" x14ac:dyDescent="0.35">
      <c r="E322" s="19"/>
      <c r="F322" s="19"/>
      <c r="G322" s="19"/>
      <c r="H322" s="19"/>
    </row>
    <row r="323" spans="5:8" x14ac:dyDescent="0.35">
      <c r="E323" s="19"/>
      <c r="F323" s="19"/>
      <c r="G323" s="19"/>
      <c r="H323" s="19"/>
    </row>
    <row r="324" spans="5:8" x14ac:dyDescent="0.35">
      <c r="E324" s="19"/>
      <c r="F324" s="19"/>
      <c r="G324" s="19"/>
      <c r="H324" s="19"/>
    </row>
    <row r="325" spans="5:8" x14ac:dyDescent="0.35">
      <c r="E325" s="19"/>
      <c r="F325" s="19"/>
      <c r="G325" s="19"/>
      <c r="H325" s="19"/>
    </row>
    <row r="326" spans="5:8" x14ac:dyDescent="0.35">
      <c r="E326" s="19"/>
      <c r="F326" s="19"/>
      <c r="G326" s="19"/>
      <c r="H326" s="19"/>
    </row>
    <row r="327" spans="5:8" x14ac:dyDescent="0.35">
      <c r="E327" s="19"/>
      <c r="F327" s="19"/>
      <c r="G327" s="19"/>
      <c r="H327" s="19"/>
    </row>
    <row r="328" spans="5:8" x14ac:dyDescent="0.35">
      <c r="E328" s="19"/>
      <c r="F328" s="19"/>
      <c r="G328" s="19"/>
      <c r="H328" s="19"/>
    </row>
    <row r="329" spans="5:8" x14ac:dyDescent="0.35">
      <c r="E329" s="19"/>
      <c r="F329" s="19"/>
      <c r="G329" s="19"/>
      <c r="H329" s="19"/>
    </row>
    <row r="330" spans="5:8" x14ac:dyDescent="0.35">
      <c r="E330" s="19"/>
      <c r="F330" s="19"/>
      <c r="G330" s="19"/>
      <c r="H330" s="19"/>
    </row>
    <row r="331" spans="5:8" x14ac:dyDescent="0.35">
      <c r="E331" s="19"/>
      <c r="F331" s="19"/>
      <c r="G331" s="19"/>
      <c r="H331" s="19"/>
    </row>
    <row r="332" spans="5:8" x14ac:dyDescent="0.35">
      <c r="E332" s="19"/>
      <c r="F332" s="19"/>
      <c r="G332" s="19"/>
      <c r="H332" s="19"/>
    </row>
    <row r="333" spans="5:8" x14ac:dyDescent="0.35">
      <c r="E333" s="19"/>
      <c r="F333" s="19"/>
      <c r="G333" s="19"/>
      <c r="H333" s="19"/>
    </row>
    <row r="334" spans="5:8" x14ac:dyDescent="0.35">
      <c r="E334" s="19"/>
      <c r="F334" s="19"/>
      <c r="G334" s="19"/>
      <c r="H334" s="19"/>
    </row>
    <row r="335" spans="5:8" x14ac:dyDescent="0.35">
      <c r="E335" s="19"/>
      <c r="F335" s="19"/>
      <c r="G335" s="19"/>
      <c r="H335" s="19"/>
    </row>
    <row r="336" spans="5:8" x14ac:dyDescent="0.35">
      <c r="E336" s="19"/>
      <c r="F336" s="19"/>
      <c r="G336" s="19"/>
      <c r="H336" s="19"/>
    </row>
    <row r="337" spans="5:8" x14ac:dyDescent="0.35">
      <c r="E337" s="19"/>
      <c r="F337" s="19"/>
      <c r="G337" s="19"/>
      <c r="H337" s="19"/>
    </row>
    <row r="338" spans="5:8" x14ac:dyDescent="0.35">
      <c r="E338" s="19"/>
      <c r="F338" s="19"/>
      <c r="G338" s="19"/>
      <c r="H338" s="19"/>
    </row>
    <row r="339" spans="5:8" x14ac:dyDescent="0.35">
      <c r="E339" s="19"/>
      <c r="F339" s="19"/>
      <c r="G339" s="19"/>
      <c r="H339" s="19"/>
    </row>
    <row r="340" spans="5:8" x14ac:dyDescent="0.35">
      <c r="E340" s="19"/>
      <c r="F340" s="19"/>
      <c r="G340" s="19"/>
      <c r="H340" s="19"/>
    </row>
    <row r="341" spans="5:8" x14ac:dyDescent="0.35">
      <c r="E341" s="19"/>
      <c r="F341" s="19"/>
      <c r="G341" s="19"/>
      <c r="H341" s="19"/>
    </row>
    <row r="342" spans="5:8" x14ac:dyDescent="0.35">
      <c r="E342" s="19"/>
      <c r="F342" s="19"/>
      <c r="G342" s="19"/>
      <c r="H342" s="19"/>
    </row>
    <row r="343" spans="5:8" x14ac:dyDescent="0.35">
      <c r="E343" s="19"/>
      <c r="F343" s="19"/>
      <c r="G343" s="19"/>
      <c r="H343" s="19"/>
    </row>
    <row r="344" spans="5:8" x14ac:dyDescent="0.35">
      <c r="E344" s="19"/>
      <c r="F344" s="19"/>
      <c r="G344" s="19"/>
      <c r="H344" s="19"/>
    </row>
    <row r="345" spans="5:8" x14ac:dyDescent="0.35">
      <c r="E345" s="19"/>
      <c r="F345" s="19"/>
      <c r="G345" s="19"/>
      <c r="H345" s="19"/>
    </row>
    <row r="346" spans="5:8" x14ac:dyDescent="0.35">
      <c r="E346" s="19"/>
      <c r="F346" s="19"/>
      <c r="G346" s="19"/>
      <c r="H346" s="19"/>
    </row>
    <row r="347" spans="5:8" x14ac:dyDescent="0.35">
      <c r="E347" s="19"/>
      <c r="F347" s="19"/>
      <c r="G347" s="19"/>
      <c r="H347" s="19"/>
    </row>
    <row r="348" spans="5:8" x14ac:dyDescent="0.35">
      <c r="E348" s="19"/>
      <c r="F348" s="19"/>
      <c r="G348" s="19"/>
      <c r="H348" s="19"/>
    </row>
    <row r="349" spans="5:8" x14ac:dyDescent="0.35">
      <c r="E349" s="19"/>
      <c r="F349" s="19"/>
      <c r="G349" s="19"/>
      <c r="H349" s="19"/>
    </row>
    <row r="350" spans="5:8" x14ac:dyDescent="0.35">
      <c r="E350" s="19"/>
      <c r="F350" s="19"/>
      <c r="G350" s="19"/>
      <c r="H350" s="19"/>
    </row>
    <row r="351" spans="5:8" x14ac:dyDescent="0.35">
      <c r="E351" s="19"/>
      <c r="F351" s="19"/>
      <c r="G351" s="19"/>
      <c r="H351" s="19"/>
    </row>
    <row r="352" spans="5:8" x14ac:dyDescent="0.35">
      <c r="E352" s="19"/>
      <c r="F352" s="19"/>
      <c r="G352" s="19"/>
      <c r="H352" s="19"/>
    </row>
    <row r="353" spans="5:8" x14ac:dyDescent="0.35">
      <c r="E353" s="19"/>
      <c r="F353" s="19"/>
      <c r="G353" s="19"/>
      <c r="H353" s="19"/>
    </row>
    <row r="354" spans="5:8" x14ac:dyDescent="0.35">
      <c r="E354" s="19"/>
      <c r="F354" s="19"/>
      <c r="G354" s="19"/>
      <c r="H354" s="19"/>
    </row>
    <row r="355" spans="5:8" x14ac:dyDescent="0.35">
      <c r="E355" s="19"/>
      <c r="F355" s="19"/>
      <c r="G355" s="19"/>
      <c r="H355" s="19"/>
    </row>
    <row r="356" spans="5:8" x14ac:dyDescent="0.35">
      <c r="E356" s="19"/>
      <c r="F356" s="19"/>
      <c r="G356" s="19"/>
      <c r="H356" s="19"/>
    </row>
    <row r="357" spans="5:8" x14ac:dyDescent="0.35">
      <c r="E357" s="19"/>
      <c r="F357" s="19"/>
      <c r="G357" s="19"/>
      <c r="H357" s="19"/>
    </row>
    <row r="358" spans="5:8" x14ac:dyDescent="0.35">
      <c r="E358" s="19"/>
      <c r="F358" s="19"/>
      <c r="G358" s="19"/>
      <c r="H358" s="19"/>
    </row>
    <row r="359" spans="5:8" x14ac:dyDescent="0.35">
      <c r="E359" s="19"/>
      <c r="F359" s="19"/>
      <c r="G359" s="19"/>
      <c r="H359" s="19"/>
    </row>
    <row r="360" spans="5:8" x14ac:dyDescent="0.35">
      <c r="E360" s="19"/>
      <c r="F360" s="19"/>
      <c r="G360" s="19"/>
      <c r="H360" s="19"/>
    </row>
    <row r="361" spans="5:8" x14ac:dyDescent="0.35">
      <c r="E361" s="19"/>
      <c r="F361" s="19"/>
      <c r="G361" s="19"/>
      <c r="H361" s="19"/>
    </row>
    <row r="362" spans="5:8" x14ac:dyDescent="0.35">
      <c r="E362" s="19"/>
      <c r="F362" s="19"/>
      <c r="G362" s="19"/>
      <c r="H362" s="19"/>
    </row>
    <row r="363" spans="5:8" x14ac:dyDescent="0.35">
      <c r="E363" s="19"/>
      <c r="F363" s="19"/>
      <c r="G363" s="19"/>
      <c r="H363" s="19"/>
    </row>
    <row r="364" spans="5:8" x14ac:dyDescent="0.35">
      <c r="E364" s="19"/>
      <c r="F364" s="19"/>
      <c r="G364" s="19"/>
      <c r="H364" s="19"/>
    </row>
    <row r="365" spans="5:8" x14ac:dyDescent="0.35">
      <c r="E365" s="19"/>
      <c r="F365" s="19"/>
      <c r="G365" s="19"/>
      <c r="H365" s="19"/>
    </row>
    <row r="366" spans="5:8" x14ac:dyDescent="0.35">
      <c r="E366" s="19"/>
      <c r="F366" s="19"/>
      <c r="G366" s="19"/>
      <c r="H366" s="19"/>
    </row>
    <row r="367" spans="5:8" x14ac:dyDescent="0.35">
      <c r="E367" s="19"/>
      <c r="F367" s="19"/>
      <c r="G367" s="19"/>
      <c r="H367" s="19"/>
    </row>
    <row r="368" spans="5:8" x14ac:dyDescent="0.35">
      <c r="E368" s="19"/>
      <c r="F368" s="19"/>
      <c r="G368" s="19"/>
      <c r="H368" s="19"/>
    </row>
    <row r="369" spans="5:8" x14ac:dyDescent="0.35">
      <c r="E369" s="19"/>
      <c r="F369" s="19"/>
      <c r="G369" s="19"/>
      <c r="H369" s="19"/>
    </row>
    <row r="370" spans="5:8" x14ac:dyDescent="0.35">
      <c r="E370" s="19"/>
      <c r="F370" s="19"/>
      <c r="G370" s="19"/>
      <c r="H370" s="19"/>
    </row>
    <row r="371" spans="5:8" x14ac:dyDescent="0.35">
      <c r="E371" s="19"/>
      <c r="F371" s="19"/>
      <c r="G371" s="19"/>
      <c r="H371" s="19"/>
    </row>
    <row r="372" spans="5:8" x14ac:dyDescent="0.35">
      <c r="E372" s="19"/>
      <c r="F372" s="19"/>
      <c r="G372" s="19"/>
      <c r="H372" s="19"/>
    </row>
    <row r="373" spans="5:8" x14ac:dyDescent="0.35">
      <c r="E373" s="19"/>
      <c r="F373" s="19"/>
      <c r="G373" s="19"/>
      <c r="H373" s="19"/>
    </row>
    <row r="374" spans="5:8" x14ac:dyDescent="0.35">
      <c r="E374" s="19"/>
      <c r="F374" s="19"/>
      <c r="G374" s="19"/>
      <c r="H374" s="19"/>
    </row>
    <row r="375" spans="5:8" x14ac:dyDescent="0.35">
      <c r="E375" s="19"/>
      <c r="F375" s="19"/>
      <c r="G375" s="19"/>
      <c r="H375" s="19"/>
    </row>
    <row r="376" spans="5:8" x14ac:dyDescent="0.35">
      <c r="E376" s="19"/>
      <c r="F376" s="19"/>
      <c r="G376" s="19"/>
      <c r="H376" s="19"/>
    </row>
    <row r="377" spans="5:8" x14ac:dyDescent="0.35">
      <c r="E377" s="19"/>
      <c r="F377" s="19"/>
      <c r="G377" s="19"/>
      <c r="H377" s="19"/>
    </row>
    <row r="378" spans="5:8" x14ac:dyDescent="0.35">
      <c r="E378" s="19"/>
      <c r="F378" s="19"/>
      <c r="G378" s="19"/>
      <c r="H378" s="19"/>
    </row>
    <row r="379" spans="5:8" x14ac:dyDescent="0.35">
      <c r="E379" s="19"/>
      <c r="F379" s="19"/>
      <c r="G379" s="19"/>
      <c r="H379" s="19"/>
    </row>
    <row r="380" spans="5:8" x14ac:dyDescent="0.35">
      <c r="E380" s="19"/>
      <c r="F380" s="19"/>
      <c r="G380" s="19"/>
      <c r="H380" s="19"/>
    </row>
    <row r="381" spans="5:8" x14ac:dyDescent="0.35">
      <c r="E381" s="19"/>
      <c r="F381" s="19"/>
      <c r="G381" s="19"/>
      <c r="H381" s="19"/>
    </row>
    <row r="382" spans="5:8" x14ac:dyDescent="0.35">
      <c r="E382" s="19"/>
      <c r="F382" s="19"/>
      <c r="G382" s="19"/>
      <c r="H382" s="19"/>
    </row>
    <row r="383" spans="5:8" x14ac:dyDescent="0.35">
      <c r="E383" s="19"/>
      <c r="F383" s="19"/>
      <c r="G383" s="19"/>
      <c r="H383" s="19"/>
    </row>
    <row r="384" spans="5:8" x14ac:dyDescent="0.35">
      <c r="E384" s="19"/>
      <c r="F384" s="19"/>
      <c r="G384" s="19"/>
      <c r="H384" s="19"/>
    </row>
    <row r="385" spans="5:8" x14ac:dyDescent="0.35">
      <c r="E385" s="19"/>
      <c r="F385" s="19"/>
      <c r="G385" s="19"/>
      <c r="H385" s="19"/>
    </row>
    <row r="386" spans="5:8" x14ac:dyDescent="0.35">
      <c r="E386" s="19"/>
      <c r="F386" s="19"/>
      <c r="G386" s="19"/>
      <c r="H386" s="19"/>
    </row>
    <row r="387" spans="5:8" x14ac:dyDescent="0.35">
      <c r="E387" s="19"/>
      <c r="F387" s="19"/>
      <c r="G387" s="19"/>
      <c r="H387" s="19"/>
    </row>
    <row r="388" spans="5:8" x14ac:dyDescent="0.35">
      <c r="E388" s="19"/>
      <c r="F388" s="19"/>
      <c r="G388" s="19"/>
      <c r="H388" s="19"/>
    </row>
    <row r="389" spans="5:8" x14ac:dyDescent="0.35">
      <c r="E389" s="19"/>
      <c r="F389" s="19"/>
      <c r="G389" s="19"/>
      <c r="H389" s="19"/>
    </row>
    <row r="390" spans="5:8" x14ac:dyDescent="0.35">
      <c r="E390" s="19"/>
      <c r="F390" s="19"/>
      <c r="G390" s="19"/>
      <c r="H390" s="19"/>
    </row>
    <row r="391" spans="5:8" x14ac:dyDescent="0.35">
      <c r="E391" s="19"/>
      <c r="F391" s="19"/>
      <c r="G391" s="19"/>
      <c r="H391" s="19"/>
    </row>
    <row r="392" spans="5:8" x14ac:dyDescent="0.35">
      <c r="E392" s="19"/>
      <c r="F392" s="19"/>
      <c r="G392" s="19"/>
      <c r="H392" s="19"/>
    </row>
    <row r="393" spans="5:8" x14ac:dyDescent="0.35">
      <c r="E393" s="19"/>
      <c r="F393" s="19"/>
      <c r="G393" s="19"/>
      <c r="H393" s="19"/>
    </row>
    <row r="394" spans="5:8" x14ac:dyDescent="0.35">
      <c r="E394" s="19"/>
      <c r="F394" s="19"/>
      <c r="G394" s="19"/>
      <c r="H394" s="19"/>
    </row>
    <row r="395" spans="5:8" x14ac:dyDescent="0.35">
      <c r="E395" s="19"/>
      <c r="F395" s="19"/>
      <c r="G395" s="19"/>
      <c r="H395" s="19"/>
    </row>
    <row r="396" spans="5:8" x14ac:dyDescent="0.35">
      <c r="E396" s="19"/>
      <c r="F396" s="19"/>
      <c r="G396" s="19"/>
      <c r="H396" s="19"/>
    </row>
    <row r="397" spans="5:8" x14ac:dyDescent="0.35">
      <c r="E397" s="19"/>
      <c r="F397" s="19"/>
      <c r="G397" s="19"/>
      <c r="H397" s="19"/>
    </row>
    <row r="398" spans="5:8" x14ac:dyDescent="0.35">
      <c r="E398" s="19"/>
      <c r="F398" s="19"/>
      <c r="G398" s="19"/>
      <c r="H398" s="19"/>
    </row>
    <row r="399" spans="5:8" x14ac:dyDescent="0.35">
      <c r="E399" s="19"/>
      <c r="F399" s="19"/>
      <c r="G399" s="19"/>
      <c r="H399" s="19"/>
    </row>
    <row r="400" spans="5:8" x14ac:dyDescent="0.35">
      <c r="E400" s="19"/>
      <c r="F400" s="19"/>
      <c r="G400" s="19"/>
      <c r="H400" s="19"/>
    </row>
    <row r="401" spans="5:8" x14ac:dyDescent="0.35">
      <c r="E401" s="19"/>
      <c r="F401" s="19"/>
      <c r="G401" s="19"/>
      <c r="H401" s="19"/>
    </row>
    <row r="402" spans="5:8" x14ac:dyDescent="0.35">
      <c r="E402" s="19"/>
      <c r="F402" s="19"/>
      <c r="G402" s="19"/>
      <c r="H402" s="19"/>
    </row>
    <row r="403" spans="5:8" x14ac:dyDescent="0.35">
      <c r="E403" s="19"/>
      <c r="F403" s="19"/>
      <c r="G403" s="19"/>
      <c r="H403" s="19"/>
    </row>
    <row r="404" spans="5:8" x14ac:dyDescent="0.35">
      <c r="E404" s="19"/>
      <c r="F404" s="19"/>
      <c r="G404" s="19"/>
      <c r="H404" s="19"/>
    </row>
    <row r="405" spans="5:8" x14ac:dyDescent="0.35">
      <c r="E405" s="19"/>
      <c r="F405" s="19"/>
      <c r="G405" s="19"/>
      <c r="H405" s="19"/>
    </row>
    <row r="406" spans="5:8" x14ac:dyDescent="0.35">
      <c r="E406" s="19"/>
      <c r="F406" s="19"/>
      <c r="G406" s="19"/>
      <c r="H406" s="19"/>
    </row>
    <row r="407" spans="5:8" x14ac:dyDescent="0.35">
      <c r="E407" s="19"/>
      <c r="F407" s="19"/>
      <c r="G407" s="19"/>
      <c r="H407" s="19"/>
    </row>
    <row r="408" spans="5:8" x14ac:dyDescent="0.35">
      <c r="E408" s="19"/>
      <c r="F408" s="19"/>
      <c r="G408" s="19"/>
      <c r="H408" s="19"/>
    </row>
    <row r="409" spans="5:8" x14ac:dyDescent="0.35">
      <c r="E409" s="19"/>
      <c r="F409" s="19"/>
      <c r="G409" s="19"/>
      <c r="H409" s="19"/>
    </row>
    <row r="410" spans="5:8" x14ac:dyDescent="0.35">
      <c r="E410" s="19"/>
      <c r="F410" s="19"/>
      <c r="G410" s="19"/>
      <c r="H410" s="19"/>
    </row>
    <row r="411" spans="5:8" x14ac:dyDescent="0.35">
      <c r="E411" s="19"/>
      <c r="F411" s="19"/>
      <c r="G411" s="19"/>
      <c r="H411" s="19"/>
    </row>
    <row r="412" spans="5:8" x14ac:dyDescent="0.35">
      <c r="E412" s="19"/>
      <c r="F412" s="19"/>
      <c r="G412" s="19"/>
      <c r="H412" s="19"/>
    </row>
    <row r="413" spans="5:8" x14ac:dyDescent="0.35">
      <c r="E413" s="19"/>
      <c r="F413" s="19"/>
      <c r="G413" s="19"/>
      <c r="H413" s="19"/>
    </row>
    <row r="414" spans="5:8" x14ac:dyDescent="0.35">
      <c r="E414" s="19"/>
      <c r="F414" s="19"/>
      <c r="G414" s="19"/>
      <c r="H414" s="19"/>
    </row>
    <row r="415" spans="5:8" x14ac:dyDescent="0.35">
      <c r="E415" s="19"/>
      <c r="F415" s="19"/>
      <c r="G415" s="19"/>
      <c r="H415" s="19"/>
    </row>
    <row r="416" spans="5:8" x14ac:dyDescent="0.35">
      <c r="E416" s="19"/>
      <c r="F416" s="19"/>
      <c r="G416" s="19"/>
      <c r="H416" s="19"/>
    </row>
    <row r="417" spans="5:8" x14ac:dyDescent="0.35">
      <c r="E417" s="19"/>
      <c r="F417" s="19"/>
      <c r="G417" s="19"/>
      <c r="H417" s="19"/>
    </row>
    <row r="418" spans="5:8" x14ac:dyDescent="0.35">
      <c r="E418" s="19"/>
      <c r="F418" s="19"/>
      <c r="G418" s="19"/>
      <c r="H418" s="19"/>
    </row>
    <row r="419" spans="5:8" x14ac:dyDescent="0.35">
      <c r="E419" s="19"/>
      <c r="F419" s="19"/>
      <c r="G419" s="19"/>
      <c r="H419" s="19"/>
    </row>
    <row r="420" spans="5:8" x14ac:dyDescent="0.35">
      <c r="E420" s="19"/>
      <c r="F420" s="19"/>
      <c r="G420" s="19"/>
      <c r="H420" s="19"/>
    </row>
    <row r="421" spans="5:8" x14ac:dyDescent="0.35">
      <c r="E421" s="19"/>
      <c r="F421" s="19"/>
      <c r="G421" s="19"/>
      <c r="H421" s="19"/>
    </row>
    <row r="422" spans="5:8" x14ac:dyDescent="0.35">
      <c r="E422" s="19"/>
      <c r="F422" s="19"/>
      <c r="G422" s="19"/>
      <c r="H422" s="19"/>
    </row>
    <row r="423" spans="5:8" x14ac:dyDescent="0.35">
      <c r="E423" s="19"/>
      <c r="F423" s="19"/>
      <c r="G423" s="19"/>
      <c r="H423" s="19"/>
    </row>
    <row r="424" spans="5:8" x14ac:dyDescent="0.35">
      <c r="E424" s="19"/>
      <c r="F424" s="19"/>
      <c r="G424" s="19"/>
      <c r="H424" s="19"/>
    </row>
    <row r="425" spans="5:8" x14ac:dyDescent="0.35">
      <c r="E425" s="19"/>
      <c r="F425" s="19"/>
      <c r="G425" s="19"/>
      <c r="H425" s="19"/>
    </row>
    <row r="426" spans="5:8" x14ac:dyDescent="0.35">
      <c r="E426" s="19"/>
      <c r="F426" s="19"/>
      <c r="G426" s="19"/>
      <c r="H426" s="19"/>
    </row>
    <row r="427" spans="5:8" x14ac:dyDescent="0.35">
      <c r="E427" s="19"/>
      <c r="F427" s="19"/>
      <c r="G427" s="19"/>
      <c r="H427" s="19"/>
    </row>
    <row r="428" spans="5:8" x14ac:dyDescent="0.35">
      <c r="E428" s="19"/>
      <c r="F428" s="19"/>
      <c r="G428" s="19"/>
      <c r="H428" s="19"/>
    </row>
    <row r="429" spans="5:8" x14ac:dyDescent="0.35">
      <c r="E429" s="19"/>
      <c r="F429" s="19"/>
      <c r="G429" s="19"/>
      <c r="H429" s="19"/>
    </row>
    <row r="430" spans="5:8" x14ac:dyDescent="0.35">
      <c r="E430" s="19"/>
      <c r="F430" s="19"/>
      <c r="G430" s="19"/>
      <c r="H430" s="19"/>
    </row>
    <row r="431" spans="5:8" x14ac:dyDescent="0.35">
      <c r="E431" s="19"/>
      <c r="F431" s="19"/>
      <c r="G431" s="19"/>
      <c r="H431" s="19"/>
    </row>
    <row r="432" spans="5:8" x14ac:dyDescent="0.35">
      <c r="E432" s="19"/>
      <c r="F432" s="19"/>
      <c r="G432" s="19"/>
      <c r="H432" s="19"/>
    </row>
    <row r="433" spans="5:8" x14ac:dyDescent="0.35">
      <c r="E433" s="19"/>
      <c r="F433" s="19"/>
      <c r="G433" s="19"/>
      <c r="H433" s="19"/>
    </row>
    <row r="434" spans="5:8" x14ac:dyDescent="0.35">
      <c r="E434" s="19"/>
      <c r="F434" s="19"/>
      <c r="G434" s="19"/>
      <c r="H434" s="19"/>
    </row>
    <row r="435" spans="5:8" x14ac:dyDescent="0.35">
      <c r="E435" s="19"/>
      <c r="F435" s="19"/>
      <c r="G435" s="19"/>
      <c r="H435" s="19"/>
    </row>
    <row r="436" spans="5:8" x14ac:dyDescent="0.35">
      <c r="E436" s="19"/>
      <c r="F436" s="19"/>
      <c r="G436" s="19"/>
      <c r="H436" s="19"/>
    </row>
    <row r="437" spans="5:8" x14ac:dyDescent="0.35">
      <c r="E437" s="19"/>
      <c r="F437" s="19"/>
      <c r="G437" s="19"/>
      <c r="H437" s="19"/>
    </row>
    <row r="438" spans="5:8" x14ac:dyDescent="0.35">
      <c r="E438" s="19"/>
      <c r="F438" s="19"/>
      <c r="G438" s="19"/>
      <c r="H438" s="19"/>
    </row>
    <row r="439" spans="5:8" x14ac:dyDescent="0.35">
      <c r="E439" s="19"/>
      <c r="F439" s="19"/>
      <c r="G439" s="19"/>
      <c r="H439" s="19"/>
    </row>
    <row r="440" spans="5:8" x14ac:dyDescent="0.35">
      <c r="E440" s="19"/>
      <c r="F440" s="19"/>
      <c r="G440" s="19"/>
      <c r="H440" s="19"/>
    </row>
    <row r="441" spans="5:8" x14ac:dyDescent="0.35">
      <c r="E441" s="19"/>
      <c r="F441" s="19"/>
      <c r="G441" s="19"/>
      <c r="H441" s="19"/>
    </row>
    <row r="442" spans="5:8" x14ac:dyDescent="0.35">
      <c r="E442" s="19"/>
      <c r="F442" s="19"/>
      <c r="G442" s="19"/>
      <c r="H442" s="19"/>
    </row>
    <row r="443" spans="5:8" x14ac:dyDescent="0.35">
      <c r="E443" s="19"/>
      <c r="F443" s="19"/>
      <c r="G443" s="19"/>
      <c r="H443" s="19"/>
    </row>
    <row r="444" spans="5:8" x14ac:dyDescent="0.35">
      <c r="E444" s="19"/>
      <c r="F444" s="19"/>
      <c r="G444" s="19"/>
      <c r="H444" s="19"/>
    </row>
    <row r="445" spans="5:8" x14ac:dyDescent="0.35">
      <c r="E445" s="19"/>
      <c r="F445" s="19"/>
      <c r="G445" s="19"/>
      <c r="H445" s="19"/>
    </row>
    <row r="446" spans="5:8" x14ac:dyDescent="0.35">
      <c r="E446" s="19"/>
      <c r="F446" s="19"/>
      <c r="G446" s="19"/>
      <c r="H446" s="19"/>
    </row>
    <row r="447" spans="5:8" x14ac:dyDescent="0.35">
      <c r="E447" s="19"/>
      <c r="F447" s="19"/>
      <c r="G447" s="19"/>
      <c r="H447" s="19"/>
    </row>
    <row r="448" spans="5:8" x14ac:dyDescent="0.35">
      <c r="E448" s="19"/>
      <c r="F448" s="19"/>
      <c r="G448" s="19"/>
      <c r="H448" s="19"/>
    </row>
    <row r="449" spans="5:8" x14ac:dyDescent="0.35">
      <c r="E449" s="19"/>
      <c r="F449" s="19"/>
      <c r="G449" s="19"/>
      <c r="H449" s="19"/>
    </row>
    <row r="450" spans="5:8" x14ac:dyDescent="0.35">
      <c r="E450" s="19"/>
      <c r="F450" s="19"/>
      <c r="G450" s="19"/>
      <c r="H450" s="19"/>
    </row>
    <row r="451" spans="5:8" x14ac:dyDescent="0.35">
      <c r="E451" s="19"/>
      <c r="F451" s="19"/>
      <c r="G451" s="19"/>
      <c r="H451" s="19"/>
    </row>
    <row r="452" spans="5:8" x14ac:dyDescent="0.35">
      <c r="E452" s="19"/>
      <c r="F452" s="19"/>
      <c r="G452" s="19"/>
      <c r="H452" s="19"/>
    </row>
    <row r="453" spans="5:8" x14ac:dyDescent="0.35">
      <c r="E453" s="19"/>
      <c r="F453" s="19"/>
      <c r="G453" s="19"/>
      <c r="H453" s="19"/>
    </row>
    <row r="454" spans="5:8" x14ac:dyDescent="0.35">
      <c r="E454" s="19"/>
      <c r="F454" s="19"/>
      <c r="G454" s="19"/>
      <c r="H454" s="19"/>
    </row>
    <row r="455" spans="5:8" x14ac:dyDescent="0.35">
      <c r="E455" s="19"/>
      <c r="F455" s="19"/>
      <c r="G455" s="19"/>
      <c r="H455" s="19"/>
    </row>
    <row r="456" spans="5:8" x14ac:dyDescent="0.35">
      <c r="E456" s="19"/>
      <c r="F456" s="19"/>
      <c r="G456" s="19"/>
      <c r="H456" s="19"/>
    </row>
    <row r="457" spans="5:8" x14ac:dyDescent="0.35">
      <c r="E457" s="19"/>
      <c r="F457" s="19"/>
      <c r="G457" s="19"/>
      <c r="H457" s="19"/>
    </row>
    <row r="458" spans="5:8" x14ac:dyDescent="0.35">
      <c r="E458" s="19"/>
      <c r="F458" s="19"/>
      <c r="G458" s="19"/>
      <c r="H458" s="19"/>
    </row>
    <row r="459" spans="5:8" x14ac:dyDescent="0.35">
      <c r="E459" s="19"/>
      <c r="F459" s="19"/>
      <c r="G459" s="19"/>
      <c r="H459" s="19"/>
    </row>
    <row r="460" spans="5:8" x14ac:dyDescent="0.35">
      <c r="E460" s="19"/>
      <c r="F460" s="19"/>
      <c r="G460" s="19"/>
      <c r="H460" s="19"/>
    </row>
    <row r="461" spans="5:8" x14ac:dyDescent="0.35">
      <c r="E461" s="19"/>
      <c r="F461" s="19"/>
      <c r="G461" s="19"/>
      <c r="H461" s="19"/>
    </row>
    <row r="462" spans="5:8" x14ac:dyDescent="0.35">
      <c r="E462" s="19"/>
      <c r="F462" s="19"/>
      <c r="G462" s="19"/>
      <c r="H462" s="19"/>
    </row>
    <row r="463" spans="5:8" x14ac:dyDescent="0.35">
      <c r="E463" s="19"/>
      <c r="F463" s="19"/>
      <c r="G463" s="19"/>
      <c r="H463" s="19"/>
    </row>
    <row r="464" spans="5:8" x14ac:dyDescent="0.35">
      <c r="E464" s="19"/>
      <c r="F464" s="19"/>
      <c r="G464" s="19"/>
      <c r="H464" s="19"/>
    </row>
    <row r="465" spans="5:8" x14ac:dyDescent="0.35">
      <c r="E465" s="19"/>
      <c r="F465" s="19"/>
      <c r="G465" s="19"/>
      <c r="H465" s="19"/>
    </row>
    <row r="466" spans="5:8" x14ac:dyDescent="0.35">
      <c r="E466" s="19"/>
      <c r="F466" s="19"/>
      <c r="G466" s="19"/>
      <c r="H466" s="19"/>
    </row>
    <row r="467" spans="5:8" x14ac:dyDescent="0.35">
      <c r="E467" s="19"/>
      <c r="F467" s="19"/>
      <c r="G467" s="19"/>
      <c r="H467" s="19"/>
    </row>
    <row r="468" spans="5:8" x14ac:dyDescent="0.35">
      <c r="E468" s="19"/>
      <c r="F468" s="19"/>
      <c r="G468" s="19"/>
      <c r="H468" s="19"/>
    </row>
    <row r="469" spans="5:8" x14ac:dyDescent="0.35">
      <c r="E469" s="19"/>
      <c r="F469" s="19"/>
      <c r="G469" s="19"/>
      <c r="H469" s="19"/>
    </row>
    <row r="470" spans="5:8" x14ac:dyDescent="0.35">
      <c r="E470" s="19"/>
      <c r="F470" s="19"/>
      <c r="G470" s="19"/>
      <c r="H470" s="19"/>
    </row>
    <row r="471" spans="5:8" x14ac:dyDescent="0.35">
      <c r="E471" s="19"/>
      <c r="F471" s="19"/>
      <c r="G471" s="19"/>
      <c r="H471" s="19"/>
    </row>
    <row r="472" spans="5:8" x14ac:dyDescent="0.35">
      <c r="E472" s="19"/>
      <c r="F472" s="19"/>
      <c r="G472" s="19"/>
      <c r="H472" s="19"/>
    </row>
    <row r="473" spans="5:8" x14ac:dyDescent="0.35">
      <c r="E473" s="19"/>
      <c r="F473" s="19"/>
      <c r="G473" s="19"/>
      <c r="H473" s="19"/>
    </row>
    <row r="474" spans="5:8" x14ac:dyDescent="0.35">
      <c r="E474" s="19"/>
      <c r="F474" s="19"/>
      <c r="G474" s="19"/>
      <c r="H474" s="19"/>
    </row>
    <row r="475" spans="5:8" x14ac:dyDescent="0.35">
      <c r="E475" s="19"/>
      <c r="F475" s="19"/>
      <c r="G475" s="19"/>
      <c r="H475" s="19"/>
    </row>
    <row r="476" spans="5:8" x14ac:dyDescent="0.35">
      <c r="E476" s="19"/>
      <c r="F476" s="19"/>
      <c r="G476" s="19"/>
      <c r="H476" s="19"/>
    </row>
    <row r="477" spans="5:8" x14ac:dyDescent="0.35">
      <c r="E477" s="19"/>
      <c r="F477" s="19"/>
      <c r="G477" s="19"/>
      <c r="H477" s="19"/>
    </row>
    <row r="478" spans="5:8" x14ac:dyDescent="0.35">
      <c r="E478" s="19"/>
      <c r="F478" s="19"/>
      <c r="G478" s="19"/>
      <c r="H478" s="19"/>
    </row>
    <row r="479" spans="5:8" x14ac:dyDescent="0.35">
      <c r="E479" s="19"/>
      <c r="F479" s="19"/>
      <c r="G479" s="19"/>
      <c r="H479" s="19"/>
    </row>
    <row r="480" spans="5:8" x14ac:dyDescent="0.35">
      <c r="E480" s="19"/>
      <c r="F480" s="19"/>
      <c r="G480" s="19"/>
      <c r="H480" s="19"/>
    </row>
    <row r="481" spans="5:8" x14ac:dyDescent="0.35">
      <c r="E481" s="19"/>
      <c r="F481" s="19"/>
      <c r="G481" s="19"/>
      <c r="H481" s="19"/>
    </row>
    <row r="482" spans="5:8" x14ac:dyDescent="0.35">
      <c r="E482" s="19"/>
      <c r="F482" s="19"/>
      <c r="G482" s="19"/>
      <c r="H482" s="19"/>
    </row>
    <row r="483" spans="5:8" x14ac:dyDescent="0.35">
      <c r="E483" s="19"/>
      <c r="F483" s="19"/>
      <c r="G483" s="19"/>
      <c r="H483" s="19"/>
    </row>
    <row r="484" spans="5:8" x14ac:dyDescent="0.35">
      <c r="E484" s="19"/>
      <c r="F484" s="19"/>
      <c r="G484" s="19"/>
      <c r="H484" s="19"/>
    </row>
    <row r="485" spans="5:8" x14ac:dyDescent="0.35">
      <c r="E485" s="19"/>
      <c r="F485" s="19"/>
      <c r="G485" s="19"/>
      <c r="H485" s="19"/>
    </row>
    <row r="486" spans="5:8" x14ac:dyDescent="0.35">
      <c r="E486" s="19"/>
      <c r="F486" s="19"/>
      <c r="G486" s="19"/>
      <c r="H486" s="19"/>
    </row>
    <row r="487" spans="5:8" x14ac:dyDescent="0.35">
      <c r="E487" s="19"/>
      <c r="F487" s="19"/>
      <c r="G487" s="19"/>
      <c r="H487" s="19"/>
    </row>
    <row r="488" spans="5:8" x14ac:dyDescent="0.35">
      <c r="E488" s="19"/>
      <c r="F488" s="19"/>
      <c r="G488" s="19"/>
      <c r="H488" s="19"/>
    </row>
    <row r="489" spans="5:8" x14ac:dyDescent="0.35">
      <c r="E489" s="19"/>
      <c r="F489" s="19"/>
      <c r="G489" s="19"/>
      <c r="H489" s="19"/>
    </row>
    <row r="490" spans="5:8" x14ac:dyDescent="0.35">
      <c r="E490" s="19"/>
      <c r="F490" s="19"/>
      <c r="G490" s="19"/>
      <c r="H490" s="19"/>
    </row>
    <row r="491" spans="5:8" x14ac:dyDescent="0.35">
      <c r="E491" s="19"/>
      <c r="F491" s="19"/>
      <c r="G491" s="19"/>
      <c r="H491" s="19"/>
    </row>
    <row r="492" spans="5:8" x14ac:dyDescent="0.35">
      <c r="E492" s="19"/>
      <c r="F492" s="19"/>
      <c r="G492" s="19"/>
      <c r="H492" s="19"/>
    </row>
    <row r="493" spans="5:8" x14ac:dyDescent="0.35">
      <c r="E493" s="19"/>
      <c r="F493" s="19"/>
      <c r="G493" s="19"/>
      <c r="H493" s="19"/>
    </row>
    <row r="494" spans="5:8" x14ac:dyDescent="0.35">
      <c r="E494" s="19"/>
      <c r="F494" s="19"/>
      <c r="G494" s="19"/>
      <c r="H494" s="19"/>
    </row>
    <row r="495" spans="5:8" x14ac:dyDescent="0.35">
      <c r="E495" s="19"/>
      <c r="F495" s="19"/>
      <c r="G495" s="19"/>
      <c r="H495" s="19"/>
    </row>
    <row r="496" spans="5:8" x14ac:dyDescent="0.35">
      <c r="E496" s="19"/>
      <c r="F496" s="19"/>
      <c r="G496" s="19"/>
      <c r="H496" s="19"/>
    </row>
    <row r="497" spans="5:8" x14ac:dyDescent="0.35">
      <c r="E497" s="19"/>
      <c r="F497" s="19"/>
      <c r="G497" s="19"/>
      <c r="H497" s="19"/>
    </row>
    <row r="498" spans="5:8" x14ac:dyDescent="0.35">
      <c r="E498" s="19"/>
      <c r="F498" s="19"/>
      <c r="G498" s="19"/>
      <c r="H498" s="19"/>
    </row>
    <row r="499" spans="5:8" x14ac:dyDescent="0.35">
      <c r="E499" s="19"/>
      <c r="F499" s="19"/>
      <c r="G499" s="19"/>
      <c r="H499" s="19"/>
    </row>
    <row r="500" spans="5:8" x14ac:dyDescent="0.35">
      <c r="E500" s="19"/>
      <c r="F500" s="19"/>
      <c r="G500" s="19"/>
      <c r="H500" s="19"/>
    </row>
    <row r="501" spans="5:8" x14ac:dyDescent="0.35">
      <c r="E501" s="19"/>
      <c r="F501" s="19"/>
      <c r="G501" s="19"/>
      <c r="H501" s="19"/>
    </row>
    <row r="502" spans="5:8" x14ac:dyDescent="0.35">
      <c r="E502" s="19"/>
      <c r="F502" s="19"/>
      <c r="G502" s="19"/>
      <c r="H502" s="19"/>
    </row>
    <row r="503" spans="5:8" x14ac:dyDescent="0.35">
      <c r="E503" s="19"/>
      <c r="F503" s="19"/>
      <c r="G503" s="19"/>
      <c r="H503" s="19"/>
    </row>
    <row r="504" spans="5:8" x14ac:dyDescent="0.35">
      <c r="E504" s="19"/>
      <c r="F504" s="19"/>
      <c r="G504" s="19"/>
      <c r="H504" s="19"/>
    </row>
    <row r="505" spans="5:8" x14ac:dyDescent="0.35">
      <c r="E505" s="19"/>
      <c r="F505" s="19"/>
      <c r="G505" s="19"/>
      <c r="H505" s="19"/>
    </row>
    <row r="506" spans="5:8" x14ac:dyDescent="0.35">
      <c r="E506" s="19"/>
      <c r="F506" s="19"/>
      <c r="G506" s="19"/>
      <c r="H506" s="19"/>
    </row>
    <row r="507" spans="5:8" x14ac:dyDescent="0.35">
      <c r="E507" s="19"/>
      <c r="F507" s="19"/>
      <c r="G507" s="19"/>
      <c r="H507" s="19"/>
    </row>
    <row r="508" spans="5:8" x14ac:dyDescent="0.35">
      <c r="E508" s="19"/>
      <c r="F508" s="19"/>
      <c r="G508" s="19"/>
      <c r="H508" s="19"/>
    </row>
    <row r="509" spans="5:8" x14ac:dyDescent="0.35">
      <c r="E509" s="19"/>
      <c r="F509" s="19"/>
      <c r="G509" s="19"/>
      <c r="H509" s="19"/>
    </row>
    <row r="510" spans="5:8" x14ac:dyDescent="0.35">
      <c r="E510" s="19"/>
      <c r="F510" s="19"/>
      <c r="G510" s="19"/>
      <c r="H510" s="19"/>
    </row>
    <row r="511" spans="5:8" x14ac:dyDescent="0.35">
      <c r="E511" s="19"/>
      <c r="F511" s="19"/>
      <c r="G511" s="19"/>
      <c r="H511" s="19"/>
    </row>
    <row r="512" spans="5:8" x14ac:dyDescent="0.35">
      <c r="E512" s="19"/>
      <c r="F512" s="19"/>
      <c r="G512" s="19"/>
      <c r="H512" s="19"/>
    </row>
    <row r="513" spans="5:8" x14ac:dyDescent="0.35">
      <c r="E513" s="19"/>
      <c r="F513" s="19"/>
      <c r="G513" s="19"/>
      <c r="H513" s="19"/>
    </row>
    <row r="514" spans="5:8" x14ac:dyDescent="0.35">
      <c r="E514" s="19"/>
      <c r="F514" s="19"/>
      <c r="G514" s="19"/>
      <c r="H514" s="19"/>
    </row>
    <row r="515" spans="5:8" x14ac:dyDescent="0.35">
      <c r="E515" s="19"/>
      <c r="F515" s="19"/>
      <c r="G515" s="19"/>
      <c r="H515" s="19"/>
    </row>
    <row r="516" spans="5:8" x14ac:dyDescent="0.35">
      <c r="E516" s="19"/>
      <c r="F516" s="19"/>
      <c r="G516" s="19"/>
      <c r="H516" s="19"/>
    </row>
    <row r="517" spans="5:8" x14ac:dyDescent="0.35">
      <c r="E517" s="19"/>
      <c r="F517" s="19"/>
      <c r="G517" s="19"/>
      <c r="H517" s="19"/>
    </row>
    <row r="518" spans="5:8" x14ac:dyDescent="0.35">
      <c r="E518" s="19"/>
      <c r="F518" s="19"/>
      <c r="G518" s="19"/>
      <c r="H518" s="19"/>
    </row>
    <row r="519" spans="5:8" x14ac:dyDescent="0.35">
      <c r="E519" s="19"/>
      <c r="F519" s="19"/>
      <c r="G519" s="19"/>
      <c r="H519" s="19"/>
    </row>
    <row r="520" spans="5:8" x14ac:dyDescent="0.35">
      <c r="E520" s="19"/>
      <c r="F520" s="19"/>
      <c r="G520" s="19"/>
      <c r="H520" s="19"/>
    </row>
    <row r="521" spans="5:8" x14ac:dyDescent="0.35">
      <c r="E521" s="19"/>
      <c r="F521" s="19"/>
      <c r="G521" s="19"/>
      <c r="H521" s="19"/>
    </row>
    <row r="522" spans="5:8" x14ac:dyDescent="0.35">
      <c r="E522" s="19"/>
      <c r="F522" s="19"/>
      <c r="G522" s="19"/>
      <c r="H522" s="19"/>
    </row>
    <row r="523" spans="5:8" x14ac:dyDescent="0.35">
      <c r="E523" s="19"/>
      <c r="F523" s="19"/>
      <c r="G523" s="19"/>
      <c r="H523" s="19"/>
    </row>
    <row r="524" spans="5:8" x14ac:dyDescent="0.35">
      <c r="E524" s="19"/>
      <c r="F524" s="19"/>
      <c r="G524" s="19"/>
      <c r="H524" s="19"/>
    </row>
    <row r="525" spans="5:8" x14ac:dyDescent="0.35">
      <c r="E525" s="19"/>
      <c r="F525" s="19"/>
      <c r="G525" s="19"/>
      <c r="H525" s="19"/>
    </row>
    <row r="526" spans="5:8" x14ac:dyDescent="0.35">
      <c r="E526" s="19"/>
      <c r="F526" s="19"/>
      <c r="G526" s="19"/>
      <c r="H526" s="19"/>
    </row>
    <row r="527" spans="5:8" x14ac:dyDescent="0.35">
      <c r="E527" s="19"/>
      <c r="F527" s="19"/>
      <c r="G527" s="19"/>
      <c r="H527" s="19"/>
    </row>
    <row r="528" spans="5:8" x14ac:dyDescent="0.35">
      <c r="E528" s="19"/>
      <c r="F528" s="19"/>
      <c r="G528" s="19"/>
      <c r="H528" s="19"/>
    </row>
    <row r="529" spans="5:8" x14ac:dyDescent="0.35">
      <c r="E529" s="19"/>
      <c r="F529" s="19"/>
      <c r="G529" s="19"/>
      <c r="H529" s="19"/>
    </row>
    <row r="530" spans="5:8" x14ac:dyDescent="0.35">
      <c r="E530" s="19"/>
      <c r="F530" s="19"/>
      <c r="G530" s="19"/>
      <c r="H530" s="19"/>
    </row>
    <row r="531" spans="5:8" x14ac:dyDescent="0.35">
      <c r="E531" s="19"/>
      <c r="F531" s="19"/>
      <c r="G531" s="19"/>
      <c r="H531" s="19"/>
    </row>
    <row r="532" spans="5:8" x14ac:dyDescent="0.35">
      <c r="E532" s="19"/>
      <c r="F532" s="19"/>
      <c r="G532" s="19"/>
      <c r="H532" s="19"/>
    </row>
    <row r="533" spans="5:8" x14ac:dyDescent="0.35">
      <c r="E533" s="19"/>
      <c r="F533" s="19"/>
      <c r="G533" s="19"/>
      <c r="H533" s="19"/>
    </row>
    <row r="534" spans="5:8" x14ac:dyDescent="0.35">
      <c r="E534" s="19"/>
      <c r="F534" s="19"/>
      <c r="G534" s="19"/>
      <c r="H534" s="19"/>
    </row>
    <row r="535" spans="5:8" x14ac:dyDescent="0.35">
      <c r="E535" s="19"/>
      <c r="F535" s="19"/>
      <c r="G535" s="19"/>
      <c r="H535" s="19"/>
    </row>
    <row r="536" spans="5:8" x14ac:dyDescent="0.35">
      <c r="E536" s="19"/>
      <c r="F536" s="19"/>
      <c r="G536" s="19"/>
      <c r="H536" s="19"/>
    </row>
    <row r="537" spans="5:8" x14ac:dyDescent="0.35">
      <c r="E537" s="19"/>
      <c r="F537" s="19"/>
      <c r="G537" s="19"/>
      <c r="H537" s="19"/>
    </row>
    <row r="538" spans="5:8" x14ac:dyDescent="0.35">
      <c r="E538" s="19"/>
      <c r="F538" s="19"/>
      <c r="G538" s="19"/>
      <c r="H538" s="19"/>
    </row>
    <row r="539" spans="5:8" x14ac:dyDescent="0.35">
      <c r="E539" s="19"/>
      <c r="F539" s="19"/>
      <c r="G539" s="19"/>
      <c r="H539" s="19"/>
    </row>
    <row r="540" spans="5:8" x14ac:dyDescent="0.35">
      <c r="E540" s="19"/>
      <c r="F540" s="19"/>
      <c r="G540" s="19"/>
      <c r="H540" s="19"/>
    </row>
    <row r="541" spans="5:8" x14ac:dyDescent="0.35">
      <c r="E541" s="19"/>
      <c r="F541" s="19"/>
      <c r="G541" s="19"/>
      <c r="H541" s="19"/>
    </row>
    <row r="542" spans="5:8" x14ac:dyDescent="0.35">
      <c r="E542" s="19"/>
      <c r="F542" s="19"/>
      <c r="G542" s="19"/>
      <c r="H542" s="19"/>
    </row>
    <row r="543" spans="5:8" x14ac:dyDescent="0.35">
      <c r="E543" s="19"/>
      <c r="F543" s="19"/>
      <c r="G543" s="19"/>
      <c r="H543" s="19"/>
    </row>
    <row r="544" spans="5:8" x14ac:dyDescent="0.35">
      <c r="E544" s="19"/>
      <c r="F544" s="19"/>
      <c r="G544" s="19"/>
      <c r="H544" s="19"/>
    </row>
    <row r="545" spans="5:8" x14ac:dyDescent="0.35">
      <c r="E545" s="19"/>
      <c r="F545" s="19"/>
      <c r="G545" s="19"/>
      <c r="H545" s="19"/>
    </row>
    <row r="546" spans="5:8" x14ac:dyDescent="0.35">
      <c r="E546" s="19"/>
      <c r="F546" s="19"/>
      <c r="G546" s="19"/>
      <c r="H546" s="19"/>
    </row>
    <row r="547" spans="5:8" x14ac:dyDescent="0.35">
      <c r="E547" s="19"/>
      <c r="F547" s="19"/>
      <c r="G547" s="19"/>
      <c r="H547" s="19"/>
    </row>
    <row r="548" spans="5:8" x14ac:dyDescent="0.35">
      <c r="E548" s="19"/>
      <c r="F548" s="19"/>
      <c r="G548" s="19"/>
      <c r="H548" s="19"/>
    </row>
    <row r="549" spans="5:8" x14ac:dyDescent="0.35">
      <c r="E549" s="19"/>
      <c r="F549" s="19"/>
      <c r="G549" s="19"/>
      <c r="H549" s="19"/>
    </row>
    <row r="550" spans="5:8" x14ac:dyDescent="0.35">
      <c r="E550" s="19"/>
      <c r="F550" s="19"/>
      <c r="G550" s="19"/>
      <c r="H550" s="19"/>
    </row>
    <row r="551" spans="5:8" x14ac:dyDescent="0.35">
      <c r="E551" s="19"/>
      <c r="F551" s="19"/>
      <c r="G551" s="19"/>
      <c r="H551" s="19"/>
    </row>
    <row r="552" spans="5:8" x14ac:dyDescent="0.35">
      <c r="E552" s="19"/>
      <c r="F552" s="19"/>
      <c r="G552" s="19"/>
      <c r="H552" s="19"/>
    </row>
    <row r="553" spans="5:8" x14ac:dyDescent="0.35">
      <c r="E553" s="19"/>
      <c r="F553" s="19"/>
      <c r="G553" s="19"/>
      <c r="H553" s="19"/>
    </row>
    <row r="554" spans="5:8" x14ac:dyDescent="0.35">
      <c r="E554" s="19"/>
      <c r="F554" s="19"/>
      <c r="G554" s="19"/>
      <c r="H554" s="19"/>
    </row>
    <row r="555" spans="5:8" x14ac:dyDescent="0.35">
      <c r="E555" s="19"/>
      <c r="F555" s="19"/>
      <c r="G555" s="19"/>
      <c r="H555" s="19"/>
    </row>
    <row r="556" spans="5:8" x14ac:dyDescent="0.35">
      <c r="E556" s="19"/>
      <c r="F556" s="19"/>
      <c r="G556" s="19"/>
      <c r="H556" s="19"/>
    </row>
    <row r="557" spans="5:8" x14ac:dyDescent="0.35">
      <c r="E557" s="19"/>
      <c r="F557" s="19"/>
      <c r="G557" s="19"/>
      <c r="H557" s="19"/>
    </row>
    <row r="558" spans="5:8" x14ac:dyDescent="0.35">
      <c r="E558" s="19"/>
      <c r="F558" s="19"/>
      <c r="G558" s="19"/>
      <c r="H558" s="19"/>
    </row>
    <row r="559" spans="5:8" x14ac:dyDescent="0.35">
      <c r="E559" s="19"/>
      <c r="F559" s="19"/>
      <c r="G559" s="19"/>
      <c r="H559" s="19"/>
    </row>
    <row r="560" spans="5:8" x14ac:dyDescent="0.35">
      <c r="E560" s="19"/>
      <c r="F560" s="19"/>
      <c r="G560" s="19"/>
      <c r="H560" s="19"/>
    </row>
    <row r="561" spans="5:8" x14ac:dyDescent="0.35">
      <c r="E561" s="19"/>
      <c r="F561" s="19"/>
      <c r="G561" s="19"/>
      <c r="H561" s="19"/>
    </row>
    <row r="562" spans="5:8" x14ac:dyDescent="0.35">
      <c r="E562" s="19"/>
      <c r="F562" s="19"/>
      <c r="G562" s="19"/>
      <c r="H562" s="19"/>
    </row>
    <row r="563" spans="5:8" x14ac:dyDescent="0.35">
      <c r="E563" s="19"/>
      <c r="F563" s="19"/>
      <c r="G563" s="19"/>
      <c r="H563" s="19"/>
    </row>
    <row r="564" spans="5:8" x14ac:dyDescent="0.35">
      <c r="E564" s="19"/>
      <c r="F564" s="19"/>
      <c r="G564" s="19"/>
      <c r="H564" s="19"/>
    </row>
    <row r="565" spans="5:8" x14ac:dyDescent="0.35">
      <c r="E565" s="19"/>
      <c r="F565" s="19"/>
      <c r="G565" s="19"/>
      <c r="H565" s="19"/>
    </row>
    <row r="566" spans="5:8" x14ac:dyDescent="0.35">
      <c r="E566" s="19"/>
      <c r="F566" s="19"/>
      <c r="G566" s="19"/>
      <c r="H566" s="19"/>
    </row>
    <row r="567" spans="5:8" x14ac:dyDescent="0.35">
      <c r="E567" s="19"/>
      <c r="F567" s="19"/>
      <c r="G567" s="19"/>
      <c r="H567" s="19"/>
    </row>
    <row r="568" spans="5:8" x14ac:dyDescent="0.35">
      <c r="E568" s="19"/>
      <c r="F568" s="19"/>
      <c r="G568" s="19"/>
      <c r="H568" s="19"/>
    </row>
    <row r="569" spans="5:8" x14ac:dyDescent="0.35">
      <c r="E569" s="19"/>
      <c r="F569" s="19"/>
      <c r="G569" s="19"/>
      <c r="H569" s="19"/>
    </row>
    <row r="570" spans="5:8" x14ac:dyDescent="0.35">
      <c r="E570" s="19"/>
      <c r="F570" s="19"/>
      <c r="G570" s="19"/>
      <c r="H570" s="19"/>
    </row>
    <row r="571" spans="5:8" x14ac:dyDescent="0.35">
      <c r="E571" s="19"/>
      <c r="F571" s="19"/>
      <c r="G571" s="19"/>
      <c r="H571" s="19"/>
    </row>
    <row r="572" spans="5:8" x14ac:dyDescent="0.35">
      <c r="E572" s="19"/>
      <c r="F572" s="19"/>
      <c r="G572" s="19"/>
      <c r="H572" s="19"/>
    </row>
    <row r="573" spans="5:8" x14ac:dyDescent="0.35">
      <c r="E573" s="19"/>
      <c r="F573" s="19"/>
      <c r="G573" s="19"/>
      <c r="H573" s="19"/>
    </row>
    <row r="574" spans="5:8" x14ac:dyDescent="0.35">
      <c r="E574" s="19"/>
      <c r="F574" s="19"/>
      <c r="G574" s="19"/>
      <c r="H574" s="19"/>
    </row>
    <row r="575" spans="5:8" x14ac:dyDescent="0.35">
      <c r="E575" s="19"/>
      <c r="F575" s="19"/>
      <c r="G575" s="19"/>
      <c r="H575" s="19"/>
    </row>
    <row r="576" spans="5:8" x14ac:dyDescent="0.35">
      <c r="E576" s="19"/>
      <c r="F576" s="19"/>
      <c r="G576" s="19"/>
      <c r="H576" s="19"/>
    </row>
    <row r="577" spans="5:8" x14ac:dyDescent="0.35">
      <c r="E577" s="19"/>
      <c r="F577" s="19"/>
      <c r="G577" s="19"/>
      <c r="H577" s="19"/>
    </row>
    <row r="578" spans="5:8" x14ac:dyDescent="0.35">
      <c r="E578" s="19"/>
      <c r="F578" s="19"/>
      <c r="G578" s="19"/>
      <c r="H578" s="19"/>
    </row>
    <row r="579" spans="5:8" x14ac:dyDescent="0.35">
      <c r="E579" s="19"/>
      <c r="F579" s="19"/>
      <c r="G579" s="19"/>
      <c r="H579" s="19"/>
    </row>
    <row r="580" spans="5:8" x14ac:dyDescent="0.35">
      <c r="E580" s="19"/>
      <c r="F580" s="19"/>
      <c r="G580" s="19"/>
      <c r="H580" s="19"/>
    </row>
    <row r="581" spans="5:8" x14ac:dyDescent="0.35">
      <c r="E581" s="19"/>
      <c r="F581" s="19"/>
      <c r="G581" s="19"/>
      <c r="H581" s="19"/>
    </row>
    <row r="582" spans="5:8" x14ac:dyDescent="0.35">
      <c r="E582" s="19"/>
      <c r="F582" s="19"/>
      <c r="G582" s="19"/>
      <c r="H582" s="19"/>
    </row>
    <row r="583" spans="5:8" x14ac:dyDescent="0.35">
      <c r="E583" s="19"/>
      <c r="F583" s="19"/>
      <c r="G583" s="19"/>
      <c r="H583" s="19"/>
    </row>
    <row r="584" spans="5:8" x14ac:dyDescent="0.35">
      <c r="E584" s="19"/>
      <c r="F584" s="19"/>
      <c r="G584" s="19"/>
      <c r="H584" s="19"/>
    </row>
    <row r="585" spans="5:8" x14ac:dyDescent="0.35">
      <c r="E585" s="19"/>
      <c r="F585" s="19"/>
      <c r="G585" s="19"/>
      <c r="H585" s="19"/>
    </row>
    <row r="586" spans="5:8" x14ac:dyDescent="0.35">
      <c r="E586" s="19"/>
      <c r="F586" s="19"/>
      <c r="G586" s="19"/>
      <c r="H586" s="19"/>
    </row>
    <row r="587" spans="5:8" x14ac:dyDescent="0.35">
      <c r="E587" s="19"/>
      <c r="F587" s="19"/>
      <c r="G587" s="19"/>
      <c r="H587" s="19"/>
    </row>
    <row r="588" spans="5:8" x14ac:dyDescent="0.35">
      <c r="E588" s="19"/>
      <c r="F588" s="19"/>
      <c r="G588" s="19"/>
      <c r="H588" s="19"/>
    </row>
    <row r="589" spans="5:8" x14ac:dyDescent="0.35">
      <c r="E589" s="19"/>
      <c r="F589" s="19"/>
      <c r="G589" s="19"/>
      <c r="H589" s="19"/>
    </row>
    <row r="590" spans="5:8" x14ac:dyDescent="0.35">
      <c r="E590" s="19"/>
      <c r="F590" s="19"/>
      <c r="G590" s="19"/>
      <c r="H590" s="19"/>
    </row>
    <row r="591" spans="5:8" x14ac:dyDescent="0.35">
      <c r="E591" s="19"/>
      <c r="F591" s="19"/>
      <c r="G591" s="19"/>
      <c r="H591" s="19"/>
    </row>
    <row r="592" spans="5:8" x14ac:dyDescent="0.35">
      <c r="E592" s="19"/>
      <c r="F592" s="19"/>
      <c r="G592" s="19"/>
      <c r="H592" s="19"/>
    </row>
    <row r="593" spans="5:8" x14ac:dyDescent="0.35">
      <c r="E593" s="19"/>
      <c r="F593" s="19"/>
      <c r="G593" s="19"/>
      <c r="H593" s="19"/>
    </row>
    <row r="594" spans="5:8" x14ac:dyDescent="0.35">
      <c r="E594" s="19"/>
      <c r="F594" s="19"/>
      <c r="G594" s="19"/>
      <c r="H594" s="19"/>
    </row>
    <row r="595" spans="5:8" x14ac:dyDescent="0.35">
      <c r="E595" s="19"/>
      <c r="F595" s="19"/>
      <c r="G595" s="19"/>
      <c r="H595" s="19"/>
    </row>
    <row r="596" spans="5:8" x14ac:dyDescent="0.35">
      <c r="E596" s="19"/>
      <c r="F596" s="19"/>
      <c r="G596" s="19"/>
      <c r="H596" s="19"/>
    </row>
    <row r="597" spans="5:8" x14ac:dyDescent="0.35">
      <c r="E597" s="19"/>
      <c r="F597" s="19"/>
      <c r="G597" s="19"/>
      <c r="H597" s="19"/>
    </row>
    <row r="598" spans="5:8" x14ac:dyDescent="0.35">
      <c r="E598" s="19"/>
      <c r="F598" s="19"/>
      <c r="G598" s="19"/>
      <c r="H598" s="19"/>
    </row>
    <row r="599" spans="5:8" x14ac:dyDescent="0.35">
      <c r="E599" s="19"/>
      <c r="F599" s="19"/>
      <c r="G599" s="19"/>
      <c r="H599" s="19"/>
    </row>
    <row r="600" spans="5:8" x14ac:dyDescent="0.35">
      <c r="E600" s="19"/>
      <c r="F600" s="19"/>
      <c r="G600" s="19"/>
      <c r="H600" s="19"/>
    </row>
    <row r="601" spans="5:8" x14ac:dyDescent="0.35">
      <c r="E601" s="19"/>
      <c r="F601" s="19"/>
      <c r="G601" s="19"/>
      <c r="H601" s="19"/>
    </row>
    <row r="602" spans="5:8" x14ac:dyDescent="0.35">
      <c r="E602" s="19"/>
      <c r="F602" s="19"/>
      <c r="G602" s="19"/>
      <c r="H602" s="19"/>
    </row>
    <row r="603" spans="5:8" x14ac:dyDescent="0.35">
      <c r="E603" s="19"/>
      <c r="F603" s="19"/>
      <c r="G603" s="19"/>
      <c r="H603" s="19"/>
    </row>
    <row r="604" spans="5:8" x14ac:dyDescent="0.35">
      <c r="E604" s="19"/>
      <c r="F604" s="19"/>
      <c r="G604" s="19"/>
      <c r="H604" s="19"/>
    </row>
    <row r="605" spans="5:8" x14ac:dyDescent="0.35">
      <c r="E605" s="19"/>
      <c r="F605" s="19"/>
      <c r="G605" s="19"/>
      <c r="H605" s="19"/>
    </row>
    <row r="606" spans="5:8" x14ac:dyDescent="0.35">
      <c r="E606" s="19"/>
      <c r="F606" s="19"/>
      <c r="G606" s="19"/>
      <c r="H606" s="19"/>
    </row>
    <row r="607" spans="5:8" x14ac:dyDescent="0.35">
      <c r="E607" s="19"/>
      <c r="F607" s="19"/>
      <c r="G607" s="19"/>
      <c r="H607" s="19"/>
    </row>
    <row r="608" spans="5:8" x14ac:dyDescent="0.35">
      <c r="E608" s="19"/>
      <c r="F608" s="19"/>
      <c r="G608" s="19"/>
      <c r="H608" s="19"/>
    </row>
    <row r="609" spans="5:8" x14ac:dyDescent="0.35">
      <c r="E609" s="19"/>
      <c r="F609" s="19"/>
      <c r="G609" s="19"/>
      <c r="H609" s="19"/>
    </row>
    <row r="610" spans="5:8" x14ac:dyDescent="0.35">
      <c r="E610" s="19"/>
      <c r="F610" s="19"/>
      <c r="G610" s="19"/>
      <c r="H610" s="19"/>
    </row>
    <row r="611" spans="5:8" x14ac:dyDescent="0.35">
      <c r="E611" s="19"/>
      <c r="F611" s="19"/>
      <c r="G611" s="19"/>
      <c r="H611" s="19"/>
    </row>
    <row r="612" spans="5:8" x14ac:dyDescent="0.35">
      <c r="E612" s="19"/>
      <c r="F612" s="19"/>
      <c r="G612" s="19"/>
      <c r="H612" s="19"/>
    </row>
    <row r="613" spans="5:8" x14ac:dyDescent="0.35">
      <c r="E613" s="19"/>
      <c r="F613" s="19"/>
      <c r="G613" s="19"/>
      <c r="H613" s="19"/>
    </row>
    <row r="614" spans="5:8" x14ac:dyDescent="0.35">
      <c r="E614" s="19"/>
      <c r="F614" s="19"/>
      <c r="G614" s="19"/>
      <c r="H614" s="19"/>
    </row>
    <row r="615" spans="5:8" x14ac:dyDescent="0.35">
      <c r="E615" s="19"/>
      <c r="F615" s="19"/>
      <c r="G615" s="19"/>
      <c r="H615" s="19"/>
    </row>
    <row r="616" spans="5:8" x14ac:dyDescent="0.35">
      <c r="E616" s="19"/>
      <c r="F616" s="19"/>
      <c r="G616" s="19"/>
      <c r="H616" s="19"/>
    </row>
    <row r="617" spans="5:8" x14ac:dyDescent="0.35">
      <c r="E617" s="19"/>
      <c r="F617" s="19"/>
      <c r="G617" s="19"/>
      <c r="H617" s="19"/>
    </row>
    <row r="618" spans="5:8" x14ac:dyDescent="0.35">
      <c r="E618" s="19"/>
      <c r="F618" s="19"/>
      <c r="G618" s="19"/>
      <c r="H618" s="19"/>
    </row>
    <row r="619" spans="5:8" x14ac:dyDescent="0.35">
      <c r="E619" s="19"/>
      <c r="F619" s="19"/>
      <c r="G619" s="19"/>
      <c r="H619" s="19"/>
    </row>
    <row r="620" spans="5:8" x14ac:dyDescent="0.35">
      <c r="E620" s="19"/>
      <c r="F620" s="19"/>
      <c r="G620" s="19"/>
      <c r="H620" s="19"/>
    </row>
    <row r="621" spans="5:8" x14ac:dyDescent="0.35">
      <c r="E621" s="19"/>
      <c r="F621" s="19"/>
      <c r="G621" s="19"/>
      <c r="H621" s="19"/>
    </row>
    <row r="622" spans="5:8" x14ac:dyDescent="0.35">
      <c r="E622" s="19"/>
      <c r="F622" s="19"/>
      <c r="G622" s="19"/>
      <c r="H622" s="19"/>
    </row>
    <row r="623" spans="5:8" x14ac:dyDescent="0.35">
      <c r="E623" s="19"/>
      <c r="F623" s="19"/>
      <c r="G623" s="19"/>
      <c r="H623" s="19"/>
    </row>
    <row r="624" spans="5:8" x14ac:dyDescent="0.35">
      <c r="E624" s="19"/>
      <c r="F624" s="19"/>
      <c r="G624" s="19"/>
      <c r="H624" s="19"/>
    </row>
    <row r="625" spans="5:8" x14ac:dyDescent="0.35">
      <c r="E625" s="19"/>
      <c r="F625" s="19"/>
      <c r="G625" s="19"/>
      <c r="H625" s="19"/>
    </row>
    <row r="626" spans="5:8" x14ac:dyDescent="0.35">
      <c r="E626" s="19"/>
      <c r="F626" s="19"/>
      <c r="G626" s="19"/>
      <c r="H626" s="19"/>
    </row>
    <row r="627" spans="5:8" x14ac:dyDescent="0.35">
      <c r="E627" s="19"/>
      <c r="F627" s="19"/>
      <c r="G627" s="19"/>
      <c r="H627" s="19"/>
    </row>
    <row r="628" spans="5:8" x14ac:dyDescent="0.35">
      <c r="E628" s="19"/>
      <c r="F628" s="19"/>
      <c r="G628" s="19"/>
      <c r="H628" s="19"/>
    </row>
    <row r="629" spans="5:8" x14ac:dyDescent="0.35">
      <c r="E629" s="19"/>
      <c r="F629" s="19"/>
      <c r="G629" s="19"/>
      <c r="H629" s="19"/>
    </row>
    <row r="630" spans="5:8" x14ac:dyDescent="0.35">
      <c r="E630" s="19"/>
      <c r="F630" s="19"/>
      <c r="G630" s="19"/>
      <c r="H630" s="19"/>
    </row>
    <row r="631" spans="5:8" x14ac:dyDescent="0.35">
      <c r="E631" s="19"/>
      <c r="F631" s="19"/>
      <c r="G631" s="19"/>
      <c r="H631" s="19"/>
    </row>
    <row r="632" spans="5:8" x14ac:dyDescent="0.35">
      <c r="E632" s="19"/>
      <c r="F632" s="19"/>
      <c r="G632" s="19"/>
      <c r="H632" s="19"/>
    </row>
    <row r="633" spans="5:8" x14ac:dyDescent="0.35">
      <c r="E633" s="19"/>
      <c r="F633" s="19"/>
      <c r="G633" s="19"/>
      <c r="H633" s="19"/>
    </row>
    <row r="634" spans="5:8" x14ac:dyDescent="0.35">
      <c r="E634" s="19"/>
      <c r="F634" s="19"/>
      <c r="G634" s="19"/>
      <c r="H634" s="19"/>
    </row>
    <row r="635" spans="5:8" x14ac:dyDescent="0.35">
      <c r="E635" s="19"/>
      <c r="F635" s="19"/>
      <c r="G635" s="19"/>
      <c r="H635" s="19"/>
    </row>
    <row r="636" spans="5:8" x14ac:dyDescent="0.35">
      <c r="E636" s="19"/>
      <c r="F636" s="19"/>
      <c r="G636" s="19"/>
      <c r="H636" s="19"/>
    </row>
    <row r="637" spans="5:8" x14ac:dyDescent="0.35">
      <c r="E637" s="19"/>
      <c r="F637" s="19"/>
      <c r="G637" s="19"/>
      <c r="H637" s="19"/>
    </row>
    <row r="638" spans="5:8" x14ac:dyDescent="0.35">
      <c r="E638" s="19"/>
      <c r="F638" s="19"/>
      <c r="G638" s="19"/>
      <c r="H638" s="19"/>
    </row>
    <row r="639" spans="5:8" x14ac:dyDescent="0.35">
      <c r="E639" s="19"/>
      <c r="F639" s="19"/>
      <c r="G639" s="19"/>
      <c r="H639" s="19"/>
    </row>
    <row r="640" spans="5:8" x14ac:dyDescent="0.35">
      <c r="E640" s="19"/>
      <c r="F640" s="19"/>
      <c r="G640" s="19"/>
      <c r="H640" s="19"/>
    </row>
    <row r="641" spans="5:8" x14ac:dyDescent="0.35">
      <c r="E641" s="19"/>
      <c r="F641" s="19"/>
      <c r="G641" s="19"/>
      <c r="H641" s="19"/>
    </row>
    <row r="642" spans="5:8" x14ac:dyDescent="0.35">
      <c r="E642" s="19"/>
      <c r="F642" s="19"/>
      <c r="G642" s="19"/>
      <c r="H642" s="19"/>
    </row>
    <row r="643" spans="5:8" x14ac:dyDescent="0.35">
      <c r="E643" s="19"/>
      <c r="F643" s="19"/>
      <c r="G643" s="19"/>
      <c r="H643" s="19"/>
    </row>
    <row r="644" spans="5:8" x14ac:dyDescent="0.35">
      <c r="E644" s="19"/>
      <c r="F644" s="19"/>
      <c r="G644" s="19"/>
      <c r="H644" s="19"/>
    </row>
    <row r="645" spans="5:8" x14ac:dyDescent="0.35">
      <c r="E645" s="19"/>
      <c r="F645" s="19"/>
      <c r="G645" s="19"/>
      <c r="H645" s="19"/>
    </row>
    <row r="646" spans="5:8" x14ac:dyDescent="0.35">
      <c r="E646" s="19"/>
      <c r="F646" s="19"/>
      <c r="G646" s="19"/>
      <c r="H646" s="19"/>
    </row>
    <row r="647" spans="5:8" x14ac:dyDescent="0.35">
      <c r="E647" s="19"/>
      <c r="F647" s="19"/>
      <c r="G647" s="19"/>
      <c r="H647" s="19"/>
    </row>
    <row r="648" spans="5:8" x14ac:dyDescent="0.35">
      <c r="E648" s="19"/>
      <c r="F648" s="19"/>
      <c r="G648" s="19"/>
      <c r="H648" s="19"/>
    </row>
    <row r="649" spans="5:8" x14ac:dyDescent="0.35">
      <c r="E649" s="19"/>
      <c r="F649" s="19"/>
      <c r="G649" s="19"/>
      <c r="H649" s="19"/>
    </row>
    <row r="650" spans="5:8" x14ac:dyDescent="0.35">
      <c r="E650" s="19"/>
      <c r="F650" s="19"/>
      <c r="G650" s="19"/>
      <c r="H650" s="19"/>
    </row>
    <row r="651" spans="5:8" x14ac:dyDescent="0.35">
      <c r="E651" s="19"/>
      <c r="F651" s="19"/>
      <c r="G651" s="19"/>
      <c r="H651" s="19"/>
    </row>
    <row r="652" spans="5:8" x14ac:dyDescent="0.35">
      <c r="E652" s="19"/>
      <c r="F652" s="19"/>
      <c r="G652" s="19"/>
      <c r="H652" s="19"/>
    </row>
    <row r="653" spans="5:8" x14ac:dyDescent="0.35">
      <c r="E653" s="19"/>
      <c r="F653" s="19"/>
      <c r="G653" s="19"/>
      <c r="H653" s="19"/>
    </row>
    <row r="654" spans="5:8" x14ac:dyDescent="0.35">
      <c r="E654" s="19"/>
      <c r="F654" s="19"/>
      <c r="G654" s="19"/>
      <c r="H654" s="19"/>
    </row>
    <row r="655" spans="5:8" x14ac:dyDescent="0.35">
      <c r="E655" s="19"/>
      <c r="F655" s="19"/>
      <c r="G655" s="19"/>
      <c r="H655" s="19"/>
    </row>
    <row r="656" spans="5:8" x14ac:dyDescent="0.35">
      <c r="E656" s="19"/>
      <c r="F656" s="19"/>
      <c r="G656" s="19"/>
      <c r="H656" s="19"/>
    </row>
    <row r="657" spans="5:8" x14ac:dyDescent="0.35">
      <c r="E657" s="19"/>
      <c r="F657" s="19"/>
      <c r="G657" s="19"/>
      <c r="H657" s="19"/>
    </row>
    <row r="658" spans="5:8" x14ac:dyDescent="0.35">
      <c r="E658" s="19"/>
      <c r="F658" s="19"/>
      <c r="G658" s="19"/>
      <c r="H658" s="19"/>
    </row>
    <row r="659" spans="5:8" x14ac:dyDescent="0.35">
      <c r="E659" s="19"/>
      <c r="F659" s="19"/>
      <c r="G659" s="19"/>
      <c r="H659" s="19"/>
    </row>
    <row r="660" spans="5:8" x14ac:dyDescent="0.35">
      <c r="E660" s="19"/>
      <c r="F660" s="19"/>
      <c r="G660" s="19"/>
      <c r="H660" s="19"/>
    </row>
    <row r="661" spans="5:8" x14ac:dyDescent="0.35">
      <c r="E661" s="19"/>
      <c r="F661" s="19"/>
      <c r="G661" s="19"/>
      <c r="H661" s="19"/>
    </row>
    <row r="662" spans="5:8" x14ac:dyDescent="0.35">
      <c r="E662" s="19"/>
      <c r="F662" s="19"/>
      <c r="G662" s="19"/>
      <c r="H662" s="19"/>
    </row>
    <row r="663" spans="5:8" x14ac:dyDescent="0.35">
      <c r="E663" s="19"/>
      <c r="F663" s="19"/>
      <c r="G663" s="19"/>
      <c r="H663" s="19"/>
    </row>
    <row r="664" spans="5:8" x14ac:dyDescent="0.35">
      <c r="E664" s="19"/>
      <c r="F664" s="19"/>
      <c r="G664" s="19"/>
      <c r="H664" s="19"/>
    </row>
    <row r="665" spans="5:8" x14ac:dyDescent="0.35">
      <c r="E665" s="19"/>
      <c r="F665" s="19"/>
      <c r="G665" s="19"/>
      <c r="H665" s="19"/>
    </row>
    <row r="666" spans="5:8" x14ac:dyDescent="0.35">
      <c r="E666" s="19"/>
      <c r="F666" s="19"/>
      <c r="G666" s="19"/>
      <c r="H666" s="19"/>
    </row>
    <row r="667" spans="5:8" x14ac:dyDescent="0.35">
      <c r="E667" s="19"/>
      <c r="F667" s="19"/>
      <c r="G667" s="19"/>
      <c r="H667" s="19"/>
    </row>
    <row r="668" spans="5:8" x14ac:dyDescent="0.35">
      <c r="E668" s="19"/>
      <c r="F668" s="19"/>
      <c r="G668" s="19"/>
      <c r="H668" s="19"/>
    </row>
    <row r="669" spans="5:8" x14ac:dyDescent="0.35">
      <c r="E669" s="19"/>
      <c r="F669" s="19"/>
      <c r="G669" s="19"/>
      <c r="H669" s="19"/>
    </row>
    <row r="670" spans="5:8" x14ac:dyDescent="0.35">
      <c r="E670" s="19"/>
      <c r="F670" s="19"/>
      <c r="G670" s="19"/>
      <c r="H670" s="19"/>
    </row>
    <row r="671" spans="5:8" x14ac:dyDescent="0.35">
      <c r="E671" s="19"/>
      <c r="F671" s="19"/>
      <c r="G671" s="19"/>
      <c r="H671" s="19"/>
    </row>
    <row r="672" spans="5:8" x14ac:dyDescent="0.35">
      <c r="E672" s="19"/>
      <c r="F672" s="19"/>
      <c r="G672" s="19"/>
      <c r="H672" s="19"/>
    </row>
    <row r="673" spans="5:8" x14ac:dyDescent="0.35">
      <c r="E673" s="19"/>
      <c r="F673" s="19"/>
      <c r="G673" s="19"/>
      <c r="H673" s="19"/>
    </row>
    <row r="674" spans="5:8" x14ac:dyDescent="0.35">
      <c r="E674" s="19"/>
      <c r="F674" s="19"/>
      <c r="G674" s="19"/>
      <c r="H674" s="19"/>
    </row>
    <row r="675" spans="5:8" x14ac:dyDescent="0.35">
      <c r="E675" s="19"/>
      <c r="F675" s="19"/>
      <c r="G675" s="19"/>
      <c r="H675" s="19"/>
    </row>
    <row r="676" spans="5:8" x14ac:dyDescent="0.35">
      <c r="E676" s="19"/>
      <c r="F676" s="19"/>
      <c r="G676" s="19"/>
      <c r="H676" s="19"/>
    </row>
    <row r="677" spans="5:8" x14ac:dyDescent="0.35">
      <c r="E677" s="19"/>
      <c r="F677" s="19"/>
      <c r="G677" s="19"/>
      <c r="H677" s="19"/>
    </row>
    <row r="678" spans="5:8" x14ac:dyDescent="0.35">
      <c r="E678" s="19"/>
      <c r="F678" s="19"/>
      <c r="G678" s="19"/>
      <c r="H678" s="19"/>
    </row>
    <row r="679" spans="5:8" x14ac:dyDescent="0.35">
      <c r="E679" s="19"/>
      <c r="F679" s="19"/>
      <c r="G679" s="19"/>
      <c r="H679" s="19"/>
    </row>
    <row r="680" spans="5:8" x14ac:dyDescent="0.35">
      <c r="E680" s="19"/>
      <c r="F680" s="19"/>
      <c r="G680" s="19"/>
      <c r="H680" s="19"/>
    </row>
    <row r="681" spans="5:8" x14ac:dyDescent="0.35">
      <c r="E681" s="19"/>
      <c r="F681" s="19"/>
      <c r="G681" s="19"/>
      <c r="H681" s="19"/>
    </row>
    <row r="682" spans="5:8" x14ac:dyDescent="0.35">
      <c r="E682" s="19"/>
      <c r="F682" s="19"/>
      <c r="G682" s="19"/>
      <c r="H682" s="19"/>
    </row>
    <row r="683" spans="5:8" x14ac:dyDescent="0.35">
      <c r="E683" s="19"/>
      <c r="F683" s="19"/>
      <c r="G683" s="19"/>
      <c r="H683" s="19"/>
    </row>
    <row r="684" spans="5:8" x14ac:dyDescent="0.35">
      <c r="E684" s="19"/>
      <c r="F684" s="19"/>
      <c r="G684" s="19"/>
      <c r="H684" s="19"/>
    </row>
    <row r="685" spans="5:8" x14ac:dyDescent="0.35">
      <c r="E685" s="19"/>
      <c r="F685" s="19"/>
      <c r="G685" s="19"/>
      <c r="H685" s="19"/>
    </row>
    <row r="686" spans="5:8" x14ac:dyDescent="0.35">
      <c r="E686" s="19"/>
      <c r="F686" s="19"/>
      <c r="G686" s="19"/>
      <c r="H686" s="19"/>
    </row>
    <row r="687" spans="5:8" x14ac:dyDescent="0.35">
      <c r="E687" s="19"/>
      <c r="F687" s="19"/>
      <c r="G687" s="19"/>
      <c r="H687" s="19"/>
    </row>
    <row r="688" spans="5:8" x14ac:dyDescent="0.35">
      <c r="E688" s="19"/>
      <c r="F688" s="19"/>
      <c r="G688" s="19"/>
      <c r="H688" s="19"/>
    </row>
    <row r="689" spans="5:8" x14ac:dyDescent="0.35">
      <c r="E689" s="19"/>
      <c r="F689" s="19"/>
      <c r="G689" s="19"/>
      <c r="H689" s="19"/>
    </row>
    <row r="690" spans="5:8" x14ac:dyDescent="0.35">
      <c r="E690" s="19"/>
      <c r="F690" s="19"/>
      <c r="G690" s="19"/>
      <c r="H690" s="19"/>
    </row>
    <row r="691" spans="5:8" x14ac:dyDescent="0.35">
      <c r="E691" s="19"/>
      <c r="F691" s="19"/>
      <c r="G691" s="19"/>
      <c r="H691" s="19"/>
    </row>
    <row r="692" spans="5:8" x14ac:dyDescent="0.35">
      <c r="E692" s="19"/>
      <c r="F692" s="19"/>
      <c r="G692" s="19"/>
      <c r="H692" s="19"/>
    </row>
    <row r="693" spans="5:8" x14ac:dyDescent="0.35">
      <c r="E693" s="19"/>
      <c r="F693" s="19"/>
      <c r="G693" s="19"/>
      <c r="H693" s="19"/>
    </row>
    <row r="694" spans="5:8" x14ac:dyDescent="0.35">
      <c r="E694" s="19"/>
      <c r="F694" s="19"/>
      <c r="G694" s="19"/>
      <c r="H694" s="19"/>
    </row>
    <row r="695" spans="5:8" x14ac:dyDescent="0.35">
      <c r="E695" s="19"/>
      <c r="F695" s="19"/>
      <c r="G695" s="19"/>
      <c r="H695" s="19"/>
    </row>
    <row r="696" spans="5:8" x14ac:dyDescent="0.35">
      <c r="E696" s="19"/>
      <c r="F696" s="19"/>
      <c r="G696" s="19"/>
      <c r="H696" s="19"/>
    </row>
    <row r="697" spans="5:8" x14ac:dyDescent="0.35">
      <c r="E697" s="19"/>
      <c r="F697" s="19"/>
      <c r="G697" s="19"/>
      <c r="H697" s="19"/>
    </row>
    <row r="698" spans="5:8" x14ac:dyDescent="0.35">
      <c r="E698" s="19"/>
      <c r="F698" s="19"/>
      <c r="G698" s="19"/>
      <c r="H698" s="19"/>
    </row>
    <row r="699" spans="5:8" x14ac:dyDescent="0.35">
      <c r="E699" s="19"/>
      <c r="F699" s="19"/>
      <c r="G699" s="19"/>
      <c r="H699" s="19"/>
    </row>
    <row r="700" spans="5:8" x14ac:dyDescent="0.35">
      <c r="E700" s="19"/>
      <c r="F700" s="19"/>
      <c r="G700" s="19"/>
      <c r="H700" s="19"/>
    </row>
    <row r="701" spans="5:8" x14ac:dyDescent="0.35">
      <c r="E701" s="19"/>
      <c r="F701" s="19"/>
      <c r="G701" s="19"/>
      <c r="H701" s="19"/>
    </row>
    <row r="702" spans="5:8" x14ac:dyDescent="0.35">
      <c r="E702" s="19"/>
      <c r="F702" s="19"/>
      <c r="G702" s="19"/>
      <c r="H702" s="19"/>
    </row>
    <row r="703" spans="5:8" x14ac:dyDescent="0.35">
      <c r="E703" s="19"/>
      <c r="F703" s="19"/>
      <c r="G703" s="19"/>
      <c r="H703" s="19"/>
    </row>
    <row r="704" spans="5:8" x14ac:dyDescent="0.35">
      <c r="E704" s="19"/>
      <c r="F704" s="19"/>
      <c r="G704" s="19"/>
      <c r="H704" s="19"/>
    </row>
    <row r="705" spans="5:8" x14ac:dyDescent="0.35">
      <c r="E705" s="19"/>
      <c r="F705" s="19"/>
      <c r="G705" s="19"/>
      <c r="H705" s="19"/>
    </row>
    <row r="706" spans="5:8" x14ac:dyDescent="0.35">
      <c r="E706" s="19"/>
      <c r="F706" s="19"/>
      <c r="G706" s="19"/>
      <c r="H706" s="19"/>
    </row>
    <row r="707" spans="5:8" x14ac:dyDescent="0.35">
      <c r="E707" s="19"/>
      <c r="F707" s="19"/>
      <c r="G707" s="19"/>
      <c r="H707" s="19"/>
    </row>
    <row r="708" spans="5:8" x14ac:dyDescent="0.35">
      <c r="E708" s="19"/>
      <c r="F708" s="19"/>
      <c r="G708" s="19"/>
      <c r="H708" s="19"/>
    </row>
    <row r="709" spans="5:8" x14ac:dyDescent="0.35">
      <c r="E709" s="19"/>
      <c r="F709" s="19"/>
      <c r="G709" s="19"/>
      <c r="H709" s="19"/>
    </row>
    <row r="710" spans="5:8" x14ac:dyDescent="0.35">
      <c r="E710" s="19"/>
      <c r="F710" s="19"/>
      <c r="G710" s="19"/>
      <c r="H710" s="19"/>
    </row>
    <row r="711" spans="5:8" x14ac:dyDescent="0.35">
      <c r="E711" s="19"/>
      <c r="F711" s="19"/>
      <c r="G711" s="19"/>
      <c r="H711" s="19"/>
    </row>
    <row r="712" spans="5:8" x14ac:dyDescent="0.35">
      <c r="E712" s="19"/>
      <c r="F712" s="19"/>
      <c r="G712" s="19"/>
      <c r="H712" s="19"/>
    </row>
    <row r="713" spans="5:8" x14ac:dyDescent="0.35">
      <c r="E713" s="19"/>
      <c r="F713" s="19"/>
      <c r="G713" s="19"/>
      <c r="H713" s="19"/>
    </row>
    <row r="714" spans="5:8" x14ac:dyDescent="0.35">
      <c r="E714" s="19"/>
      <c r="F714" s="19"/>
      <c r="G714" s="19"/>
      <c r="H714" s="19"/>
    </row>
    <row r="715" spans="5:8" x14ac:dyDescent="0.35">
      <c r="E715" s="19"/>
      <c r="F715" s="19"/>
      <c r="G715" s="19"/>
      <c r="H715" s="19"/>
    </row>
    <row r="716" spans="5:8" x14ac:dyDescent="0.35">
      <c r="E716" s="19"/>
      <c r="F716" s="19"/>
      <c r="G716" s="19"/>
      <c r="H716" s="19"/>
    </row>
    <row r="717" spans="5:8" x14ac:dyDescent="0.35">
      <c r="E717" s="19"/>
      <c r="F717" s="19"/>
      <c r="G717" s="19"/>
      <c r="H717" s="19"/>
    </row>
    <row r="718" spans="5:8" x14ac:dyDescent="0.35">
      <c r="E718" s="19"/>
      <c r="F718" s="19"/>
      <c r="G718" s="19"/>
      <c r="H718" s="19"/>
    </row>
    <row r="719" spans="5:8" x14ac:dyDescent="0.35">
      <c r="E719" s="19"/>
      <c r="F719" s="19"/>
      <c r="G719" s="19"/>
      <c r="H719" s="19"/>
    </row>
    <row r="720" spans="5:8" x14ac:dyDescent="0.35">
      <c r="E720" s="19"/>
      <c r="F720" s="19"/>
      <c r="G720" s="19"/>
      <c r="H720" s="19"/>
    </row>
    <row r="721" spans="5:8" x14ac:dyDescent="0.35">
      <c r="E721" s="19"/>
      <c r="F721" s="19"/>
      <c r="G721" s="19"/>
      <c r="H721" s="19"/>
    </row>
    <row r="722" spans="5:8" x14ac:dyDescent="0.35">
      <c r="E722" s="19"/>
      <c r="F722" s="19"/>
      <c r="G722" s="19"/>
      <c r="H722" s="19"/>
    </row>
    <row r="723" spans="5:8" x14ac:dyDescent="0.35">
      <c r="E723" s="19"/>
      <c r="F723" s="19"/>
      <c r="G723" s="19"/>
      <c r="H723" s="19"/>
    </row>
    <row r="724" spans="5:8" x14ac:dyDescent="0.35">
      <c r="E724" s="19"/>
      <c r="F724" s="19"/>
      <c r="G724" s="19"/>
      <c r="H724" s="19"/>
    </row>
    <row r="725" spans="5:8" x14ac:dyDescent="0.35">
      <c r="E725" s="19"/>
      <c r="F725" s="19"/>
      <c r="G725" s="19"/>
      <c r="H725" s="19"/>
    </row>
    <row r="726" spans="5:8" x14ac:dyDescent="0.35">
      <c r="E726" s="19"/>
      <c r="F726" s="19"/>
      <c r="G726" s="19"/>
      <c r="H726" s="19"/>
    </row>
    <row r="727" spans="5:8" x14ac:dyDescent="0.35">
      <c r="E727" s="19"/>
      <c r="F727" s="19"/>
      <c r="G727" s="19"/>
      <c r="H727" s="19"/>
    </row>
    <row r="728" spans="5:8" x14ac:dyDescent="0.35">
      <c r="E728" s="19"/>
      <c r="F728" s="19"/>
      <c r="G728" s="19"/>
      <c r="H728" s="19"/>
    </row>
    <row r="729" spans="5:8" x14ac:dyDescent="0.35">
      <c r="E729" s="19"/>
      <c r="F729" s="19"/>
      <c r="G729" s="19"/>
      <c r="H729" s="19"/>
    </row>
    <row r="730" spans="5:8" x14ac:dyDescent="0.35">
      <c r="E730" s="19"/>
      <c r="F730" s="19"/>
      <c r="G730" s="19"/>
      <c r="H730" s="19"/>
    </row>
    <row r="731" spans="5:8" x14ac:dyDescent="0.35">
      <c r="E731" s="19"/>
      <c r="F731" s="19"/>
      <c r="G731" s="19"/>
      <c r="H731" s="19"/>
    </row>
    <row r="732" spans="5:8" x14ac:dyDescent="0.35">
      <c r="E732" s="19"/>
      <c r="F732" s="19"/>
      <c r="G732" s="19"/>
      <c r="H732" s="19"/>
    </row>
    <row r="733" spans="5:8" x14ac:dyDescent="0.35">
      <c r="E733" s="19"/>
      <c r="F733" s="19"/>
      <c r="G733" s="19"/>
      <c r="H733" s="19"/>
    </row>
    <row r="734" spans="5:8" x14ac:dyDescent="0.35">
      <c r="E734" s="19"/>
      <c r="F734" s="19"/>
      <c r="G734" s="19"/>
      <c r="H734" s="19"/>
    </row>
    <row r="735" spans="5:8" x14ac:dyDescent="0.35">
      <c r="E735" s="19"/>
      <c r="F735" s="19"/>
      <c r="G735" s="19"/>
      <c r="H735" s="19"/>
    </row>
    <row r="736" spans="5:8" x14ac:dyDescent="0.35">
      <c r="E736" s="19"/>
      <c r="F736" s="19"/>
      <c r="G736" s="19"/>
      <c r="H736" s="19"/>
    </row>
    <row r="737" spans="5:8" x14ac:dyDescent="0.35">
      <c r="E737" s="19"/>
      <c r="F737" s="19"/>
      <c r="G737" s="19"/>
      <c r="H737" s="19"/>
    </row>
    <row r="738" spans="5:8" x14ac:dyDescent="0.35">
      <c r="E738" s="19"/>
      <c r="F738" s="19"/>
      <c r="G738" s="19"/>
      <c r="H738" s="19"/>
    </row>
    <row r="739" spans="5:8" x14ac:dyDescent="0.35">
      <c r="E739" s="19"/>
      <c r="F739" s="19"/>
      <c r="G739" s="19"/>
      <c r="H739" s="19"/>
    </row>
    <row r="740" spans="5:8" x14ac:dyDescent="0.35">
      <c r="E740" s="19"/>
      <c r="F740" s="19"/>
      <c r="G740" s="19"/>
      <c r="H740" s="19"/>
    </row>
    <row r="741" spans="5:8" x14ac:dyDescent="0.35">
      <c r="E741" s="19"/>
      <c r="F741" s="19"/>
      <c r="G741" s="19"/>
      <c r="H741" s="19"/>
    </row>
    <row r="742" spans="5:8" x14ac:dyDescent="0.35">
      <c r="E742" s="19"/>
      <c r="F742" s="19"/>
      <c r="G742" s="19"/>
      <c r="H742" s="19"/>
    </row>
    <row r="743" spans="5:8" x14ac:dyDescent="0.35">
      <c r="E743" s="19"/>
      <c r="F743" s="19"/>
      <c r="G743" s="19"/>
      <c r="H743" s="19"/>
    </row>
    <row r="744" spans="5:8" x14ac:dyDescent="0.35">
      <c r="E744" s="19"/>
      <c r="F744" s="19"/>
      <c r="G744" s="19"/>
      <c r="H744" s="19"/>
    </row>
    <row r="745" spans="5:8" x14ac:dyDescent="0.35">
      <c r="E745" s="19"/>
      <c r="F745" s="19"/>
      <c r="G745" s="19"/>
      <c r="H745" s="19"/>
    </row>
    <row r="746" spans="5:8" x14ac:dyDescent="0.35">
      <c r="E746" s="19"/>
      <c r="F746" s="19"/>
      <c r="G746" s="19"/>
      <c r="H746" s="19"/>
    </row>
    <row r="747" spans="5:8" x14ac:dyDescent="0.35">
      <c r="E747" s="19"/>
      <c r="F747" s="19"/>
      <c r="G747" s="19"/>
      <c r="H747" s="19"/>
    </row>
    <row r="748" spans="5:8" x14ac:dyDescent="0.35">
      <c r="E748" s="19"/>
      <c r="F748" s="19"/>
      <c r="G748" s="19"/>
      <c r="H748" s="19"/>
    </row>
    <row r="749" spans="5:8" x14ac:dyDescent="0.35">
      <c r="E749" s="19"/>
      <c r="F749" s="19"/>
      <c r="G749" s="19"/>
      <c r="H749" s="19"/>
    </row>
    <row r="750" spans="5:8" x14ac:dyDescent="0.35">
      <c r="E750" s="19"/>
      <c r="F750" s="19"/>
      <c r="G750" s="19"/>
      <c r="H750" s="19"/>
    </row>
    <row r="751" spans="5:8" x14ac:dyDescent="0.35">
      <c r="E751" s="19"/>
      <c r="F751" s="19"/>
      <c r="G751" s="19"/>
      <c r="H751" s="19"/>
    </row>
    <row r="752" spans="5:8" x14ac:dyDescent="0.35">
      <c r="E752" s="19"/>
      <c r="F752" s="19"/>
      <c r="G752" s="19"/>
      <c r="H752" s="19"/>
    </row>
    <row r="753" spans="5:8" x14ac:dyDescent="0.35">
      <c r="E753" s="19"/>
      <c r="F753" s="19"/>
      <c r="G753" s="19"/>
      <c r="H753" s="19"/>
    </row>
    <row r="754" spans="5:8" x14ac:dyDescent="0.35">
      <c r="E754" s="19"/>
      <c r="F754" s="19"/>
      <c r="G754" s="19"/>
      <c r="H754" s="19"/>
    </row>
    <row r="755" spans="5:8" x14ac:dyDescent="0.35">
      <c r="E755" s="19"/>
      <c r="F755" s="19"/>
      <c r="G755" s="19"/>
      <c r="H755" s="19"/>
    </row>
    <row r="756" spans="5:8" x14ac:dyDescent="0.35">
      <c r="E756" s="19"/>
      <c r="F756" s="19"/>
      <c r="G756" s="19"/>
      <c r="H756" s="19"/>
    </row>
    <row r="757" spans="5:8" x14ac:dyDescent="0.35">
      <c r="E757" s="19"/>
      <c r="F757" s="19"/>
      <c r="G757" s="19"/>
      <c r="H757" s="19"/>
    </row>
    <row r="758" spans="5:8" x14ac:dyDescent="0.35">
      <c r="E758" s="19"/>
      <c r="F758" s="19"/>
      <c r="G758" s="19"/>
      <c r="H758" s="19"/>
    </row>
    <row r="759" spans="5:8" x14ac:dyDescent="0.35">
      <c r="E759" s="19"/>
      <c r="F759" s="19"/>
      <c r="G759" s="19"/>
      <c r="H759" s="19"/>
    </row>
    <row r="760" spans="5:8" x14ac:dyDescent="0.35">
      <c r="E760" s="19"/>
      <c r="F760" s="19"/>
      <c r="G760" s="19"/>
      <c r="H760" s="19"/>
    </row>
    <row r="761" spans="5:8" x14ac:dyDescent="0.35">
      <c r="E761" s="19"/>
      <c r="F761" s="19"/>
      <c r="G761" s="19"/>
      <c r="H761" s="19"/>
    </row>
    <row r="762" spans="5:8" x14ac:dyDescent="0.35">
      <c r="E762" s="19"/>
      <c r="F762" s="19"/>
      <c r="G762" s="19"/>
      <c r="H762" s="19"/>
    </row>
    <row r="763" spans="5:8" x14ac:dyDescent="0.35">
      <c r="E763" s="19"/>
      <c r="F763" s="19"/>
      <c r="G763" s="19"/>
      <c r="H763" s="19"/>
    </row>
    <row r="764" spans="5:8" x14ac:dyDescent="0.35">
      <c r="E764" s="19"/>
      <c r="F764" s="19"/>
      <c r="G764" s="19"/>
      <c r="H764" s="19"/>
    </row>
    <row r="765" spans="5:8" x14ac:dyDescent="0.35">
      <c r="E765" s="19"/>
      <c r="F765" s="19"/>
      <c r="G765" s="19"/>
      <c r="H765" s="19"/>
    </row>
    <row r="766" spans="5:8" x14ac:dyDescent="0.35">
      <c r="E766" s="19"/>
      <c r="F766" s="19"/>
      <c r="G766" s="19"/>
      <c r="H766" s="19"/>
    </row>
    <row r="767" spans="5:8" x14ac:dyDescent="0.35">
      <c r="E767" s="19"/>
      <c r="F767" s="19"/>
      <c r="G767" s="19"/>
      <c r="H767" s="19"/>
    </row>
    <row r="768" spans="5:8" x14ac:dyDescent="0.35">
      <c r="E768" s="19"/>
      <c r="F768" s="19"/>
      <c r="G768" s="19"/>
      <c r="H768" s="19"/>
    </row>
    <row r="769" spans="5:8" x14ac:dyDescent="0.35">
      <c r="E769" s="19"/>
      <c r="F769" s="19"/>
      <c r="G769" s="19"/>
      <c r="H769" s="19"/>
    </row>
    <row r="770" spans="5:8" x14ac:dyDescent="0.35">
      <c r="E770" s="19"/>
      <c r="F770" s="19"/>
      <c r="G770" s="19"/>
      <c r="H770" s="19"/>
    </row>
    <row r="771" spans="5:8" x14ac:dyDescent="0.35">
      <c r="E771" s="19"/>
      <c r="F771" s="19"/>
      <c r="G771" s="19"/>
      <c r="H771" s="19"/>
    </row>
    <row r="772" spans="5:8" x14ac:dyDescent="0.35">
      <c r="E772" s="19"/>
      <c r="F772" s="19"/>
      <c r="G772" s="19"/>
      <c r="H772" s="19"/>
    </row>
    <row r="773" spans="5:8" x14ac:dyDescent="0.35">
      <c r="E773" s="19"/>
      <c r="F773" s="19"/>
      <c r="G773" s="19"/>
      <c r="H773" s="19"/>
    </row>
    <row r="774" spans="5:8" x14ac:dyDescent="0.35">
      <c r="E774" s="19"/>
      <c r="F774" s="19"/>
      <c r="G774" s="19"/>
      <c r="H774" s="19"/>
    </row>
    <row r="775" spans="5:8" x14ac:dyDescent="0.35">
      <c r="E775" s="19"/>
      <c r="F775" s="19"/>
      <c r="G775" s="19"/>
      <c r="H775" s="19"/>
    </row>
    <row r="776" spans="5:8" x14ac:dyDescent="0.35">
      <c r="E776" s="19"/>
      <c r="F776" s="19"/>
      <c r="G776" s="19"/>
      <c r="H776" s="19"/>
    </row>
    <row r="777" spans="5:8" x14ac:dyDescent="0.35">
      <c r="E777" s="19"/>
      <c r="F777" s="19"/>
      <c r="G777" s="19"/>
      <c r="H777" s="19"/>
    </row>
    <row r="778" spans="5:8" x14ac:dyDescent="0.35">
      <c r="E778" s="19"/>
      <c r="F778" s="19"/>
      <c r="G778" s="19"/>
      <c r="H778" s="19"/>
    </row>
    <row r="779" spans="5:8" x14ac:dyDescent="0.35">
      <c r="E779" s="19"/>
      <c r="F779" s="19"/>
      <c r="G779" s="19"/>
      <c r="H779" s="19"/>
    </row>
    <row r="780" spans="5:8" x14ac:dyDescent="0.35">
      <c r="E780" s="19"/>
      <c r="F780" s="19"/>
      <c r="G780" s="19"/>
      <c r="H780" s="19"/>
    </row>
    <row r="781" spans="5:8" x14ac:dyDescent="0.35">
      <c r="E781" s="19"/>
      <c r="F781" s="19"/>
      <c r="G781" s="19"/>
      <c r="H781" s="19"/>
    </row>
    <row r="782" spans="5:8" x14ac:dyDescent="0.35">
      <c r="E782" s="19"/>
      <c r="F782" s="19"/>
      <c r="G782" s="19"/>
      <c r="H782" s="19"/>
    </row>
    <row r="783" spans="5:8" x14ac:dyDescent="0.35">
      <c r="E783" s="19"/>
      <c r="F783" s="19"/>
      <c r="G783" s="19"/>
      <c r="H783" s="19"/>
    </row>
    <row r="784" spans="5:8" x14ac:dyDescent="0.35">
      <c r="E784" s="19"/>
      <c r="F784" s="19"/>
      <c r="G784" s="19"/>
      <c r="H784" s="19"/>
    </row>
    <row r="785" spans="5:8" x14ac:dyDescent="0.35">
      <c r="E785" s="19"/>
      <c r="F785" s="19"/>
      <c r="G785" s="19"/>
      <c r="H785" s="19"/>
    </row>
    <row r="786" spans="5:8" x14ac:dyDescent="0.35">
      <c r="E786" s="19"/>
      <c r="F786" s="19"/>
      <c r="G786" s="19"/>
      <c r="H786" s="19"/>
    </row>
    <row r="787" spans="5:8" x14ac:dyDescent="0.35">
      <c r="E787" s="19"/>
      <c r="F787" s="19"/>
      <c r="G787" s="19"/>
      <c r="H787" s="19"/>
    </row>
    <row r="788" spans="5:8" x14ac:dyDescent="0.35">
      <c r="E788" s="19"/>
      <c r="F788" s="19"/>
      <c r="G788" s="19"/>
      <c r="H788" s="19"/>
    </row>
    <row r="789" spans="5:8" x14ac:dyDescent="0.35">
      <c r="E789" s="19"/>
      <c r="F789" s="19"/>
      <c r="G789" s="19"/>
      <c r="H789" s="19"/>
    </row>
    <row r="790" spans="5:8" x14ac:dyDescent="0.35">
      <c r="E790" s="19"/>
      <c r="F790" s="19"/>
      <c r="G790" s="19"/>
      <c r="H790" s="19"/>
    </row>
    <row r="791" spans="5:8" x14ac:dyDescent="0.35">
      <c r="E791" s="19"/>
      <c r="F791" s="19"/>
      <c r="G791" s="19"/>
      <c r="H791" s="19"/>
    </row>
    <row r="792" spans="5:8" x14ac:dyDescent="0.35">
      <c r="E792" s="19"/>
      <c r="F792" s="19"/>
      <c r="G792" s="19"/>
      <c r="H792" s="19"/>
    </row>
    <row r="793" spans="5:8" x14ac:dyDescent="0.35">
      <c r="E793" s="19"/>
      <c r="F793" s="19"/>
      <c r="G793" s="19"/>
      <c r="H793" s="19"/>
    </row>
    <row r="794" spans="5:8" x14ac:dyDescent="0.35">
      <c r="E794" s="19"/>
      <c r="F794" s="19"/>
      <c r="G794" s="19"/>
      <c r="H794" s="19"/>
    </row>
    <row r="795" spans="5:8" x14ac:dyDescent="0.35">
      <c r="E795" s="19"/>
      <c r="F795" s="19"/>
      <c r="G795" s="19"/>
      <c r="H795" s="19"/>
    </row>
    <row r="796" spans="5:8" x14ac:dyDescent="0.35">
      <c r="E796" s="19"/>
      <c r="F796" s="19"/>
      <c r="G796" s="19"/>
      <c r="H796" s="19"/>
    </row>
    <row r="797" spans="5:8" x14ac:dyDescent="0.35">
      <c r="E797" s="19"/>
      <c r="F797" s="19"/>
      <c r="G797" s="19"/>
      <c r="H797" s="19"/>
    </row>
    <row r="798" spans="5:8" x14ac:dyDescent="0.35">
      <c r="E798" s="19"/>
      <c r="F798" s="19"/>
      <c r="G798" s="19"/>
      <c r="H798" s="19"/>
    </row>
    <row r="799" spans="5:8" x14ac:dyDescent="0.35">
      <c r="E799" s="19"/>
      <c r="F799" s="19"/>
      <c r="G799" s="19"/>
      <c r="H799" s="19"/>
    </row>
    <row r="800" spans="5:8" x14ac:dyDescent="0.35">
      <c r="E800" s="19"/>
      <c r="F800" s="19"/>
      <c r="G800" s="19"/>
      <c r="H800" s="19"/>
    </row>
    <row r="801" spans="5:8" x14ac:dyDescent="0.35">
      <c r="E801" s="19"/>
      <c r="F801" s="19"/>
      <c r="G801" s="19"/>
      <c r="H801" s="19"/>
    </row>
    <row r="802" spans="5:8" x14ac:dyDescent="0.35">
      <c r="E802" s="19"/>
      <c r="F802" s="19"/>
      <c r="G802" s="19"/>
      <c r="H802" s="19"/>
    </row>
    <row r="803" spans="5:8" x14ac:dyDescent="0.35">
      <c r="E803" s="19"/>
      <c r="F803" s="19"/>
      <c r="G803" s="19"/>
      <c r="H803" s="19"/>
    </row>
    <row r="804" spans="5:8" x14ac:dyDescent="0.35">
      <c r="E804" s="19"/>
      <c r="F804" s="19"/>
      <c r="G804" s="19"/>
      <c r="H804" s="19"/>
    </row>
    <row r="805" spans="5:8" x14ac:dyDescent="0.35">
      <c r="E805" s="19"/>
      <c r="F805" s="19"/>
      <c r="G805" s="19"/>
      <c r="H805" s="19"/>
    </row>
    <row r="806" spans="5:8" x14ac:dyDescent="0.35">
      <c r="E806" s="19"/>
      <c r="F806" s="19"/>
      <c r="G806" s="19"/>
      <c r="H806" s="19"/>
    </row>
    <row r="807" spans="5:8" x14ac:dyDescent="0.35">
      <c r="E807" s="19"/>
      <c r="F807" s="19"/>
      <c r="G807" s="19"/>
      <c r="H807" s="19"/>
    </row>
    <row r="808" spans="5:8" x14ac:dyDescent="0.35">
      <c r="E808" s="19"/>
      <c r="F808" s="19"/>
      <c r="G808" s="19"/>
      <c r="H808" s="19"/>
    </row>
    <row r="809" spans="5:8" x14ac:dyDescent="0.35">
      <c r="E809" s="19"/>
      <c r="F809" s="19"/>
      <c r="G809" s="19"/>
      <c r="H809" s="19"/>
    </row>
    <row r="810" spans="5:8" x14ac:dyDescent="0.35">
      <c r="E810" s="19"/>
      <c r="F810" s="19"/>
      <c r="G810" s="19"/>
      <c r="H810" s="19"/>
    </row>
    <row r="811" spans="5:8" x14ac:dyDescent="0.35">
      <c r="E811" s="19"/>
      <c r="F811" s="19"/>
      <c r="G811" s="19"/>
      <c r="H811" s="19"/>
    </row>
    <row r="812" spans="5:8" x14ac:dyDescent="0.35">
      <c r="E812" s="19"/>
      <c r="F812" s="19"/>
      <c r="G812" s="19"/>
      <c r="H812" s="19"/>
    </row>
    <row r="813" spans="5:8" x14ac:dyDescent="0.35">
      <c r="E813" s="19"/>
      <c r="F813" s="19"/>
      <c r="G813" s="19"/>
      <c r="H813" s="19"/>
    </row>
    <row r="814" spans="5:8" x14ac:dyDescent="0.35">
      <c r="E814" s="19"/>
      <c r="F814" s="19"/>
      <c r="G814" s="19"/>
      <c r="H814" s="19"/>
    </row>
    <row r="815" spans="5:8" x14ac:dyDescent="0.35">
      <c r="E815" s="19"/>
      <c r="F815" s="19"/>
      <c r="G815" s="19"/>
      <c r="H815" s="19"/>
    </row>
    <row r="816" spans="5:8" x14ac:dyDescent="0.35">
      <c r="E816" s="19"/>
      <c r="F816" s="19"/>
      <c r="G816" s="19"/>
      <c r="H816" s="19"/>
    </row>
    <row r="817" spans="5:8" x14ac:dyDescent="0.35">
      <c r="E817" s="19"/>
      <c r="F817" s="19"/>
      <c r="G817" s="19"/>
      <c r="H817" s="19"/>
    </row>
    <row r="818" spans="5:8" x14ac:dyDescent="0.35">
      <c r="E818" s="19"/>
      <c r="F818" s="19"/>
      <c r="G818" s="19"/>
      <c r="H818" s="19"/>
    </row>
    <row r="819" spans="5:8" x14ac:dyDescent="0.35">
      <c r="E819" s="19"/>
      <c r="F819" s="19"/>
      <c r="G819" s="19"/>
      <c r="H819" s="19"/>
    </row>
    <row r="820" spans="5:8" x14ac:dyDescent="0.35">
      <c r="E820" s="19"/>
      <c r="F820" s="19"/>
      <c r="G820" s="19"/>
      <c r="H820" s="19"/>
    </row>
    <row r="821" spans="5:8" x14ac:dyDescent="0.35">
      <c r="E821" s="19"/>
      <c r="F821" s="19"/>
      <c r="G821" s="19"/>
      <c r="H821" s="19"/>
    </row>
    <row r="822" spans="5:8" x14ac:dyDescent="0.35">
      <c r="E822" s="19"/>
      <c r="F822" s="19"/>
      <c r="G822" s="19"/>
      <c r="H822" s="19"/>
    </row>
    <row r="823" spans="5:8" x14ac:dyDescent="0.35">
      <c r="E823" s="19"/>
      <c r="F823" s="19"/>
      <c r="G823" s="19"/>
      <c r="H823" s="19"/>
    </row>
    <row r="824" spans="5:8" x14ac:dyDescent="0.35">
      <c r="E824" s="19"/>
      <c r="F824" s="19"/>
      <c r="G824" s="19"/>
      <c r="H824" s="19"/>
    </row>
    <row r="825" spans="5:8" x14ac:dyDescent="0.35">
      <c r="E825" s="19"/>
      <c r="F825" s="19"/>
      <c r="G825" s="19"/>
      <c r="H825" s="19"/>
    </row>
    <row r="826" spans="5:8" x14ac:dyDescent="0.35">
      <c r="E826" s="19"/>
      <c r="F826" s="19"/>
      <c r="G826" s="19"/>
      <c r="H826" s="19"/>
    </row>
    <row r="827" spans="5:8" x14ac:dyDescent="0.35">
      <c r="E827" s="19"/>
      <c r="F827" s="19"/>
      <c r="G827" s="19"/>
      <c r="H827" s="19"/>
    </row>
    <row r="828" spans="5:8" x14ac:dyDescent="0.35">
      <c r="E828" s="19"/>
      <c r="F828" s="19"/>
      <c r="G828" s="19"/>
      <c r="H828" s="19"/>
    </row>
    <row r="829" spans="5:8" x14ac:dyDescent="0.35">
      <c r="E829" s="19"/>
      <c r="F829" s="19"/>
      <c r="G829" s="19"/>
      <c r="H829" s="19"/>
    </row>
    <row r="830" spans="5:8" x14ac:dyDescent="0.35">
      <c r="E830" s="19"/>
      <c r="F830" s="19"/>
      <c r="G830" s="19"/>
      <c r="H830" s="19"/>
    </row>
    <row r="831" spans="5:8" x14ac:dyDescent="0.35">
      <c r="E831" s="19"/>
      <c r="F831" s="19"/>
      <c r="G831" s="19"/>
      <c r="H831" s="19"/>
    </row>
    <row r="832" spans="5:8" x14ac:dyDescent="0.35">
      <c r="E832" s="19"/>
      <c r="F832" s="19"/>
      <c r="G832" s="19"/>
      <c r="H832" s="19"/>
    </row>
    <row r="833" spans="5:8" x14ac:dyDescent="0.35">
      <c r="E833" s="19"/>
      <c r="F833" s="19"/>
      <c r="G833" s="19"/>
      <c r="H833" s="19"/>
    </row>
    <row r="834" spans="5:8" x14ac:dyDescent="0.35">
      <c r="E834" s="19"/>
      <c r="F834" s="19"/>
      <c r="G834" s="19"/>
      <c r="H834" s="19"/>
    </row>
    <row r="835" spans="5:8" x14ac:dyDescent="0.35">
      <c r="E835" s="19"/>
      <c r="F835" s="19"/>
      <c r="G835" s="19"/>
      <c r="H835" s="19"/>
    </row>
    <row r="836" spans="5:8" x14ac:dyDescent="0.35">
      <c r="E836" s="19"/>
      <c r="F836" s="19"/>
      <c r="G836" s="19"/>
      <c r="H836" s="19"/>
    </row>
    <row r="837" spans="5:8" x14ac:dyDescent="0.35">
      <c r="E837" s="19"/>
      <c r="F837" s="19"/>
      <c r="G837" s="19"/>
      <c r="H837" s="19"/>
    </row>
    <row r="838" spans="5:8" x14ac:dyDescent="0.35">
      <c r="E838" s="19"/>
      <c r="F838" s="19"/>
      <c r="G838" s="19"/>
      <c r="H838" s="19"/>
    </row>
    <row r="839" spans="5:8" x14ac:dyDescent="0.35">
      <c r="E839" s="19"/>
      <c r="F839" s="19"/>
      <c r="G839" s="19"/>
      <c r="H839" s="19"/>
    </row>
    <row r="840" spans="5:8" x14ac:dyDescent="0.35">
      <c r="E840" s="19"/>
      <c r="F840" s="19"/>
      <c r="G840" s="19"/>
      <c r="H840" s="19"/>
    </row>
    <row r="841" spans="5:8" x14ac:dyDescent="0.35">
      <c r="E841" s="19"/>
      <c r="F841" s="19"/>
      <c r="G841" s="19"/>
      <c r="H841" s="19"/>
    </row>
    <row r="842" spans="5:8" x14ac:dyDescent="0.35">
      <c r="E842" s="19"/>
      <c r="F842" s="19"/>
      <c r="G842" s="19"/>
      <c r="H842" s="19"/>
    </row>
    <row r="843" spans="5:8" x14ac:dyDescent="0.35">
      <c r="E843" s="19"/>
      <c r="F843" s="19"/>
      <c r="G843" s="19"/>
      <c r="H843" s="19"/>
    </row>
    <row r="844" spans="5:8" x14ac:dyDescent="0.35">
      <c r="E844" s="19"/>
      <c r="F844" s="19"/>
      <c r="G844" s="19"/>
      <c r="H844" s="19"/>
    </row>
    <row r="845" spans="5:8" x14ac:dyDescent="0.35">
      <c r="E845" s="19"/>
      <c r="F845" s="19"/>
      <c r="G845" s="19"/>
      <c r="H845" s="19"/>
    </row>
    <row r="846" spans="5:8" x14ac:dyDescent="0.35">
      <c r="E846" s="19"/>
      <c r="F846" s="19"/>
      <c r="G846" s="19"/>
      <c r="H846" s="19"/>
    </row>
    <row r="847" spans="5:8" x14ac:dyDescent="0.35">
      <c r="E847" s="19"/>
      <c r="F847" s="19"/>
      <c r="G847" s="19"/>
      <c r="H847" s="19"/>
    </row>
    <row r="848" spans="5:8" x14ac:dyDescent="0.35">
      <c r="E848" s="19"/>
      <c r="F848" s="19"/>
      <c r="G848" s="19"/>
      <c r="H848" s="19"/>
    </row>
    <row r="849" spans="5:8" x14ac:dyDescent="0.35">
      <c r="E849" s="19"/>
      <c r="F849" s="19"/>
      <c r="G849" s="19"/>
      <c r="H849" s="19"/>
    </row>
    <row r="850" spans="5:8" x14ac:dyDescent="0.35">
      <c r="E850" s="19"/>
      <c r="F850" s="19"/>
      <c r="G850" s="19"/>
      <c r="H850" s="19"/>
    </row>
    <row r="851" spans="5:8" x14ac:dyDescent="0.35">
      <c r="E851" s="19"/>
      <c r="F851" s="19"/>
      <c r="G851" s="19"/>
      <c r="H851" s="19"/>
    </row>
    <row r="852" spans="5:8" x14ac:dyDescent="0.35">
      <c r="E852" s="19"/>
      <c r="F852" s="19"/>
      <c r="G852" s="19"/>
      <c r="H852" s="19"/>
    </row>
    <row r="853" spans="5:8" x14ac:dyDescent="0.35">
      <c r="E853" s="19"/>
      <c r="F853" s="19"/>
      <c r="G853" s="19"/>
      <c r="H853" s="19"/>
    </row>
    <row r="854" spans="5:8" x14ac:dyDescent="0.35">
      <c r="E854" s="19"/>
      <c r="F854" s="19"/>
      <c r="G854" s="19"/>
      <c r="H854" s="19"/>
    </row>
    <row r="855" spans="5:8" x14ac:dyDescent="0.35">
      <c r="E855" s="19"/>
      <c r="F855" s="19"/>
      <c r="G855" s="19"/>
      <c r="H855" s="19"/>
    </row>
    <row r="856" spans="5:8" x14ac:dyDescent="0.35">
      <c r="E856" s="19"/>
      <c r="F856" s="19"/>
      <c r="G856" s="19"/>
      <c r="H856" s="19"/>
    </row>
    <row r="857" spans="5:8" x14ac:dyDescent="0.35">
      <c r="E857" s="19"/>
      <c r="F857" s="19"/>
      <c r="G857" s="19"/>
      <c r="H857" s="19"/>
    </row>
    <row r="858" spans="5:8" x14ac:dyDescent="0.35">
      <c r="E858" s="19"/>
      <c r="F858" s="19"/>
      <c r="G858" s="19"/>
      <c r="H858" s="19"/>
    </row>
    <row r="859" spans="5:8" x14ac:dyDescent="0.35">
      <c r="E859" s="19"/>
      <c r="F859" s="19"/>
      <c r="G859" s="19"/>
      <c r="H859" s="19"/>
    </row>
    <row r="860" spans="5:8" x14ac:dyDescent="0.35">
      <c r="E860" s="19"/>
      <c r="F860" s="19"/>
      <c r="G860" s="19"/>
      <c r="H860" s="19"/>
    </row>
    <row r="861" spans="5:8" x14ac:dyDescent="0.35">
      <c r="E861" s="19"/>
      <c r="F861" s="19"/>
      <c r="G861" s="19"/>
      <c r="H861" s="19"/>
    </row>
    <row r="862" spans="5:8" x14ac:dyDescent="0.35">
      <c r="E862" s="19"/>
      <c r="F862" s="19"/>
      <c r="G862" s="19"/>
      <c r="H862" s="19"/>
    </row>
    <row r="863" spans="5:8" x14ac:dyDescent="0.35">
      <c r="E863" s="19"/>
      <c r="F863" s="19"/>
      <c r="G863" s="19"/>
      <c r="H863" s="19"/>
    </row>
    <row r="864" spans="5:8" x14ac:dyDescent="0.35">
      <c r="E864" s="19"/>
      <c r="F864" s="19"/>
      <c r="G864" s="19"/>
      <c r="H864" s="19"/>
    </row>
    <row r="865" spans="5:8" x14ac:dyDescent="0.35">
      <c r="E865" s="19"/>
      <c r="F865" s="19"/>
      <c r="G865" s="19"/>
      <c r="H865" s="19"/>
    </row>
    <row r="866" spans="5:8" x14ac:dyDescent="0.35">
      <c r="E866" s="19"/>
      <c r="F866" s="19"/>
      <c r="G866" s="19"/>
      <c r="H866" s="19"/>
    </row>
    <row r="867" spans="5:8" x14ac:dyDescent="0.35">
      <c r="E867" s="19"/>
      <c r="F867" s="19"/>
      <c r="G867" s="19"/>
      <c r="H867" s="19"/>
    </row>
    <row r="868" spans="5:8" x14ac:dyDescent="0.35">
      <c r="E868" s="19"/>
      <c r="F868" s="19"/>
      <c r="G868" s="19"/>
      <c r="H868" s="19"/>
    </row>
    <row r="869" spans="5:8" x14ac:dyDescent="0.35">
      <c r="E869" s="19"/>
      <c r="F869" s="19"/>
      <c r="G869" s="19"/>
      <c r="H869" s="19"/>
    </row>
    <row r="870" spans="5:8" x14ac:dyDescent="0.35">
      <c r="E870" s="19"/>
      <c r="F870" s="19"/>
      <c r="G870" s="19"/>
      <c r="H870" s="19"/>
    </row>
    <row r="871" spans="5:8" x14ac:dyDescent="0.35">
      <c r="E871" s="19"/>
      <c r="F871" s="19"/>
      <c r="G871" s="19"/>
      <c r="H871" s="19"/>
    </row>
    <row r="872" spans="5:8" x14ac:dyDescent="0.35">
      <c r="E872" s="19"/>
      <c r="F872" s="19"/>
      <c r="G872" s="19"/>
      <c r="H872" s="19"/>
    </row>
    <row r="873" spans="5:8" x14ac:dyDescent="0.35">
      <c r="E873" s="19"/>
      <c r="F873" s="19"/>
      <c r="G873" s="19"/>
      <c r="H873" s="19"/>
    </row>
    <row r="874" spans="5:8" x14ac:dyDescent="0.35">
      <c r="E874" s="19"/>
      <c r="F874" s="19"/>
      <c r="G874" s="19"/>
      <c r="H874" s="19"/>
    </row>
    <row r="875" spans="5:8" x14ac:dyDescent="0.35">
      <c r="E875" s="19"/>
      <c r="F875" s="19"/>
      <c r="G875" s="19"/>
      <c r="H875" s="19"/>
    </row>
    <row r="876" spans="5:8" x14ac:dyDescent="0.35">
      <c r="E876" s="19"/>
      <c r="F876" s="19"/>
      <c r="G876" s="19"/>
      <c r="H876" s="19"/>
    </row>
    <row r="877" spans="5:8" x14ac:dyDescent="0.35">
      <c r="E877" s="19"/>
      <c r="F877" s="19"/>
      <c r="G877" s="19"/>
      <c r="H877" s="19"/>
    </row>
    <row r="878" spans="5:8" x14ac:dyDescent="0.35">
      <c r="E878" s="19"/>
      <c r="F878" s="19"/>
      <c r="G878" s="19"/>
      <c r="H878" s="19"/>
    </row>
    <row r="879" spans="5:8" x14ac:dyDescent="0.35">
      <c r="E879" s="19"/>
      <c r="F879" s="19"/>
      <c r="G879" s="19"/>
      <c r="H879" s="19"/>
    </row>
    <row r="880" spans="5:8" x14ac:dyDescent="0.35">
      <c r="E880" s="19"/>
      <c r="F880" s="19"/>
      <c r="G880" s="19"/>
      <c r="H880" s="19"/>
    </row>
    <row r="881" spans="5:8" x14ac:dyDescent="0.35">
      <c r="E881" s="19"/>
      <c r="F881" s="19"/>
      <c r="G881" s="19"/>
      <c r="H881" s="19"/>
    </row>
    <row r="882" spans="5:8" x14ac:dyDescent="0.35">
      <c r="E882" s="19"/>
      <c r="F882" s="19"/>
      <c r="G882" s="19"/>
      <c r="H882" s="19"/>
    </row>
    <row r="883" spans="5:8" x14ac:dyDescent="0.35">
      <c r="E883" s="19"/>
      <c r="F883" s="19"/>
      <c r="G883" s="19"/>
      <c r="H883" s="19"/>
    </row>
    <row r="884" spans="5:8" x14ac:dyDescent="0.35">
      <c r="E884" s="19"/>
      <c r="F884" s="19"/>
      <c r="G884" s="19"/>
      <c r="H884" s="19"/>
    </row>
    <row r="885" spans="5:8" x14ac:dyDescent="0.35">
      <c r="E885" s="19"/>
      <c r="F885" s="19"/>
      <c r="G885" s="19"/>
      <c r="H885" s="19"/>
    </row>
    <row r="886" spans="5:8" x14ac:dyDescent="0.35">
      <c r="E886" s="19"/>
      <c r="F886" s="19"/>
      <c r="G886" s="19"/>
      <c r="H886" s="19"/>
    </row>
    <row r="887" spans="5:8" x14ac:dyDescent="0.35">
      <c r="E887" s="19"/>
      <c r="F887" s="19"/>
      <c r="G887" s="19"/>
      <c r="H887" s="19"/>
    </row>
    <row r="888" spans="5:8" x14ac:dyDescent="0.35">
      <c r="E888" s="19"/>
      <c r="F888" s="19"/>
      <c r="G888" s="19"/>
      <c r="H888" s="19"/>
    </row>
    <row r="889" spans="5:8" x14ac:dyDescent="0.35">
      <c r="E889" s="19"/>
      <c r="F889" s="19"/>
      <c r="G889" s="19"/>
      <c r="H889" s="19"/>
    </row>
    <row r="890" spans="5:8" x14ac:dyDescent="0.35">
      <c r="E890" s="19"/>
      <c r="F890" s="19"/>
      <c r="G890" s="19"/>
      <c r="H890" s="19"/>
    </row>
    <row r="891" spans="5:8" x14ac:dyDescent="0.35">
      <c r="E891" s="19"/>
      <c r="F891" s="19"/>
      <c r="G891" s="19"/>
      <c r="H891" s="19"/>
    </row>
    <row r="892" spans="5:8" x14ac:dyDescent="0.35">
      <c r="E892" s="19"/>
      <c r="F892" s="19"/>
      <c r="G892" s="19"/>
      <c r="H892" s="19"/>
    </row>
    <row r="893" spans="5:8" x14ac:dyDescent="0.35">
      <c r="E893" s="19"/>
      <c r="F893" s="19"/>
      <c r="G893" s="19"/>
      <c r="H893" s="19"/>
    </row>
    <row r="894" spans="5:8" x14ac:dyDescent="0.35">
      <c r="E894" s="19"/>
      <c r="F894" s="19"/>
      <c r="G894" s="19"/>
      <c r="H894" s="19"/>
    </row>
    <row r="895" spans="5:8" x14ac:dyDescent="0.35">
      <c r="E895" s="19"/>
      <c r="F895" s="19"/>
      <c r="G895" s="19"/>
      <c r="H895" s="19"/>
    </row>
    <row r="896" spans="5:8" x14ac:dyDescent="0.35">
      <c r="E896" s="19"/>
      <c r="F896" s="19"/>
      <c r="G896" s="19"/>
      <c r="H896" s="19"/>
    </row>
    <row r="897" spans="5:8" x14ac:dyDescent="0.35">
      <c r="E897" s="19"/>
      <c r="F897" s="19"/>
      <c r="G897" s="19"/>
      <c r="H897" s="19"/>
    </row>
    <row r="898" spans="5:8" x14ac:dyDescent="0.35">
      <c r="E898" s="19"/>
      <c r="F898" s="19"/>
      <c r="G898" s="19"/>
      <c r="H898" s="19"/>
    </row>
    <row r="899" spans="5:8" x14ac:dyDescent="0.35">
      <c r="E899" s="19"/>
      <c r="F899" s="19"/>
      <c r="G899" s="19"/>
      <c r="H899" s="19"/>
    </row>
    <row r="900" spans="5:8" x14ac:dyDescent="0.35">
      <c r="E900" s="19"/>
      <c r="F900" s="19"/>
      <c r="G900" s="19"/>
      <c r="H900" s="19"/>
    </row>
    <row r="901" spans="5:8" x14ac:dyDescent="0.35">
      <c r="E901" s="19"/>
      <c r="F901" s="19"/>
      <c r="G901" s="19"/>
      <c r="H901" s="19"/>
    </row>
    <row r="902" spans="5:8" x14ac:dyDescent="0.35">
      <c r="E902" s="19"/>
      <c r="F902" s="19"/>
      <c r="G902" s="19"/>
      <c r="H902" s="19"/>
    </row>
    <row r="903" spans="5:8" x14ac:dyDescent="0.35">
      <c r="E903" s="19"/>
      <c r="F903" s="19"/>
      <c r="G903" s="19"/>
      <c r="H903" s="19"/>
    </row>
    <row r="904" spans="5:8" x14ac:dyDescent="0.35">
      <c r="E904" s="19"/>
      <c r="F904" s="19"/>
      <c r="G904" s="19"/>
      <c r="H904" s="19"/>
    </row>
    <row r="905" spans="5:8" x14ac:dyDescent="0.35">
      <c r="E905" s="19"/>
      <c r="F905" s="19"/>
      <c r="G905" s="19"/>
      <c r="H905" s="19"/>
    </row>
    <row r="906" spans="5:8" x14ac:dyDescent="0.35">
      <c r="E906" s="19"/>
      <c r="F906" s="19"/>
      <c r="G906" s="19"/>
      <c r="H906" s="19"/>
    </row>
    <row r="907" spans="5:8" x14ac:dyDescent="0.35">
      <c r="E907" s="19"/>
      <c r="F907" s="19"/>
      <c r="G907" s="19"/>
      <c r="H907" s="19"/>
    </row>
    <row r="908" spans="5:8" x14ac:dyDescent="0.35">
      <c r="E908" s="19"/>
      <c r="F908" s="19"/>
      <c r="G908" s="19"/>
      <c r="H908" s="19"/>
    </row>
    <row r="909" spans="5:8" x14ac:dyDescent="0.35">
      <c r="E909" s="19"/>
      <c r="F909" s="19"/>
      <c r="G909" s="19"/>
      <c r="H909" s="19"/>
    </row>
    <row r="910" spans="5:8" x14ac:dyDescent="0.35">
      <c r="E910" s="19"/>
      <c r="F910" s="19"/>
      <c r="G910" s="19"/>
      <c r="H910" s="19"/>
    </row>
    <row r="911" spans="5:8" x14ac:dyDescent="0.35">
      <c r="E911" s="19"/>
      <c r="F911" s="19"/>
      <c r="G911" s="19"/>
      <c r="H911" s="19"/>
    </row>
    <row r="912" spans="5:8" x14ac:dyDescent="0.35">
      <c r="E912" s="19"/>
      <c r="F912" s="19"/>
      <c r="G912" s="19"/>
      <c r="H912" s="19"/>
    </row>
    <row r="913" spans="5:8" x14ac:dyDescent="0.35">
      <c r="E913" s="19"/>
      <c r="F913" s="19"/>
      <c r="G913" s="19"/>
      <c r="H913" s="19"/>
    </row>
    <row r="914" spans="5:8" x14ac:dyDescent="0.35">
      <c r="E914" s="19"/>
      <c r="F914" s="19"/>
      <c r="G914" s="19"/>
      <c r="H914" s="19"/>
    </row>
    <row r="915" spans="5:8" x14ac:dyDescent="0.35">
      <c r="E915" s="19"/>
      <c r="F915" s="19"/>
      <c r="G915" s="19"/>
      <c r="H915" s="19"/>
    </row>
    <row r="916" spans="5:8" x14ac:dyDescent="0.35">
      <c r="E916" s="19"/>
      <c r="F916" s="19"/>
      <c r="G916" s="19"/>
      <c r="H916" s="19"/>
    </row>
    <row r="917" spans="5:8" x14ac:dyDescent="0.35">
      <c r="E917" s="19"/>
      <c r="F917" s="19"/>
      <c r="G917" s="19"/>
      <c r="H917" s="19"/>
    </row>
    <row r="918" spans="5:8" x14ac:dyDescent="0.35">
      <c r="E918" s="19"/>
      <c r="F918" s="19"/>
      <c r="G918" s="19"/>
      <c r="H918" s="19"/>
    </row>
    <row r="919" spans="5:8" x14ac:dyDescent="0.35">
      <c r="E919" s="19"/>
      <c r="F919" s="19"/>
      <c r="G919" s="19"/>
      <c r="H919" s="19"/>
    </row>
    <row r="920" spans="5:8" x14ac:dyDescent="0.35">
      <c r="E920" s="19"/>
      <c r="F920" s="19"/>
      <c r="G920" s="19"/>
      <c r="H920" s="19"/>
    </row>
    <row r="921" spans="5:8" x14ac:dyDescent="0.35">
      <c r="E921" s="19"/>
      <c r="F921" s="19"/>
      <c r="G921" s="19"/>
      <c r="H921" s="19"/>
    </row>
    <row r="922" spans="5:8" x14ac:dyDescent="0.35">
      <c r="E922" s="19"/>
      <c r="F922" s="19"/>
      <c r="G922" s="19"/>
      <c r="H922" s="19"/>
    </row>
    <row r="923" spans="5:8" x14ac:dyDescent="0.35">
      <c r="E923" s="19"/>
      <c r="F923" s="19"/>
      <c r="G923" s="19"/>
      <c r="H923" s="19"/>
    </row>
    <row r="924" spans="5:8" x14ac:dyDescent="0.35">
      <c r="E924" s="19"/>
      <c r="F924" s="19"/>
      <c r="G924" s="19"/>
      <c r="H924" s="19"/>
    </row>
    <row r="925" spans="5:8" x14ac:dyDescent="0.35">
      <c r="E925" s="19"/>
      <c r="F925" s="19"/>
      <c r="G925" s="19"/>
      <c r="H925" s="19"/>
    </row>
    <row r="926" spans="5:8" x14ac:dyDescent="0.35">
      <c r="E926" s="19"/>
      <c r="F926" s="19"/>
      <c r="G926" s="19"/>
      <c r="H926" s="19"/>
    </row>
    <row r="927" spans="5:8" x14ac:dyDescent="0.35">
      <c r="E927" s="19"/>
      <c r="F927" s="19"/>
      <c r="G927" s="19"/>
      <c r="H927" s="19"/>
    </row>
    <row r="928" spans="5:8" x14ac:dyDescent="0.35">
      <c r="E928" s="19"/>
      <c r="F928" s="19"/>
      <c r="G928" s="19"/>
      <c r="H928" s="19"/>
    </row>
    <row r="929" spans="5:8" x14ac:dyDescent="0.35">
      <c r="E929" s="19"/>
      <c r="F929" s="19"/>
      <c r="G929" s="19"/>
      <c r="H929" s="19"/>
    </row>
    <row r="930" spans="5:8" x14ac:dyDescent="0.35">
      <c r="E930" s="19"/>
      <c r="F930" s="19"/>
      <c r="G930" s="19"/>
      <c r="H930" s="19"/>
    </row>
    <row r="931" spans="5:8" x14ac:dyDescent="0.35">
      <c r="E931" s="19"/>
      <c r="F931" s="19"/>
      <c r="G931" s="19"/>
      <c r="H931" s="19"/>
    </row>
    <row r="932" spans="5:8" x14ac:dyDescent="0.35">
      <c r="E932" s="19"/>
      <c r="F932" s="19"/>
      <c r="G932" s="19"/>
      <c r="H932" s="19"/>
    </row>
    <row r="933" spans="5:8" x14ac:dyDescent="0.35">
      <c r="E933" s="19"/>
      <c r="F933" s="19"/>
      <c r="G933" s="19"/>
      <c r="H933" s="19"/>
    </row>
    <row r="934" spans="5:8" x14ac:dyDescent="0.35">
      <c r="E934" s="19"/>
      <c r="F934" s="19"/>
      <c r="G934" s="19"/>
      <c r="H934" s="19"/>
    </row>
    <row r="935" spans="5:8" x14ac:dyDescent="0.35">
      <c r="E935" s="19"/>
      <c r="F935" s="19"/>
      <c r="G935" s="19"/>
      <c r="H935" s="19"/>
    </row>
    <row r="936" spans="5:8" x14ac:dyDescent="0.35">
      <c r="E936" s="19"/>
      <c r="F936" s="19"/>
      <c r="G936" s="19"/>
      <c r="H936" s="19"/>
    </row>
    <row r="937" spans="5:8" x14ac:dyDescent="0.35">
      <c r="E937" s="19"/>
      <c r="F937" s="19"/>
      <c r="G937" s="19"/>
      <c r="H937" s="19"/>
    </row>
    <row r="938" spans="5:8" x14ac:dyDescent="0.35">
      <c r="E938" s="19"/>
      <c r="F938" s="19"/>
      <c r="G938" s="19"/>
      <c r="H938" s="19"/>
    </row>
    <row r="939" spans="5:8" x14ac:dyDescent="0.35">
      <c r="E939" s="19"/>
      <c r="F939" s="19"/>
      <c r="G939" s="19"/>
      <c r="H939" s="19"/>
    </row>
    <row r="940" spans="5:8" x14ac:dyDescent="0.35">
      <c r="E940" s="19"/>
      <c r="F940" s="19"/>
      <c r="G940" s="19"/>
      <c r="H940" s="19"/>
    </row>
    <row r="941" spans="5:8" x14ac:dyDescent="0.35">
      <c r="E941" s="19"/>
      <c r="F941" s="19"/>
      <c r="G941" s="19"/>
      <c r="H941" s="19"/>
    </row>
    <row r="942" spans="5:8" x14ac:dyDescent="0.35">
      <c r="E942" s="19"/>
      <c r="F942" s="19"/>
      <c r="G942" s="19"/>
      <c r="H942" s="19"/>
    </row>
    <row r="943" spans="5:8" x14ac:dyDescent="0.35">
      <c r="E943" s="19"/>
      <c r="F943" s="19"/>
      <c r="G943" s="19"/>
      <c r="H943" s="19"/>
    </row>
    <row r="944" spans="5:8" x14ac:dyDescent="0.35">
      <c r="E944" s="19"/>
      <c r="F944" s="19"/>
      <c r="G944" s="19"/>
      <c r="H944" s="19"/>
    </row>
    <row r="945" spans="5:8" x14ac:dyDescent="0.35">
      <c r="E945" s="19"/>
      <c r="F945" s="19"/>
      <c r="G945" s="19"/>
      <c r="H945" s="19"/>
    </row>
    <row r="946" spans="5:8" x14ac:dyDescent="0.35">
      <c r="E946" s="19"/>
      <c r="F946" s="19"/>
      <c r="G946" s="19"/>
      <c r="H946" s="19"/>
    </row>
    <row r="947" spans="5:8" x14ac:dyDescent="0.35">
      <c r="E947" s="19"/>
      <c r="F947" s="19"/>
      <c r="G947" s="19"/>
      <c r="H947" s="19"/>
    </row>
    <row r="948" spans="5:8" x14ac:dyDescent="0.35">
      <c r="E948" s="19"/>
      <c r="F948" s="19"/>
      <c r="G948" s="19"/>
      <c r="H948" s="19"/>
    </row>
    <row r="949" spans="5:8" x14ac:dyDescent="0.35">
      <c r="E949" s="19"/>
      <c r="F949" s="19"/>
      <c r="G949" s="19"/>
      <c r="H949" s="19"/>
    </row>
    <row r="950" spans="5:8" x14ac:dyDescent="0.35">
      <c r="E950" s="19"/>
      <c r="F950" s="19"/>
      <c r="G950" s="19"/>
      <c r="H950" s="19"/>
    </row>
    <row r="951" spans="5:8" x14ac:dyDescent="0.35">
      <c r="E951" s="19"/>
      <c r="F951" s="19"/>
      <c r="G951" s="19"/>
      <c r="H951" s="19"/>
    </row>
    <row r="952" spans="5:8" x14ac:dyDescent="0.35">
      <c r="E952" s="19"/>
      <c r="F952" s="19"/>
      <c r="G952" s="19"/>
      <c r="H952" s="19"/>
    </row>
    <row r="953" spans="5:8" x14ac:dyDescent="0.35">
      <c r="E953" s="19"/>
      <c r="F953" s="19"/>
      <c r="G953" s="19"/>
      <c r="H953" s="19"/>
    </row>
    <row r="954" spans="5:8" x14ac:dyDescent="0.35">
      <c r="E954" s="19"/>
      <c r="F954" s="19"/>
      <c r="G954" s="19"/>
      <c r="H954" s="19"/>
    </row>
    <row r="955" spans="5:8" x14ac:dyDescent="0.35">
      <c r="E955" s="19"/>
      <c r="F955" s="19"/>
      <c r="G955" s="19"/>
      <c r="H955" s="19"/>
    </row>
    <row r="956" spans="5:8" x14ac:dyDescent="0.35">
      <c r="E956" s="19"/>
      <c r="F956" s="19"/>
      <c r="G956" s="19"/>
      <c r="H956" s="19"/>
    </row>
    <row r="957" spans="5:8" x14ac:dyDescent="0.35">
      <c r="E957" s="19"/>
      <c r="F957" s="19"/>
      <c r="G957" s="19"/>
      <c r="H957" s="19"/>
    </row>
    <row r="958" spans="5:8" x14ac:dyDescent="0.35">
      <c r="E958" s="19"/>
      <c r="F958" s="19"/>
      <c r="G958" s="19"/>
      <c r="H958" s="19"/>
    </row>
    <row r="959" spans="5:8" x14ac:dyDescent="0.35">
      <c r="E959" s="19"/>
      <c r="F959" s="19"/>
      <c r="G959" s="19"/>
      <c r="H959" s="19"/>
    </row>
    <row r="960" spans="5:8" x14ac:dyDescent="0.35">
      <c r="E960" s="19"/>
      <c r="F960" s="19"/>
      <c r="G960" s="19"/>
      <c r="H960" s="19"/>
    </row>
    <row r="961" spans="5:8" x14ac:dyDescent="0.35">
      <c r="E961" s="19"/>
      <c r="F961" s="19"/>
      <c r="G961" s="19"/>
      <c r="H961" s="19"/>
    </row>
    <row r="962" spans="5:8" x14ac:dyDescent="0.35">
      <c r="E962" s="19"/>
      <c r="F962" s="19"/>
      <c r="G962" s="19"/>
      <c r="H962" s="19"/>
    </row>
    <row r="963" spans="5:8" x14ac:dyDescent="0.35">
      <c r="E963" s="19"/>
      <c r="F963" s="19"/>
      <c r="G963" s="19"/>
      <c r="H963" s="19"/>
    </row>
    <row r="964" spans="5:8" x14ac:dyDescent="0.35">
      <c r="E964" s="19"/>
      <c r="F964" s="19"/>
      <c r="G964" s="19"/>
      <c r="H964" s="19"/>
    </row>
    <row r="965" spans="5:8" x14ac:dyDescent="0.35">
      <c r="E965" s="19"/>
      <c r="F965" s="19"/>
      <c r="G965" s="19"/>
      <c r="H965" s="19"/>
    </row>
    <row r="966" spans="5:8" x14ac:dyDescent="0.35">
      <c r="E966" s="19"/>
      <c r="F966" s="19"/>
      <c r="G966" s="19"/>
      <c r="H966" s="19"/>
    </row>
    <row r="967" spans="5:8" x14ac:dyDescent="0.35">
      <c r="E967" s="19"/>
      <c r="F967" s="19"/>
      <c r="G967" s="19"/>
      <c r="H967" s="19"/>
    </row>
    <row r="968" spans="5:8" x14ac:dyDescent="0.35">
      <c r="E968" s="19"/>
      <c r="F968" s="19"/>
      <c r="G968" s="19"/>
      <c r="H968" s="19"/>
    </row>
    <row r="969" spans="5:8" x14ac:dyDescent="0.35">
      <c r="E969" s="19"/>
      <c r="F969" s="19"/>
      <c r="G969" s="19"/>
      <c r="H969" s="19"/>
    </row>
    <row r="970" spans="5:8" x14ac:dyDescent="0.35">
      <c r="E970" s="19"/>
      <c r="F970" s="19"/>
      <c r="G970" s="19"/>
      <c r="H970" s="19"/>
    </row>
    <row r="971" spans="5:8" x14ac:dyDescent="0.35">
      <c r="E971" s="19"/>
      <c r="F971" s="19"/>
      <c r="G971" s="19"/>
      <c r="H971" s="19"/>
    </row>
    <row r="972" spans="5:8" x14ac:dyDescent="0.35">
      <c r="E972" s="19"/>
      <c r="F972" s="19"/>
      <c r="G972" s="19"/>
      <c r="H972" s="19"/>
    </row>
    <row r="973" spans="5:8" x14ac:dyDescent="0.35">
      <c r="E973" s="19"/>
      <c r="F973" s="19"/>
      <c r="G973" s="19"/>
      <c r="H973" s="19"/>
    </row>
    <row r="974" spans="5:8" x14ac:dyDescent="0.35">
      <c r="E974" s="19"/>
      <c r="F974" s="19"/>
      <c r="G974" s="19"/>
      <c r="H974" s="19"/>
    </row>
    <row r="975" spans="5:8" x14ac:dyDescent="0.35">
      <c r="E975" s="19"/>
      <c r="F975" s="19"/>
      <c r="G975" s="19"/>
      <c r="H975" s="19"/>
    </row>
    <row r="976" spans="5:8" x14ac:dyDescent="0.35">
      <c r="E976" s="19"/>
      <c r="F976" s="19"/>
      <c r="G976" s="19"/>
      <c r="H976" s="19"/>
    </row>
    <row r="977" spans="5:8" x14ac:dyDescent="0.35">
      <c r="E977" s="19"/>
      <c r="F977" s="19"/>
      <c r="G977" s="19"/>
      <c r="H977" s="19"/>
    </row>
    <row r="978" spans="5:8" x14ac:dyDescent="0.35">
      <c r="E978" s="19"/>
      <c r="F978" s="19"/>
      <c r="G978" s="19"/>
      <c r="H978" s="19"/>
    </row>
    <row r="979" spans="5:8" x14ac:dyDescent="0.35">
      <c r="E979" s="19"/>
      <c r="F979" s="19"/>
      <c r="G979" s="19"/>
      <c r="H979" s="19"/>
    </row>
    <row r="980" spans="5:8" x14ac:dyDescent="0.35">
      <c r="E980" s="19"/>
      <c r="F980" s="19"/>
      <c r="G980" s="19"/>
      <c r="H980" s="19"/>
    </row>
    <row r="981" spans="5:8" x14ac:dyDescent="0.35">
      <c r="E981" s="19"/>
      <c r="F981" s="19"/>
      <c r="G981" s="19"/>
      <c r="H981" s="19"/>
    </row>
    <row r="982" spans="5:8" x14ac:dyDescent="0.35">
      <c r="E982" s="19"/>
      <c r="F982" s="19"/>
      <c r="G982" s="19"/>
      <c r="H982" s="19"/>
    </row>
    <row r="983" spans="5:8" x14ac:dyDescent="0.35">
      <c r="E983" s="19"/>
      <c r="F983" s="19"/>
      <c r="G983" s="19"/>
      <c r="H983" s="19"/>
    </row>
    <row r="984" spans="5:8" x14ac:dyDescent="0.35">
      <c r="E984" s="19"/>
      <c r="F984" s="19"/>
      <c r="G984" s="19"/>
      <c r="H984" s="19"/>
    </row>
    <row r="985" spans="5:8" x14ac:dyDescent="0.35">
      <c r="E985" s="19"/>
      <c r="F985" s="19"/>
      <c r="G985" s="19"/>
      <c r="H985" s="19"/>
    </row>
    <row r="986" spans="5:8" x14ac:dyDescent="0.35">
      <c r="E986" s="19"/>
      <c r="F986" s="19"/>
      <c r="G986" s="19"/>
      <c r="H986" s="19"/>
    </row>
    <row r="987" spans="5:8" x14ac:dyDescent="0.35">
      <c r="E987" s="19"/>
      <c r="F987" s="19"/>
      <c r="G987" s="19"/>
      <c r="H987" s="19"/>
    </row>
    <row r="988" spans="5:8" x14ac:dyDescent="0.35">
      <c r="E988" s="19"/>
      <c r="F988" s="19"/>
      <c r="G988" s="19"/>
      <c r="H988" s="19"/>
    </row>
    <row r="989" spans="5:8" x14ac:dyDescent="0.35">
      <c r="E989" s="19"/>
      <c r="F989" s="19"/>
      <c r="G989" s="19"/>
      <c r="H989" s="19"/>
    </row>
    <row r="990" spans="5:8" x14ac:dyDescent="0.35">
      <c r="E990" s="19"/>
      <c r="F990" s="19"/>
      <c r="G990" s="19"/>
      <c r="H990" s="19"/>
    </row>
    <row r="991" spans="5:8" x14ac:dyDescent="0.35">
      <c r="E991" s="19"/>
      <c r="F991" s="19"/>
      <c r="G991" s="19"/>
      <c r="H991" s="19"/>
    </row>
    <row r="992" spans="5:8" x14ac:dyDescent="0.35">
      <c r="E992" s="19"/>
      <c r="F992" s="19"/>
      <c r="G992" s="19"/>
      <c r="H992" s="19"/>
    </row>
    <row r="993" spans="5:8" x14ac:dyDescent="0.35">
      <c r="E993" s="19"/>
      <c r="F993" s="19"/>
      <c r="G993" s="19"/>
      <c r="H993" s="19"/>
    </row>
    <row r="994" spans="5:8" x14ac:dyDescent="0.35">
      <c r="E994" s="19"/>
      <c r="F994" s="19"/>
      <c r="G994" s="19"/>
      <c r="H994" s="19"/>
    </row>
    <row r="995" spans="5:8" x14ac:dyDescent="0.35">
      <c r="E995" s="19"/>
      <c r="F995" s="19"/>
      <c r="G995" s="19"/>
      <c r="H995" s="19"/>
    </row>
    <row r="996" spans="5:8" x14ac:dyDescent="0.35">
      <c r="E996" s="19"/>
      <c r="F996" s="19"/>
      <c r="G996" s="19"/>
      <c r="H996" s="19"/>
    </row>
    <row r="997" spans="5:8" x14ac:dyDescent="0.35">
      <c r="E997" s="19"/>
      <c r="F997" s="19"/>
      <c r="G997" s="19"/>
      <c r="H997" s="19"/>
    </row>
    <row r="998" spans="5:8" x14ac:dyDescent="0.35">
      <c r="E998" s="19"/>
      <c r="F998" s="19"/>
      <c r="G998" s="19"/>
      <c r="H998" s="19"/>
    </row>
    <row r="999" spans="5:8" x14ac:dyDescent="0.35">
      <c r="E999" s="19"/>
      <c r="F999" s="19"/>
      <c r="G999" s="19"/>
      <c r="H999" s="19"/>
    </row>
    <row r="1000" spans="5:8" x14ac:dyDescent="0.35">
      <c r="E1000" s="19"/>
      <c r="F1000" s="19"/>
      <c r="G1000" s="19"/>
      <c r="H1000" s="19"/>
    </row>
    <row r="1001" spans="5:8" x14ac:dyDescent="0.35">
      <c r="E1001" s="19"/>
      <c r="F1001" s="19"/>
      <c r="G1001" s="19"/>
      <c r="H1001" s="19"/>
    </row>
    <row r="1002" spans="5:8" x14ac:dyDescent="0.35">
      <c r="E1002" s="19"/>
      <c r="F1002" s="19"/>
      <c r="G1002" s="19"/>
      <c r="H1002" s="19"/>
    </row>
    <row r="1003" spans="5:8" x14ac:dyDescent="0.35">
      <c r="E1003" s="19"/>
      <c r="F1003" s="19"/>
      <c r="G1003" s="19"/>
      <c r="H1003" s="19"/>
    </row>
    <row r="1004" spans="5:8" x14ac:dyDescent="0.35">
      <c r="E1004" s="19"/>
      <c r="F1004" s="19"/>
      <c r="G1004" s="19"/>
      <c r="H1004" s="19"/>
    </row>
    <row r="1005" spans="5:8" x14ac:dyDescent="0.35">
      <c r="E1005" s="19"/>
      <c r="F1005" s="19"/>
      <c r="G1005" s="19"/>
      <c r="H1005" s="19"/>
    </row>
    <row r="1006" spans="5:8" x14ac:dyDescent="0.35">
      <c r="E1006" s="19"/>
      <c r="F1006" s="19"/>
      <c r="G1006" s="19"/>
      <c r="H1006" s="19"/>
    </row>
    <row r="1007" spans="5:8" x14ac:dyDescent="0.35">
      <c r="E1007" s="19"/>
      <c r="F1007" s="19"/>
      <c r="G1007" s="19"/>
      <c r="H1007" s="19"/>
    </row>
    <row r="1008" spans="5:8" x14ac:dyDescent="0.35">
      <c r="E1008" s="19"/>
      <c r="F1008" s="19"/>
      <c r="G1008" s="19"/>
      <c r="H1008" s="19"/>
    </row>
    <row r="1009" spans="5:8" x14ac:dyDescent="0.35">
      <c r="E1009" s="19"/>
      <c r="F1009" s="19"/>
      <c r="G1009" s="19"/>
      <c r="H1009" s="19"/>
    </row>
    <row r="1010" spans="5:8" x14ac:dyDescent="0.35">
      <c r="E1010" s="19"/>
      <c r="F1010" s="19"/>
      <c r="G1010" s="19"/>
      <c r="H1010" s="19"/>
    </row>
    <row r="1011" spans="5:8" x14ac:dyDescent="0.35">
      <c r="E1011" s="19"/>
      <c r="F1011" s="19"/>
      <c r="G1011" s="19"/>
      <c r="H1011" s="19"/>
    </row>
    <row r="1012" spans="5:8" x14ac:dyDescent="0.35">
      <c r="E1012" s="19"/>
      <c r="F1012" s="19"/>
      <c r="G1012" s="19"/>
      <c r="H1012" s="19"/>
    </row>
    <row r="1013" spans="5:8" x14ac:dyDescent="0.35">
      <c r="E1013" s="19"/>
      <c r="F1013" s="19"/>
      <c r="G1013" s="19"/>
      <c r="H1013" s="19"/>
    </row>
    <row r="1014" spans="5:8" x14ac:dyDescent="0.35">
      <c r="E1014" s="19"/>
      <c r="F1014" s="19"/>
      <c r="G1014" s="19"/>
      <c r="H1014" s="19"/>
    </row>
    <row r="1015" spans="5:8" x14ac:dyDescent="0.35">
      <c r="E1015" s="19"/>
      <c r="F1015" s="19"/>
      <c r="G1015" s="19"/>
      <c r="H1015" s="19"/>
    </row>
    <row r="1016" spans="5:8" x14ac:dyDescent="0.35">
      <c r="E1016" s="19"/>
      <c r="F1016" s="19"/>
      <c r="G1016" s="19"/>
      <c r="H1016" s="19"/>
    </row>
    <row r="1017" spans="5:8" x14ac:dyDescent="0.35">
      <c r="E1017" s="19"/>
      <c r="F1017" s="19"/>
      <c r="G1017" s="19"/>
      <c r="H1017" s="19"/>
    </row>
    <row r="1018" spans="5:8" x14ac:dyDescent="0.35">
      <c r="E1018" s="19"/>
      <c r="F1018" s="19"/>
      <c r="G1018" s="19"/>
      <c r="H1018" s="19"/>
    </row>
    <row r="1019" spans="5:8" x14ac:dyDescent="0.35">
      <c r="E1019" s="19"/>
      <c r="F1019" s="19"/>
      <c r="G1019" s="19"/>
      <c r="H1019" s="19"/>
    </row>
    <row r="1020" spans="5:8" x14ac:dyDescent="0.35">
      <c r="E1020" s="19"/>
      <c r="F1020" s="19"/>
      <c r="G1020" s="19"/>
      <c r="H1020" s="19"/>
    </row>
    <row r="1021" spans="5:8" x14ac:dyDescent="0.35">
      <c r="E1021" s="19"/>
      <c r="F1021" s="19"/>
      <c r="G1021" s="19"/>
      <c r="H1021" s="19"/>
    </row>
    <row r="1022" spans="5:8" x14ac:dyDescent="0.35">
      <c r="E1022" s="19"/>
      <c r="F1022" s="19"/>
      <c r="G1022" s="19"/>
      <c r="H1022" s="19"/>
    </row>
    <row r="1023" spans="5:8" x14ac:dyDescent="0.35">
      <c r="E1023" s="19"/>
      <c r="F1023" s="19"/>
      <c r="G1023" s="19"/>
      <c r="H1023" s="19"/>
    </row>
    <row r="1024" spans="5:8" x14ac:dyDescent="0.35">
      <c r="E1024" s="19"/>
      <c r="F1024" s="19"/>
      <c r="G1024" s="19"/>
      <c r="H1024" s="19"/>
    </row>
    <row r="1025" spans="5:8" x14ac:dyDescent="0.35">
      <c r="E1025" s="19"/>
      <c r="F1025" s="19"/>
      <c r="G1025" s="19"/>
      <c r="H1025" s="19"/>
    </row>
    <row r="1026" spans="5:8" x14ac:dyDescent="0.35">
      <c r="E1026" s="19"/>
      <c r="F1026" s="19"/>
      <c r="G1026" s="19"/>
      <c r="H1026" s="19"/>
    </row>
    <row r="1027" spans="5:8" x14ac:dyDescent="0.35">
      <c r="E1027" s="19"/>
      <c r="F1027" s="19"/>
      <c r="G1027" s="19"/>
      <c r="H1027" s="19"/>
    </row>
    <row r="1028" spans="5:8" x14ac:dyDescent="0.35">
      <c r="E1028" s="19"/>
      <c r="F1028" s="19"/>
      <c r="G1028" s="19"/>
      <c r="H1028" s="19"/>
    </row>
    <row r="1029" spans="5:8" x14ac:dyDescent="0.35">
      <c r="E1029" s="19"/>
      <c r="F1029" s="19"/>
      <c r="G1029" s="19"/>
      <c r="H1029" s="19"/>
    </row>
    <row r="1030" spans="5:8" x14ac:dyDescent="0.35">
      <c r="E1030" s="19"/>
      <c r="F1030" s="19"/>
      <c r="G1030" s="19"/>
      <c r="H1030" s="19"/>
    </row>
    <row r="1031" spans="5:8" x14ac:dyDescent="0.35">
      <c r="E1031" s="19"/>
      <c r="F1031" s="19"/>
      <c r="G1031" s="19"/>
      <c r="H1031" s="19"/>
    </row>
    <row r="1032" spans="5:8" x14ac:dyDescent="0.35">
      <c r="E1032" s="19"/>
      <c r="F1032" s="19"/>
      <c r="G1032" s="19"/>
      <c r="H1032" s="19"/>
    </row>
    <row r="1033" spans="5:8" x14ac:dyDescent="0.35">
      <c r="E1033" s="19"/>
      <c r="F1033" s="19"/>
      <c r="G1033" s="19"/>
      <c r="H1033" s="19"/>
    </row>
    <row r="1034" spans="5:8" x14ac:dyDescent="0.35">
      <c r="E1034" s="19"/>
      <c r="F1034" s="19"/>
      <c r="G1034" s="19"/>
      <c r="H1034" s="19"/>
    </row>
    <row r="1035" spans="5:8" x14ac:dyDescent="0.35">
      <c r="E1035" s="19"/>
      <c r="F1035" s="19"/>
      <c r="G1035" s="19"/>
      <c r="H1035" s="19"/>
    </row>
    <row r="1036" spans="5:8" x14ac:dyDescent="0.35">
      <c r="E1036" s="19"/>
      <c r="F1036" s="19"/>
      <c r="G1036" s="19"/>
      <c r="H1036" s="19"/>
    </row>
    <row r="1037" spans="5:8" x14ac:dyDescent="0.35">
      <c r="E1037" s="19"/>
      <c r="F1037" s="19"/>
      <c r="G1037" s="19"/>
      <c r="H1037" s="19"/>
    </row>
    <row r="1038" spans="5:8" x14ac:dyDescent="0.35">
      <c r="E1038" s="19"/>
      <c r="F1038" s="19"/>
      <c r="G1038" s="19"/>
      <c r="H1038" s="19"/>
    </row>
    <row r="1039" spans="5:8" x14ac:dyDescent="0.35">
      <c r="E1039" s="19"/>
      <c r="F1039" s="19"/>
      <c r="G1039" s="19"/>
      <c r="H1039" s="19"/>
    </row>
    <row r="1040" spans="5:8" x14ac:dyDescent="0.35">
      <c r="E1040" s="19"/>
      <c r="F1040" s="19"/>
      <c r="G1040" s="19"/>
      <c r="H1040" s="19"/>
    </row>
    <row r="1041" spans="5:8" x14ac:dyDescent="0.35">
      <c r="E1041" s="19"/>
      <c r="F1041" s="19"/>
      <c r="G1041" s="19"/>
      <c r="H1041" s="19"/>
    </row>
    <row r="1042" spans="5:8" x14ac:dyDescent="0.35">
      <c r="E1042" s="19"/>
      <c r="F1042" s="19"/>
      <c r="G1042" s="19"/>
      <c r="H1042" s="19"/>
    </row>
    <row r="1043" spans="5:8" x14ac:dyDescent="0.35">
      <c r="E1043" s="19"/>
      <c r="F1043" s="19"/>
      <c r="G1043" s="19"/>
      <c r="H1043" s="19"/>
    </row>
    <row r="1044" spans="5:8" x14ac:dyDescent="0.35">
      <c r="E1044" s="19"/>
      <c r="F1044" s="19"/>
      <c r="G1044" s="19"/>
      <c r="H1044" s="19"/>
    </row>
    <row r="1045" spans="5:8" x14ac:dyDescent="0.35">
      <c r="E1045" s="19"/>
      <c r="F1045" s="19"/>
      <c r="G1045" s="19"/>
      <c r="H1045" s="19"/>
    </row>
    <row r="1046" spans="5:8" x14ac:dyDescent="0.35">
      <c r="E1046" s="19"/>
      <c r="F1046" s="19"/>
      <c r="G1046" s="19"/>
      <c r="H1046" s="19"/>
    </row>
    <row r="1047" spans="5:8" x14ac:dyDescent="0.35">
      <c r="E1047" s="19"/>
      <c r="F1047" s="19"/>
      <c r="G1047" s="19"/>
      <c r="H1047" s="19"/>
    </row>
    <row r="1048" spans="5:8" x14ac:dyDescent="0.35">
      <c r="E1048" s="19"/>
      <c r="F1048" s="19"/>
      <c r="G1048" s="19"/>
      <c r="H1048" s="19"/>
    </row>
    <row r="1049" spans="5:8" x14ac:dyDescent="0.35">
      <c r="E1049" s="19"/>
      <c r="F1049" s="19"/>
      <c r="G1049" s="19"/>
      <c r="H1049" s="19"/>
    </row>
    <row r="1050" spans="5:8" x14ac:dyDescent="0.35">
      <c r="E1050" s="19"/>
      <c r="F1050" s="19"/>
      <c r="G1050" s="19"/>
      <c r="H1050" s="19"/>
    </row>
    <row r="1051" spans="5:8" x14ac:dyDescent="0.35">
      <c r="E1051" s="19"/>
      <c r="F1051" s="19"/>
      <c r="G1051" s="19"/>
      <c r="H1051" s="19"/>
    </row>
    <row r="1052" spans="5:8" x14ac:dyDescent="0.35">
      <c r="E1052" s="19"/>
      <c r="F1052" s="19"/>
      <c r="G1052" s="19"/>
      <c r="H1052" s="19"/>
    </row>
    <row r="1053" spans="5:8" x14ac:dyDescent="0.35">
      <c r="E1053" s="19"/>
      <c r="F1053" s="19"/>
      <c r="G1053" s="19"/>
      <c r="H1053" s="19"/>
    </row>
    <row r="1054" spans="5:8" x14ac:dyDescent="0.35">
      <c r="E1054" s="19"/>
      <c r="F1054" s="19"/>
      <c r="G1054" s="19"/>
      <c r="H1054" s="19"/>
    </row>
    <row r="1055" spans="5:8" x14ac:dyDescent="0.35">
      <c r="E1055" s="19"/>
      <c r="F1055" s="19"/>
      <c r="G1055" s="19"/>
      <c r="H1055" s="19"/>
    </row>
    <row r="1056" spans="5:8" x14ac:dyDescent="0.35">
      <c r="E1056" s="19"/>
      <c r="F1056" s="19"/>
      <c r="G1056" s="19"/>
      <c r="H1056" s="19"/>
    </row>
    <row r="1057" spans="5:8" x14ac:dyDescent="0.35">
      <c r="E1057" s="19"/>
      <c r="F1057" s="19"/>
      <c r="G1057" s="19"/>
      <c r="H1057" s="19"/>
    </row>
    <row r="1058" spans="5:8" x14ac:dyDescent="0.35">
      <c r="E1058" s="19"/>
      <c r="F1058" s="19"/>
      <c r="G1058" s="19"/>
      <c r="H1058" s="19"/>
    </row>
    <row r="1059" spans="5:8" x14ac:dyDescent="0.35">
      <c r="E1059" s="19"/>
      <c r="F1059" s="19"/>
      <c r="G1059" s="19"/>
      <c r="H1059" s="19"/>
    </row>
    <row r="1060" spans="5:8" x14ac:dyDescent="0.35">
      <c r="E1060" s="19"/>
      <c r="F1060" s="19"/>
      <c r="G1060" s="19"/>
      <c r="H1060" s="19"/>
    </row>
    <row r="1061" spans="5:8" x14ac:dyDescent="0.35">
      <c r="E1061" s="19"/>
      <c r="F1061" s="19"/>
      <c r="G1061" s="19"/>
      <c r="H1061" s="19"/>
    </row>
    <row r="1062" spans="5:8" x14ac:dyDescent="0.35">
      <c r="E1062" s="19"/>
      <c r="F1062" s="19"/>
      <c r="G1062" s="19"/>
      <c r="H1062" s="19"/>
    </row>
    <row r="1063" spans="5:8" x14ac:dyDescent="0.35">
      <c r="E1063" s="19"/>
      <c r="F1063" s="19"/>
      <c r="G1063" s="19"/>
      <c r="H1063" s="19"/>
    </row>
    <row r="1064" spans="5:8" x14ac:dyDescent="0.35">
      <c r="E1064" s="19"/>
      <c r="F1064" s="19"/>
      <c r="G1064" s="19"/>
      <c r="H1064" s="19"/>
    </row>
    <row r="1065" spans="5:8" x14ac:dyDescent="0.35">
      <c r="E1065" s="19"/>
      <c r="F1065" s="19"/>
      <c r="G1065" s="19"/>
      <c r="H1065" s="19"/>
    </row>
    <row r="1066" spans="5:8" x14ac:dyDescent="0.35">
      <c r="E1066" s="19"/>
      <c r="F1066" s="19"/>
      <c r="G1066" s="19"/>
      <c r="H1066" s="19"/>
    </row>
    <row r="1067" spans="5:8" x14ac:dyDescent="0.35">
      <c r="E1067" s="19"/>
      <c r="F1067" s="19"/>
      <c r="G1067" s="19"/>
      <c r="H1067" s="19"/>
    </row>
    <row r="1068" spans="5:8" x14ac:dyDescent="0.35">
      <c r="E1068" s="19"/>
      <c r="F1068" s="19"/>
      <c r="G1068" s="19"/>
      <c r="H1068" s="19"/>
    </row>
    <row r="1069" spans="5:8" x14ac:dyDescent="0.35">
      <c r="E1069" s="19"/>
      <c r="F1069" s="19"/>
      <c r="G1069" s="19"/>
      <c r="H1069" s="19"/>
    </row>
    <row r="1070" spans="5:8" x14ac:dyDescent="0.35">
      <c r="E1070" s="19"/>
      <c r="F1070" s="19"/>
      <c r="G1070" s="19"/>
      <c r="H1070" s="19"/>
    </row>
    <row r="1071" spans="5:8" x14ac:dyDescent="0.35">
      <c r="E1071" s="19"/>
      <c r="F1071" s="19"/>
      <c r="G1071" s="19"/>
      <c r="H1071" s="19"/>
    </row>
    <row r="1072" spans="5:8" x14ac:dyDescent="0.35">
      <c r="E1072" s="19"/>
      <c r="F1072" s="19"/>
      <c r="G1072" s="19"/>
      <c r="H1072" s="19"/>
    </row>
    <row r="1073" spans="5:8" x14ac:dyDescent="0.35">
      <c r="E1073" s="19"/>
      <c r="F1073" s="19"/>
      <c r="G1073" s="19"/>
      <c r="H1073" s="19"/>
    </row>
    <row r="1074" spans="5:8" x14ac:dyDescent="0.35">
      <c r="E1074" s="19"/>
      <c r="F1074" s="19"/>
      <c r="G1074" s="19"/>
      <c r="H1074" s="19"/>
    </row>
    <row r="1075" spans="5:8" x14ac:dyDescent="0.35">
      <c r="E1075" s="19"/>
      <c r="F1075" s="19"/>
      <c r="G1075" s="19"/>
      <c r="H1075" s="19"/>
    </row>
    <row r="1076" spans="5:8" x14ac:dyDescent="0.35">
      <c r="E1076" s="19"/>
      <c r="F1076" s="19"/>
      <c r="G1076" s="19"/>
      <c r="H1076" s="19"/>
    </row>
    <row r="1077" spans="5:8" x14ac:dyDescent="0.35">
      <c r="E1077" s="19"/>
      <c r="F1077" s="19"/>
      <c r="G1077" s="19"/>
      <c r="H1077" s="19"/>
    </row>
    <row r="1078" spans="5:8" x14ac:dyDescent="0.35">
      <c r="E1078" s="19"/>
      <c r="F1078" s="19"/>
      <c r="G1078" s="19"/>
      <c r="H1078" s="19"/>
    </row>
    <row r="1079" spans="5:8" x14ac:dyDescent="0.35">
      <c r="E1079" s="19"/>
      <c r="F1079" s="19"/>
      <c r="G1079" s="19"/>
      <c r="H1079" s="19"/>
    </row>
    <row r="1080" spans="5:8" x14ac:dyDescent="0.35">
      <c r="E1080" s="19"/>
      <c r="F1080" s="19"/>
      <c r="G1080" s="19"/>
      <c r="H1080" s="19"/>
    </row>
    <row r="1081" spans="5:8" x14ac:dyDescent="0.35">
      <c r="E1081" s="19"/>
      <c r="F1081" s="19"/>
      <c r="G1081" s="19"/>
      <c r="H1081" s="19"/>
    </row>
    <row r="1082" spans="5:8" x14ac:dyDescent="0.35">
      <c r="E1082" s="19"/>
      <c r="F1082" s="19"/>
      <c r="G1082" s="19"/>
      <c r="H1082" s="19"/>
    </row>
    <row r="1083" spans="5:8" x14ac:dyDescent="0.35">
      <c r="E1083" s="19"/>
      <c r="F1083" s="19"/>
      <c r="G1083" s="19"/>
      <c r="H1083" s="19"/>
    </row>
    <row r="1084" spans="5:8" x14ac:dyDescent="0.35">
      <c r="E1084" s="19"/>
      <c r="F1084" s="19"/>
      <c r="G1084" s="19"/>
      <c r="H1084" s="19"/>
    </row>
    <row r="1085" spans="5:8" x14ac:dyDescent="0.35">
      <c r="E1085" s="19"/>
      <c r="F1085" s="19"/>
      <c r="G1085" s="19"/>
      <c r="H1085" s="19"/>
    </row>
    <row r="1086" spans="5:8" x14ac:dyDescent="0.35">
      <c r="E1086" s="19"/>
      <c r="F1086" s="19"/>
      <c r="G1086" s="19"/>
      <c r="H1086" s="19"/>
    </row>
    <row r="1087" spans="5:8" x14ac:dyDescent="0.35">
      <c r="E1087" s="19"/>
      <c r="F1087" s="19"/>
      <c r="G1087" s="19"/>
      <c r="H1087" s="19"/>
    </row>
    <row r="1088" spans="5:8" x14ac:dyDescent="0.35">
      <c r="E1088" s="19"/>
      <c r="F1088" s="19"/>
      <c r="G1088" s="19"/>
      <c r="H1088" s="19"/>
    </row>
    <row r="1089" spans="5:8" x14ac:dyDescent="0.35">
      <c r="E1089" s="19"/>
      <c r="F1089" s="19"/>
      <c r="G1089" s="19"/>
      <c r="H1089" s="19"/>
    </row>
    <row r="1090" spans="5:8" x14ac:dyDescent="0.35">
      <c r="E1090" s="19"/>
      <c r="F1090" s="19"/>
      <c r="G1090" s="19"/>
      <c r="H1090" s="19"/>
    </row>
    <row r="1091" spans="5:8" x14ac:dyDescent="0.35">
      <c r="E1091" s="19"/>
      <c r="F1091" s="19"/>
      <c r="G1091" s="19"/>
      <c r="H1091" s="19"/>
    </row>
    <row r="1092" spans="5:8" x14ac:dyDescent="0.35">
      <c r="E1092" s="19"/>
      <c r="F1092" s="19"/>
      <c r="G1092" s="19"/>
      <c r="H1092" s="19"/>
    </row>
    <row r="1093" spans="5:8" x14ac:dyDescent="0.35">
      <c r="E1093" s="19"/>
      <c r="F1093" s="19"/>
      <c r="G1093" s="19"/>
      <c r="H1093" s="19"/>
    </row>
    <row r="1094" spans="5:8" x14ac:dyDescent="0.35">
      <c r="E1094" s="19"/>
      <c r="F1094" s="19"/>
      <c r="G1094" s="19"/>
      <c r="H1094" s="19"/>
    </row>
    <row r="1095" spans="5:8" x14ac:dyDescent="0.35">
      <c r="E1095" s="19"/>
      <c r="F1095" s="19"/>
      <c r="G1095" s="19"/>
      <c r="H1095" s="19"/>
    </row>
    <row r="1096" spans="5:8" x14ac:dyDescent="0.35">
      <c r="E1096" s="19"/>
      <c r="F1096" s="19"/>
      <c r="G1096" s="19"/>
      <c r="H1096" s="19"/>
    </row>
    <row r="1097" spans="5:8" x14ac:dyDescent="0.35">
      <c r="E1097" s="19"/>
      <c r="F1097" s="19"/>
      <c r="G1097" s="19"/>
      <c r="H1097" s="19"/>
    </row>
    <row r="1098" spans="5:8" x14ac:dyDescent="0.35">
      <c r="E1098" s="19"/>
      <c r="F1098" s="19"/>
      <c r="G1098" s="19"/>
      <c r="H1098" s="19"/>
    </row>
    <row r="1099" spans="5:8" x14ac:dyDescent="0.35">
      <c r="E1099" s="19"/>
      <c r="F1099" s="19"/>
      <c r="G1099" s="19"/>
      <c r="H1099" s="19"/>
    </row>
    <row r="1100" spans="5:8" x14ac:dyDescent="0.35">
      <c r="E1100" s="19"/>
      <c r="F1100" s="19"/>
      <c r="G1100" s="19"/>
      <c r="H1100" s="19"/>
    </row>
    <row r="1101" spans="5:8" x14ac:dyDescent="0.35">
      <c r="E1101" s="19"/>
      <c r="F1101" s="19"/>
      <c r="G1101" s="19"/>
      <c r="H1101" s="19"/>
    </row>
    <row r="1102" spans="5:8" x14ac:dyDescent="0.35">
      <c r="E1102" s="19"/>
      <c r="F1102" s="19"/>
      <c r="G1102" s="19"/>
      <c r="H1102" s="19"/>
    </row>
    <row r="1103" spans="5:8" x14ac:dyDescent="0.35">
      <c r="E1103" s="19"/>
      <c r="F1103" s="19"/>
      <c r="G1103" s="19"/>
      <c r="H1103" s="19"/>
    </row>
    <row r="1104" spans="5:8" x14ac:dyDescent="0.35">
      <c r="E1104" s="19"/>
      <c r="F1104" s="19"/>
      <c r="G1104" s="19"/>
      <c r="H1104" s="19"/>
    </row>
    <row r="1105" spans="5:8" x14ac:dyDescent="0.35">
      <c r="E1105" s="19"/>
      <c r="F1105" s="19"/>
      <c r="G1105" s="19"/>
      <c r="H1105" s="19"/>
    </row>
    <row r="1106" spans="5:8" x14ac:dyDescent="0.35">
      <c r="E1106" s="19"/>
      <c r="F1106" s="19"/>
      <c r="G1106" s="19"/>
      <c r="H1106" s="19"/>
    </row>
    <row r="1107" spans="5:8" x14ac:dyDescent="0.35">
      <c r="E1107" s="19"/>
      <c r="F1107" s="19"/>
      <c r="G1107" s="19"/>
      <c r="H1107" s="19"/>
    </row>
    <row r="1108" spans="5:8" x14ac:dyDescent="0.35">
      <c r="E1108" s="19"/>
      <c r="F1108" s="19"/>
      <c r="G1108" s="19"/>
      <c r="H1108" s="19"/>
    </row>
    <row r="1109" spans="5:8" x14ac:dyDescent="0.35">
      <c r="E1109" s="19"/>
      <c r="F1109" s="19"/>
      <c r="G1109" s="19"/>
      <c r="H1109" s="19"/>
    </row>
    <row r="1110" spans="5:8" x14ac:dyDescent="0.35">
      <c r="E1110" s="19"/>
      <c r="F1110" s="19"/>
      <c r="G1110" s="19"/>
      <c r="H1110" s="19"/>
    </row>
    <row r="1111" spans="5:8" x14ac:dyDescent="0.35">
      <c r="E1111" s="19"/>
      <c r="F1111" s="19"/>
      <c r="G1111" s="19"/>
      <c r="H1111" s="19"/>
    </row>
    <row r="1112" spans="5:8" x14ac:dyDescent="0.35">
      <c r="E1112" s="19"/>
      <c r="F1112" s="19"/>
      <c r="G1112" s="19"/>
      <c r="H1112" s="19"/>
    </row>
    <row r="1113" spans="5:8" x14ac:dyDescent="0.35">
      <c r="E1113" s="19"/>
      <c r="F1113" s="19"/>
      <c r="G1113" s="19"/>
      <c r="H1113" s="19"/>
    </row>
    <row r="1114" spans="5:8" x14ac:dyDescent="0.35">
      <c r="E1114" s="19"/>
      <c r="F1114" s="19"/>
      <c r="G1114" s="19"/>
      <c r="H1114" s="19"/>
    </row>
    <row r="1115" spans="5:8" x14ac:dyDescent="0.35">
      <c r="E1115" s="19"/>
      <c r="F1115" s="19"/>
      <c r="G1115" s="19"/>
      <c r="H1115" s="19"/>
    </row>
    <row r="1116" spans="5:8" x14ac:dyDescent="0.35">
      <c r="E1116" s="19"/>
      <c r="F1116" s="19"/>
      <c r="G1116" s="19"/>
      <c r="H1116" s="19"/>
    </row>
    <row r="1117" spans="5:8" x14ac:dyDescent="0.35">
      <c r="E1117" s="19"/>
      <c r="F1117" s="19"/>
      <c r="G1117" s="19"/>
      <c r="H1117" s="19"/>
    </row>
    <row r="1118" spans="5:8" x14ac:dyDescent="0.35">
      <c r="E1118" s="19"/>
      <c r="F1118" s="19"/>
      <c r="G1118" s="19"/>
      <c r="H1118" s="19"/>
    </row>
    <row r="1119" spans="5:8" x14ac:dyDescent="0.35">
      <c r="E1119" s="19"/>
      <c r="F1119" s="19"/>
      <c r="G1119" s="19"/>
      <c r="H1119" s="19"/>
    </row>
    <row r="1120" spans="5:8" x14ac:dyDescent="0.35">
      <c r="E1120" s="19"/>
      <c r="F1120" s="19"/>
      <c r="G1120" s="19"/>
      <c r="H1120" s="19"/>
    </row>
    <row r="1121" spans="5:8" x14ac:dyDescent="0.35">
      <c r="E1121" s="19"/>
      <c r="F1121" s="19"/>
      <c r="G1121" s="19"/>
      <c r="H1121" s="19"/>
    </row>
    <row r="1122" spans="5:8" x14ac:dyDescent="0.35">
      <c r="E1122" s="19"/>
      <c r="F1122" s="19"/>
      <c r="G1122" s="19"/>
      <c r="H1122" s="19"/>
    </row>
    <row r="1123" spans="5:8" x14ac:dyDescent="0.35">
      <c r="E1123" s="19"/>
      <c r="F1123" s="19"/>
      <c r="G1123" s="19"/>
      <c r="H1123" s="19"/>
    </row>
    <row r="1124" spans="5:8" x14ac:dyDescent="0.35">
      <c r="E1124" s="19"/>
      <c r="F1124" s="19"/>
      <c r="G1124" s="19"/>
      <c r="H1124" s="19"/>
    </row>
    <row r="1125" spans="5:8" x14ac:dyDescent="0.35">
      <c r="E1125" s="19"/>
      <c r="F1125" s="19"/>
      <c r="G1125" s="19"/>
      <c r="H1125" s="19"/>
    </row>
    <row r="1126" spans="5:8" x14ac:dyDescent="0.35">
      <c r="E1126" s="19"/>
      <c r="F1126" s="19"/>
      <c r="G1126" s="19"/>
      <c r="H1126" s="19"/>
    </row>
    <row r="1127" spans="5:8" x14ac:dyDescent="0.35">
      <c r="E1127" s="19"/>
      <c r="F1127" s="19"/>
      <c r="G1127" s="19"/>
      <c r="H1127" s="19"/>
    </row>
    <row r="1128" spans="5:8" x14ac:dyDescent="0.35">
      <c r="E1128" s="19"/>
      <c r="F1128" s="19"/>
      <c r="G1128" s="19"/>
      <c r="H1128" s="19"/>
    </row>
    <row r="1129" spans="5:8" x14ac:dyDescent="0.35">
      <c r="E1129" s="19"/>
      <c r="F1129" s="19"/>
      <c r="G1129" s="19"/>
      <c r="H1129" s="19"/>
    </row>
    <row r="1130" spans="5:8" x14ac:dyDescent="0.35">
      <c r="E1130" s="19"/>
      <c r="F1130" s="19"/>
      <c r="G1130" s="19"/>
      <c r="H1130" s="19"/>
    </row>
    <row r="1131" spans="5:8" x14ac:dyDescent="0.35">
      <c r="E1131" s="19"/>
      <c r="F1131" s="19"/>
      <c r="G1131" s="19"/>
      <c r="H1131" s="19"/>
    </row>
    <row r="1132" spans="5:8" x14ac:dyDescent="0.35">
      <c r="E1132" s="19"/>
      <c r="F1132" s="19"/>
      <c r="G1132" s="19"/>
      <c r="H1132" s="19"/>
    </row>
    <row r="1133" spans="5:8" x14ac:dyDescent="0.35">
      <c r="E1133" s="19"/>
      <c r="F1133" s="19"/>
      <c r="G1133" s="19"/>
      <c r="H1133" s="19"/>
    </row>
    <row r="1134" spans="5:8" x14ac:dyDescent="0.35">
      <c r="E1134" s="19"/>
      <c r="F1134" s="19"/>
      <c r="G1134" s="19"/>
      <c r="H1134" s="19"/>
    </row>
    <row r="1135" spans="5:8" x14ac:dyDescent="0.35">
      <c r="E1135" s="19"/>
      <c r="F1135" s="19"/>
      <c r="G1135" s="19"/>
      <c r="H1135" s="19"/>
    </row>
    <row r="1136" spans="5:8" x14ac:dyDescent="0.35">
      <c r="E1136" s="19"/>
      <c r="F1136" s="19"/>
      <c r="G1136" s="19"/>
      <c r="H1136" s="19"/>
    </row>
    <row r="1137" spans="5:8" x14ac:dyDescent="0.35">
      <c r="E1137" s="19"/>
      <c r="F1137" s="19"/>
      <c r="G1137" s="19"/>
      <c r="H1137" s="19"/>
    </row>
    <row r="1138" spans="5:8" x14ac:dyDescent="0.35">
      <c r="E1138" s="19"/>
      <c r="F1138" s="19"/>
      <c r="G1138" s="19"/>
      <c r="H1138" s="19"/>
    </row>
    <row r="1139" spans="5:8" x14ac:dyDescent="0.35">
      <c r="E1139" s="19"/>
      <c r="F1139" s="19"/>
      <c r="G1139" s="19"/>
      <c r="H1139" s="19"/>
    </row>
    <row r="1140" spans="5:8" x14ac:dyDescent="0.35">
      <c r="E1140" s="19"/>
      <c r="F1140" s="19"/>
      <c r="G1140" s="19"/>
      <c r="H1140" s="19"/>
    </row>
    <row r="1141" spans="5:8" x14ac:dyDescent="0.35">
      <c r="E1141" s="19"/>
      <c r="F1141" s="19"/>
      <c r="G1141" s="19"/>
      <c r="H1141" s="19"/>
    </row>
    <row r="1142" spans="5:8" x14ac:dyDescent="0.35">
      <c r="E1142" s="19"/>
      <c r="F1142" s="19"/>
      <c r="G1142" s="19"/>
      <c r="H1142" s="19"/>
    </row>
    <row r="1143" spans="5:8" x14ac:dyDescent="0.35">
      <c r="E1143" s="19"/>
      <c r="F1143" s="19"/>
      <c r="G1143" s="19"/>
      <c r="H1143" s="19"/>
    </row>
    <row r="1144" spans="5:8" x14ac:dyDescent="0.35">
      <c r="E1144" s="19"/>
      <c r="F1144" s="19"/>
      <c r="G1144" s="19"/>
      <c r="H1144" s="19"/>
    </row>
    <row r="1145" spans="5:8" x14ac:dyDescent="0.35">
      <c r="E1145" s="19"/>
      <c r="F1145" s="19"/>
      <c r="G1145" s="19"/>
      <c r="H1145" s="19"/>
    </row>
    <row r="1146" spans="5:8" x14ac:dyDescent="0.35">
      <c r="E1146" s="19"/>
      <c r="F1146" s="19"/>
      <c r="G1146" s="19"/>
      <c r="H1146" s="19"/>
    </row>
    <row r="1147" spans="5:8" x14ac:dyDescent="0.35">
      <c r="E1147" s="19"/>
      <c r="F1147" s="19"/>
      <c r="G1147" s="19"/>
      <c r="H1147" s="19"/>
    </row>
    <row r="1148" spans="5:8" x14ac:dyDescent="0.35">
      <c r="E1148" s="19"/>
      <c r="F1148" s="19"/>
      <c r="G1148" s="19"/>
      <c r="H1148" s="19"/>
    </row>
    <row r="1149" spans="5:8" x14ac:dyDescent="0.35">
      <c r="E1149" s="19"/>
      <c r="F1149" s="19"/>
      <c r="G1149" s="19"/>
      <c r="H1149" s="19"/>
    </row>
    <row r="1150" spans="5:8" x14ac:dyDescent="0.35">
      <c r="E1150" s="19"/>
      <c r="F1150" s="19"/>
      <c r="G1150" s="19"/>
      <c r="H1150" s="19"/>
    </row>
    <row r="1151" spans="5:8" x14ac:dyDescent="0.35">
      <c r="E1151" s="19"/>
      <c r="F1151" s="19"/>
      <c r="G1151" s="19"/>
      <c r="H1151" s="19"/>
    </row>
    <row r="1152" spans="5:8" x14ac:dyDescent="0.35">
      <c r="E1152" s="19"/>
      <c r="F1152" s="19"/>
      <c r="G1152" s="19"/>
      <c r="H1152" s="19"/>
    </row>
    <row r="1153" spans="5:8" x14ac:dyDescent="0.35">
      <c r="E1153" s="19"/>
      <c r="F1153" s="19"/>
      <c r="G1153" s="19"/>
      <c r="H1153" s="19"/>
    </row>
    <row r="1154" spans="5:8" x14ac:dyDescent="0.35">
      <c r="E1154" s="19"/>
      <c r="F1154" s="19"/>
      <c r="G1154" s="19"/>
      <c r="H1154" s="19"/>
    </row>
    <row r="1155" spans="5:8" x14ac:dyDescent="0.35">
      <c r="E1155" s="19"/>
      <c r="F1155" s="19"/>
      <c r="G1155" s="19"/>
      <c r="H1155" s="19"/>
    </row>
    <row r="1156" spans="5:8" x14ac:dyDescent="0.35">
      <c r="E1156" s="19"/>
      <c r="F1156" s="19"/>
      <c r="G1156" s="19"/>
      <c r="H1156" s="19"/>
    </row>
    <row r="1157" spans="5:8" x14ac:dyDescent="0.35">
      <c r="E1157" s="19"/>
      <c r="F1157" s="19"/>
      <c r="G1157" s="19"/>
      <c r="H1157" s="19"/>
    </row>
    <row r="1158" spans="5:8" x14ac:dyDescent="0.35">
      <c r="E1158" s="19"/>
      <c r="F1158" s="19"/>
      <c r="G1158" s="19"/>
      <c r="H1158" s="19"/>
    </row>
    <row r="1159" spans="5:8" x14ac:dyDescent="0.35">
      <c r="E1159" s="19"/>
      <c r="F1159" s="19"/>
      <c r="G1159" s="19"/>
      <c r="H1159" s="19"/>
    </row>
    <row r="1160" spans="5:8" x14ac:dyDescent="0.35">
      <c r="E1160" s="19"/>
      <c r="F1160" s="19"/>
      <c r="G1160" s="19"/>
      <c r="H1160" s="19"/>
    </row>
    <row r="1161" spans="5:8" x14ac:dyDescent="0.35">
      <c r="E1161" s="19"/>
      <c r="F1161" s="19"/>
      <c r="G1161" s="19"/>
      <c r="H1161" s="19"/>
    </row>
    <row r="1162" spans="5:8" x14ac:dyDescent="0.35">
      <c r="E1162" s="19"/>
      <c r="F1162" s="19"/>
      <c r="G1162" s="19"/>
      <c r="H1162" s="19"/>
    </row>
    <row r="1163" spans="5:8" x14ac:dyDescent="0.35">
      <c r="E1163" s="19"/>
      <c r="F1163" s="19"/>
      <c r="G1163" s="19"/>
      <c r="H1163" s="19"/>
    </row>
    <row r="1164" spans="5:8" x14ac:dyDescent="0.35">
      <c r="E1164" s="19"/>
      <c r="F1164" s="19"/>
      <c r="G1164" s="19"/>
      <c r="H1164" s="19"/>
    </row>
    <row r="1165" spans="5:8" x14ac:dyDescent="0.35">
      <c r="E1165" s="19"/>
      <c r="F1165" s="19"/>
      <c r="G1165" s="19"/>
      <c r="H1165" s="19"/>
    </row>
    <row r="1166" spans="5:8" x14ac:dyDescent="0.35">
      <c r="E1166" s="19"/>
      <c r="F1166" s="19"/>
      <c r="G1166" s="19"/>
      <c r="H1166" s="19"/>
    </row>
    <row r="1167" spans="5:8" x14ac:dyDescent="0.35">
      <c r="E1167" s="19"/>
      <c r="F1167" s="19"/>
      <c r="G1167" s="19"/>
      <c r="H1167" s="19"/>
    </row>
    <row r="1168" spans="5:8" x14ac:dyDescent="0.35">
      <c r="E1168" s="19"/>
      <c r="F1168" s="19"/>
      <c r="G1168" s="19"/>
      <c r="H1168" s="19"/>
    </row>
    <row r="1169" spans="5:8" x14ac:dyDescent="0.35">
      <c r="E1169" s="19"/>
      <c r="F1169" s="19"/>
      <c r="G1169" s="19"/>
      <c r="H1169" s="19"/>
    </row>
    <row r="1170" spans="5:8" x14ac:dyDescent="0.35">
      <c r="E1170" s="19"/>
      <c r="F1170" s="19"/>
      <c r="G1170" s="19"/>
      <c r="H1170" s="19"/>
    </row>
    <row r="1171" spans="5:8" x14ac:dyDescent="0.35">
      <c r="E1171" s="19"/>
      <c r="F1171" s="19"/>
      <c r="G1171" s="19"/>
      <c r="H1171" s="19"/>
    </row>
    <row r="1172" spans="5:8" x14ac:dyDescent="0.35">
      <c r="E1172" s="19"/>
      <c r="F1172" s="19"/>
      <c r="G1172" s="19"/>
      <c r="H1172" s="19"/>
    </row>
    <row r="1173" spans="5:8" x14ac:dyDescent="0.35">
      <c r="E1173" s="19"/>
      <c r="F1173" s="19"/>
      <c r="G1173" s="19"/>
      <c r="H1173" s="19"/>
    </row>
    <row r="1174" spans="5:8" x14ac:dyDescent="0.35">
      <c r="E1174" s="19"/>
      <c r="F1174" s="19"/>
      <c r="G1174" s="19"/>
      <c r="H1174" s="19"/>
    </row>
    <row r="1175" spans="5:8" x14ac:dyDescent="0.35">
      <c r="E1175" s="19"/>
      <c r="F1175" s="19"/>
      <c r="G1175" s="19"/>
      <c r="H1175" s="19"/>
    </row>
    <row r="1176" spans="5:8" x14ac:dyDescent="0.35">
      <c r="E1176" s="19"/>
      <c r="F1176" s="19"/>
      <c r="G1176" s="19"/>
      <c r="H1176" s="19"/>
    </row>
    <row r="1177" spans="5:8" x14ac:dyDescent="0.35">
      <c r="E1177" s="19"/>
      <c r="F1177" s="19"/>
      <c r="G1177" s="19"/>
      <c r="H1177" s="19"/>
    </row>
    <row r="1178" spans="5:8" x14ac:dyDescent="0.35">
      <c r="E1178" s="19"/>
      <c r="F1178" s="19"/>
      <c r="G1178" s="19"/>
      <c r="H1178" s="19"/>
    </row>
    <row r="1179" spans="5:8" x14ac:dyDescent="0.35">
      <c r="E1179" s="19"/>
      <c r="F1179" s="19"/>
      <c r="G1179" s="19"/>
      <c r="H1179" s="19"/>
    </row>
    <row r="1180" spans="5:8" x14ac:dyDescent="0.35">
      <c r="E1180" s="19"/>
      <c r="F1180" s="19"/>
      <c r="G1180" s="19"/>
      <c r="H1180" s="19"/>
    </row>
    <row r="1181" spans="5:8" x14ac:dyDescent="0.35">
      <c r="E1181" s="19"/>
      <c r="F1181" s="19"/>
      <c r="G1181" s="19"/>
      <c r="H1181" s="19"/>
    </row>
    <row r="1182" spans="5:8" x14ac:dyDescent="0.35">
      <c r="E1182" s="19"/>
      <c r="F1182" s="19"/>
      <c r="G1182" s="19"/>
      <c r="H1182" s="19"/>
    </row>
    <row r="1183" spans="5:8" x14ac:dyDescent="0.35">
      <c r="E1183" s="19"/>
      <c r="F1183" s="19"/>
      <c r="G1183" s="19"/>
      <c r="H1183" s="19"/>
    </row>
    <row r="1184" spans="5:8" x14ac:dyDescent="0.35">
      <c r="E1184" s="19"/>
      <c r="F1184" s="19"/>
      <c r="G1184" s="19"/>
      <c r="H1184" s="19"/>
    </row>
    <row r="1185" spans="5:8" x14ac:dyDescent="0.35">
      <c r="E1185" s="19"/>
      <c r="F1185" s="19"/>
      <c r="G1185" s="19"/>
      <c r="H1185" s="19"/>
    </row>
    <row r="1186" spans="5:8" x14ac:dyDescent="0.35">
      <c r="E1186" s="19"/>
      <c r="F1186" s="19"/>
      <c r="G1186" s="19"/>
      <c r="H1186" s="19"/>
    </row>
    <row r="1187" spans="5:8" x14ac:dyDescent="0.35">
      <c r="E1187" s="19"/>
      <c r="F1187" s="19"/>
      <c r="G1187" s="19"/>
      <c r="H1187" s="19"/>
    </row>
    <row r="1188" spans="5:8" x14ac:dyDescent="0.35">
      <c r="E1188" s="19"/>
      <c r="F1188" s="19"/>
      <c r="G1188" s="19"/>
      <c r="H1188" s="19"/>
    </row>
    <row r="1189" spans="5:8" x14ac:dyDescent="0.35">
      <c r="E1189" s="19"/>
      <c r="F1189" s="19"/>
      <c r="G1189" s="19"/>
      <c r="H1189" s="19"/>
    </row>
    <row r="1190" spans="5:8" x14ac:dyDescent="0.35">
      <c r="E1190" s="19"/>
      <c r="F1190" s="19"/>
      <c r="G1190" s="19"/>
      <c r="H1190" s="19"/>
    </row>
    <row r="1191" spans="5:8" x14ac:dyDescent="0.35">
      <c r="E1191" s="19"/>
      <c r="F1191" s="19"/>
      <c r="G1191" s="19"/>
      <c r="H1191" s="19"/>
    </row>
    <row r="1192" spans="5:8" x14ac:dyDescent="0.35">
      <c r="E1192" s="19"/>
      <c r="F1192" s="19"/>
      <c r="G1192" s="19"/>
      <c r="H1192" s="19"/>
    </row>
    <row r="1193" spans="5:8" x14ac:dyDescent="0.35">
      <c r="E1193" s="19"/>
      <c r="F1193" s="19"/>
      <c r="G1193" s="19"/>
      <c r="H1193" s="19"/>
    </row>
    <row r="1194" spans="5:8" x14ac:dyDescent="0.35">
      <c r="E1194" s="19"/>
      <c r="F1194" s="19"/>
      <c r="G1194" s="19"/>
      <c r="H1194" s="19"/>
    </row>
    <row r="1195" spans="5:8" x14ac:dyDescent="0.35">
      <c r="E1195" s="19"/>
      <c r="F1195" s="19"/>
      <c r="G1195" s="19"/>
      <c r="H1195" s="19"/>
    </row>
    <row r="1196" spans="5:8" x14ac:dyDescent="0.35">
      <c r="E1196" s="19"/>
      <c r="F1196" s="19"/>
      <c r="G1196" s="19"/>
      <c r="H1196" s="19"/>
    </row>
    <row r="1197" spans="5:8" x14ac:dyDescent="0.35">
      <c r="E1197" s="19"/>
      <c r="F1197" s="19"/>
      <c r="G1197" s="19"/>
      <c r="H1197" s="19"/>
    </row>
    <row r="1198" spans="5:8" x14ac:dyDescent="0.35">
      <c r="E1198" s="19"/>
      <c r="F1198" s="19"/>
      <c r="G1198" s="19"/>
      <c r="H1198" s="19"/>
    </row>
    <row r="1199" spans="5:8" x14ac:dyDescent="0.35">
      <c r="E1199" s="19"/>
      <c r="F1199" s="19"/>
      <c r="G1199" s="19"/>
      <c r="H1199" s="19"/>
    </row>
    <row r="1200" spans="5:8" x14ac:dyDescent="0.35">
      <c r="E1200" s="19"/>
      <c r="F1200" s="19"/>
      <c r="G1200" s="19"/>
      <c r="H1200" s="19"/>
    </row>
    <row r="1201" spans="5:8" x14ac:dyDescent="0.35">
      <c r="E1201" s="19"/>
      <c r="F1201" s="19"/>
      <c r="G1201" s="19"/>
      <c r="H1201" s="19"/>
    </row>
    <row r="1202" spans="5:8" x14ac:dyDescent="0.35">
      <c r="E1202" s="19"/>
      <c r="F1202" s="19"/>
      <c r="G1202" s="19"/>
      <c r="H1202" s="19"/>
    </row>
    <row r="1203" spans="5:8" x14ac:dyDescent="0.35">
      <c r="E1203" s="19"/>
      <c r="F1203" s="19"/>
      <c r="G1203" s="19"/>
      <c r="H1203" s="19"/>
    </row>
    <row r="1204" spans="5:8" x14ac:dyDescent="0.35">
      <c r="E1204" s="19"/>
      <c r="F1204" s="19"/>
      <c r="G1204" s="19"/>
      <c r="H1204" s="19"/>
    </row>
    <row r="1205" spans="5:8" x14ac:dyDescent="0.35">
      <c r="E1205" s="19"/>
      <c r="F1205" s="19"/>
      <c r="G1205" s="19"/>
      <c r="H1205" s="19"/>
    </row>
    <row r="1206" spans="5:8" x14ac:dyDescent="0.35">
      <c r="E1206" s="19"/>
      <c r="F1206" s="19"/>
      <c r="G1206" s="19"/>
      <c r="H1206" s="19"/>
    </row>
    <row r="1207" spans="5:8" x14ac:dyDescent="0.35">
      <c r="E1207" s="19"/>
      <c r="F1207" s="19"/>
      <c r="G1207" s="19"/>
      <c r="H1207" s="19"/>
    </row>
    <row r="1208" spans="5:8" x14ac:dyDescent="0.35">
      <c r="E1208" s="19"/>
      <c r="F1208" s="19"/>
      <c r="G1208" s="19"/>
      <c r="H1208" s="19"/>
    </row>
    <row r="1209" spans="5:8" x14ac:dyDescent="0.35">
      <c r="E1209" s="19"/>
      <c r="F1209" s="19"/>
      <c r="G1209" s="19"/>
      <c r="H1209" s="19"/>
    </row>
    <row r="1210" spans="5:8" x14ac:dyDescent="0.35">
      <c r="E1210" s="19"/>
      <c r="F1210" s="19"/>
      <c r="G1210" s="19"/>
      <c r="H1210" s="19"/>
    </row>
    <row r="1211" spans="5:8" x14ac:dyDescent="0.35">
      <c r="E1211" s="19"/>
      <c r="F1211" s="19"/>
      <c r="G1211" s="19"/>
      <c r="H1211" s="19"/>
    </row>
    <row r="1212" spans="5:8" x14ac:dyDescent="0.35">
      <c r="E1212" s="19"/>
      <c r="F1212" s="19"/>
      <c r="G1212" s="19"/>
      <c r="H1212" s="19"/>
    </row>
    <row r="1213" spans="5:8" x14ac:dyDescent="0.35">
      <c r="E1213" s="19"/>
      <c r="F1213" s="19"/>
      <c r="G1213" s="19"/>
      <c r="H1213" s="19"/>
    </row>
    <row r="1214" spans="5:8" x14ac:dyDescent="0.35">
      <c r="E1214" s="19"/>
      <c r="F1214" s="19"/>
      <c r="G1214" s="19"/>
      <c r="H1214" s="19"/>
    </row>
    <row r="1215" spans="5:8" x14ac:dyDescent="0.35">
      <c r="E1215" s="19"/>
      <c r="F1215" s="19"/>
      <c r="G1215" s="19"/>
      <c r="H1215" s="19"/>
    </row>
    <row r="1216" spans="5:8" x14ac:dyDescent="0.35">
      <c r="E1216" s="19"/>
      <c r="F1216" s="19"/>
      <c r="G1216" s="19"/>
      <c r="H1216" s="19"/>
    </row>
    <row r="1217" spans="5:8" x14ac:dyDescent="0.35">
      <c r="E1217" s="19"/>
      <c r="F1217" s="19"/>
      <c r="G1217" s="19"/>
      <c r="H1217" s="19"/>
    </row>
    <row r="1218" spans="5:8" x14ac:dyDescent="0.35">
      <c r="E1218" s="19"/>
      <c r="F1218" s="19"/>
      <c r="G1218" s="19"/>
      <c r="H1218" s="19"/>
    </row>
    <row r="1219" spans="5:8" x14ac:dyDescent="0.35">
      <c r="E1219" s="19"/>
      <c r="F1219" s="19"/>
      <c r="G1219" s="19"/>
      <c r="H1219" s="19"/>
    </row>
    <row r="1220" spans="5:8" x14ac:dyDescent="0.35">
      <c r="E1220" s="19"/>
      <c r="F1220" s="19"/>
      <c r="G1220" s="19"/>
      <c r="H1220" s="19"/>
    </row>
    <row r="1221" spans="5:8" x14ac:dyDescent="0.35">
      <c r="E1221" s="19"/>
      <c r="F1221" s="19"/>
      <c r="G1221" s="19"/>
      <c r="H1221" s="19"/>
    </row>
    <row r="1222" spans="5:8" x14ac:dyDescent="0.35">
      <c r="E1222" s="19"/>
      <c r="F1222" s="19"/>
      <c r="G1222" s="19"/>
      <c r="H1222" s="19"/>
    </row>
    <row r="1223" spans="5:8" x14ac:dyDescent="0.35">
      <c r="E1223" s="19"/>
      <c r="F1223" s="19"/>
      <c r="G1223" s="19"/>
      <c r="H1223" s="19"/>
    </row>
    <row r="1224" spans="5:8" x14ac:dyDescent="0.35">
      <c r="E1224" s="19"/>
      <c r="F1224" s="19"/>
      <c r="G1224" s="19"/>
      <c r="H1224" s="19"/>
    </row>
    <row r="1225" spans="5:8" x14ac:dyDescent="0.35">
      <c r="E1225" s="19"/>
      <c r="F1225" s="19"/>
      <c r="G1225" s="19"/>
      <c r="H1225" s="19"/>
    </row>
    <row r="1226" spans="5:8" x14ac:dyDescent="0.35">
      <c r="E1226" s="19"/>
      <c r="F1226" s="19"/>
      <c r="G1226" s="19"/>
      <c r="H1226" s="19"/>
    </row>
    <row r="1227" spans="5:8" x14ac:dyDescent="0.35">
      <c r="E1227" s="19"/>
      <c r="F1227" s="19"/>
      <c r="G1227" s="19"/>
      <c r="H1227" s="19"/>
    </row>
    <row r="1228" spans="5:8" x14ac:dyDescent="0.35">
      <c r="E1228" s="19"/>
      <c r="F1228" s="19"/>
      <c r="G1228" s="19"/>
      <c r="H1228" s="19"/>
    </row>
    <row r="1229" spans="5:8" x14ac:dyDescent="0.35">
      <c r="E1229" s="19"/>
      <c r="F1229" s="19"/>
      <c r="G1229" s="19"/>
      <c r="H1229" s="19"/>
    </row>
    <row r="1230" spans="5:8" x14ac:dyDescent="0.35">
      <c r="E1230" s="19"/>
      <c r="F1230" s="19"/>
      <c r="G1230" s="19"/>
      <c r="H1230" s="19"/>
    </row>
    <row r="1231" spans="5:8" x14ac:dyDescent="0.35">
      <c r="E1231" s="19"/>
      <c r="F1231" s="19"/>
      <c r="G1231" s="19"/>
      <c r="H1231" s="19"/>
    </row>
    <row r="1232" spans="5:8" x14ac:dyDescent="0.35">
      <c r="E1232" s="19"/>
      <c r="F1232" s="19"/>
      <c r="G1232" s="19"/>
      <c r="H1232" s="19"/>
    </row>
    <row r="1233" spans="5:8" x14ac:dyDescent="0.35">
      <c r="E1233" s="19"/>
      <c r="F1233" s="19"/>
      <c r="G1233" s="19"/>
      <c r="H1233" s="19"/>
    </row>
    <row r="1234" spans="5:8" x14ac:dyDescent="0.35">
      <c r="E1234" s="19"/>
      <c r="F1234" s="19"/>
      <c r="G1234" s="19"/>
      <c r="H1234" s="19"/>
    </row>
    <row r="1235" spans="5:8" x14ac:dyDescent="0.35">
      <c r="E1235" s="19"/>
      <c r="F1235" s="19"/>
      <c r="G1235" s="19"/>
      <c r="H1235" s="19"/>
    </row>
    <row r="1236" spans="5:8" x14ac:dyDescent="0.35">
      <c r="E1236" s="19"/>
      <c r="F1236" s="19"/>
      <c r="G1236" s="19"/>
      <c r="H1236" s="19"/>
    </row>
    <row r="1237" spans="5:8" x14ac:dyDescent="0.35">
      <c r="E1237" s="19"/>
      <c r="F1237" s="19"/>
      <c r="G1237" s="19"/>
      <c r="H1237" s="19"/>
    </row>
    <row r="1238" spans="5:8" x14ac:dyDescent="0.35">
      <c r="E1238" s="19"/>
      <c r="F1238" s="19"/>
      <c r="G1238" s="19"/>
      <c r="H1238" s="19"/>
    </row>
    <row r="1239" spans="5:8" x14ac:dyDescent="0.35">
      <c r="E1239" s="19"/>
      <c r="F1239" s="19"/>
      <c r="G1239" s="19"/>
      <c r="H1239" s="19"/>
    </row>
    <row r="1240" spans="5:8" x14ac:dyDescent="0.35">
      <c r="E1240" s="19"/>
      <c r="F1240" s="19"/>
      <c r="G1240" s="19"/>
      <c r="H1240" s="19"/>
    </row>
    <row r="1241" spans="5:8" x14ac:dyDescent="0.35">
      <c r="E1241" s="19"/>
      <c r="F1241" s="19"/>
      <c r="G1241" s="19"/>
      <c r="H1241" s="19"/>
    </row>
    <row r="1242" spans="5:8" x14ac:dyDescent="0.35">
      <c r="E1242" s="19"/>
      <c r="F1242" s="19"/>
      <c r="G1242" s="19"/>
      <c r="H1242" s="19"/>
    </row>
    <row r="1243" spans="5:8" x14ac:dyDescent="0.35">
      <c r="E1243" s="19"/>
      <c r="F1243" s="19"/>
      <c r="G1243" s="19"/>
      <c r="H1243" s="19"/>
    </row>
    <row r="1244" spans="5:8" x14ac:dyDescent="0.35">
      <c r="E1244" s="19"/>
      <c r="F1244" s="19"/>
      <c r="G1244" s="19"/>
      <c r="H1244" s="19"/>
    </row>
    <row r="1245" spans="5:8" x14ac:dyDescent="0.35">
      <c r="E1245" s="19"/>
      <c r="F1245" s="19"/>
      <c r="G1245" s="19"/>
      <c r="H1245" s="19"/>
    </row>
    <row r="1246" spans="5:8" x14ac:dyDescent="0.35">
      <c r="E1246" s="19"/>
      <c r="F1246" s="19"/>
      <c r="G1246" s="19"/>
      <c r="H1246" s="19"/>
    </row>
    <row r="1247" spans="5:8" x14ac:dyDescent="0.35">
      <c r="E1247" s="19"/>
      <c r="F1247" s="19"/>
      <c r="G1247" s="19"/>
      <c r="H1247" s="19"/>
    </row>
    <row r="1248" spans="5:8" x14ac:dyDescent="0.35">
      <c r="E1248" s="19"/>
      <c r="F1248" s="19"/>
      <c r="G1248" s="19"/>
      <c r="H1248" s="19"/>
    </row>
    <row r="1249" spans="5:8" x14ac:dyDescent="0.35">
      <c r="E1249" s="19"/>
      <c r="F1249" s="19"/>
      <c r="G1249" s="19"/>
      <c r="H1249" s="19"/>
    </row>
    <row r="1250" spans="5:8" x14ac:dyDescent="0.35">
      <c r="E1250" s="19"/>
      <c r="F1250" s="19"/>
      <c r="G1250" s="19"/>
      <c r="H1250" s="19"/>
    </row>
    <row r="1251" spans="5:8" x14ac:dyDescent="0.35">
      <c r="E1251" s="19"/>
      <c r="F1251" s="19"/>
      <c r="G1251" s="19"/>
      <c r="H1251" s="19"/>
    </row>
    <row r="1252" spans="5:8" x14ac:dyDescent="0.35">
      <c r="E1252" s="19"/>
      <c r="F1252" s="19"/>
      <c r="G1252" s="19"/>
      <c r="H1252" s="19"/>
    </row>
    <row r="1253" spans="5:8" x14ac:dyDescent="0.35">
      <c r="E1253" s="19"/>
      <c r="F1253" s="19"/>
      <c r="G1253" s="19"/>
      <c r="H1253" s="19"/>
    </row>
    <row r="1254" spans="5:8" x14ac:dyDescent="0.35">
      <c r="E1254" s="19"/>
      <c r="F1254" s="19"/>
      <c r="G1254" s="19"/>
      <c r="H1254" s="19"/>
    </row>
    <row r="1255" spans="5:8" x14ac:dyDescent="0.35">
      <c r="E1255" s="19"/>
      <c r="F1255" s="19"/>
      <c r="G1255" s="19"/>
      <c r="H1255" s="19"/>
    </row>
    <row r="1256" spans="5:8" x14ac:dyDescent="0.35">
      <c r="E1256" s="19"/>
      <c r="F1256" s="19"/>
      <c r="G1256" s="19"/>
      <c r="H1256" s="19"/>
    </row>
    <row r="1257" spans="5:8" x14ac:dyDescent="0.35">
      <c r="E1257" s="19"/>
      <c r="F1257" s="19"/>
      <c r="G1257" s="19"/>
      <c r="H1257" s="19"/>
    </row>
    <row r="1258" spans="5:8" x14ac:dyDescent="0.35">
      <c r="E1258" s="19"/>
      <c r="F1258" s="19"/>
      <c r="G1258" s="19"/>
      <c r="H1258" s="19"/>
    </row>
    <row r="1259" spans="5:8" x14ac:dyDescent="0.35">
      <c r="E1259" s="19"/>
      <c r="F1259" s="19"/>
      <c r="G1259" s="19"/>
      <c r="H1259" s="19"/>
    </row>
    <row r="1260" spans="5:8" x14ac:dyDescent="0.35">
      <c r="E1260" s="19"/>
      <c r="F1260" s="19"/>
      <c r="G1260" s="19"/>
      <c r="H1260" s="19"/>
    </row>
    <row r="1261" spans="5:8" x14ac:dyDescent="0.35">
      <c r="E1261" s="19"/>
      <c r="F1261" s="19"/>
      <c r="G1261" s="19"/>
      <c r="H1261" s="19"/>
    </row>
    <row r="1262" spans="5:8" x14ac:dyDescent="0.35">
      <c r="E1262" s="19"/>
      <c r="F1262" s="19"/>
      <c r="G1262" s="19"/>
      <c r="H1262" s="19"/>
    </row>
    <row r="1263" spans="5:8" x14ac:dyDescent="0.35">
      <c r="E1263" s="19"/>
      <c r="F1263" s="19"/>
      <c r="G1263" s="19"/>
      <c r="H1263" s="19"/>
    </row>
    <row r="1264" spans="5:8" x14ac:dyDescent="0.35">
      <c r="E1264" s="19"/>
      <c r="F1264" s="19"/>
      <c r="G1264" s="19"/>
      <c r="H1264" s="19"/>
    </row>
    <row r="1265" spans="5:8" x14ac:dyDescent="0.35">
      <c r="E1265" s="19"/>
      <c r="F1265" s="19"/>
      <c r="G1265" s="19"/>
      <c r="H1265" s="19"/>
    </row>
    <row r="1266" spans="5:8" x14ac:dyDescent="0.35">
      <c r="E1266" s="19"/>
      <c r="F1266" s="19"/>
      <c r="G1266" s="19"/>
      <c r="H1266" s="19"/>
    </row>
    <row r="1267" spans="5:8" x14ac:dyDescent="0.35">
      <c r="E1267" s="19"/>
      <c r="F1267" s="19"/>
      <c r="G1267" s="19"/>
      <c r="H1267" s="19"/>
    </row>
    <row r="1268" spans="5:8" x14ac:dyDescent="0.35">
      <c r="E1268" s="19"/>
      <c r="F1268" s="19"/>
      <c r="G1268" s="19"/>
      <c r="H1268" s="19"/>
    </row>
    <row r="1269" spans="5:8" x14ac:dyDescent="0.35">
      <c r="E1269" s="19"/>
      <c r="F1269" s="19"/>
      <c r="G1269" s="19"/>
      <c r="H1269" s="19"/>
    </row>
    <row r="1270" spans="5:8" x14ac:dyDescent="0.35">
      <c r="E1270" s="19"/>
      <c r="F1270" s="19"/>
      <c r="G1270" s="19"/>
      <c r="H1270" s="19"/>
    </row>
    <row r="1271" spans="5:8" x14ac:dyDescent="0.35">
      <c r="E1271" s="19"/>
      <c r="F1271" s="19"/>
      <c r="G1271" s="19"/>
      <c r="H1271" s="19"/>
    </row>
    <row r="1272" spans="5:8" x14ac:dyDescent="0.35">
      <c r="E1272" s="19"/>
      <c r="F1272" s="19"/>
      <c r="G1272" s="19"/>
      <c r="H1272" s="19"/>
    </row>
    <row r="1273" spans="5:8" x14ac:dyDescent="0.35">
      <c r="E1273" s="19"/>
      <c r="F1273" s="19"/>
      <c r="G1273" s="19"/>
      <c r="H1273" s="19"/>
    </row>
    <row r="1274" spans="5:8" x14ac:dyDescent="0.35">
      <c r="E1274" s="19"/>
      <c r="F1274" s="19"/>
      <c r="G1274" s="19"/>
      <c r="H1274" s="19"/>
    </row>
    <row r="1275" spans="5:8" x14ac:dyDescent="0.35">
      <c r="E1275" s="19"/>
      <c r="F1275" s="19"/>
      <c r="G1275" s="19"/>
      <c r="H1275" s="19"/>
    </row>
    <row r="1276" spans="5:8" x14ac:dyDescent="0.35">
      <c r="E1276" s="19"/>
      <c r="F1276" s="19"/>
      <c r="G1276" s="19"/>
      <c r="H1276" s="19"/>
    </row>
    <row r="1277" spans="5:8" x14ac:dyDescent="0.35">
      <c r="E1277" s="19"/>
      <c r="F1277" s="19"/>
      <c r="G1277" s="19"/>
      <c r="H1277" s="19"/>
    </row>
    <row r="1278" spans="5:8" x14ac:dyDescent="0.35">
      <c r="E1278" s="19"/>
      <c r="F1278" s="19"/>
      <c r="G1278" s="19"/>
      <c r="H1278" s="19"/>
    </row>
    <row r="1279" spans="5:8" x14ac:dyDescent="0.35">
      <c r="E1279" s="19"/>
      <c r="F1279" s="19"/>
      <c r="G1279" s="19"/>
      <c r="H1279" s="19"/>
    </row>
    <row r="1280" spans="5:8" x14ac:dyDescent="0.35">
      <c r="E1280" s="19"/>
      <c r="F1280" s="19"/>
      <c r="G1280" s="19"/>
      <c r="H1280" s="19"/>
    </row>
    <row r="1281" spans="5:8" x14ac:dyDescent="0.35">
      <c r="E1281" s="19"/>
      <c r="F1281" s="19"/>
      <c r="G1281" s="19"/>
      <c r="H1281" s="19"/>
    </row>
    <row r="1282" spans="5:8" x14ac:dyDescent="0.35">
      <c r="E1282" s="19"/>
      <c r="F1282" s="19"/>
      <c r="G1282" s="19"/>
      <c r="H1282" s="19"/>
    </row>
    <row r="1283" spans="5:8" x14ac:dyDescent="0.35">
      <c r="E1283" s="19"/>
      <c r="F1283" s="19"/>
      <c r="G1283" s="19"/>
      <c r="H1283" s="19"/>
    </row>
    <row r="1284" spans="5:8" x14ac:dyDescent="0.35">
      <c r="E1284" s="19"/>
      <c r="F1284" s="19"/>
      <c r="G1284" s="19"/>
      <c r="H1284" s="19"/>
    </row>
    <row r="1285" spans="5:8" x14ac:dyDescent="0.35">
      <c r="E1285" s="19"/>
      <c r="F1285" s="19"/>
      <c r="G1285" s="19"/>
      <c r="H1285" s="19"/>
    </row>
    <row r="1286" spans="5:8" x14ac:dyDescent="0.35">
      <c r="E1286" s="19"/>
      <c r="F1286" s="19"/>
      <c r="G1286" s="19"/>
      <c r="H1286" s="19"/>
    </row>
    <row r="1287" spans="5:8" x14ac:dyDescent="0.35">
      <c r="E1287" s="19"/>
      <c r="F1287" s="19"/>
      <c r="G1287" s="19"/>
      <c r="H1287" s="19"/>
    </row>
    <row r="1288" spans="5:8" x14ac:dyDescent="0.35">
      <c r="E1288" s="19"/>
      <c r="F1288" s="19"/>
      <c r="G1288" s="19"/>
      <c r="H1288" s="19"/>
    </row>
    <row r="1289" spans="5:8" x14ac:dyDescent="0.35">
      <c r="E1289" s="19"/>
      <c r="F1289" s="19"/>
      <c r="G1289" s="19"/>
      <c r="H1289" s="19"/>
    </row>
    <row r="1290" spans="5:8" x14ac:dyDescent="0.35">
      <c r="E1290" s="19"/>
      <c r="F1290" s="19"/>
      <c r="G1290" s="19"/>
      <c r="H1290" s="19"/>
    </row>
    <row r="1291" spans="5:8" x14ac:dyDescent="0.35">
      <c r="E1291" s="19"/>
      <c r="F1291" s="19"/>
      <c r="G1291" s="19"/>
      <c r="H1291" s="19"/>
    </row>
    <row r="1292" spans="5:8" x14ac:dyDescent="0.35">
      <c r="E1292" s="19"/>
      <c r="F1292" s="19"/>
      <c r="G1292" s="19"/>
      <c r="H1292" s="19"/>
    </row>
    <row r="1293" spans="5:8" x14ac:dyDescent="0.35">
      <c r="E1293" s="19"/>
      <c r="F1293" s="19"/>
      <c r="G1293" s="19"/>
      <c r="H1293" s="19"/>
    </row>
    <row r="1294" spans="5:8" x14ac:dyDescent="0.35">
      <c r="E1294" s="19"/>
      <c r="F1294" s="19"/>
      <c r="G1294" s="19"/>
      <c r="H1294" s="19"/>
    </row>
    <row r="1295" spans="5:8" x14ac:dyDescent="0.35">
      <c r="E1295" s="19"/>
      <c r="F1295" s="19"/>
      <c r="G1295" s="19"/>
      <c r="H1295" s="19"/>
    </row>
    <row r="1296" spans="5:8" x14ac:dyDescent="0.35">
      <c r="E1296" s="19"/>
      <c r="F1296" s="19"/>
      <c r="G1296" s="19"/>
      <c r="H1296" s="19"/>
    </row>
    <row r="1297" spans="5:8" x14ac:dyDescent="0.35">
      <c r="E1297" s="19"/>
      <c r="F1297" s="19"/>
      <c r="G1297" s="19"/>
      <c r="H1297" s="19"/>
    </row>
    <row r="1298" spans="5:8" x14ac:dyDescent="0.35">
      <c r="E1298" s="19"/>
      <c r="F1298" s="19"/>
      <c r="G1298" s="19"/>
      <c r="H1298" s="19"/>
    </row>
    <row r="1299" spans="5:8" x14ac:dyDescent="0.35">
      <c r="E1299" s="19"/>
      <c r="F1299" s="19"/>
      <c r="G1299" s="19"/>
      <c r="H1299" s="19"/>
    </row>
    <row r="1300" spans="5:8" x14ac:dyDescent="0.35">
      <c r="E1300" s="19"/>
      <c r="F1300" s="19"/>
      <c r="G1300" s="19"/>
      <c r="H1300" s="19"/>
    </row>
    <row r="1301" spans="5:8" x14ac:dyDescent="0.35">
      <c r="E1301" s="19"/>
      <c r="F1301" s="19"/>
      <c r="G1301" s="19"/>
      <c r="H1301" s="19"/>
    </row>
    <row r="1302" spans="5:8" x14ac:dyDescent="0.35">
      <c r="E1302" s="19"/>
      <c r="F1302" s="19"/>
      <c r="G1302" s="19"/>
      <c r="H1302" s="19"/>
    </row>
    <row r="1303" spans="5:8" x14ac:dyDescent="0.35">
      <c r="E1303" s="19"/>
      <c r="F1303" s="19"/>
      <c r="G1303" s="19"/>
      <c r="H1303" s="19"/>
    </row>
    <row r="1304" spans="5:8" x14ac:dyDescent="0.35">
      <c r="E1304" s="19"/>
      <c r="F1304" s="19"/>
      <c r="G1304" s="19"/>
      <c r="H1304" s="19"/>
    </row>
    <row r="1305" spans="5:8" x14ac:dyDescent="0.35">
      <c r="E1305" s="19"/>
      <c r="F1305" s="19"/>
      <c r="G1305" s="19"/>
      <c r="H1305" s="19"/>
    </row>
    <row r="1306" spans="5:8" x14ac:dyDescent="0.35">
      <c r="E1306" s="19"/>
      <c r="F1306" s="19"/>
      <c r="G1306" s="19"/>
      <c r="H1306" s="19"/>
    </row>
    <row r="1307" spans="5:8" x14ac:dyDescent="0.35">
      <c r="E1307" s="19"/>
      <c r="F1307" s="19"/>
      <c r="G1307" s="19"/>
      <c r="H1307" s="19"/>
    </row>
    <row r="1308" spans="5:8" x14ac:dyDescent="0.35">
      <c r="E1308" s="19"/>
      <c r="F1308" s="19"/>
      <c r="G1308" s="19"/>
      <c r="H1308" s="19"/>
    </row>
    <row r="1309" spans="5:8" x14ac:dyDescent="0.35">
      <c r="E1309" s="19"/>
      <c r="F1309" s="19"/>
      <c r="G1309" s="19"/>
      <c r="H1309" s="19"/>
    </row>
    <row r="1310" spans="5:8" x14ac:dyDescent="0.35">
      <c r="E1310" s="19"/>
      <c r="F1310" s="19"/>
      <c r="G1310" s="19"/>
      <c r="H1310" s="19"/>
    </row>
    <row r="1311" spans="5:8" x14ac:dyDescent="0.35">
      <c r="E1311" s="19"/>
      <c r="F1311" s="19"/>
      <c r="G1311" s="19"/>
      <c r="H1311" s="19"/>
    </row>
    <row r="1312" spans="5:8" x14ac:dyDescent="0.35">
      <c r="E1312" s="19"/>
      <c r="F1312" s="19"/>
      <c r="G1312" s="19"/>
      <c r="H1312" s="19"/>
    </row>
    <row r="1313" spans="5:8" x14ac:dyDescent="0.35">
      <c r="E1313" s="19"/>
      <c r="F1313" s="19"/>
      <c r="G1313" s="19"/>
      <c r="H1313" s="19"/>
    </row>
    <row r="1314" spans="5:8" x14ac:dyDescent="0.35">
      <c r="E1314" s="19"/>
      <c r="F1314" s="19"/>
      <c r="G1314" s="19"/>
      <c r="H1314" s="19"/>
    </row>
    <row r="1315" spans="5:8" x14ac:dyDescent="0.35">
      <c r="E1315" s="19"/>
      <c r="F1315" s="19"/>
      <c r="G1315" s="19"/>
      <c r="H1315" s="19"/>
    </row>
    <row r="1316" spans="5:8" x14ac:dyDescent="0.35">
      <c r="E1316" s="19"/>
      <c r="F1316" s="19"/>
      <c r="G1316" s="19"/>
      <c r="H1316" s="19"/>
    </row>
    <row r="1317" spans="5:8" x14ac:dyDescent="0.35">
      <c r="E1317" s="19"/>
      <c r="F1317" s="19"/>
      <c r="G1317" s="19"/>
      <c r="H1317" s="19"/>
    </row>
    <row r="1318" spans="5:8" x14ac:dyDescent="0.35">
      <c r="E1318" s="19"/>
      <c r="F1318" s="19"/>
      <c r="G1318" s="19"/>
      <c r="H1318" s="19"/>
    </row>
    <row r="1319" spans="5:8" x14ac:dyDescent="0.35">
      <c r="E1319" s="19"/>
      <c r="F1319" s="19"/>
      <c r="G1319" s="19"/>
      <c r="H1319" s="19"/>
    </row>
    <row r="1320" spans="5:8" x14ac:dyDescent="0.35">
      <c r="E1320" s="19"/>
      <c r="F1320" s="19"/>
      <c r="G1320" s="19"/>
      <c r="H1320" s="19"/>
    </row>
    <row r="1321" spans="5:8" x14ac:dyDescent="0.35">
      <c r="E1321" s="19"/>
      <c r="F1321" s="19"/>
      <c r="G1321" s="19"/>
      <c r="H1321" s="19"/>
    </row>
    <row r="1322" spans="5:8" x14ac:dyDescent="0.35">
      <c r="E1322" s="19"/>
      <c r="F1322" s="19"/>
      <c r="G1322" s="19"/>
      <c r="H1322" s="19"/>
    </row>
    <row r="1323" spans="5:8" x14ac:dyDescent="0.35">
      <c r="E1323" s="19"/>
      <c r="F1323" s="19"/>
      <c r="G1323" s="19"/>
      <c r="H1323" s="19"/>
    </row>
    <row r="1324" spans="5:8" x14ac:dyDescent="0.35">
      <c r="E1324" s="19"/>
      <c r="F1324" s="19"/>
      <c r="G1324" s="19"/>
      <c r="H1324" s="19"/>
    </row>
    <row r="1325" spans="5:8" x14ac:dyDescent="0.35">
      <c r="E1325" s="19"/>
      <c r="F1325" s="19"/>
      <c r="G1325" s="19"/>
      <c r="H1325" s="19"/>
    </row>
    <row r="1326" spans="5:8" x14ac:dyDescent="0.35">
      <c r="E1326" s="19"/>
      <c r="F1326" s="19"/>
      <c r="G1326" s="19"/>
      <c r="H1326" s="19"/>
    </row>
    <row r="1327" spans="5:8" x14ac:dyDescent="0.35">
      <c r="E1327" s="19"/>
      <c r="F1327" s="19"/>
      <c r="G1327" s="19"/>
      <c r="H1327" s="19"/>
    </row>
    <row r="1328" spans="5:8" x14ac:dyDescent="0.35">
      <c r="E1328" s="19"/>
      <c r="F1328" s="19"/>
      <c r="G1328" s="19"/>
      <c r="H1328" s="19"/>
    </row>
    <row r="1329" spans="5:8" x14ac:dyDescent="0.35">
      <c r="E1329" s="19"/>
      <c r="F1329" s="19"/>
      <c r="G1329" s="19"/>
      <c r="H1329" s="19"/>
    </row>
    <row r="1330" spans="5:8" x14ac:dyDescent="0.35">
      <c r="E1330" s="19"/>
      <c r="F1330" s="19"/>
      <c r="G1330" s="19"/>
      <c r="H1330" s="19"/>
    </row>
    <row r="1331" spans="5:8" x14ac:dyDescent="0.35">
      <c r="E1331" s="19"/>
      <c r="F1331" s="19"/>
      <c r="G1331" s="19"/>
      <c r="H1331" s="19"/>
    </row>
    <row r="1332" spans="5:8" x14ac:dyDescent="0.35">
      <c r="E1332" s="19"/>
      <c r="F1332" s="19"/>
      <c r="G1332" s="19"/>
      <c r="H1332" s="19"/>
    </row>
    <row r="1333" spans="5:8" x14ac:dyDescent="0.35">
      <c r="E1333" s="19"/>
      <c r="F1333" s="19"/>
      <c r="G1333" s="19"/>
      <c r="H1333" s="19"/>
    </row>
    <row r="1334" spans="5:8" x14ac:dyDescent="0.35">
      <c r="E1334" s="19"/>
      <c r="F1334" s="19"/>
      <c r="G1334" s="19"/>
      <c r="H1334" s="19"/>
    </row>
    <row r="1335" spans="5:8" x14ac:dyDescent="0.35">
      <c r="E1335" s="19"/>
      <c r="F1335" s="19"/>
      <c r="G1335" s="19"/>
      <c r="H1335" s="19"/>
    </row>
    <row r="1336" spans="5:8" x14ac:dyDescent="0.35">
      <c r="E1336" s="19"/>
      <c r="F1336" s="19"/>
      <c r="G1336" s="19"/>
      <c r="H1336" s="19"/>
    </row>
    <row r="1337" spans="5:8" x14ac:dyDescent="0.35">
      <c r="E1337" s="19"/>
      <c r="F1337" s="19"/>
      <c r="G1337" s="19"/>
      <c r="H1337" s="19"/>
    </row>
    <row r="1338" spans="5:8" x14ac:dyDescent="0.35">
      <c r="E1338" s="19"/>
      <c r="F1338" s="19"/>
      <c r="G1338" s="19"/>
      <c r="H1338" s="19"/>
    </row>
    <row r="1339" spans="5:8" x14ac:dyDescent="0.35">
      <c r="E1339" s="19"/>
      <c r="F1339" s="19"/>
      <c r="G1339" s="19"/>
      <c r="H1339" s="19"/>
    </row>
    <row r="1340" spans="5:8" x14ac:dyDescent="0.35">
      <c r="E1340" s="19"/>
      <c r="F1340" s="19"/>
      <c r="G1340" s="19"/>
      <c r="H1340" s="19"/>
    </row>
    <row r="1341" spans="5:8" x14ac:dyDescent="0.35">
      <c r="E1341" s="19"/>
      <c r="F1341" s="19"/>
      <c r="G1341" s="19"/>
      <c r="H1341" s="19"/>
    </row>
    <row r="1342" spans="5:8" x14ac:dyDescent="0.35">
      <c r="E1342" s="19"/>
      <c r="F1342" s="19"/>
      <c r="G1342" s="19"/>
      <c r="H1342" s="19"/>
    </row>
    <row r="1343" spans="5:8" x14ac:dyDescent="0.35">
      <c r="E1343" s="19"/>
      <c r="F1343" s="19"/>
      <c r="G1343" s="19"/>
      <c r="H1343" s="19"/>
    </row>
    <row r="1344" spans="5:8" x14ac:dyDescent="0.35">
      <c r="E1344" s="19"/>
      <c r="F1344" s="19"/>
      <c r="G1344" s="19"/>
      <c r="H1344" s="19"/>
    </row>
    <row r="1345" spans="5:8" x14ac:dyDescent="0.35">
      <c r="E1345" s="19"/>
      <c r="F1345" s="19"/>
      <c r="G1345" s="19"/>
      <c r="H1345" s="19"/>
    </row>
    <row r="1346" spans="5:8" x14ac:dyDescent="0.35">
      <c r="E1346" s="19"/>
      <c r="F1346" s="19"/>
      <c r="G1346" s="19"/>
      <c r="H1346" s="19"/>
    </row>
    <row r="1347" spans="5:8" x14ac:dyDescent="0.35">
      <c r="E1347" s="19"/>
      <c r="F1347" s="19"/>
      <c r="G1347" s="19"/>
      <c r="H1347" s="19"/>
    </row>
    <row r="1348" spans="5:8" x14ac:dyDescent="0.35">
      <c r="E1348" s="19"/>
      <c r="F1348" s="19"/>
      <c r="G1348" s="19"/>
      <c r="H1348" s="19"/>
    </row>
    <row r="1349" spans="5:8" x14ac:dyDescent="0.35">
      <c r="E1349" s="19"/>
      <c r="F1349" s="19"/>
      <c r="G1349" s="19"/>
      <c r="H1349" s="19"/>
    </row>
    <row r="1350" spans="5:8" x14ac:dyDescent="0.35">
      <c r="E1350" s="19"/>
      <c r="F1350" s="19"/>
      <c r="G1350" s="19"/>
      <c r="H1350" s="19"/>
    </row>
    <row r="1351" spans="5:8" x14ac:dyDescent="0.35">
      <c r="E1351" s="19"/>
      <c r="F1351" s="19"/>
      <c r="G1351" s="19"/>
      <c r="H1351" s="19"/>
    </row>
    <row r="1352" spans="5:8" x14ac:dyDescent="0.35">
      <c r="E1352" s="19"/>
      <c r="F1352" s="19"/>
      <c r="G1352" s="19"/>
      <c r="H1352" s="19"/>
    </row>
    <row r="1353" spans="5:8" x14ac:dyDescent="0.35">
      <c r="E1353" s="19"/>
      <c r="F1353" s="19"/>
      <c r="G1353" s="19"/>
      <c r="H1353" s="19"/>
    </row>
    <row r="1354" spans="5:8" x14ac:dyDescent="0.35">
      <c r="E1354" s="19"/>
      <c r="F1354" s="19"/>
      <c r="G1354" s="19"/>
      <c r="H1354" s="19"/>
    </row>
    <row r="1355" spans="5:8" x14ac:dyDescent="0.35">
      <c r="E1355" s="19"/>
      <c r="F1355" s="19"/>
      <c r="G1355" s="19"/>
      <c r="H1355" s="19"/>
    </row>
    <row r="1356" spans="5:8" x14ac:dyDescent="0.35">
      <c r="E1356" s="19"/>
      <c r="F1356" s="19"/>
      <c r="G1356" s="19"/>
      <c r="H1356" s="19"/>
    </row>
    <row r="1357" spans="5:8" x14ac:dyDescent="0.35">
      <c r="E1357" s="19"/>
      <c r="F1357" s="19"/>
      <c r="G1357" s="19"/>
      <c r="H1357" s="19"/>
    </row>
    <row r="1358" spans="5:8" x14ac:dyDescent="0.35">
      <c r="E1358" s="19"/>
      <c r="F1358" s="19"/>
      <c r="G1358" s="19"/>
      <c r="H1358" s="19"/>
    </row>
    <row r="1359" spans="5:8" x14ac:dyDescent="0.35">
      <c r="E1359" s="19"/>
      <c r="F1359" s="19"/>
      <c r="G1359" s="19"/>
      <c r="H1359" s="19"/>
    </row>
    <row r="1360" spans="5:8" x14ac:dyDescent="0.35">
      <c r="E1360" s="19"/>
      <c r="F1360" s="19"/>
      <c r="G1360" s="19"/>
      <c r="H1360" s="19"/>
    </row>
    <row r="1361" spans="5:8" x14ac:dyDescent="0.35">
      <c r="E1361" s="19"/>
      <c r="F1361" s="19"/>
      <c r="G1361" s="19"/>
      <c r="H1361" s="19"/>
    </row>
    <row r="1362" spans="5:8" x14ac:dyDescent="0.35">
      <c r="E1362" s="19"/>
      <c r="F1362" s="19"/>
      <c r="G1362" s="19"/>
      <c r="H1362" s="19"/>
    </row>
    <row r="1363" spans="5:8" x14ac:dyDescent="0.35">
      <c r="E1363" s="19"/>
      <c r="F1363" s="19"/>
      <c r="G1363" s="19"/>
      <c r="H1363" s="19"/>
    </row>
    <row r="1364" spans="5:8" x14ac:dyDescent="0.35">
      <c r="E1364" s="19"/>
      <c r="F1364" s="19"/>
      <c r="G1364" s="19"/>
      <c r="H1364" s="19"/>
    </row>
    <row r="1365" spans="5:8" x14ac:dyDescent="0.35">
      <c r="E1365" s="19"/>
      <c r="F1365" s="19"/>
      <c r="G1365" s="19"/>
      <c r="H1365" s="19"/>
    </row>
    <row r="1366" spans="5:8" x14ac:dyDescent="0.35">
      <c r="E1366" s="19"/>
      <c r="F1366" s="19"/>
      <c r="G1366" s="19"/>
      <c r="H1366" s="19"/>
    </row>
    <row r="1367" spans="5:8" x14ac:dyDescent="0.35">
      <c r="E1367" s="19"/>
      <c r="F1367" s="19"/>
      <c r="G1367" s="19"/>
      <c r="H1367" s="19"/>
    </row>
    <row r="1368" spans="5:8" x14ac:dyDescent="0.35">
      <c r="E1368" s="19"/>
      <c r="F1368" s="19"/>
      <c r="G1368" s="19"/>
      <c r="H1368" s="19"/>
    </row>
    <row r="1369" spans="5:8" x14ac:dyDescent="0.35">
      <c r="E1369" s="19"/>
      <c r="F1369" s="19"/>
      <c r="G1369" s="19"/>
      <c r="H1369" s="19"/>
    </row>
    <row r="1370" spans="5:8" x14ac:dyDescent="0.35">
      <c r="E1370" s="19"/>
      <c r="F1370" s="19"/>
      <c r="G1370" s="19"/>
      <c r="H1370" s="19"/>
    </row>
    <row r="1371" spans="5:8" x14ac:dyDescent="0.35">
      <c r="E1371" s="19"/>
      <c r="F1371" s="19"/>
      <c r="G1371" s="19"/>
      <c r="H1371" s="19"/>
    </row>
    <row r="1372" spans="5:8" x14ac:dyDescent="0.35">
      <c r="E1372" s="19"/>
      <c r="F1372" s="19"/>
      <c r="G1372" s="19"/>
      <c r="H1372" s="19"/>
    </row>
    <row r="1373" spans="5:8" x14ac:dyDescent="0.35">
      <c r="E1373" s="19"/>
      <c r="F1373" s="19"/>
      <c r="G1373" s="19"/>
      <c r="H1373" s="19"/>
    </row>
    <row r="1374" spans="5:8" x14ac:dyDescent="0.35">
      <c r="E1374" s="19"/>
      <c r="F1374" s="19"/>
      <c r="G1374" s="19"/>
      <c r="H1374" s="19"/>
    </row>
    <row r="1375" spans="5:8" x14ac:dyDescent="0.35">
      <c r="E1375" s="19"/>
      <c r="F1375" s="19"/>
      <c r="G1375" s="19"/>
      <c r="H1375" s="19"/>
    </row>
    <row r="1376" spans="5:8" x14ac:dyDescent="0.35">
      <c r="E1376" s="19"/>
      <c r="F1376" s="19"/>
      <c r="G1376" s="19"/>
      <c r="H1376" s="19"/>
    </row>
    <row r="1377" spans="5:8" x14ac:dyDescent="0.35">
      <c r="E1377" s="19"/>
      <c r="F1377" s="19"/>
      <c r="G1377" s="19"/>
      <c r="H1377" s="19"/>
    </row>
    <row r="1378" spans="5:8" x14ac:dyDescent="0.35">
      <c r="E1378" s="19"/>
      <c r="F1378" s="19"/>
      <c r="G1378" s="19"/>
      <c r="H1378" s="19"/>
    </row>
    <row r="1379" spans="5:8" x14ac:dyDescent="0.35">
      <c r="E1379" s="19"/>
      <c r="F1379" s="19"/>
      <c r="G1379" s="19"/>
      <c r="H1379" s="19"/>
    </row>
    <row r="1380" spans="5:8" x14ac:dyDescent="0.35">
      <c r="E1380" s="19"/>
      <c r="F1380" s="19"/>
      <c r="G1380" s="19"/>
      <c r="H1380" s="19"/>
    </row>
    <row r="1381" spans="5:8" x14ac:dyDescent="0.35">
      <c r="E1381" s="19"/>
      <c r="F1381" s="19"/>
      <c r="G1381" s="19"/>
      <c r="H1381" s="19"/>
    </row>
    <row r="1382" spans="5:8" x14ac:dyDescent="0.35">
      <c r="E1382" s="19"/>
      <c r="F1382" s="19"/>
      <c r="G1382" s="19"/>
      <c r="H1382" s="19"/>
    </row>
    <row r="1383" spans="5:8" x14ac:dyDescent="0.35">
      <c r="E1383" s="19"/>
      <c r="F1383" s="19"/>
      <c r="G1383" s="19"/>
      <c r="H1383" s="19"/>
    </row>
    <row r="1384" spans="5:8" x14ac:dyDescent="0.35">
      <c r="E1384" s="19"/>
      <c r="F1384" s="19"/>
      <c r="G1384" s="19"/>
      <c r="H1384" s="19"/>
    </row>
    <row r="1385" spans="5:8" x14ac:dyDescent="0.35">
      <c r="E1385" s="19"/>
      <c r="F1385" s="19"/>
      <c r="G1385" s="19"/>
      <c r="H1385" s="19"/>
    </row>
    <row r="1386" spans="5:8" x14ac:dyDescent="0.35">
      <c r="E1386" s="19"/>
      <c r="F1386" s="19"/>
      <c r="G1386" s="19"/>
      <c r="H1386" s="19"/>
    </row>
    <row r="1387" spans="5:8" x14ac:dyDescent="0.35">
      <c r="E1387" s="19"/>
      <c r="F1387" s="19"/>
      <c r="G1387" s="19"/>
      <c r="H1387" s="19"/>
    </row>
    <row r="1388" spans="5:8" x14ac:dyDescent="0.35">
      <c r="E1388" s="19"/>
      <c r="F1388" s="19"/>
      <c r="G1388" s="19"/>
      <c r="H1388" s="19"/>
    </row>
    <row r="1389" spans="5:8" x14ac:dyDescent="0.35">
      <c r="E1389" s="19"/>
      <c r="F1389" s="19"/>
      <c r="G1389" s="19"/>
      <c r="H1389" s="19"/>
    </row>
    <row r="1390" spans="5:8" x14ac:dyDescent="0.35">
      <c r="E1390" s="19"/>
      <c r="F1390" s="19"/>
      <c r="G1390" s="19"/>
      <c r="H1390" s="19"/>
    </row>
    <row r="1391" spans="5:8" x14ac:dyDescent="0.35">
      <c r="E1391" s="19"/>
      <c r="F1391" s="19"/>
      <c r="G1391" s="19"/>
      <c r="H1391" s="19"/>
    </row>
    <row r="1392" spans="5:8" x14ac:dyDescent="0.35">
      <c r="E1392" s="19"/>
      <c r="F1392" s="19"/>
      <c r="G1392" s="19"/>
      <c r="H1392" s="19"/>
    </row>
    <row r="1393" spans="5:8" x14ac:dyDescent="0.35">
      <c r="E1393" s="19"/>
      <c r="F1393" s="19"/>
      <c r="G1393" s="19"/>
      <c r="H1393" s="19"/>
    </row>
    <row r="1394" spans="5:8" x14ac:dyDescent="0.35">
      <c r="E1394" s="19"/>
      <c r="F1394" s="19"/>
      <c r="G1394" s="19"/>
      <c r="H1394" s="19"/>
    </row>
    <row r="1395" spans="5:8" x14ac:dyDescent="0.35">
      <c r="E1395" s="19"/>
      <c r="F1395" s="19"/>
      <c r="G1395" s="19"/>
      <c r="H1395" s="19"/>
    </row>
    <row r="1396" spans="5:8" x14ac:dyDescent="0.35">
      <c r="E1396" s="19"/>
      <c r="F1396" s="19"/>
      <c r="G1396" s="19"/>
      <c r="H1396" s="19"/>
    </row>
    <row r="1397" spans="5:8" x14ac:dyDescent="0.35">
      <c r="E1397" s="19"/>
      <c r="F1397" s="19"/>
      <c r="G1397" s="19"/>
      <c r="H1397" s="19"/>
    </row>
    <row r="1398" spans="5:8" x14ac:dyDescent="0.35">
      <c r="E1398" s="19"/>
      <c r="F1398" s="19"/>
      <c r="G1398" s="19"/>
      <c r="H1398" s="19"/>
    </row>
    <row r="1399" spans="5:8" x14ac:dyDescent="0.35">
      <c r="E1399" s="19"/>
      <c r="F1399" s="19"/>
      <c r="G1399" s="19"/>
      <c r="H1399" s="19"/>
    </row>
    <row r="1400" spans="5:8" x14ac:dyDescent="0.35">
      <c r="E1400" s="19"/>
      <c r="F1400" s="19"/>
      <c r="G1400" s="19"/>
      <c r="H1400" s="19"/>
    </row>
    <row r="1401" spans="5:8" x14ac:dyDescent="0.35">
      <c r="E1401" s="19"/>
      <c r="F1401" s="19"/>
      <c r="G1401" s="19"/>
      <c r="H1401" s="19"/>
    </row>
    <row r="1402" spans="5:8" x14ac:dyDescent="0.35">
      <c r="E1402" s="19"/>
      <c r="F1402" s="19"/>
      <c r="G1402" s="19"/>
      <c r="H1402" s="19"/>
    </row>
    <row r="1403" spans="5:8" x14ac:dyDescent="0.35">
      <c r="E1403" s="19"/>
      <c r="F1403" s="19"/>
      <c r="G1403" s="19"/>
      <c r="H1403" s="19"/>
    </row>
    <row r="1404" spans="5:8" x14ac:dyDescent="0.35">
      <c r="E1404" s="19"/>
      <c r="F1404" s="19"/>
      <c r="G1404" s="19"/>
      <c r="H1404" s="19"/>
    </row>
    <row r="1405" spans="5:8" x14ac:dyDescent="0.35">
      <c r="E1405" s="19"/>
      <c r="F1405" s="19"/>
      <c r="G1405" s="19"/>
      <c r="H1405" s="19"/>
    </row>
    <row r="1406" spans="5:8" x14ac:dyDescent="0.35">
      <c r="E1406" s="19"/>
      <c r="F1406" s="19"/>
      <c r="G1406" s="19"/>
      <c r="H1406" s="19"/>
    </row>
    <row r="1407" spans="5:8" x14ac:dyDescent="0.35">
      <c r="E1407" s="19"/>
      <c r="F1407" s="19"/>
      <c r="G1407" s="19"/>
      <c r="H1407" s="19"/>
    </row>
    <row r="1408" spans="5:8" x14ac:dyDescent="0.35">
      <c r="E1408" s="19"/>
      <c r="F1408" s="19"/>
      <c r="G1408" s="19"/>
      <c r="H1408" s="19"/>
    </row>
    <row r="1409" spans="5:8" x14ac:dyDescent="0.35">
      <c r="E1409" s="19"/>
      <c r="F1409" s="19"/>
      <c r="G1409" s="19"/>
      <c r="H1409" s="19"/>
    </row>
    <row r="1410" spans="5:8" x14ac:dyDescent="0.35">
      <c r="E1410" s="19"/>
      <c r="F1410" s="19"/>
      <c r="G1410" s="19"/>
      <c r="H1410" s="19"/>
    </row>
    <row r="1411" spans="5:8" x14ac:dyDescent="0.35">
      <c r="E1411" s="19"/>
      <c r="F1411" s="19"/>
      <c r="G1411" s="19"/>
      <c r="H1411" s="19"/>
    </row>
    <row r="1412" spans="5:8" x14ac:dyDescent="0.35">
      <c r="E1412" s="19"/>
      <c r="F1412" s="19"/>
      <c r="G1412" s="19"/>
      <c r="H1412" s="19"/>
    </row>
    <row r="1413" spans="5:8" x14ac:dyDescent="0.35">
      <c r="E1413" s="19"/>
      <c r="F1413" s="19"/>
      <c r="G1413" s="19"/>
      <c r="H1413" s="19"/>
    </row>
    <row r="1414" spans="5:8" x14ac:dyDescent="0.35">
      <c r="E1414" s="19"/>
      <c r="F1414" s="19"/>
      <c r="G1414" s="19"/>
      <c r="H1414" s="19"/>
    </row>
    <row r="1415" spans="5:8" x14ac:dyDescent="0.35">
      <c r="E1415" s="19"/>
      <c r="F1415" s="19"/>
      <c r="G1415" s="19"/>
      <c r="H1415" s="19"/>
    </row>
    <row r="1416" spans="5:8" x14ac:dyDescent="0.35">
      <c r="E1416" s="19"/>
      <c r="F1416" s="19"/>
      <c r="G1416" s="19"/>
      <c r="H1416" s="19"/>
    </row>
    <row r="1417" spans="5:8" x14ac:dyDescent="0.35">
      <c r="E1417" s="19"/>
      <c r="F1417" s="19"/>
      <c r="G1417" s="19"/>
      <c r="H1417" s="19"/>
    </row>
    <row r="1418" spans="5:8" x14ac:dyDescent="0.35">
      <c r="E1418" s="19"/>
      <c r="F1418" s="19"/>
      <c r="G1418" s="19"/>
      <c r="H1418" s="19"/>
    </row>
    <row r="1419" spans="5:8" x14ac:dyDescent="0.35">
      <c r="E1419" s="19"/>
      <c r="F1419" s="19"/>
      <c r="G1419" s="19"/>
      <c r="H1419" s="19"/>
    </row>
    <row r="1420" spans="5:8" x14ac:dyDescent="0.35">
      <c r="E1420" s="19"/>
      <c r="F1420" s="19"/>
      <c r="G1420" s="19"/>
      <c r="H1420" s="19"/>
    </row>
    <row r="1421" spans="5:8" x14ac:dyDescent="0.35">
      <c r="E1421" s="19"/>
      <c r="F1421" s="19"/>
      <c r="G1421" s="19"/>
      <c r="H1421" s="19"/>
    </row>
    <row r="1422" spans="5:8" x14ac:dyDescent="0.35">
      <c r="E1422" s="19"/>
      <c r="F1422" s="19"/>
      <c r="G1422" s="19"/>
      <c r="H1422" s="19"/>
    </row>
    <row r="1423" spans="5:8" x14ac:dyDescent="0.35">
      <c r="E1423" s="19"/>
      <c r="F1423" s="19"/>
      <c r="G1423" s="19"/>
      <c r="H1423" s="19"/>
    </row>
    <row r="1424" spans="5:8" x14ac:dyDescent="0.35">
      <c r="E1424" s="19"/>
      <c r="F1424" s="19"/>
      <c r="G1424" s="19"/>
      <c r="H1424" s="19"/>
    </row>
    <row r="1425" spans="5:8" x14ac:dyDescent="0.35">
      <c r="E1425" s="19"/>
      <c r="F1425" s="19"/>
      <c r="G1425" s="19"/>
      <c r="H1425" s="19"/>
    </row>
    <row r="1426" spans="5:8" x14ac:dyDescent="0.35">
      <c r="E1426" s="19"/>
      <c r="F1426" s="19"/>
      <c r="G1426" s="19"/>
      <c r="H1426" s="19"/>
    </row>
    <row r="1427" spans="5:8" x14ac:dyDescent="0.35">
      <c r="E1427" s="19"/>
      <c r="F1427" s="19"/>
      <c r="G1427" s="19"/>
      <c r="H1427" s="19"/>
    </row>
    <row r="1428" spans="5:8" x14ac:dyDescent="0.35">
      <c r="E1428" s="19"/>
      <c r="F1428" s="19"/>
      <c r="G1428" s="19"/>
      <c r="H1428" s="19"/>
    </row>
    <row r="1429" spans="5:8" x14ac:dyDescent="0.35">
      <c r="E1429" s="19"/>
      <c r="F1429" s="19"/>
      <c r="G1429" s="19"/>
      <c r="H1429" s="19"/>
    </row>
    <row r="1430" spans="5:8" x14ac:dyDescent="0.35">
      <c r="E1430" s="19"/>
      <c r="F1430" s="19"/>
      <c r="G1430" s="19"/>
      <c r="H1430" s="19"/>
    </row>
    <row r="1431" spans="5:8" x14ac:dyDescent="0.35">
      <c r="E1431" s="19"/>
      <c r="F1431" s="19"/>
      <c r="G1431" s="19"/>
      <c r="H1431" s="19"/>
    </row>
    <row r="1432" spans="5:8" x14ac:dyDescent="0.35">
      <c r="E1432" s="19"/>
      <c r="F1432" s="19"/>
      <c r="G1432" s="19"/>
      <c r="H1432" s="19"/>
    </row>
    <row r="1433" spans="5:8" x14ac:dyDescent="0.35">
      <c r="E1433" s="19"/>
      <c r="F1433" s="19"/>
      <c r="G1433" s="19"/>
      <c r="H1433" s="19"/>
    </row>
    <row r="1434" spans="5:8" x14ac:dyDescent="0.35">
      <c r="E1434" s="19"/>
      <c r="F1434" s="19"/>
      <c r="G1434" s="19"/>
      <c r="H1434" s="19"/>
    </row>
    <row r="1435" spans="5:8" x14ac:dyDescent="0.35">
      <c r="E1435" s="19"/>
      <c r="F1435" s="19"/>
      <c r="G1435" s="19"/>
      <c r="H1435" s="19"/>
    </row>
    <row r="1436" spans="5:8" x14ac:dyDescent="0.35">
      <c r="E1436" s="19"/>
      <c r="F1436" s="19"/>
      <c r="G1436" s="19"/>
      <c r="H1436" s="19"/>
    </row>
    <row r="1437" spans="5:8" x14ac:dyDescent="0.35">
      <c r="E1437" s="19"/>
      <c r="F1437" s="19"/>
      <c r="G1437" s="19"/>
      <c r="H1437" s="19"/>
    </row>
    <row r="1438" spans="5:8" x14ac:dyDescent="0.35">
      <c r="E1438" s="19"/>
      <c r="F1438" s="19"/>
      <c r="G1438" s="19"/>
      <c r="H1438" s="19"/>
    </row>
    <row r="1439" spans="5:8" x14ac:dyDescent="0.35">
      <c r="E1439" s="19"/>
      <c r="F1439" s="19"/>
      <c r="G1439" s="19"/>
      <c r="H1439" s="19"/>
    </row>
    <row r="1440" spans="5:8" x14ac:dyDescent="0.35">
      <c r="E1440" s="19"/>
      <c r="F1440" s="19"/>
      <c r="G1440" s="19"/>
      <c r="H1440" s="19"/>
    </row>
    <row r="1441" spans="5:8" x14ac:dyDescent="0.35">
      <c r="E1441" s="19"/>
      <c r="F1441" s="19"/>
      <c r="G1441" s="19"/>
      <c r="H1441" s="19"/>
    </row>
    <row r="1442" spans="5:8" x14ac:dyDescent="0.35">
      <c r="E1442" s="19"/>
      <c r="F1442" s="19"/>
      <c r="G1442" s="19"/>
      <c r="H1442" s="19"/>
    </row>
    <row r="1443" spans="5:8" x14ac:dyDescent="0.35">
      <c r="E1443" s="19"/>
      <c r="F1443" s="19"/>
      <c r="G1443" s="19"/>
      <c r="H1443" s="19"/>
    </row>
    <row r="1444" spans="5:8" x14ac:dyDescent="0.35">
      <c r="E1444" s="19"/>
      <c r="F1444" s="19"/>
      <c r="G1444" s="19"/>
      <c r="H1444" s="19"/>
    </row>
    <row r="1445" spans="5:8" x14ac:dyDescent="0.35">
      <c r="E1445" s="19"/>
      <c r="F1445" s="19"/>
      <c r="G1445" s="19"/>
      <c r="H1445" s="19"/>
    </row>
    <row r="1446" spans="5:8" x14ac:dyDescent="0.35">
      <c r="E1446" s="19"/>
      <c r="F1446" s="19"/>
      <c r="G1446" s="19"/>
      <c r="H1446" s="19"/>
    </row>
    <row r="1447" spans="5:8" x14ac:dyDescent="0.35">
      <c r="E1447" s="19"/>
      <c r="F1447" s="19"/>
      <c r="G1447" s="19"/>
      <c r="H1447" s="19"/>
    </row>
    <row r="1448" spans="5:8" x14ac:dyDescent="0.35">
      <c r="E1448" s="19"/>
      <c r="F1448" s="19"/>
      <c r="G1448" s="19"/>
      <c r="H1448" s="19"/>
    </row>
    <row r="1449" spans="5:8" x14ac:dyDescent="0.35">
      <c r="E1449" s="19"/>
      <c r="F1449" s="19"/>
      <c r="G1449" s="19"/>
      <c r="H1449" s="19"/>
    </row>
    <row r="1450" spans="5:8" x14ac:dyDescent="0.35">
      <c r="E1450" s="19"/>
      <c r="F1450" s="19"/>
      <c r="G1450" s="19"/>
      <c r="H1450" s="19"/>
    </row>
    <row r="1451" spans="5:8" x14ac:dyDescent="0.35">
      <c r="E1451" s="19"/>
      <c r="F1451" s="19"/>
      <c r="G1451" s="19"/>
      <c r="H1451" s="19"/>
    </row>
    <row r="1452" spans="5:8" x14ac:dyDescent="0.35">
      <c r="E1452" s="19"/>
      <c r="F1452" s="19"/>
      <c r="G1452" s="19"/>
      <c r="H1452" s="19"/>
    </row>
    <row r="1453" spans="5:8" x14ac:dyDescent="0.35">
      <c r="E1453" s="19"/>
      <c r="F1453" s="19"/>
      <c r="G1453" s="19"/>
      <c r="H1453" s="19"/>
    </row>
    <row r="1454" spans="5:8" x14ac:dyDescent="0.35">
      <c r="E1454" s="19"/>
      <c r="F1454" s="19"/>
      <c r="G1454" s="19"/>
      <c r="H1454" s="19"/>
    </row>
    <row r="1455" spans="5:8" x14ac:dyDescent="0.35">
      <c r="E1455" s="19"/>
      <c r="F1455" s="19"/>
      <c r="G1455" s="19"/>
      <c r="H1455" s="19"/>
    </row>
    <row r="1456" spans="5:8" x14ac:dyDescent="0.35">
      <c r="E1456" s="19"/>
      <c r="F1456" s="19"/>
      <c r="G1456" s="19"/>
      <c r="H1456" s="19"/>
    </row>
    <row r="1457" spans="5:8" x14ac:dyDescent="0.35">
      <c r="E1457" s="19"/>
      <c r="F1457" s="19"/>
      <c r="G1457" s="19"/>
      <c r="H1457" s="19"/>
    </row>
    <row r="1458" spans="5:8" x14ac:dyDescent="0.35">
      <c r="E1458" s="19"/>
      <c r="F1458" s="19"/>
      <c r="G1458" s="19"/>
      <c r="H1458" s="19"/>
    </row>
    <row r="1459" spans="5:8" x14ac:dyDescent="0.35">
      <c r="E1459" s="19"/>
      <c r="F1459" s="19"/>
      <c r="G1459" s="19"/>
      <c r="H1459" s="19"/>
    </row>
    <row r="1460" spans="5:8" x14ac:dyDescent="0.35">
      <c r="E1460" s="19"/>
      <c r="F1460" s="19"/>
      <c r="G1460" s="19"/>
      <c r="H1460" s="19"/>
    </row>
    <row r="1461" spans="5:8" x14ac:dyDescent="0.35">
      <c r="E1461" s="19"/>
      <c r="F1461" s="19"/>
      <c r="G1461" s="19"/>
      <c r="H1461" s="19"/>
    </row>
    <row r="1462" spans="5:8" x14ac:dyDescent="0.35">
      <c r="E1462" s="19"/>
      <c r="F1462" s="19"/>
      <c r="G1462" s="19"/>
      <c r="H1462" s="19"/>
    </row>
    <row r="1463" spans="5:8" x14ac:dyDescent="0.35">
      <c r="E1463" s="19"/>
      <c r="F1463" s="19"/>
      <c r="G1463" s="19"/>
      <c r="H1463" s="19"/>
    </row>
    <row r="1464" spans="5:8" x14ac:dyDescent="0.35">
      <c r="E1464" s="19"/>
      <c r="F1464" s="19"/>
      <c r="G1464" s="19"/>
      <c r="H1464" s="19"/>
    </row>
    <row r="1465" spans="5:8" x14ac:dyDescent="0.35">
      <c r="E1465" s="19"/>
      <c r="F1465" s="19"/>
      <c r="G1465" s="19"/>
      <c r="H1465" s="19"/>
    </row>
    <row r="1466" spans="5:8" x14ac:dyDescent="0.35">
      <c r="E1466" s="19"/>
      <c r="F1466" s="19"/>
      <c r="G1466" s="19"/>
      <c r="H1466" s="19"/>
    </row>
    <row r="1467" spans="5:8" x14ac:dyDescent="0.35">
      <c r="E1467" s="19"/>
      <c r="F1467" s="19"/>
      <c r="G1467" s="19"/>
      <c r="H1467" s="19"/>
    </row>
    <row r="1468" spans="5:8" x14ac:dyDescent="0.35">
      <c r="E1468" s="19"/>
      <c r="F1468" s="19"/>
      <c r="G1468" s="19"/>
      <c r="H1468" s="19"/>
    </row>
    <row r="1469" spans="5:8" x14ac:dyDescent="0.35">
      <c r="E1469" s="19"/>
      <c r="F1469" s="19"/>
      <c r="G1469" s="19"/>
      <c r="H1469" s="19"/>
    </row>
    <row r="1470" spans="5:8" x14ac:dyDescent="0.35">
      <c r="E1470" s="19"/>
      <c r="F1470" s="19"/>
      <c r="G1470" s="19"/>
      <c r="H1470" s="19"/>
    </row>
    <row r="1471" spans="5:8" x14ac:dyDescent="0.35">
      <c r="E1471" s="19"/>
      <c r="F1471" s="19"/>
      <c r="G1471" s="19"/>
      <c r="H1471" s="19"/>
    </row>
    <row r="1472" spans="5:8" x14ac:dyDescent="0.35">
      <c r="E1472" s="19"/>
      <c r="F1472" s="19"/>
      <c r="G1472" s="19"/>
      <c r="H1472" s="19"/>
    </row>
    <row r="1473" spans="5:8" x14ac:dyDescent="0.35">
      <c r="E1473" s="19"/>
      <c r="F1473" s="19"/>
      <c r="G1473" s="19"/>
      <c r="H1473" s="19"/>
    </row>
    <row r="1474" spans="5:8" x14ac:dyDescent="0.35">
      <c r="E1474" s="19"/>
      <c r="F1474" s="19"/>
      <c r="G1474" s="19"/>
      <c r="H1474" s="19"/>
    </row>
    <row r="1475" spans="5:8" x14ac:dyDescent="0.35">
      <c r="E1475" s="19"/>
      <c r="F1475" s="19"/>
      <c r="G1475" s="19"/>
      <c r="H1475" s="19"/>
    </row>
    <row r="1476" spans="5:8" x14ac:dyDescent="0.35">
      <c r="E1476" s="19"/>
      <c r="F1476" s="19"/>
      <c r="G1476" s="19"/>
      <c r="H1476" s="19"/>
    </row>
    <row r="1477" spans="5:8" x14ac:dyDescent="0.35">
      <c r="E1477" s="19"/>
      <c r="F1477" s="19"/>
      <c r="G1477" s="19"/>
      <c r="H1477" s="19"/>
    </row>
    <row r="1478" spans="5:8" x14ac:dyDescent="0.35">
      <c r="E1478" s="19"/>
      <c r="F1478" s="19"/>
      <c r="G1478" s="19"/>
      <c r="H1478" s="19"/>
    </row>
    <row r="1479" spans="5:8" x14ac:dyDescent="0.35">
      <c r="E1479" s="19"/>
      <c r="F1479" s="19"/>
      <c r="G1479" s="19"/>
      <c r="H1479" s="19"/>
    </row>
    <row r="1480" spans="5:8" x14ac:dyDescent="0.35">
      <c r="E1480" s="19"/>
      <c r="F1480" s="19"/>
      <c r="G1480" s="19"/>
      <c r="H1480" s="19"/>
    </row>
    <row r="1481" spans="5:8" x14ac:dyDescent="0.35">
      <c r="E1481" s="19"/>
      <c r="F1481" s="19"/>
      <c r="G1481" s="19"/>
      <c r="H1481" s="19"/>
    </row>
    <row r="1482" spans="5:8" x14ac:dyDescent="0.35">
      <c r="E1482" s="19"/>
      <c r="F1482" s="19"/>
      <c r="G1482" s="19"/>
      <c r="H1482" s="19"/>
    </row>
    <row r="1483" spans="5:8" x14ac:dyDescent="0.35">
      <c r="E1483" s="19"/>
      <c r="F1483" s="19"/>
      <c r="G1483" s="19"/>
      <c r="H1483" s="19"/>
    </row>
    <row r="1484" spans="5:8" x14ac:dyDescent="0.35">
      <c r="E1484" s="19"/>
      <c r="F1484" s="19"/>
      <c r="G1484" s="19"/>
      <c r="H1484" s="19"/>
    </row>
    <row r="1485" spans="5:8" x14ac:dyDescent="0.35">
      <c r="E1485" s="19"/>
      <c r="F1485" s="19"/>
      <c r="G1485" s="19"/>
      <c r="H1485" s="19"/>
    </row>
    <row r="1486" spans="5:8" x14ac:dyDescent="0.35">
      <c r="E1486" s="19"/>
      <c r="F1486" s="19"/>
      <c r="G1486" s="19"/>
      <c r="H1486" s="19"/>
    </row>
    <row r="1487" spans="5:8" x14ac:dyDescent="0.35">
      <c r="E1487" s="19"/>
      <c r="F1487" s="19"/>
      <c r="G1487" s="19"/>
      <c r="H1487" s="19"/>
    </row>
    <row r="1488" spans="5:8" x14ac:dyDescent="0.35">
      <c r="E1488" s="19"/>
      <c r="F1488" s="19"/>
      <c r="G1488" s="19"/>
      <c r="H1488" s="19"/>
    </row>
    <row r="1489" spans="5:8" x14ac:dyDescent="0.35">
      <c r="E1489" s="19"/>
      <c r="F1489" s="19"/>
      <c r="G1489" s="19"/>
      <c r="H1489" s="19"/>
    </row>
    <row r="1490" spans="5:8" x14ac:dyDescent="0.35">
      <c r="E1490" s="19"/>
      <c r="F1490" s="19"/>
      <c r="G1490" s="19"/>
      <c r="H1490" s="19"/>
    </row>
    <row r="1491" spans="5:8" x14ac:dyDescent="0.35">
      <c r="E1491" s="19"/>
      <c r="F1491" s="19"/>
      <c r="G1491" s="19"/>
      <c r="H1491" s="19"/>
    </row>
    <row r="1492" spans="5:8" x14ac:dyDescent="0.35">
      <c r="E1492" s="19"/>
      <c r="F1492" s="19"/>
      <c r="G1492" s="19"/>
      <c r="H1492" s="19"/>
    </row>
    <row r="1493" spans="5:8" x14ac:dyDescent="0.35">
      <c r="E1493" s="19"/>
      <c r="F1493" s="19"/>
      <c r="G1493" s="19"/>
      <c r="H1493" s="19"/>
    </row>
    <row r="1494" spans="5:8" x14ac:dyDescent="0.35">
      <c r="E1494" s="19"/>
      <c r="F1494" s="19"/>
      <c r="G1494" s="19"/>
      <c r="H1494" s="19"/>
    </row>
    <row r="1495" spans="5:8" x14ac:dyDescent="0.35">
      <c r="E1495" s="19"/>
      <c r="F1495" s="19"/>
      <c r="G1495" s="19"/>
      <c r="H1495" s="19"/>
    </row>
    <row r="1496" spans="5:8" x14ac:dyDescent="0.35">
      <c r="E1496" s="19"/>
      <c r="F1496" s="19"/>
      <c r="G1496" s="19"/>
      <c r="H1496" s="19"/>
    </row>
    <row r="1497" spans="5:8" x14ac:dyDescent="0.35">
      <c r="E1497" s="19"/>
      <c r="F1497" s="19"/>
      <c r="G1497" s="19"/>
      <c r="H1497" s="19"/>
    </row>
    <row r="1498" spans="5:8" x14ac:dyDescent="0.35">
      <c r="E1498" s="19"/>
      <c r="F1498" s="19"/>
      <c r="G1498" s="19"/>
      <c r="H1498" s="19"/>
    </row>
    <row r="1499" spans="5:8" x14ac:dyDescent="0.35">
      <c r="E1499" s="19"/>
      <c r="F1499" s="19"/>
      <c r="G1499" s="19"/>
      <c r="H1499" s="19"/>
    </row>
    <row r="1500" spans="5:8" x14ac:dyDescent="0.35">
      <c r="E1500" s="19"/>
      <c r="F1500" s="19"/>
      <c r="G1500" s="19"/>
      <c r="H1500" s="19"/>
    </row>
    <row r="1501" spans="5:8" x14ac:dyDescent="0.35">
      <c r="E1501" s="19"/>
      <c r="F1501" s="19"/>
      <c r="G1501" s="19"/>
      <c r="H1501" s="19"/>
    </row>
    <row r="1502" spans="5:8" x14ac:dyDescent="0.35">
      <c r="E1502" s="19"/>
      <c r="F1502" s="19"/>
      <c r="G1502" s="19"/>
      <c r="H1502" s="19"/>
    </row>
    <row r="1503" spans="5:8" x14ac:dyDescent="0.35">
      <c r="E1503" s="19"/>
      <c r="F1503" s="19"/>
      <c r="G1503" s="19"/>
      <c r="H1503" s="19"/>
    </row>
    <row r="1504" spans="5:8" x14ac:dyDescent="0.35">
      <c r="E1504" s="19"/>
      <c r="F1504" s="19"/>
      <c r="G1504" s="19"/>
      <c r="H1504" s="19"/>
    </row>
    <row r="1505" spans="5:8" x14ac:dyDescent="0.35">
      <c r="E1505" s="19"/>
      <c r="F1505" s="19"/>
      <c r="G1505" s="19"/>
      <c r="H1505" s="19"/>
    </row>
    <row r="1506" spans="5:8" x14ac:dyDescent="0.35">
      <c r="E1506" s="19"/>
      <c r="F1506" s="19"/>
      <c r="G1506" s="19"/>
      <c r="H1506" s="19"/>
    </row>
    <row r="1507" spans="5:8" x14ac:dyDescent="0.35">
      <c r="E1507" s="19"/>
      <c r="F1507" s="19"/>
      <c r="G1507" s="19"/>
      <c r="H1507" s="19"/>
    </row>
    <row r="1508" spans="5:8" x14ac:dyDescent="0.35">
      <c r="E1508" s="19"/>
      <c r="F1508" s="19"/>
      <c r="G1508" s="19"/>
      <c r="H1508" s="19"/>
    </row>
    <row r="1509" spans="5:8" x14ac:dyDescent="0.35">
      <c r="E1509" s="19"/>
      <c r="F1509" s="19"/>
      <c r="G1509" s="19"/>
      <c r="H1509" s="19"/>
    </row>
    <row r="1510" spans="5:8" x14ac:dyDescent="0.35">
      <c r="E1510" s="19"/>
      <c r="F1510" s="19"/>
      <c r="G1510" s="19"/>
      <c r="H1510" s="19"/>
    </row>
    <row r="1511" spans="5:8" x14ac:dyDescent="0.35">
      <c r="E1511" s="19"/>
      <c r="F1511" s="19"/>
      <c r="G1511" s="19"/>
      <c r="H1511" s="19"/>
    </row>
    <row r="1512" spans="5:8" x14ac:dyDescent="0.35">
      <c r="E1512" s="19"/>
      <c r="F1512" s="19"/>
      <c r="G1512" s="19"/>
      <c r="H1512" s="19"/>
    </row>
    <row r="1513" spans="5:8" x14ac:dyDescent="0.35">
      <c r="E1513" s="19"/>
      <c r="F1513" s="19"/>
      <c r="G1513" s="19"/>
      <c r="H1513" s="19"/>
    </row>
    <row r="1514" spans="5:8" x14ac:dyDescent="0.35">
      <c r="E1514" s="19"/>
      <c r="F1514" s="19"/>
      <c r="G1514" s="19"/>
      <c r="H1514" s="19"/>
    </row>
    <row r="1515" spans="5:8" x14ac:dyDescent="0.35">
      <c r="E1515" s="19"/>
      <c r="F1515" s="19"/>
      <c r="G1515" s="19"/>
      <c r="H1515" s="19"/>
    </row>
    <row r="1516" spans="5:8" x14ac:dyDescent="0.35">
      <c r="E1516" s="19"/>
      <c r="F1516" s="19"/>
      <c r="G1516" s="19"/>
      <c r="H1516" s="19"/>
    </row>
    <row r="1517" spans="5:8" x14ac:dyDescent="0.35">
      <c r="E1517" s="19"/>
      <c r="F1517" s="19"/>
      <c r="G1517" s="19"/>
      <c r="H1517" s="19"/>
    </row>
    <row r="1518" spans="5:8" x14ac:dyDescent="0.35">
      <c r="E1518" s="19"/>
      <c r="F1518" s="19"/>
      <c r="G1518" s="19"/>
      <c r="H1518" s="19"/>
    </row>
    <row r="1519" spans="5:8" x14ac:dyDescent="0.35">
      <c r="E1519" s="19"/>
      <c r="F1519" s="19"/>
      <c r="G1519" s="19"/>
      <c r="H1519" s="19"/>
    </row>
    <row r="1520" spans="5:8" x14ac:dyDescent="0.35">
      <c r="E1520" s="19"/>
      <c r="F1520" s="19"/>
      <c r="G1520" s="19"/>
      <c r="H1520" s="19"/>
    </row>
    <row r="1521" spans="5:8" x14ac:dyDescent="0.35">
      <c r="E1521" s="19"/>
      <c r="F1521" s="19"/>
      <c r="G1521" s="19"/>
      <c r="H1521" s="19"/>
    </row>
    <row r="1522" spans="5:8" x14ac:dyDescent="0.35">
      <c r="E1522" s="19"/>
      <c r="F1522" s="19"/>
      <c r="G1522" s="19"/>
      <c r="H1522" s="19"/>
    </row>
    <row r="1523" spans="5:8" x14ac:dyDescent="0.35">
      <c r="E1523" s="19"/>
      <c r="F1523" s="19"/>
      <c r="G1523" s="19"/>
      <c r="H1523" s="19"/>
    </row>
    <row r="1524" spans="5:8" x14ac:dyDescent="0.35">
      <c r="E1524" s="19"/>
      <c r="F1524" s="19"/>
      <c r="G1524" s="19"/>
      <c r="H1524" s="19"/>
    </row>
    <row r="1525" spans="5:8" x14ac:dyDescent="0.35">
      <c r="E1525" s="19"/>
      <c r="F1525" s="19"/>
      <c r="G1525" s="19"/>
      <c r="H1525" s="19"/>
    </row>
    <row r="1526" spans="5:8" x14ac:dyDescent="0.35">
      <c r="E1526" s="19"/>
      <c r="F1526" s="19"/>
      <c r="G1526" s="19"/>
      <c r="H1526" s="19"/>
    </row>
    <row r="1527" spans="5:8" x14ac:dyDescent="0.35">
      <c r="E1527" s="19"/>
      <c r="F1527" s="19"/>
      <c r="G1527" s="19"/>
      <c r="H1527" s="19"/>
    </row>
    <row r="1528" spans="5:8" x14ac:dyDescent="0.35">
      <c r="E1528" s="19"/>
      <c r="F1528" s="19"/>
      <c r="G1528" s="19"/>
      <c r="H1528" s="19"/>
    </row>
    <row r="1529" spans="5:8" x14ac:dyDescent="0.35">
      <c r="E1529" s="19"/>
      <c r="F1529" s="19"/>
      <c r="G1529" s="19"/>
      <c r="H1529" s="19"/>
    </row>
    <row r="1530" spans="5:8" x14ac:dyDescent="0.35">
      <c r="E1530" s="19"/>
      <c r="F1530" s="19"/>
      <c r="G1530" s="19"/>
      <c r="H1530" s="19"/>
    </row>
    <row r="1531" spans="5:8" x14ac:dyDescent="0.35">
      <c r="E1531" s="19"/>
      <c r="F1531" s="19"/>
      <c r="G1531" s="19"/>
      <c r="H1531" s="19"/>
    </row>
    <row r="1532" spans="5:8" x14ac:dyDescent="0.35">
      <c r="E1532" s="19"/>
      <c r="F1532" s="19"/>
      <c r="G1532" s="19"/>
      <c r="H1532" s="19"/>
    </row>
    <row r="1533" spans="5:8" x14ac:dyDescent="0.35">
      <c r="E1533" s="19"/>
      <c r="F1533" s="19"/>
      <c r="G1533" s="19"/>
      <c r="H1533" s="19"/>
    </row>
    <row r="1534" spans="5:8" x14ac:dyDescent="0.35">
      <c r="E1534" s="19"/>
      <c r="F1534" s="19"/>
      <c r="G1534" s="19"/>
      <c r="H1534" s="19"/>
    </row>
    <row r="1535" spans="5:8" x14ac:dyDescent="0.35">
      <c r="E1535" s="19"/>
      <c r="F1535" s="19"/>
      <c r="G1535" s="19"/>
      <c r="H1535" s="19"/>
    </row>
    <row r="1536" spans="5:8" x14ac:dyDescent="0.35">
      <c r="E1536" s="19"/>
      <c r="F1536" s="19"/>
      <c r="G1536" s="19"/>
      <c r="H1536" s="19"/>
    </row>
    <row r="1537" spans="5:8" x14ac:dyDescent="0.35">
      <c r="E1537" s="19"/>
      <c r="F1537" s="19"/>
      <c r="G1537" s="19"/>
      <c r="H1537" s="19"/>
    </row>
    <row r="1538" spans="5:8" x14ac:dyDescent="0.35">
      <c r="E1538" s="19"/>
      <c r="F1538" s="19"/>
      <c r="G1538" s="19"/>
      <c r="H1538" s="19"/>
    </row>
    <row r="1539" spans="5:8" x14ac:dyDescent="0.35">
      <c r="E1539" s="19"/>
      <c r="F1539" s="19"/>
      <c r="G1539" s="19"/>
      <c r="H1539" s="19"/>
    </row>
    <row r="1540" spans="5:8" x14ac:dyDescent="0.35">
      <c r="E1540" s="19"/>
      <c r="F1540" s="19"/>
      <c r="G1540" s="19"/>
      <c r="H1540" s="19"/>
    </row>
    <row r="1541" spans="5:8" x14ac:dyDescent="0.35">
      <c r="E1541" s="19"/>
      <c r="F1541" s="19"/>
      <c r="G1541" s="19"/>
      <c r="H1541" s="19"/>
    </row>
    <row r="1542" spans="5:8" x14ac:dyDescent="0.35">
      <c r="E1542" s="19"/>
      <c r="F1542" s="19"/>
      <c r="G1542" s="19"/>
      <c r="H1542" s="19"/>
    </row>
    <row r="1543" spans="5:8" x14ac:dyDescent="0.35">
      <c r="E1543" s="19"/>
      <c r="F1543" s="19"/>
      <c r="G1543" s="19"/>
      <c r="H1543" s="19"/>
    </row>
    <row r="1544" spans="5:8" x14ac:dyDescent="0.35">
      <c r="E1544" s="19"/>
      <c r="F1544" s="19"/>
      <c r="G1544" s="19"/>
      <c r="H1544" s="19"/>
    </row>
    <row r="1545" spans="5:8" x14ac:dyDescent="0.35">
      <c r="E1545" s="19"/>
      <c r="F1545" s="19"/>
      <c r="G1545" s="19"/>
      <c r="H1545" s="19"/>
    </row>
    <row r="1546" spans="5:8" x14ac:dyDescent="0.35">
      <c r="E1546" s="19"/>
      <c r="F1546" s="19"/>
      <c r="G1546" s="19"/>
      <c r="H1546" s="19"/>
    </row>
    <row r="1547" spans="5:8" x14ac:dyDescent="0.35">
      <c r="E1547" s="19"/>
      <c r="F1547" s="19"/>
      <c r="G1547" s="19"/>
      <c r="H1547" s="19"/>
    </row>
    <row r="1548" spans="5:8" x14ac:dyDescent="0.35">
      <c r="E1548" s="19"/>
      <c r="F1548" s="19"/>
      <c r="G1548" s="19"/>
      <c r="H1548" s="19"/>
    </row>
    <row r="1549" spans="5:8" x14ac:dyDescent="0.35">
      <c r="E1549" s="19"/>
      <c r="F1549" s="19"/>
      <c r="G1549" s="19"/>
      <c r="H1549" s="19"/>
    </row>
    <row r="1550" spans="5:8" x14ac:dyDescent="0.35">
      <c r="E1550" s="19"/>
      <c r="F1550" s="19"/>
      <c r="G1550" s="19"/>
      <c r="H1550" s="19"/>
    </row>
    <row r="1551" spans="5:8" x14ac:dyDescent="0.35">
      <c r="E1551" s="19"/>
      <c r="F1551" s="19"/>
      <c r="G1551" s="19"/>
      <c r="H1551" s="19"/>
    </row>
    <row r="1552" spans="5:8" x14ac:dyDescent="0.35">
      <c r="E1552" s="19"/>
      <c r="F1552" s="19"/>
      <c r="G1552" s="19"/>
      <c r="H1552" s="19"/>
    </row>
    <row r="1553" spans="5:8" x14ac:dyDescent="0.35">
      <c r="E1553" s="19"/>
      <c r="F1553" s="19"/>
      <c r="G1553" s="19"/>
      <c r="H1553" s="19"/>
    </row>
    <row r="1554" spans="5:8" x14ac:dyDescent="0.35">
      <c r="E1554" s="19"/>
      <c r="F1554" s="19"/>
      <c r="G1554" s="19"/>
      <c r="H1554" s="19"/>
    </row>
    <row r="1555" spans="5:8" x14ac:dyDescent="0.35">
      <c r="E1555" s="19"/>
      <c r="F1555" s="19"/>
      <c r="G1555" s="19"/>
      <c r="H1555" s="19"/>
    </row>
    <row r="1556" spans="5:8" x14ac:dyDescent="0.35">
      <c r="E1556" s="19"/>
      <c r="F1556" s="19"/>
      <c r="G1556" s="19"/>
      <c r="H1556" s="19"/>
    </row>
    <row r="1557" spans="5:8" x14ac:dyDescent="0.35">
      <c r="E1557" s="19"/>
      <c r="F1557" s="19"/>
      <c r="G1557" s="19"/>
      <c r="H1557" s="19"/>
    </row>
    <row r="1558" spans="5:8" x14ac:dyDescent="0.35">
      <c r="E1558" s="19"/>
      <c r="F1558" s="19"/>
      <c r="G1558" s="19"/>
      <c r="H1558" s="19"/>
    </row>
    <row r="1559" spans="5:8" x14ac:dyDescent="0.35">
      <c r="E1559" s="19"/>
      <c r="F1559" s="19"/>
      <c r="G1559" s="19"/>
      <c r="H1559" s="19"/>
    </row>
    <row r="1560" spans="5:8" x14ac:dyDescent="0.35">
      <c r="E1560" s="19"/>
      <c r="F1560" s="19"/>
      <c r="G1560" s="19"/>
      <c r="H1560" s="19"/>
    </row>
    <row r="1561" spans="5:8" x14ac:dyDescent="0.35">
      <c r="E1561" s="19"/>
      <c r="F1561" s="19"/>
      <c r="G1561" s="19"/>
      <c r="H1561" s="19"/>
    </row>
    <row r="1562" spans="5:8" x14ac:dyDescent="0.35">
      <c r="E1562" s="19"/>
      <c r="F1562" s="19"/>
      <c r="G1562" s="19"/>
      <c r="H1562" s="19"/>
    </row>
    <row r="1563" spans="5:8" x14ac:dyDescent="0.35">
      <c r="E1563" s="19"/>
      <c r="F1563" s="19"/>
      <c r="G1563" s="19"/>
      <c r="H1563" s="19"/>
    </row>
    <row r="1564" spans="5:8" x14ac:dyDescent="0.35">
      <c r="E1564" s="19"/>
      <c r="F1564" s="19"/>
      <c r="G1564" s="19"/>
      <c r="H1564" s="19"/>
    </row>
    <row r="1565" spans="5:8" x14ac:dyDescent="0.35">
      <c r="E1565" s="19"/>
      <c r="F1565" s="19"/>
      <c r="G1565" s="19"/>
      <c r="H1565" s="19"/>
    </row>
    <row r="1566" spans="5:8" x14ac:dyDescent="0.35">
      <c r="E1566" s="19"/>
      <c r="F1566" s="19"/>
      <c r="G1566" s="19"/>
      <c r="H1566" s="19"/>
    </row>
    <row r="1567" spans="5:8" x14ac:dyDescent="0.35">
      <c r="E1567" s="19"/>
      <c r="F1567" s="19"/>
      <c r="G1567" s="19"/>
      <c r="H1567" s="19"/>
    </row>
    <row r="1568" spans="5:8" x14ac:dyDescent="0.35">
      <c r="E1568" s="19"/>
      <c r="F1568" s="19"/>
      <c r="G1568" s="19"/>
      <c r="H1568" s="19"/>
    </row>
    <row r="1569" spans="5:8" x14ac:dyDescent="0.35">
      <c r="E1569" s="19"/>
      <c r="F1569" s="19"/>
      <c r="G1569" s="19"/>
      <c r="H1569" s="19"/>
    </row>
    <row r="1570" spans="5:8" x14ac:dyDescent="0.35">
      <c r="E1570" s="19"/>
      <c r="F1570" s="19"/>
      <c r="G1570" s="19"/>
      <c r="H1570" s="19"/>
    </row>
    <row r="1571" spans="5:8" x14ac:dyDescent="0.35">
      <c r="E1571" s="19"/>
      <c r="F1571" s="19"/>
      <c r="G1571" s="19"/>
      <c r="H1571" s="19"/>
    </row>
    <row r="1572" spans="5:8" x14ac:dyDescent="0.35">
      <c r="E1572" s="19"/>
      <c r="F1572" s="19"/>
      <c r="G1572" s="19"/>
      <c r="H1572" s="19"/>
    </row>
    <row r="1573" spans="5:8" x14ac:dyDescent="0.35">
      <c r="E1573" s="19"/>
      <c r="F1573" s="19"/>
      <c r="G1573" s="19"/>
      <c r="H1573" s="19"/>
    </row>
    <row r="1574" spans="5:8" x14ac:dyDescent="0.35">
      <c r="E1574" s="19"/>
      <c r="F1574" s="19"/>
      <c r="G1574" s="19"/>
      <c r="H1574" s="19"/>
    </row>
    <row r="1575" spans="5:8" x14ac:dyDescent="0.35">
      <c r="E1575" s="19"/>
      <c r="F1575" s="19"/>
      <c r="G1575" s="19"/>
      <c r="H1575" s="19"/>
    </row>
    <row r="1576" spans="5:8" x14ac:dyDescent="0.35">
      <c r="E1576" s="19"/>
      <c r="F1576" s="19"/>
      <c r="G1576" s="19"/>
      <c r="H1576" s="19"/>
    </row>
    <row r="1577" spans="5:8" x14ac:dyDescent="0.35">
      <c r="E1577" s="19"/>
      <c r="F1577" s="19"/>
      <c r="G1577" s="19"/>
      <c r="H1577" s="19"/>
    </row>
    <row r="1578" spans="5:8" x14ac:dyDescent="0.35">
      <c r="E1578" s="19"/>
      <c r="F1578" s="19"/>
      <c r="G1578" s="19"/>
      <c r="H1578" s="19"/>
    </row>
    <row r="1579" spans="5:8" x14ac:dyDescent="0.35">
      <c r="E1579" s="19"/>
      <c r="F1579" s="19"/>
      <c r="G1579" s="19"/>
      <c r="H1579" s="19"/>
    </row>
    <row r="1580" spans="5:8" x14ac:dyDescent="0.35">
      <c r="E1580" s="19"/>
      <c r="F1580" s="19"/>
      <c r="G1580" s="19"/>
      <c r="H1580" s="19"/>
    </row>
    <row r="1581" spans="5:8" x14ac:dyDescent="0.35">
      <c r="E1581" s="19"/>
      <c r="F1581" s="19"/>
      <c r="G1581" s="19"/>
      <c r="H1581" s="19"/>
    </row>
    <row r="1582" spans="5:8" x14ac:dyDescent="0.35">
      <c r="E1582" s="19"/>
      <c r="F1582" s="19"/>
      <c r="G1582" s="19"/>
      <c r="H1582" s="19"/>
    </row>
    <row r="1583" spans="5:8" x14ac:dyDescent="0.35">
      <c r="E1583" s="19"/>
      <c r="F1583" s="19"/>
      <c r="G1583" s="19"/>
      <c r="H1583" s="19"/>
    </row>
    <row r="1584" spans="5:8" x14ac:dyDescent="0.35">
      <c r="E1584" s="19"/>
      <c r="F1584" s="19"/>
      <c r="G1584" s="19"/>
      <c r="H1584" s="19"/>
    </row>
    <row r="1585" spans="5:8" x14ac:dyDescent="0.35">
      <c r="E1585" s="19"/>
      <c r="F1585" s="19"/>
      <c r="G1585" s="19"/>
      <c r="H1585" s="19"/>
    </row>
    <row r="1586" spans="5:8" x14ac:dyDescent="0.35">
      <c r="E1586" s="19"/>
      <c r="F1586" s="19"/>
      <c r="G1586" s="19"/>
      <c r="H1586" s="19"/>
    </row>
    <row r="1587" spans="5:8" x14ac:dyDescent="0.35">
      <c r="E1587" s="19"/>
      <c r="F1587" s="19"/>
      <c r="G1587" s="19"/>
      <c r="H1587" s="19"/>
    </row>
    <row r="1588" spans="5:8" x14ac:dyDescent="0.35">
      <c r="E1588" s="19"/>
      <c r="F1588" s="19"/>
      <c r="G1588" s="19"/>
      <c r="H1588" s="19"/>
    </row>
    <row r="1589" spans="5:8" x14ac:dyDescent="0.35">
      <c r="E1589" s="19"/>
      <c r="F1589" s="19"/>
      <c r="G1589" s="19"/>
      <c r="H1589" s="19"/>
    </row>
    <row r="1590" spans="5:8" x14ac:dyDescent="0.35">
      <c r="E1590" s="19"/>
      <c r="F1590" s="19"/>
      <c r="G1590" s="19"/>
      <c r="H1590" s="19"/>
    </row>
    <row r="1591" spans="5:8" x14ac:dyDescent="0.35">
      <c r="E1591" s="19"/>
      <c r="F1591" s="19"/>
      <c r="G1591" s="19"/>
      <c r="H1591" s="19"/>
    </row>
    <row r="1592" spans="5:8" x14ac:dyDescent="0.35">
      <c r="E1592" s="19"/>
      <c r="F1592" s="19"/>
      <c r="G1592" s="19"/>
      <c r="H1592" s="19"/>
    </row>
    <row r="1593" spans="5:8" x14ac:dyDescent="0.35">
      <c r="E1593" s="19"/>
      <c r="F1593" s="19"/>
      <c r="G1593" s="19"/>
      <c r="H1593" s="19"/>
    </row>
    <row r="1594" spans="5:8" x14ac:dyDescent="0.35">
      <c r="E1594" s="19"/>
      <c r="F1594" s="19"/>
      <c r="G1594" s="19"/>
      <c r="H1594" s="19"/>
    </row>
    <row r="1595" spans="5:8" x14ac:dyDescent="0.35">
      <c r="E1595" s="19"/>
      <c r="F1595" s="19"/>
      <c r="G1595" s="19"/>
      <c r="H1595" s="19"/>
    </row>
    <row r="1596" spans="5:8" x14ac:dyDescent="0.35">
      <c r="E1596" s="19"/>
      <c r="F1596" s="19"/>
      <c r="G1596" s="19"/>
      <c r="H1596" s="19"/>
    </row>
    <row r="1597" spans="5:8" x14ac:dyDescent="0.35">
      <c r="E1597" s="19"/>
      <c r="F1597" s="19"/>
      <c r="G1597" s="19"/>
      <c r="H1597" s="19"/>
    </row>
    <row r="1598" spans="5:8" x14ac:dyDescent="0.35">
      <c r="E1598" s="19"/>
      <c r="F1598" s="19"/>
      <c r="G1598" s="19"/>
      <c r="H1598" s="19"/>
    </row>
    <row r="1599" spans="5:8" x14ac:dyDescent="0.35">
      <c r="E1599" s="19"/>
      <c r="F1599" s="19"/>
      <c r="G1599" s="19"/>
      <c r="H1599" s="19"/>
    </row>
    <row r="1600" spans="5:8" x14ac:dyDescent="0.35">
      <c r="E1600" s="19"/>
      <c r="F1600" s="19"/>
      <c r="G1600" s="19"/>
      <c r="H1600" s="19"/>
    </row>
    <row r="1601" spans="5:8" x14ac:dyDescent="0.35">
      <c r="E1601" s="19"/>
      <c r="F1601" s="19"/>
      <c r="G1601" s="19"/>
      <c r="H1601" s="19"/>
    </row>
    <row r="1602" spans="5:8" x14ac:dyDescent="0.35">
      <c r="E1602" s="19"/>
      <c r="F1602" s="19"/>
      <c r="G1602" s="19"/>
      <c r="H1602" s="19"/>
    </row>
    <row r="1603" spans="5:8" x14ac:dyDescent="0.35">
      <c r="E1603" s="19"/>
      <c r="F1603" s="19"/>
      <c r="G1603" s="19"/>
      <c r="H1603" s="19"/>
    </row>
    <row r="1604" spans="5:8" x14ac:dyDescent="0.35">
      <c r="E1604" s="19"/>
      <c r="F1604" s="19"/>
      <c r="G1604" s="19"/>
      <c r="H1604" s="19"/>
    </row>
    <row r="1605" spans="5:8" x14ac:dyDescent="0.35">
      <c r="E1605" s="19"/>
      <c r="F1605" s="19"/>
      <c r="G1605" s="19"/>
      <c r="H1605" s="19"/>
    </row>
    <row r="1606" spans="5:8" x14ac:dyDescent="0.35">
      <c r="E1606" s="19"/>
      <c r="F1606" s="19"/>
      <c r="G1606" s="19"/>
      <c r="H1606" s="19"/>
    </row>
    <row r="1607" spans="5:8" x14ac:dyDescent="0.35">
      <c r="E1607" s="19"/>
      <c r="F1607" s="19"/>
      <c r="G1607" s="19"/>
      <c r="H1607" s="19"/>
    </row>
    <row r="1608" spans="5:8" x14ac:dyDescent="0.35">
      <c r="E1608" s="19"/>
      <c r="F1608" s="19"/>
      <c r="G1608" s="19"/>
      <c r="H1608" s="19"/>
    </row>
    <row r="1609" spans="5:8" x14ac:dyDescent="0.35">
      <c r="E1609" s="19"/>
      <c r="F1609" s="19"/>
      <c r="G1609" s="19"/>
      <c r="H1609" s="19"/>
    </row>
    <row r="1610" spans="5:8" x14ac:dyDescent="0.35">
      <c r="E1610" s="19"/>
      <c r="F1610" s="19"/>
      <c r="G1610" s="19"/>
      <c r="H1610" s="19"/>
    </row>
    <row r="1611" spans="5:8" x14ac:dyDescent="0.35">
      <c r="E1611" s="19"/>
      <c r="F1611" s="19"/>
      <c r="G1611" s="19"/>
      <c r="H1611" s="19"/>
    </row>
    <row r="1612" spans="5:8" x14ac:dyDescent="0.35">
      <c r="E1612" s="19"/>
      <c r="F1612" s="19"/>
      <c r="G1612" s="19"/>
      <c r="H1612" s="19"/>
    </row>
    <row r="1613" spans="5:8" x14ac:dyDescent="0.35">
      <c r="E1613" s="19"/>
      <c r="F1613" s="19"/>
      <c r="G1613" s="19"/>
      <c r="H1613" s="19"/>
    </row>
    <row r="1614" spans="5:8" x14ac:dyDescent="0.35">
      <c r="E1614" s="19"/>
      <c r="F1614" s="19"/>
      <c r="G1614" s="19"/>
      <c r="H1614" s="19"/>
    </row>
    <row r="1615" spans="5:8" x14ac:dyDescent="0.35">
      <c r="E1615" s="19"/>
      <c r="F1615" s="19"/>
      <c r="G1615" s="19"/>
      <c r="H1615" s="19"/>
    </row>
    <row r="1616" spans="5:8" x14ac:dyDescent="0.35">
      <c r="E1616" s="19"/>
      <c r="F1616" s="19"/>
      <c r="G1616" s="19"/>
      <c r="H1616" s="19"/>
    </row>
    <row r="1617" spans="5:8" x14ac:dyDescent="0.35">
      <c r="E1617" s="19"/>
      <c r="F1617" s="19"/>
      <c r="G1617" s="19"/>
      <c r="H1617" s="19"/>
    </row>
    <row r="1618" spans="5:8" x14ac:dyDescent="0.35">
      <c r="E1618" s="19"/>
      <c r="F1618" s="19"/>
      <c r="G1618" s="19"/>
      <c r="H1618" s="19"/>
    </row>
    <row r="1619" spans="5:8" x14ac:dyDescent="0.35">
      <c r="E1619" s="19"/>
      <c r="F1619" s="19"/>
      <c r="G1619" s="19"/>
      <c r="H1619" s="19"/>
    </row>
    <row r="1620" spans="5:8" x14ac:dyDescent="0.35">
      <c r="E1620" s="19"/>
      <c r="F1620" s="19"/>
      <c r="G1620" s="19"/>
      <c r="H1620" s="19"/>
    </row>
    <row r="1621" spans="5:8" x14ac:dyDescent="0.35">
      <c r="E1621" s="19"/>
      <c r="F1621" s="19"/>
      <c r="G1621" s="19"/>
      <c r="H1621" s="19"/>
    </row>
    <row r="1622" spans="5:8" x14ac:dyDescent="0.35">
      <c r="E1622" s="19"/>
      <c r="F1622" s="19"/>
      <c r="G1622" s="19"/>
      <c r="H1622" s="19"/>
    </row>
    <row r="1623" spans="5:8" x14ac:dyDescent="0.35">
      <c r="E1623" s="19"/>
      <c r="F1623" s="19"/>
      <c r="G1623" s="19"/>
      <c r="H1623" s="19"/>
    </row>
    <row r="1624" spans="5:8" x14ac:dyDescent="0.35">
      <c r="E1624" s="19"/>
      <c r="F1624" s="19"/>
      <c r="G1624" s="19"/>
      <c r="H1624" s="19"/>
    </row>
    <row r="1625" spans="5:8" x14ac:dyDescent="0.35">
      <c r="E1625" s="19"/>
      <c r="F1625" s="19"/>
      <c r="G1625" s="19"/>
      <c r="H1625" s="19"/>
    </row>
    <row r="1626" spans="5:8" x14ac:dyDescent="0.35">
      <c r="E1626" s="19"/>
      <c r="F1626" s="19"/>
      <c r="G1626" s="19"/>
      <c r="H1626" s="19"/>
    </row>
    <row r="1627" spans="5:8" x14ac:dyDescent="0.35">
      <c r="E1627" s="19"/>
      <c r="F1627" s="19"/>
      <c r="G1627" s="19"/>
      <c r="H1627" s="19"/>
    </row>
    <row r="1628" spans="5:8" x14ac:dyDescent="0.35">
      <c r="E1628" s="19"/>
      <c r="F1628" s="19"/>
      <c r="G1628" s="19"/>
      <c r="H1628" s="19"/>
    </row>
    <row r="1629" spans="5:8" x14ac:dyDescent="0.35">
      <c r="E1629" s="19"/>
      <c r="F1629" s="19"/>
      <c r="G1629" s="19"/>
      <c r="H1629" s="19"/>
    </row>
    <row r="1630" spans="5:8" x14ac:dyDescent="0.35">
      <c r="E1630" s="19"/>
      <c r="F1630" s="19"/>
      <c r="G1630" s="19"/>
      <c r="H1630" s="19"/>
    </row>
    <row r="1631" spans="5:8" x14ac:dyDescent="0.35">
      <c r="E1631" s="19"/>
      <c r="F1631" s="19"/>
      <c r="G1631" s="19"/>
      <c r="H1631" s="19"/>
    </row>
    <row r="1632" spans="5:8" x14ac:dyDescent="0.35">
      <c r="E1632" s="19"/>
      <c r="F1632" s="19"/>
      <c r="G1632" s="19"/>
      <c r="H1632" s="19"/>
    </row>
    <row r="1633" spans="5:8" x14ac:dyDescent="0.35">
      <c r="E1633" s="19"/>
      <c r="F1633" s="19"/>
      <c r="G1633" s="19"/>
      <c r="H1633" s="19"/>
    </row>
    <row r="1634" spans="5:8" x14ac:dyDescent="0.35">
      <c r="E1634" s="19"/>
      <c r="F1634" s="19"/>
      <c r="G1634" s="19"/>
      <c r="H1634" s="19"/>
    </row>
    <row r="1635" spans="5:8" x14ac:dyDescent="0.35">
      <c r="E1635" s="19"/>
      <c r="F1635" s="19"/>
      <c r="G1635" s="19"/>
      <c r="H1635" s="19"/>
    </row>
    <row r="1636" spans="5:8" x14ac:dyDescent="0.35">
      <c r="E1636" s="19"/>
      <c r="F1636" s="19"/>
      <c r="G1636" s="19"/>
      <c r="H1636" s="19"/>
    </row>
    <row r="1637" spans="5:8" x14ac:dyDescent="0.35">
      <c r="E1637" s="19"/>
      <c r="F1637" s="19"/>
      <c r="G1637" s="19"/>
      <c r="H1637" s="19"/>
    </row>
    <row r="1638" spans="5:8" x14ac:dyDescent="0.35">
      <c r="E1638" s="19"/>
      <c r="F1638" s="19"/>
      <c r="G1638" s="19"/>
      <c r="H1638" s="19"/>
    </row>
    <row r="1639" spans="5:8" x14ac:dyDescent="0.35">
      <c r="E1639" s="19"/>
      <c r="F1639" s="19"/>
      <c r="G1639" s="19"/>
      <c r="H1639" s="19"/>
    </row>
    <row r="1640" spans="5:8" x14ac:dyDescent="0.35">
      <c r="E1640" s="19"/>
      <c r="F1640" s="19"/>
      <c r="G1640" s="19"/>
      <c r="H1640" s="19"/>
    </row>
    <row r="1641" spans="5:8" x14ac:dyDescent="0.35">
      <c r="E1641" s="19"/>
      <c r="F1641" s="19"/>
      <c r="G1641" s="19"/>
      <c r="H1641" s="19"/>
    </row>
    <row r="1642" spans="5:8" x14ac:dyDescent="0.35">
      <c r="E1642" s="19"/>
      <c r="F1642" s="19"/>
      <c r="G1642" s="19"/>
      <c r="H1642" s="19"/>
    </row>
    <row r="1643" spans="5:8" x14ac:dyDescent="0.35">
      <c r="E1643" s="19"/>
      <c r="F1643" s="19"/>
      <c r="G1643" s="19"/>
      <c r="H1643" s="19"/>
    </row>
    <row r="1644" spans="5:8" x14ac:dyDescent="0.35">
      <c r="E1644" s="19"/>
      <c r="F1644" s="19"/>
      <c r="G1644" s="19"/>
      <c r="H1644" s="19"/>
    </row>
    <row r="1645" spans="5:8" x14ac:dyDescent="0.35">
      <c r="E1645" s="19"/>
      <c r="F1645" s="19"/>
      <c r="G1645" s="19"/>
      <c r="H1645" s="19"/>
    </row>
    <row r="1646" spans="5:8" x14ac:dyDescent="0.35">
      <c r="E1646" s="19"/>
      <c r="F1646" s="19"/>
      <c r="G1646" s="19"/>
      <c r="H1646" s="19"/>
    </row>
    <row r="1647" spans="5:8" x14ac:dyDescent="0.35">
      <c r="E1647" s="19"/>
      <c r="F1647" s="19"/>
      <c r="G1647" s="19"/>
      <c r="H1647" s="19"/>
    </row>
    <row r="1648" spans="5:8" x14ac:dyDescent="0.35">
      <c r="E1648" s="19"/>
      <c r="F1648" s="19"/>
      <c r="G1648" s="19"/>
      <c r="H1648" s="19"/>
    </row>
    <row r="1649" spans="5:8" x14ac:dyDescent="0.35">
      <c r="E1649" s="19"/>
      <c r="F1649" s="19"/>
      <c r="G1649" s="19"/>
      <c r="H1649" s="19"/>
    </row>
    <row r="1650" spans="5:8" x14ac:dyDescent="0.35">
      <c r="E1650" s="19"/>
      <c r="F1650" s="19"/>
      <c r="G1650" s="19"/>
      <c r="H1650" s="19"/>
    </row>
    <row r="1651" spans="5:8" x14ac:dyDescent="0.35">
      <c r="E1651" s="19"/>
      <c r="F1651" s="19"/>
      <c r="G1651" s="19"/>
      <c r="H1651" s="19"/>
    </row>
    <row r="1652" spans="5:8" x14ac:dyDescent="0.35">
      <c r="E1652" s="19"/>
      <c r="F1652" s="19"/>
      <c r="G1652" s="19"/>
      <c r="H1652" s="19"/>
    </row>
    <row r="1653" spans="5:8" x14ac:dyDescent="0.35">
      <c r="E1653" s="19"/>
      <c r="F1653" s="19"/>
      <c r="G1653" s="19"/>
      <c r="H1653" s="19"/>
    </row>
    <row r="1654" spans="5:8" x14ac:dyDescent="0.35">
      <c r="E1654" s="19"/>
      <c r="F1654" s="19"/>
      <c r="G1654" s="19"/>
      <c r="H1654" s="19"/>
    </row>
    <row r="1655" spans="5:8" x14ac:dyDescent="0.35">
      <c r="E1655" s="19"/>
      <c r="F1655" s="19"/>
      <c r="G1655" s="19"/>
      <c r="H1655" s="19"/>
    </row>
    <row r="1656" spans="5:8" x14ac:dyDescent="0.35">
      <c r="E1656" s="19"/>
      <c r="F1656" s="19"/>
      <c r="G1656" s="19"/>
      <c r="H1656" s="19"/>
    </row>
    <row r="1657" spans="5:8" x14ac:dyDescent="0.35">
      <c r="E1657" s="19"/>
      <c r="F1657" s="19"/>
      <c r="G1657" s="19"/>
      <c r="H1657" s="19"/>
    </row>
    <row r="1658" spans="5:8" x14ac:dyDescent="0.35">
      <c r="E1658" s="19"/>
      <c r="F1658" s="19"/>
      <c r="G1658" s="19"/>
      <c r="H1658" s="19"/>
    </row>
    <row r="1659" spans="5:8" x14ac:dyDescent="0.35">
      <c r="E1659" s="19"/>
      <c r="F1659" s="19"/>
      <c r="G1659" s="19"/>
      <c r="H1659" s="19"/>
    </row>
    <row r="1660" spans="5:8" x14ac:dyDescent="0.35">
      <c r="E1660" s="19"/>
      <c r="F1660" s="19"/>
      <c r="G1660" s="19"/>
      <c r="H1660" s="19"/>
    </row>
    <row r="1661" spans="5:8" x14ac:dyDescent="0.35">
      <c r="E1661" s="19"/>
      <c r="F1661" s="19"/>
      <c r="G1661" s="19"/>
      <c r="H1661" s="19"/>
    </row>
    <row r="1662" spans="5:8" x14ac:dyDescent="0.35">
      <c r="E1662" s="19"/>
      <c r="F1662" s="19"/>
      <c r="G1662" s="19"/>
      <c r="H1662" s="19"/>
    </row>
    <row r="1663" spans="5:8" x14ac:dyDescent="0.35">
      <c r="E1663" s="19"/>
      <c r="F1663" s="19"/>
      <c r="G1663" s="19"/>
      <c r="H1663" s="19"/>
    </row>
    <row r="1664" spans="5:8" x14ac:dyDescent="0.35">
      <c r="E1664" s="19"/>
      <c r="F1664" s="19"/>
      <c r="G1664" s="19"/>
      <c r="H1664" s="19"/>
    </row>
    <row r="1665" spans="5:8" x14ac:dyDescent="0.35">
      <c r="E1665" s="19"/>
      <c r="F1665" s="19"/>
      <c r="G1665" s="19"/>
      <c r="H1665" s="19"/>
    </row>
    <row r="1666" spans="5:8" x14ac:dyDescent="0.35">
      <c r="E1666" s="19"/>
      <c r="F1666" s="19"/>
      <c r="G1666" s="19"/>
      <c r="H1666" s="19"/>
    </row>
    <row r="1667" spans="5:8" x14ac:dyDescent="0.35">
      <c r="E1667" s="19"/>
      <c r="F1667" s="19"/>
      <c r="G1667" s="19"/>
      <c r="H1667" s="19"/>
    </row>
    <row r="1668" spans="5:8" x14ac:dyDescent="0.35">
      <c r="E1668" s="19"/>
      <c r="F1668" s="19"/>
      <c r="G1668" s="19"/>
      <c r="H1668" s="19"/>
    </row>
    <row r="1669" spans="5:8" x14ac:dyDescent="0.35">
      <c r="E1669" s="19"/>
      <c r="F1669" s="19"/>
      <c r="G1669" s="19"/>
      <c r="H1669" s="19"/>
    </row>
    <row r="1670" spans="5:8" x14ac:dyDescent="0.35">
      <c r="E1670" s="19"/>
      <c r="F1670" s="19"/>
      <c r="G1670" s="19"/>
      <c r="H1670" s="19"/>
    </row>
    <row r="1671" spans="5:8" x14ac:dyDescent="0.35">
      <c r="E1671" s="19"/>
      <c r="F1671" s="19"/>
      <c r="G1671" s="19"/>
      <c r="H1671" s="19"/>
    </row>
    <row r="1672" spans="5:8" x14ac:dyDescent="0.35">
      <c r="E1672" s="19"/>
      <c r="F1672" s="19"/>
      <c r="G1672" s="19"/>
      <c r="H1672" s="19"/>
    </row>
    <row r="1673" spans="5:8" x14ac:dyDescent="0.35">
      <c r="E1673" s="19"/>
      <c r="F1673" s="19"/>
      <c r="G1673" s="19"/>
      <c r="H1673" s="19"/>
    </row>
    <row r="1674" spans="5:8" x14ac:dyDescent="0.35">
      <c r="E1674" s="19"/>
      <c r="F1674" s="19"/>
      <c r="G1674" s="19"/>
      <c r="H1674" s="19"/>
    </row>
    <row r="1675" spans="5:8" x14ac:dyDescent="0.35">
      <c r="E1675" s="19"/>
      <c r="F1675" s="19"/>
      <c r="G1675" s="19"/>
      <c r="H1675" s="19"/>
    </row>
    <row r="1676" spans="5:8" x14ac:dyDescent="0.35">
      <c r="E1676" s="19"/>
      <c r="F1676" s="19"/>
      <c r="G1676" s="19"/>
      <c r="H1676" s="19"/>
    </row>
    <row r="1677" spans="5:8" x14ac:dyDescent="0.35">
      <c r="E1677" s="19"/>
      <c r="F1677" s="19"/>
      <c r="G1677" s="19"/>
      <c r="H1677" s="19"/>
    </row>
    <row r="1678" spans="5:8" x14ac:dyDescent="0.35">
      <c r="E1678" s="19"/>
      <c r="F1678" s="19"/>
      <c r="G1678" s="19"/>
      <c r="H1678" s="19"/>
    </row>
    <row r="1679" spans="5:8" x14ac:dyDescent="0.35">
      <c r="E1679" s="19"/>
      <c r="F1679" s="19"/>
      <c r="G1679" s="19"/>
      <c r="H1679" s="19"/>
    </row>
    <row r="1680" spans="5:8" x14ac:dyDescent="0.35">
      <c r="E1680" s="19"/>
      <c r="F1680" s="19"/>
      <c r="G1680" s="19"/>
      <c r="H1680" s="19"/>
    </row>
    <row r="1681" spans="5:8" x14ac:dyDescent="0.35">
      <c r="E1681" s="19"/>
      <c r="F1681" s="19"/>
      <c r="G1681" s="19"/>
      <c r="H1681" s="19"/>
    </row>
    <row r="1682" spans="5:8" x14ac:dyDescent="0.35">
      <c r="E1682" s="19"/>
      <c r="F1682" s="19"/>
      <c r="G1682" s="19"/>
      <c r="H1682" s="19"/>
    </row>
    <row r="1683" spans="5:8" x14ac:dyDescent="0.35">
      <c r="E1683" s="19"/>
      <c r="F1683" s="19"/>
      <c r="G1683" s="19"/>
      <c r="H1683" s="19"/>
    </row>
    <row r="1684" spans="5:8" x14ac:dyDescent="0.35">
      <c r="E1684" s="19"/>
      <c r="F1684" s="19"/>
      <c r="G1684" s="19"/>
      <c r="H1684" s="19"/>
    </row>
    <row r="1685" spans="5:8" x14ac:dyDescent="0.35">
      <c r="E1685" s="19"/>
      <c r="F1685" s="19"/>
      <c r="G1685" s="19"/>
      <c r="H1685" s="19"/>
    </row>
    <row r="1686" spans="5:8" x14ac:dyDescent="0.35">
      <c r="E1686" s="19"/>
      <c r="F1686" s="19"/>
      <c r="G1686" s="19"/>
      <c r="H1686" s="19"/>
    </row>
    <row r="1687" spans="5:8" x14ac:dyDescent="0.35">
      <c r="E1687" s="19"/>
      <c r="F1687" s="19"/>
      <c r="G1687" s="19"/>
      <c r="H1687" s="19"/>
    </row>
    <row r="1688" spans="5:8" x14ac:dyDescent="0.35">
      <c r="E1688" s="19"/>
      <c r="F1688" s="19"/>
      <c r="G1688" s="19"/>
      <c r="H1688" s="19"/>
    </row>
    <row r="1689" spans="5:8" x14ac:dyDescent="0.35">
      <c r="E1689" s="19"/>
      <c r="F1689" s="19"/>
      <c r="G1689" s="19"/>
      <c r="H1689" s="19"/>
    </row>
    <row r="1690" spans="5:8" x14ac:dyDescent="0.35">
      <c r="E1690" s="19"/>
      <c r="F1690" s="19"/>
      <c r="G1690" s="19"/>
      <c r="H1690" s="19"/>
    </row>
    <row r="1691" spans="5:8" x14ac:dyDescent="0.35">
      <c r="E1691" s="19"/>
      <c r="F1691" s="19"/>
      <c r="G1691" s="19"/>
      <c r="H1691" s="19"/>
    </row>
    <row r="1692" spans="5:8" x14ac:dyDescent="0.35">
      <c r="E1692" s="19"/>
      <c r="F1692" s="19"/>
      <c r="G1692" s="19"/>
      <c r="H1692" s="19"/>
    </row>
    <row r="1693" spans="5:8" x14ac:dyDescent="0.35">
      <c r="E1693" s="19"/>
      <c r="F1693" s="19"/>
      <c r="G1693" s="19"/>
      <c r="H1693" s="19"/>
    </row>
    <row r="1694" spans="5:8" x14ac:dyDescent="0.35">
      <c r="E1694" s="19"/>
      <c r="F1694" s="19"/>
      <c r="G1694" s="19"/>
      <c r="H1694" s="19"/>
    </row>
    <row r="1695" spans="5:8" x14ac:dyDescent="0.35">
      <c r="E1695" s="19"/>
      <c r="F1695" s="19"/>
      <c r="G1695" s="19"/>
      <c r="H1695" s="19"/>
    </row>
    <row r="1696" spans="5:8" x14ac:dyDescent="0.35">
      <c r="E1696" s="19"/>
      <c r="F1696" s="19"/>
      <c r="G1696" s="19"/>
      <c r="H1696" s="19"/>
    </row>
    <row r="1697" spans="5:8" x14ac:dyDescent="0.35">
      <c r="E1697" s="19"/>
      <c r="F1697" s="19"/>
      <c r="G1697" s="19"/>
      <c r="H1697" s="19"/>
    </row>
    <row r="1698" spans="5:8" x14ac:dyDescent="0.35">
      <c r="E1698" s="19"/>
      <c r="F1698" s="19"/>
      <c r="G1698" s="19"/>
      <c r="H1698" s="19"/>
    </row>
    <row r="1699" spans="5:8" x14ac:dyDescent="0.35">
      <c r="E1699" s="19"/>
      <c r="F1699" s="19"/>
      <c r="G1699" s="19"/>
      <c r="H1699" s="19"/>
    </row>
    <row r="1700" spans="5:8" x14ac:dyDescent="0.35">
      <c r="E1700" s="19"/>
      <c r="F1700" s="19"/>
      <c r="G1700" s="19"/>
      <c r="H1700" s="19"/>
    </row>
    <row r="1701" spans="5:8" x14ac:dyDescent="0.35">
      <c r="E1701" s="19"/>
      <c r="F1701" s="19"/>
      <c r="G1701" s="19"/>
      <c r="H1701" s="19"/>
    </row>
    <row r="1702" spans="5:8" x14ac:dyDescent="0.35">
      <c r="E1702" s="19"/>
      <c r="F1702" s="19"/>
      <c r="G1702" s="19"/>
      <c r="H1702" s="19"/>
    </row>
    <row r="1703" spans="5:8" x14ac:dyDescent="0.35">
      <c r="E1703" s="19"/>
      <c r="F1703" s="19"/>
      <c r="G1703" s="19"/>
      <c r="H1703" s="19"/>
    </row>
    <row r="1704" spans="5:8" x14ac:dyDescent="0.35">
      <c r="E1704" s="19"/>
      <c r="F1704" s="19"/>
      <c r="G1704" s="19"/>
      <c r="H1704" s="19"/>
    </row>
    <row r="1705" spans="5:8" x14ac:dyDescent="0.35">
      <c r="E1705" s="19"/>
      <c r="F1705" s="19"/>
      <c r="G1705" s="19"/>
      <c r="H1705" s="19"/>
    </row>
    <row r="1706" spans="5:8" x14ac:dyDescent="0.35">
      <c r="E1706" s="19"/>
      <c r="F1706" s="19"/>
      <c r="G1706" s="19"/>
      <c r="H1706" s="19"/>
    </row>
    <row r="1707" spans="5:8" x14ac:dyDescent="0.35">
      <c r="E1707" s="19"/>
      <c r="F1707" s="19"/>
      <c r="G1707" s="19"/>
      <c r="H1707" s="19"/>
    </row>
    <row r="1708" spans="5:8" x14ac:dyDescent="0.35">
      <c r="E1708" s="19"/>
      <c r="F1708" s="19"/>
      <c r="G1708" s="19"/>
      <c r="H1708" s="19"/>
    </row>
    <row r="1709" spans="5:8" x14ac:dyDescent="0.35">
      <c r="E1709" s="19"/>
      <c r="F1709" s="19"/>
      <c r="G1709" s="19"/>
      <c r="H1709" s="19"/>
    </row>
    <row r="1710" spans="5:8" x14ac:dyDescent="0.35">
      <c r="E1710" s="19"/>
      <c r="F1710" s="19"/>
      <c r="G1710" s="19"/>
      <c r="H1710" s="19"/>
    </row>
    <row r="1711" spans="5:8" x14ac:dyDescent="0.35">
      <c r="E1711" s="19"/>
      <c r="F1711" s="19"/>
      <c r="G1711" s="19"/>
      <c r="H1711" s="19"/>
    </row>
    <row r="1712" spans="5:8" x14ac:dyDescent="0.35">
      <c r="E1712" s="19"/>
      <c r="F1712" s="19"/>
      <c r="G1712" s="19"/>
      <c r="H1712" s="19"/>
    </row>
    <row r="1713" spans="5:8" x14ac:dyDescent="0.35">
      <c r="E1713" s="19"/>
      <c r="F1713" s="19"/>
      <c r="G1713" s="19"/>
      <c r="H1713" s="19"/>
    </row>
    <row r="1714" spans="5:8" x14ac:dyDescent="0.35">
      <c r="E1714" s="19"/>
      <c r="F1714" s="19"/>
      <c r="G1714" s="19"/>
      <c r="H1714" s="19"/>
    </row>
    <row r="1715" spans="5:8" x14ac:dyDescent="0.35">
      <c r="E1715" s="19"/>
      <c r="F1715" s="19"/>
      <c r="G1715" s="19"/>
      <c r="H1715" s="19"/>
    </row>
    <row r="1716" spans="5:8" x14ac:dyDescent="0.35">
      <c r="E1716" s="19"/>
      <c r="F1716" s="19"/>
      <c r="G1716" s="19"/>
      <c r="H1716" s="19"/>
    </row>
    <row r="1717" spans="5:8" x14ac:dyDescent="0.35">
      <c r="E1717" s="19"/>
      <c r="F1717" s="19"/>
      <c r="G1717" s="19"/>
      <c r="H1717" s="19"/>
    </row>
    <row r="1718" spans="5:8" x14ac:dyDescent="0.35">
      <c r="E1718" s="19"/>
      <c r="F1718" s="19"/>
      <c r="G1718" s="19"/>
      <c r="H1718" s="19"/>
    </row>
    <row r="1719" spans="5:8" x14ac:dyDescent="0.35">
      <c r="E1719" s="19"/>
      <c r="F1719" s="19"/>
      <c r="G1719" s="19"/>
      <c r="H1719" s="19"/>
    </row>
    <row r="1720" spans="5:8" x14ac:dyDescent="0.35">
      <c r="E1720" s="19"/>
      <c r="F1720" s="19"/>
      <c r="G1720" s="19"/>
      <c r="H1720" s="19"/>
    </row>
    <row r="1721" spans="5:8" x14ac:dyDescent="0.35">
      <c r="E1721" s="19"/>
      <c r="F1721" s="19"/>
      <c r="G1721" s="19"/>
      <c r="H1721" s="19"/>
    </row>
    <row r="1722" spans="5:8" x14ac:dyDescent="0.35">
      <c r="E1722" s="19"/>
      <c r="F1722" s="19"/>
      <c r="G1722" s="19"/>
      <c r="H1722" s="19"/>
    </row>
    <row r="1723" spans="5:8" x14ac:dyDescent="0.35">
      <c r="E1723" s="19"/>
      <c r="F1723" s="19"/>
      <c r="G1723" s="19"/>
      <c r="H1723" s="19"/>
    </row>
    <row r="1724" spans="5:8" x14ac:dyDescent="0.35">
      <c r="E1724" s="19"/>
      <c r="F1724" s="19"/>
      <c r="G1724" s="19"/>
      <c r="H1724" s="19"/>
    </row>
    <row r="1725" spans="5:8" x14ac:dyDescent="0.35">
      <c r="E1725" s="19"/>
      <c r="F1725" s="19"/>
      <c r="G1725" s="19"/>
      <c r="H1725" s="19"/>
    </row>
    <row r="1726" spans="5:8" x14ac:dyDescent="0.35">
      <c r="E1726" s="19"/>
      <c r="F1726" s="19"/>
      <c r="G1726" s="19"/>
      <c r="H1726" s="19"/>
    </row>
    <row r="1727" spans="5:8" x14ac:dyDescent="0.35">
      <c r="E1727" s="19"/>
      <c r="F1727" s="19"/>
      <c r="G1727" s="19"/>
      <c r="H1727" s="19"/>
    </row>
    <row r="1728" spans="5:8" x14ac:dyDescent="0.35">
      <c r="E1728" s="19"/>
      <c r="F1728" s="19"/>
      <c r="G1728" s="19"/>
      <c r="H1728" s="19"/>
    </row>
    <row r="1729" spans="5:8" x14ac:dyDescent="0.35">
      <c r="E1729" s="19"/>
      <c r="F1729" s="19"/>
      <c r="G1729" s="19"/>
      <c r="H1729" s="19"/>
    </row>
    <row r="1730" spans="5:8" x14ac:dyDescent="0.35">
      <c r="E1730" s="19"/>
      <c r="F1730" s="19"/>
      <c r="G1730" s="19"/>
      <c r="H1730" s="19"/>
    </row>
    <row r="1731" spans="5:8" x14ac:dyDescent="0.35">
      <c r="E1731" s="19"/>
      <c r="F1731" s="19"/>
      <c r="G1731" s="19"/>
      <c r="H1731" s="19"/>
    </row>
    <row r="1732" spans="5:8" x14ac:dyDescent="0.35">
      <c r="E1732" s="19"/>
      <c r="F1732" s="19"/>
      <c r="G1732" s="19"/>
      <c r="H1732" s="19"/>
    </row>
    <row r="1733" spans="5:8" x14ac:dyDescent="0.35">
      <c r="E1733" s="19"/>
      <c r="F1733" s="19"/>
      <c r="G1733" s="19"/>
      <c r="H1733" s="19"/>
    </row>
    <row r="1734" spans="5:8" x14ac:dyDescent="0.35">
      <c r="E1734" s="19"/>
      <c r="F1734" s="19"/>
      <c r="G1734" s="19"/>
      <c r="H1734" s="19"/>
    </row>
    <row r="1735" spans="5:8" x14ac:dyDescent="0.35">
      <c r="E1735" s="19"/>
      <c r="F1735" s="19"/>
      <c r="G1735" s="19"/>
      <c r="H1735" s="19"/>
    </row>
    <row r="1736" spans="5:8" x14ac:dyDescent="0.35">
      <c r="E1736" s="19"/>
      <c r="F1736" s="19"/>
      <c r="G1736" s="19"/>
      <c r="H1736" s="19"/>
    </row>
    <row r="1737" spans="5:8" x14ac:dyDescent="0.35">
      <c r="E1737" s="19"/>
      <c r="F1737" s="19"/>
      <c r="G1737" s="19"/>
      <c r="H1737" s="19"/>
    </row>
    <row r="1738" spans="5:8" x14ac:dyDescent="0.35">
      <c r="E1738" s="19"/>
      <c r="F1738" s="19"/>
      <c r="G1738" s="19"/>
      <c r="H1738" s="19"/>
    </row>
    <row r="1739" spans="5:8" x14ac:dyDescent="0.35">
      <c r="E1739" s="19"/>
      <c r="F1739" s="19"/>
      <c r="G1739" s="19"/>
      <c r="H1739" s="19"/>
    </row>
    <row r="1740" spans="5:8" x14ac:dyDescent="0.35">
      <c r="E1740" s="19"/>
      <c r="F1740" s="19"/>
      <c r="G1740" s="19"/>
      <c r="H1740" s="19"/>
    </row>
    <row r="1741" spans="5:8" x14ac:dyDescent="0.35">
      <c r="E1741" s="19"/>
      <c r="F1741" s="19"/>
      <c r="G1741" s="19"/>
      <c r="H1741" s="19"/>
    </row>
    <row r="1742" spans="5:8" x14ac:dyDescent="0.35">
      <c r="E1742" s="19"/>
      <c r="F1742" s="19"/>
      <c r="G1742" s="19"/>
      <c r="H1742" s="19"/>
    </row>
    <row r="1743" spans="5:8" x14ac:dyDescent="0.35">
      <c r="E1743" s="19"/>
      <c r="F1743" s="19"/>
      <c r="G1743" s="19"/>
      <c r="H1743" s="19"/>
    </row>
    <row r="1744" spans="5:8" x14ac:dyDescent="0.35">
      <c r="E1744" s="19"/>
      <c r="F1744" s="19"/>
      <c r="G1744" s="19"/>
      <c r="H1744" s="19"/>
    </row>
    <row r="1745" spans="5:8" x14ac:dyDescent="0.35">
      <c r="E1745" s="19"/>
      <c r="F1745" s="19"/>
      <c r="G1745" s="19"/>
      <c r="H1745" s="19"/>
    </row>
    <row r="1746" spans="5:8" x14ac:dyDescent="0.35">
      <c r="E1746" s="19"/>
      <c r="F1746" s="19"/>
      <c r="G1746" s="19"/>
      <c r="H1746" s="19"/>
    </row>
    <row r="1747" spans="5:8" x14ac:dyDescent="0.35">
      <c r="E1747" s="19"/>
      <c r="F1747" s="19"/>
      <c r="G1747" s="19"/>
      <c r="H1747" s="19"/>
    </row>
    <row r="1748" spans="5:8" x14ac:dyDescent="0.35">
      <c r="E1748" s="19"/>
      <c r="F1748" s="19"/>
      <c r="G1748" s="19"/>
      <c r="H1748" s="19"/>
    </row>
    <row r="1749" spans="5:8" x14ac:dyDescent="0.35">
      <c r="E1749" s="19"/>
      <c r="F1749" s="19"/>
      <c r="G1749" s="19"/>
      <c r="H1749" s="19"/>
    </row>
    <row r="1750" spans="5:8" x14ac:dyDescent="0.35">
      <c r="E1750" s="19"/>
      <c r="F1750" s="19"/>
      <c r="G1750" s="19"/>
      <c r="H1750" s="19"/>
    </row>
    <row r="1751" spans="5:8" x14ac:dyDescent="0.35">
      <c r="E1751" s="19"/>
      <c r="F1751" s="19"/>
      <c r="G1751" s="19"/>
      <c r="H1751" s="19"/>
    </row>
    <row r="1752" spans="5:8" x14ac:dyDescent="0.35">
      <c r="E1752" s="19"/>
      <c r="F1752" s="19"/>
      <c r="G1752" s="19"/>
      <c r="H1752" s="19"/>
    </row>
    <row r="1753" spans="5:8" x14ac:dyDescent="0.35">
      <c r="E1753" s="19"/>
      <c r="F1753" s="19"/>
      <c r="G1753" s="19"/>
      <c r="H1753" s="19"/>
    </row>
    <row r="1754" spans="5:8" x14ac:dyDescent="0.35">
      <c r="E1754" s="19"/>
      <c r="F1754" s="19"/>
      <c r="G1754" s="19"/>
      <c r="H1754" s="19"/>
    </row>
    <row r="1755" spans="5:8" x14ac:dyDescent="0.35">
      <c r="E1755" s="19"/>
      <c r="F1755" s="19"/>
      <c r="G1755" s="19"/>
      <c r="H1755" s="19"/>
    </row>
    <row r="1756" spans="5:8" x14ac:dyDescent="0.35">
      <c r="E1756" s="19"/>
      <c r="F1756" s="19"/>
      <c r="G1756" s="19"/>
      <c r="H1756" s="19"/>
    </row>
    <row r="1757" spans="5:8" x14ac:dyDescent="0.35">
      <c r="E1757" s="19"/>
      <c r="F1757" s="19"/>
      <c r="G1757" s="19"/>
      <c r="H1757" s="19"/>
    </row>
    <row r="1758" spans="5:8" x14ac:dyDescent="0.35">
      <c r="E1758" s="19"/>
      <c r="F1758" s="19"/>
      <c r="G1758" s="19"/>
      <c r="H1758" s="19"/>
    </row>
    <row r="1759" spans="5:8" x14ac:dyDescent="0.35">
      <c r="E1759" s="19"/>
      <c r="F1759" s="19"/>
      <c r="G1759" s="19"/>
      <c r="H1759" s="19"/>
    </row>
    <row r="1760" spans="5:8" x14ac:dyDescent="0.35">
      <c r="E1760" s="19"/>
      <c r="F1760" s="19"/>
      <c r="G1760" s="19"/>
      <c r="H1760" s="19"/>
    </row>
    <row r="1761" spans="5:8" x14ac:dyDescent="0.35">
      <c r="E1761" s="19"/>
      <c r="F1761" s="19"/>
      <c r="G1761" s="19"/>
      <c r="H1761" s="19"/>
    </row>
    <row r="1762" spans="5:8" x14ac:dyDescent="0.35">
      <c r="E1762" s="19"/>
      <c r="F1762" s="19"/>
      <c r="G1762" s="19"/>
      <c r="H1762" s="19"/>
    </row>
    <row r="1763" spans="5:8" x14ac:dyDescent="0.35">
      <c r="E1763" s="19"/>
      <c r="F1763" s="19"/>
      <c r="G1763" s="19"/>
      <c r="H1763" s="19"/>
    </row>
    <row r="1764" spans="5:8" x14ac:dyDescent="0.35">
      <c r="E1764" s="19"/>
      <c r="F1764" s="19"/>
      <c r="G1764" s="19"/>
      <c r="H1764" s="19"/>
    </row>
    <row r="1765" spans="5:8" x14ac:dyDescent="0.35">
      <c r="E1765" s="19"/>
      <c r="F1765" s="19"/>
      <c r="G1765" s="19"/>
      <c r="H1765" s="19"/>
    </row>
    <row r="1766" spans="5:8" x14ac:dyDescent="0.35">
      <c r="E1766" s="19"/>
      <c r="F1766" s="19"/>
      <c r="G1766" s="19"/>
      <c r="H1766" s="19"/>
    </row>
    <row r="1767" spans="5:8" x14ac:dyDescent="0.35">
      <c r="E1767" s="19"/>
      <c r="F1767" s="19"/>
      <c r="G1767" s="19"/>
      <c r="H1767" s="19"/>
    </row>
    <row r="1768" spans="5:8" x14ac:dyDescent="0.35">
      <c r="E1768" s="19"/>
      <c r="F1768" s="19"/>
      <c r="G1768" s="19"/>
      <c r="H1768" s="19"/>
    </row>
    <row r="1769" spans="5:8" x14ac:dyDescent="0.35">
      <c r="E1769" s="19"/>
      <c r="F1769" s="19"/>
      <c r="G1769" s="19"/>
      <c r="H1769" s="19"/>
    </row>
    <row r="1770" spans="5:8" x14ac:dyDescent="0.35">
      <c r="E1770" s="19"/>
      <c r="F1770" s="19"/>
      <c r="G1770" s="19"/>
      <c r="H1770" s="19"/>
    </row>
    <row r="1771" spans="5:8" x14ac:dyDescent="0.35">
      <c r="E1771" s="19"/>
      <c r="F1771" s="19"/>
      <c r="G1771" s="19"/>
      <c r="H1771" s="19"/>
    </row>
    <row r="1772" spans="5:8" x14ac:dyDescent="0.35">
      <c r="E1772" s="19"/>
      <c r="F1772" s="19"/>
      <c r="G1772" s="19"/>
      <c r="H1772" s="19"/>
    </row>
    <row r="1773" spans="5:8" x14ac:dyDescent="0.35">
      <c r="E1773" s="19"/>
      <c r="F1773" s="19"/>
      <c r="G1773" s="19"/>
      <c r="H1773" s="19"/>
    </row>
    <row r="1774" spans="5:8" x14ac:dyDescent="0.35">
      <c r="E1774" s="19"/>
      <c r="F1774" s="19"/>
      <c r="G1774" s="19"/>
      <c r="H1774" s="19"/>
    </row>
    <row r="1775" spans="5:8" x14ac:dyDescent="0.35">
      <c r="E1775" s="19"/>
      <c r="F1775" s="19"/>
      <c r="G1775" s="19"/>
      <c r="H1775" s="19"/>
    </row>
    <row r="1776" spans="5:8" x14ac:dyDescent="0.35">
      <c r="E1776" s="19"/>
      <c r="F1776" s="19"/>
      <c r="G1776" s="19"/>
      <c r="H1776" s="19"/>
    </row>
    <row r="1777" spans="5:8" x14ac:dyDescent="0.35">
      <c r="E1777" s="19"/>
      <c r="F1777" s="19"/>
      <c r="G1777" s="19"/>
      <c r="H1777" s="19"/>
    </row>
    <row r="1778" spans="5:8" x14ac:dyDescent="0.35">
      <c r="E1778" s="19"/>
      <c r="F1778" s="19"/>
      <c r="G1778" s="19"/>
      <c r="H1778" s="19"/>
    </row>
    <row r="1779" spans="5:8" x14ac:dyDescent="0.35">
      <c r="E1779" s="19"/>
      <c r="F1779" s="19"/>
      <c r="G1779" s="19"/>
      <c r="H1779" s="19"/>
    </row>
    <row r="1780" spans="5:8" x14ac:dyDescent="0.35">
      <c r="E1780" s="19"/>
      <c r="F1780" s="19"/>
      <c r="G1780" s="19"/>
      <c r="H1780" s="19"/>
    </row>
    <row r="1781" spans="5:8" x14ac:dyDescent="0.35">
      <c r="E1781" s="19"/>
      <c r="F1781" s="19"/>
      <c r="G1781" s="19"/>
      <c r="H1781" s="19"/>
    </row>
    <row r="1782" spans="5:8" x14ac:dyDescent="0.35">
      <c r="E1782" s="19"/>
      <c r="F1782" s="19"/>
      <c r="G1782" s="19"/>
      <c r="H1782" s="19"/>
    </row>
    <row r="1783" spans="5:8" x14ac:dyDescent="0.35">
      <c r="E1783" s="19"/>
      <c r="F1783" s="19"/>
      <c r="G1783" s="19"/>
      <c r="H1783" s="19"/>
    </row>
    <row r="1784" spans="5:8" x14ac:dyDescent="0.35">
      <c r="E1784" s="19"/>
      <c r="F1784" s="19"/>
      <c r="G1784" s="19"/>
      <c r="H1784" s="19"/>
    </row>
    <row r="1785" spans="5:8" x14ac:dyDescent="0.35">
      <c r="E1785" s="19"/>
      <c r="F1785" s="19"/>
      <c r="G1785" s="19"/>
      <c r="H1785" s="19"/>
    </row>
    <row r="1786" spans="5:8" x14ac:dyDescent="0.35">
      <c r="E1786" s="19"/>
      <c r="F1786" s="19"/>
      <c r="G1786" s="19"/>
      <c r="H1786" s="19"/>
    </row>
    <row r="1787" spans="5:8" x14ac:dyDescent="0.35">
      <c r="E1787" s="19"/>
      <c r="F1787" s="19"/>
      <c r="G1787" s="19"/>
      <c r="H1787" s="19"/>
    </row>
    <row r="1788" spans="5:8" x14ac:dyDescent="0.35">
      <c r="E1788" s="19"/>
      <c r="F1788" s="19"/>
      <c r="G1788" s="19"/>
      <c r="H1788" s="19"/>
    </row>
    <row r="1789" spans="5:8" x14ac:dyDescent="0.35">
      <c r="E1789" s="19"/>
      <c r="F1789" s="19"/>
      <c r="G1789" s="19"/>
      <c r="H1789" s="19"/>
    </row>
    <row r="1790" spans="5:8" x14ac:dyDescent="0.35">
      <c r="E1790" s="19"/>
      <c r="F1790" s="19"/>
      <c r="G1790" s="19"/>
      <c r="H1790" s="19"/>
    </row>
    <row r="1791" spans="5:8" x14ac:dyDescent="0.35">
      <c r="E1791" s="19"/>
      <c r="F1791" s="19"/>
      <c r="G1791" s="19"/>
      <c r="H1791" s="19"/>
    </row>
    <row r="1792" spans="5:8" x14ac:dyDescent="0.35">
      <c r="E1792" s="19"/>
      <c r="F1792" s="19"/>
      <c r="G1792" s="19"/>
      <c r="H1792" s="19"/>
    </row>
    <row r="1793" spans="5:8" x14ac:dyDescent="0.35">
      <c r="E1793" s="19"/>
      <c r="F1793" s="19"/>
      <c r="G1793" s="19"/>
      <c r="H1793" s="19"/>
    </row>
    <row r="1794" spans="5:8" x14ac:dyDescent="0.35">
      <c r="E1794" s="19"/>
      <c r="F1794" s="19"/>
      <c r="G1794" s="19"/>
      <c r="H1794" s="19"/>
    </row>
    <row r="1795" spans="5:8" x14ac:dyDescent="0.35">
      <c r="E1795" s="19"/>
      <c r="F1795" s="19"/>
      <c r="G1795" s="19"/>
      <c r="H1795" s="19"/>
    </row>
    <row r="1796" spans="5:8" x14ac:dyDescent="0.35">
      <c r="E1796" s="19"/>
      <c r="F1796" s="19"/>
      <c r="G1796" s="19"/>
      <c r="H1796" s="19"/>
    </row>
    <row r="1797" spans="5:8" x14ac:dyDescent="0.35">
      <c r="E1797" s="19"/>
      <c r="F1797" s="19"/>
      <c r="G1797" s="19"/>
      <c r="H1797" s="19"/>
    </row>
    <row r="1798" spans="5:8" x14ac:dyDescent="0.35">
      <c r="E1798" s="19"/>
      <c r="F1798" s="19"/>
      <c r="G1798" s="19"/>
      <c r="H1798" s="19"/>
    </row>
    <row r="1799" spans="5:8" x14ac:dyDescent="0.35">
      <c r="E1799" s="19"/>
      <c r="F1799" s="19"/>
      <c r="G1799" s="19"/>
      <c r="H1799" s="19"/>
    </row>
    <row r="1800" spans="5:8" x14ac:dyDescent="0.35">
      <c r="E1800" s="19"/>
      <c r="F1800" s="19"/>
      <c r="G1800" s="19"/>
      <c r="H1800" s="19"/>
    </row>
    <row r="1801" spans="5:8" x14ac:dyDescent="0.35">
      <c r="E1801" s="19"/>
      <c r="F1801" s="19"/>
      <c r="G1801" s="19"/>
      <c r="H1801" s="19"/>
    </row>
    <row r="1802" spans="5:8" x14ac:dyDescent="0.35">
      <c r="E1802" s="19"/>
      <c r="F1802" s="19"/>
      <c r="G1802" s="19"/>
      <c r="H1802" s="19"/>
    </row>
    <row r="1803" spans="5:8" x14ac:dyDescent="0.35">
      <c r="E1803" s="19"/>
      <c r="F1803" s="19"/>
      <c r="G1803" s="19"/>
      <c r="H1803" s="19"/>
    </row>
    <row r="1804" spans="5:8" x14ac:dyDescent="0.35">
      <c r="E1804" s="19"/>
      <c r="F1804" s="19"/>
      <c r="G1804" s="19"/>
      <c r="H1804" s="19"/>
    </row>
    <row r="1805" spans="5:8" x14ac:dyDescent="0.35">
      <c r="E1805" s="19"/>
      <c r="F1805" s="19"/>
      <c r="G1805" s="19"/>
      <c r="H1805" s="19"/>
    </row>
    <row r="1806" spans="5:8" x14ac:dyDescent="0.35">
      <c r="E1806" s="19"/>
      <c r="F1806" s="19"/>
      <c r="G1806" s="19"/>
      <c r="H1806" s="19"/>
    </row>
    <row r="1807" spans="5:8" x14ac:dyDescent="0.35">
      <c r="E1807" s="19"/>
      <c r="F1807" s="19"/>
      <c r="G1807" s="19"/>
      <c r="H1807" s="19"/>
    </row>
    <row r="1808" spans="5:8" x14ac:dyDescent="0.35">
      <c r="E1808" s="19"/>
      <c r="F1808" s="19"/>
      <c r="G1808" s="19"/>
      <c r="H1808" s="19"/>
    </row>
    <row r="1809" spans="5:8" x14ac:dyDescent="0.35">
      <c r="E1809" s="19"/>
      <c r="F1809" s="19"/>
      <c r="G1809" s="19"/>
      <c r="H1809" s="19"/>
    </row>
    <row r="1810" spans="5:8" x14ac:dyDescent="0.35">
      <c r="E1810" s="19"/>
      <c r="F1810" s="19"/>
      <c r="G1810" s="19"/>
      <c r="H1810" s="19"/>
    </row>
    <row r="1811" spans="5:8" x14ac:dyDescent="0.35">
      <c r="E1811" s="19"/>
      <c r="F1811" s="19"/>
      <c r="G1811" s="19"/>
      <c r="H1811" s="19"/>
    </row>
    <row r="1812" spans="5:8" x14ac:dyDescent="0.35">
      <c r="E1812" s="19"/>
      <c r="F1812" s="19"/>
      <c r="G1812" s="19"/>
      <c r="H1812" s="19"/>
    </row>
    <row r="1813" spans="5:8" x14ac:dyDescent="0.35">
      <c r="E1813" s="19"/>
      <c r="F1813" s="19"/>
      <c r="G1813" s="19"/>
      <c r="H1813" s="19"/>
    </row>
    <row r="1814" spans="5:8" x14ac:dyDescent="0.35">
      <c r="E1814" s="19"/>
      <c r="F1814" s="19"/>
      <c r="G1814" s="19"/>
      <c r="H1814" s="19"/>
    </row>
    <row r="1815" spans="5:8" x14ac:dyDescent="0.35">
      <c r="E1815" s="19"/>
      <c r="F1815" s="19"/>
      <c r="G1815" s="19"/>
      <c r="H1815" s="19"/>
    </row>
    <row r="1816" spans="5:8" x14ac:dyDescent="0.35">
      <c r="E1816" s="19"/>
      <c r="F1816" s="19"/>
      <c r="G1816" s="19"/>
      <c r="H1816" s="19"/>
    </row>
    <row r="1817" spans="5:8" x14ac:dyDescent="0.35">
      <c r="E1817" s="19"/>
      <c r="F1817" s="19"/>
      <c r="G1817" s="19"/>
      <c r="H1817" s="19"/>
    </row>
    <row r="1818" spans="5:8" x14ac:dyDescent="0.35">
      <c r="E1818" s="19"/>
      <c r="F1818" s="19"/>
      <c r="G1818" s="19"/>
      <c r="H1818" s="19"/>
    </row>
    <row r="1819" spans="5:8" x14ac:dyDescent="0.35">
      <c r="E1819" s="19"/>
      <c r="F1819" s="19"/>
      <c r="G1819" s="19"/>
      <c r="H1819" s="19"/>
    </row>
    <row r="1820" spans="5:8" x14ac:dyDescent="0.35">
      <c r="E1820" s="19"/>
      <c r="F1820" s="19"/>
      <c r="G1820" s="19"/>
      <c r="H1820" s="19"/>
    </row>
    <row r="1821" spans="5:8" x14ac:dyDescent="0.35">
      <c r="E1821" s="19"/>
      <c r="F1821" s="19"/>
      <c r="G1821" s="19"/>
      <c r="H1821" s="19"/>
    </row>
    <row r="1822" spans="5:8" x14ac:dyDescent="0.35">
      <c r="E1822" s="19"/>
      <c r="F1822" s="19"/>
      <c r="G1822" s="19"/>
      <c r="H1822" s="19"/>
    </row>
    <row r="1823" spans="5:8" x14ac:dyDescent="0.35">
      <c r="E1823" s="19"/>
      <c r="F1823" s="19"/>
      <c r="G1823" s="19"/>
      <c r="H1823" s="19"/>
    </row>
    <row r="1824" spans="5:8" x14ac:dyDescent="0.35">
      <c r="E1824" s="19"/>
      <c r="F1824" s="19"/>
      <c r="G1824" s="19"/>
      <c r="H1824" s="19"/>
    </row>
    <row r="1825" spans="5:8" x14ac:dyDescent="0.35">
      <c r="E1825" s="19"/>
      <c r="F1825" s="19"/>
      <c r="G1825" s="19"/>
      <c r="H1825" s="19"/>
    </row>
    <row r="1826" spans="5:8" x14ac:dyDescent="0.35">
      <c r="E1826" s="19"/>
      <c r="F1826" s="19"/>
      <c r="G1826" s="19"/>
      <c r="H1826" s="19"/>
    </row>
    <row r="1827" spans="5:8" x14ac:dyDescent="0.35">
      <c r="E1827" s="19"/>
      <c r="F1827" s="19"/>
      <c r="G1827" s="19"/>
      <c r="H1827" s="19"/>
    </row>
    <row r="1828" spans="5:8" x14ac:dyDescent="0.35">
      <c r="E1828" s="19"/>
      <c r="F1828" s="19"/>
      <c r="G1828" s="19"/>
      <c r="H1828" s="19"/>
    </row>
    <row r="1829" spans="5:8" x14ac:dyDescent="0.35">
      <c r="E1829" s="19"/>
      <c r="F1829" s="19"/>
      <c r="G1829" s="19"/>
      <c r="H1829" s="19"/>
    </row>
    <row r="1830" spans="5:8" x14ac:dyDescent="0.35">
      <c r="E1830" s="19"/>
      <c r="F1830" s="19"/>
      <c r="G1830" s="19"/>
      <c r="H1830" s="19"/>
    </row>
    <row r="1831" spans="5:8" x14ac:dyDescent="0.35">
      <c r="E1831" s="19"/>
      <c r="F1831" s="19"/>
      <c r="G1831" s="19"/>
      <c r="H1831" s="19"/>
    </row>
    <row r="1832" spans="5:8" x14ac:dyDescent="0.35">
      <c r="E1832" s="19"/>
      <c r="F1832" s="19"/>
      <c r="G1832" s="19"/>
      <c r="H1832" s="19"/>
    </row>
    <row r="1833" spans="5:8" x14ac:dyDescent="0.35">
      <c r="E1833" s="19"/>
      <c r="F1833" s="19"/>
      <c r="G1833" s="19"/>
      <c r="H1833" s="19"/>
    </row>
    <row r="1834" spans="5:8" x14ac:dyDescent="0.35">
      <c r="E1834" s="19"/>
      <c r="F1834" s="19"/>
      <c r="G1834" s="19"/>
      <c r="H1834" s="19"/>
    </row>
    <row r="1835" spans="5:8" x14ac:dyDescent="0.35">
      <c r="E1835" s="19"/>
      <c r="F1835" s="19"/>
      <c r="G1835" s="19"/>
      <c r="H1835" s="19"/>
    </row>
    <row r="1836" spans="5:8" x14ac:dyDescent="0.35">
      <c r="E1836" s="19"/>
      <c r="F1836" s="19"/>
      <c r="G1836" s="19"/>
      <c r="H1836" s="19"/>
    </row>
    <row r="1837" spans="5:8" x14ac:dyDescent="0.35">
      <c r="E1837" s="19"/>
      <c r="F1837" s="19"/>
      <c r="G1837" s="19"/>
      <c r="H1837" s="19"/>
    </row>
    <row r="1838" spans="5:8" x14ac:dyDescent="0.35">
      <c r="E1838" s="19"/>
      <c r="F1838" s="19"/>
      <c r="G1838" s="19"/>
      <c r="H1838" s="19"/>
    </row>
    <row r="1839" spans="5:8" x14ac:dyDescent="0.35">
      <c r="E1839" s="19"/>
      <c r="F1839" s="19"/>
      <c r="G1839" s="19"/>
      <c r="H1839" s="19"/>
    </row>
    <row r="1840" spans="5:8" x14ac:dyDescent="0.35">
      <c r="E1840" s="19"/>
      <c r="F1840" s="19"/>
      <c r="G1840" s="19"/>
      <c r="H1840" s="19"/>
    </row>
    <row r="1841" spans="5:8" x14ac:dyDescent="0.35">
      <c r="E1841" s="19"/>
      <c r="F1841" s="19"/>
      <c r="G1841" s="19"/>
      <c r="H1841" s="19"/>
    </row>
    <row r="1842" spans="5:8" x14ac:dyDescent="0.35">
      <c r="E1842" s="19"/>
      <c r="F1842" s="19"/>
      <c r="G1842" s="19"/>
      <c r="H1842" s="19"/>
    </row>
    <row r="1843" spans="5:8" x14ac:dyDescent="0.35">
      <c r="E1843" s="19"/>
      <c r="F1843" s="19"/>
      <c r="G1843" s="19"/>
      <c r="H1843" s="19"/>
    </row>
    <row r="1844" spans="5:8" x14ac:dyDescent="0.35">
      <c r="E1844" s="19"/>
      <c r="F1844" s="19"/>
      <c r="G1844" s="19"/>
      <c r="H1844" s="19"/>
    </row>
    <row r="1845" spans="5:8" x14ac:dyDescent="0.35">
      <c r="E1845" s="19"/>
      <c r="F1845" s="19"/>
      <c r="G1845" s="19"/>
      <c r="H1845" s="19"/>
    </row>
    <row r="1846" spans="5:8" x14ac:dyDescent="0.35">
      <c r="E1846" s="19"/>
      <c r="F1846" s="19"/>
      <c r="G1846" s="19"/>
      <c r="H1846" s="19"/>
    </row>
    <row r="1847" spans="5:8" x14ac:dyDescent="0.35">
      <c r="E1847" s="19"/>
      <c r="F1847" s="19"/>
      <c r="G1847" s="19"/>
      <c r="H1847" s="19"/>
    </row>
    <row r="1848" spans="5:8" x14ac:dyDescent="0.35">
      <c r="E1848" s="19"/>
      <c r="F1848" s="19"/>
      <c r="G1848" s="19"/>
      <c r="H1848" s="19"/>
    </row>
    <row r="1849" spans="5:8" x14ac:dyDescent="0.35">
      <c r="E1849" s="19"/>
      <c r="F1849" s="19"/>
      <c r="G1849" s="19"/>
      <c r="H1849" s="19"/>
    </row>
    <row r="1850" spans="5:8" x14ac:dyDescent="0.35">
      <c r="E1850" s="19"/>
      <c r="F1850" s="19"/>
      <c r="G1850" s="19"/>
      <c r="H1850" s="19"/>
    </row>
    <row r="1851" spans="5:8" x14ac:dyDescent="0.35">
      <c r="E1851" s="19"/>
      <c r="F1851" s="19"/>
      <c r="G1851" s="19"/>
      <c r="H1851" s="19"/>
    </row>
    <row r="1852" spans="5:8" x14ac:dyDescent="0.35">
      <c r="E1852" s="19"/>
      <c r="F1852" s="19"/>
      <c r="G1852" s="19"/>
      <c r="H1852" s="19"/>
    </row>
    <row r="1853" spans="5:8" x14ac:dyDescent="0.35">
      <c r="E1853" s="19"/>
      <c r="F1853" s="19"/>
      <c r="G1853" s="19"/>
      <c r="H1853" s="19"/>
    </row>
    <row r="1854" spans="5:8" x14ac:dyDescent="0.35">
      <c r="E1854" s="19"/>
      <c r="F1854" s="19"/>
      <c r="G1854" s="19"/>
      <c r="H1854" s="19"/>
    </row>
    <row r="1855" spans="5:8" x14ac:dyDescent="0.35">
      <c r="E1855" s="19"/>
      <c r="F1855" s="19"/>
      <c r="G1855" s="19"/>
      <c r="H1855" s="19"/>
    </row>
    <row r="1856" spans="5:8" x14ac:dyDescent="0.35">
      <c r="E1856" s="19"/>
      <c r="F1856" s="19"/>
      <c r="G1856" s="19"/>
      <c r="H1856" s="19"/>
    </row>
    <row r="1857" spans="5:8" x14ac:dyDescent="0.35">
      <c r="E1857" s="19"/>
      <c r="F1857" s="19"/>
      <c r="G1857" s="19"/>
      <c r="H1857" s="19"/>
    </row>
    <row r="1858" spans="5:8" x14ac:dyDescent="0.35">
      <c r="E1858" s="19"/>
      <c r="F1858" s="19"/>
      <c r="G1858" s="19"/>
      <c r="H1858" s="19"/>
    </row>
    <row r="1859" spans="5:8" x14ac:dyDescent="0.35">
      <c r="E1859" s="19"/>
      <c r="F1859" s="19"/>
      <c r="G1859" s="19"/>
      <c r="H1859" s="19"/>
    </row>
    <row r="1860" spans="5:8" x14ac:dyDescent="0.35">
      <c r="E1860" s="19"/>
      <c r="F1860" s="19"/>
      <c r="G1860" s="19"/>
      <c r="H1860" s="19"/>
    </row>
    <row r="1861" spans="5:8" x14ac:dyDescent="0.35">
      <c r="E1861" s="19"/>
      <c r="F1861" s="19"/>
      <c r="G1861" s="19"/>
      <c r="H1861" s="19"/>
    </row>
    <row r="1862" spans="5:8" x14ac:dyDescent="0.35">
      <c r="E1862" s="19"/>
      <c r="F1862" s="19"/>
      <c r="G1862" s="19"/>
      <c r="H1862" s="19"/>
    </row>
    <row r="1863" spans="5:8" x14ac:dyDescent="0.35">
      <c r="E1863" s="19"/>
      <c r="F1863" s="19"/>
      <c r="G1863" s="19"/>
      <c r="H1863" s="19"/>
    </row>
    <row r="1864" spans="5:8" x14ac:dyDescent="0.35">
      <c r="E1864" s="19"/>
      <c r="F1864" s="19"/>
      <c r="G1864" s="19"/>
      <c r="H1864" s="19"/>
    </row>
    <row r="1865" spans="5:8" x14ac:dyDescent="0.35">
      <c r="E1865" s="19"/>
      <c r="F1865" s="19"/>
      <c r="G1865" s="19"/>
      <c r="H1865" s="19"/>
    </row>
    <row r="1866" spans="5:8" x14ac:dyDescent="0.35">
      <c r="E1866" s="19"/>
      <c r="F1866" s="19"/>
      <c r="G1866" s="19"/>
      <c r="H1866" s="19"/>
    </row>
    <row r="1867" spans="5:8" x14ac:dyDescent="0.35">
      <c r="E1867" s="19"/>
      <c r="F1867" s="19"/>
      <c r="G1867" s="19"/>
      <c r="H1867" s="19"/>
    </row>
    <row r="1868" spans="5:8" x14ac:dyDescent="0.35">
      <c r="E1868" s="19"/>
      <c r="F1868" s="19"/>
      <c r="G1868" s="19"/>
      <c r="H1868" s="19"/>
    </row>
    <row r="1869" spans="5:8" x14ac:dyDescent="0.35">
      <c r="E1869" s="19"/>
      <c r="F1869" s="19"/>
      <c r="G1869" s="19"/>
      <c r="H1869" s="19"/>
    </row>
    <row r="1870" spans="5:8" x14ac:dyDescent="0.35">
      <c r="E1870" s="19"/>
      <c r="F1870" s="19"/>
      <c r="G1870" s="19"/>
      <c r="H1870" s="19"/>
    </row>
    <row r="1871" spans="5:8" x14ac:dyDescent="0.35">
      <c r="E1871" s="19"/>
      <c r="F1871" s="19"/>
      <c r="G1871" s="19"/>
      <c r="H1871" s="19"/>
    </row>
    <row r="1872" spans="5:8" x14ac:dyDescent="0.35">
      <c r="E1872" s="19"/>
      <c r="F1872" s="19"/>
      <c r="G1872" s="19"/>
      <c r="H1872" s="19"/>
    </row>
    <row r="1873" spans="5:8" x14ac:dyDescent="0.35">
      <c r="E1873" s="19"/>
      <c r="F1873" s="19"/>
      <c r="G1873" s="19"/>
      <c r="H1873" s="19"/>
    </row>
    <row r="1874" spans="5:8" x14ac:dyDescent="0.35">
      <c r="E1874" s="19"/>
      <c r="F1874" s="19"/>
      <c r="G1874" s="19"/>
      <c r="H1874" s="19"/>
    </row>
    <row r="1875" spans="5:8" x14ac:dyDescent="0.35">
      <c r="E1875" s="19"/>
      <c r="F1875" s="19"/>
      <c r="G1875" s="19"/>
      <c r="H1875" s="19"/>
    </row>
    <row r="1876" spans="5:8" x14ac:dyDescent="0.35">
      <c r="E1876" s="19"/>
      <c r="F1876" s="19"/>
      <c r="G1876" s="19"/>
      <c r="H1876" s="19"/>
    </row>
    <row r="1877" spans="5:8" x14ac:dyDescent="0.35">
      <c r="E1877" s="19"/>
      <c r="F1877" s="19"/>
      <c r="G1877" s="19"/>
      <c r="H1877" s="19"/>
    </row>
    <row r="1878" spans="5:8" x14ac:dyDescent="0.35">
      <c r="E1878" s="19"/>
      <c r="F1878" s="19"/>
      <c r="G1878" s="19"/>
      <c r="H1878" s="19"/>
    </row>
    <row r="1879" spans="5:8" x14ac:dyDescent="0.35">
      <c r="E1879" s="19"/>
      <c r="F1879" s="19"/>
      <c r="G1879" s="19"/>
      <c r="H1879" s="19"/>
    </row>
    <row r="1880" spans="5:8" x14ac:dyDescent="0.35">
      <c r="E1880" s="19"/>
      <c r="F1880" s="19"/>
      <c r="G1880" s="19"/>
      <c r="H1880" s="19"/>
    </row>
    <row r="1881" spans="5:8" x14ac:dyDescent="0.35">
      <c r="E1881" s="19"/>
      <c r="F1881" s="19"/>
      <c r="G1881" s="19"/>
      <c r="H1881" s="19"/>
    </row>
    <row r="1882" spans="5:8" x14ac:dyDescent="0.35">
      <c r="E1882" s="19"/>
      <c r="F1882" s="19"/>
      <c r="G1882" s="19"/>
      <c r="H1882" s="19"/>
    </row>
    <row r="1883" spans="5:8" x14ac:dyDescent="0.35">
      <c r="E1883" s="19"/>
      <c r="F1883" s="19"/>
      <c r="G1883" s="19"/>
      <c r="H1883" s="19"/>
    </row>
    <row r="1884" spans="5:8" x14ac:dyDescent="0.35">
      <c r="E1884" s="19"/>
      <c r="F1884" s="19"/>
      <c r="G1884" s="19"/>
      <c r="H1884" s="19"/>
    </row>
    <row r="1885" spans="5:8" x14ac:dyDescent="0.35">
      <c r="E1885" s="19"/>
      <c r="F1885" s="19"/>
      <c r="G1885" s="19"/>
      <c r="H1885" s="19"/>
    </row>
    <row r="1886" spans="5:8" x14ac:dyDescent="0.35">
      <c r="E1886" s="19"/>
      <c r="F1886" s="19"/>
      <c r="G1886" s="19"/>
      <c r="H1886" s="19"/>
    </row>
    <row r="1887" spans="5:8" x14ac:dyDescent="0.35">
      <c r="E1887" s="19"/>
      <c r="F1887" s="19"/>
      <c r="G1887" s="19"/>
      <c r="H1887" s="19"/>
    </row>
    <row r="1888" spans="5:8" x14ac:dyDescent="0.35">
      <c r="E1888" s="19"/>
      <c r="F1888" s="19"/>
      <c r="G1888" s="19"/>
      <c r="H1888" s="19"/>
    </row>
    <row r="1889" spans="5:8" x14ac:dyDescent="0.35">
      <c r="E1889" s="19"/>
      <c r="F1889" s="19"/>
      <c r="G1889" s="19"/>
      <c r="H1889" s="19"/>
    </row>
    <row r="1890" spans="5:8" x14ac:dyDescent="0.35">
      <c r="E1890" s="19"/>
      <c r="F1890" s="19"/>
      <c r="G1890" s="19"/>
      <c r="H1890" s="19"/>
    </row>
    <row r="1891" spans="5:8" x14ac:dyDescent="0.35">
      <c r="E1891" s="19"/>
      <c r="F1891" s="19"/>
      <c r="G1891" s="19"/>
      <c r="H1891" s="19"/>
    </row>
    <row r="1892" spans="5:8" x14ac:dyDescent="0.35">
      <c r="E1892" s="19"/>
      <c r="F1892" s="19"/>
      <c r="G1892" s="19"/>
      <c r="H1892" s="19"/>
    </row>
    <row r="1893" spans="5:8" x14ac:dyDescent="0.35">
      <c r="E1893" s="19"/>
      <c r="F1893" s="19"/>
      <c r="G1893" s="19"/>
      <c r="H1893" s="19"/>
    </row>
    <row r="1894" spans="5:8" x14ac:dyDescent="0.35">
      <c r="E1894" s="19"/>
      <c r="F1894" s="19"/>
      <c r="G1894" s="19"/>
      <c r="H1894" s="19"/>
    </row>
    <row r="1895" spans="5:8" x14ac:dyDescent="0.35">
      <c r="E1895" s="19"/>
      <c r="F1895" s="19"/>
      <c r="G1895" s="19"/>
      <c r="H1895" s="19"/>
    </row>
    <row r="1896" spans="5:8" x14ac:dyDescent="0.35">
      <c r="E1896" s="19"/>
      <c r="F1896" s="19"/>
      <c r="G1896" s="19"/>
      <c r="H1896" s="19"/>
    </row>
    <row r="1897" spans="5:8" x14ac:dyDescent="0.35">
      <c r="E1897" s="19"/>
      <c r="F1897" s="19"/>
      <c r="G1897" s="19"/>
      <c r="H1897" s="19"/>
    </row>
    <row r="1898" spans="5:8" x14ac:dyDescent="0.35">
      <c r="E1898" s="19"/>
      <c r="F1898" s="19"/>
      <c r="G1898" s="19"/>
      <c r="H1898" s="19"/>
    </row>
    <row r="1899" spans="5:8" x14ac:dyDescent="0.35">
      <c r="E1899" s="19"/>
      <c r="F1899" s="19"/>
      <c r="G1899" s="19"/>
      <c r="H1899" s="19"/>
    </row>
    <row r="1900" spans="5:8" x14ac:dyDescent="0.35">
      <c r="E1900" s="19"/>
      <c r="F1900" s="19"/>
      <c r="G1900" s="19"/>
      <c r="H1900" s="19"/>
    </row>
    <row r="1901" spans="5:8" x14ac:dyDescent="0.35">
      <c r="E1901" s="19"/>
      <c r="F1901" s="19"/>
      <c r="G1901" s="19"/>
      <c r="H1901" s="19"/>
    </row>
    <row r="1902" spans="5:8" x14ac:dyDescent="0.35">
      <c r="E1902" s="19"/>
      <c r="F1902" s="19"/>
      <c r="G1902" s="19"/>
      <c r="H1902" s="19"/>
    </row>
    <row r="1903" spans="5:8" x14ac:dyDescent="0.35">
      <c r="E1903" s="19"/>
      <c r="F1903" s="19"/>
      <c r="G1903" s="19"/>
      <c r="H1903" s="19"/>
    </row>
    <row r="1904" spans="5:8" x14ac:dyDescent="0.35">
      <c r="E1904" s="19"/>
      <c r="F1904" s="19"/>
      <c r="G1904" s="19"/>
      <c r="H1904" s="19"/>
    </row>
    <row r="1905" spans="5:8" x14ac:dyDescent="0.35">
      <c r="E1905" s="19"/>
      <c r="F1905" s="19"/>
      <c r="G1905" s="19"/>
      <c r="H1905" s="19"/>
    </row>
    <row r="1906" spans="5:8" x14ac:dyDescent="0.35">
      <c r="E1906" s="19"/>
      <c r="F1906" s="19"/>
      <c r="G1906" s="19"/>
      <c r="H1906" s="19"/>
    </row>
    <row r="1907" spans="5:8" x14ac:dyDescent="0.35">
      <c r="E1907" s="19"/>
      <c r="F1907" s="19"/>
      <c r="G1907" s="19"/>
      <c r="H1907" s="19"/>
    </row>
    <row r="1908" spans="5:8" x14ac:dyDescent="0.35">
      <c r="E1908" s="19"/>
      <c r="F1908" s="19"/>
      <c r="G1908" s="19"/>
      <c r="H1908" s="19"/>
    </row>
    <row r="1909" spans="5:8" x14ac:dyDescent="0.35">
      <c r="E1909" s="19"/>
      <c r="F1909" s="19"/>
      <c r="G1909" s="19"/>
      <c r="H1909" s="19"/>
    </row>
    <row r="1910" spans="5:8" x14ac:dyDescent="0.35">
      <c r="E1910" s="19"/>
      <c r="F1910" s="19"/>
      <c r="G1910" s="19"/>
      <c r="H1910" s="19"/>
    </row>
    <row r="1911" spans="5:8" x14ac:dyDescent="0.35">
      <c r="E1911" s="19"/>
      <c r="F1911" s="19"/>
      <c r="G1911" s="19"/>
      <c r="H1911" s="19"/>
    </row>
    <row r="1912" spans="5:8" x14ac:dyDescent="0.35">
      <c r="E1912" s="19"/>
      <c r="F1912" s="19"/>
      <c r="G1912" s="19"/>
      <c r="H1912" s="19"/>
    </row>
    <row r="1913" spans="5:8" x14ac:dyDescent="0.35">
      <c r="E1913" s="19"/>
      <c r="F1913" s="19"/>
      <c r="G1913" s="19"/>
      <c r="H1913" s="19"/>
    </row>
    <row r="1914" spans="5:8" x14ac:dyDescent="0.35">
      <c r="E1914" s="19"/>
      <c r="F1914" s="19"/>
      <c r="G1914" s="19"/>
      <c r="H1914" s="19"/>
    </row>
    <row r="1915" spans="5:8" x14ac:dyDescent="0.35">
      <c r="E1915" s="19"/>
      <c r="F1915" s="19"/>
      <c r="G1915" s="19"/>
      <c r="H1915" s="19"/>
    </row>
    <row r="1916" spans="5:8" x14ac:dyDescent="0.35">
      <c r="E1916" s="19"/>
      <c r="F1916" s="19"/>
      <c r="G1916" s="19"/>
      <c r="H1916" s="19"/>
    </row>
    <row r="1917" spans="5:8" x14ac:dyDescent="0.35">
      <c r="E1917" s="19"/>
      <c r="F1917" s="19"/>
      <c r="G1917" s="19"/>
      <c r="H1917" s="19"/>
    </row>
    <row r="1918" spans="5:8" x14ac:dyDescent="0.35">
      <c r="E1918" s="19"/>
      <c r="F1918" s="19"/>
      <c r="G1918" s="19"/>
      <c r="H1918" s="19"/>
    </row>
    <row r="1919" spans="5:8" x14ac:dyDescent="0.35">
      <c r="E1919" s="19"/>
      <c r="F1919" s="19"/>
      <c r="G1919" s="19"/>
      <c r="H1919" s="19"/>
    </row>
    <row r="1920" spans="5:8" x14ac:dyDescent="0.35">
      <c r="E1920" s="19"/>
      <c r="F1920" s="19"/>
      <c r="G1920" s="19"/>
      <c r="H1920" s="19"/>
    </row>
    <row r="1921" spans="5:8" x14ac:dyDescent="0.35">
      <c r="E1921" s="19"/>
      <c r="F1921" s="19"/>
      <c r="G1921" s="19"/>
      <c r="H1921" s="19"/>
    </row>
    <row r="1922" spans="5:8" x14ac:dyDescent="0.35">
      <c r="E1922" s="19"/>
      <c r="F1922" s="19"/>
      <c r="G1922" s="19"/>
      <c r="H1922" s="19"/>
    </row>
    <row r="1923" spans="5:8" x14ac:dyDescent="0.35">
      <c r="E1923" s="19"/>
      <c r="F1923" s="19"/>
      <c r="G1923" s="19"/>
      <c r="H1923" s="19"/>
    </row>
    <row r="1924" spans="5:8" x14ac:dyDescent="0.35">
      <c r="E1924" s="19"/>
      <c r="F1924" s="19"/>
      <c r="G1924" s="19"/>
      <c r="H1924" s="19"/>
    </row>
    <row r="1925" spans="5:8" x14ac:dyDescent="0.35">
      <c r="E1925" s="19"/>
      <c r="F1925" s="19"/>
      <c r="G1925" s="19"/>
      <c r="H1925" s="19"/>
    </row>
    <row r="1926" spans="5:8" x14ac:dyDescent="0.35">
      <c r="E1926" s="19"/>
      <c r="F1926" s="19"/>
      <c r="G1926" s="19"/>
      <c r="H1926" s="19"/>
    </row>
    <row r="1927" spans="5:8" x14ac:dyDescent="0.35">
      <c r="E1927" s="19"/>
      <c r="F1927" s="19"/>
      <c r="G1927" s="19"/>
      <c r="H1927" s="19"/>
    </row>
    <row r="1928" spans="5:8" x14ac:dyDescent="0.35">
      <c r="E1928" s="19"/>
      <c r="F1928" s="19"/>
      <c r="G1928" s="19"/>
      <c r="H1928" s="19"/>
    </row>
    <row r="1929" spans="5:8" x14ac:dyDescent="0.35">
      <c r="E1929" s="19"/>
      <c r="F1929" s="19"/>
      <c r="G1929" s="19"/>
      <c r="H1929" s="19"/>
    </row>
    <row r="1930" spans="5:8" x14ac:dyDescent="0.35">
      <c r="E1930" s="19"/>
      <c r="F1930" s="19"/>
      <c r="G1930" s="19"/>
      <c r="H1930" s="19"/>
    </row>
    <row r="1931" spans="5:8" x14ac:dyDescent="0.35">
      <c r="E1931" s="19"/>
      <c r="F1931" s="19"/>
      <c r="G1931" s="19"/>
      <c r="H1931" s="19"/>
    </row>
    <row r="1932" spans="5:8" x14ac:dyDescent="0.35">
      <c r="E1932" s="19"/>
      <c r="F1932" s="19"/>
      <c r="G1932" s="19"/>
      <c r="H1932" s="19"/>
    </row>
    <row r="1933" spans="5:8" x14ac:dyDescent="0.35">
      <c r="E1933" s="19"/>
      <c r="F1933" s="19"/>
      <c r="G1933" s="19"/>
      <c r="H1933" s="19"/>
    </row>
    <row r="1934" spans="5:8" x14ac:dyDescent="0.35">
      <c r="E1934" s="19"/>
      <c r="F1934" s="19"/>
      <c r="G1934" s="19"/>
      <c r="H1934" s="19"/>
    </row>
    <row r="1935" spans="5:8" x14ac:dyDescent="0.35">
      <c r="E1935" s="19"/>
      <c r="F1935" s="19"/>
      <c r="G1935" s="19"/>
      <c r="H1935" s="19"/>
    </row>
    <row r="1936" spans="5:8" x14ac:dyDescent="0.35">
      <c r="E1936" s="19"/>
      <c r="F1936" s="19"/>
      <c r="G1936" s="19"/>
      <c r="H1936" s="19"/>
    </row>
    <row r="1937" spans="5:8" x14ac:dyDescent="0.35">
      <c r="E1937" s="19"/>
      <c r="F1937" s="19"/>
      <c r="G1937" s="19"/>
      <c r="H1937" s="19"/>
    </row>
    <row r="1938" spans="5:8" x14ac:dyDescent="0.35">
      <c r="E1938" s="19"/>
      <c r="F1938" s="19"/>
      <c r="G1938" s="19"/>
      <c r="H1938" s="19"/>
    </row>
    <row r="1939" spans="5:8" x14ac:dyDescent="0.35">
      <c r="E1939" s="19"/>
      <c r="F1939" s="19"/>
      <c r="G1939" s="19"/>
      <c r="H1939" s="19"/>
    </row>
    <row r="1940" spans="5:8" x14ac:dyDescent="0.35">
      <c r="E1940" s="19"/>
      <c r="F1940" s="19"/>
      <c r="G1940" s="19"/>
      <c r="H1940" s="19"/>
    </row>
    <row r="1941" spans="5:8" x14ac:dyDescent="0.35">
      <c r="E1941" s="19"/>
      <c r="F1941" s="19"/>
      <c r="G1941" s="19"/>
      <c r="H1941" s="19"/>
    </row>
  </sheetData>
  <autoFilter ref="A2:H1941" xr:uid="{1EA08F60-E87E-4C9C-B9FE-CC18F93D10B4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04FD8-CB6C-44ED-8743-07FF6AA7184C}">
  <sheetPr codeName="Sheet3">
    <tabColor theme="4" tint="0.39997558519241921"/>
  </sheetPr>
  <dimension ref="A1:H300"/>
  <sheetViews>
    <sheetView workbookViewId="0">
      <selection activeCell="A3" sqref="A3"/>
    </sheetView>
  </sheetViews>
  <sheetFormatPr defaultRowHeight="14.5" x14ac:dyDescent="0.35"/>
  <cols>
    <col min="1" max="1" width="11.26953125" bestFit="1" customWidth="1"/>
    <col min="2" max="2" width="13.36328125" bestFit="1" customWidth="1"/>
    <col min="3" max="3" width="27.36328125" bestFit="1" customWidth="1"/>
    <col min="4" max="4" width="50.1796875" bestFit="1" customWidth="1"/>
    <col min="5" max="5" width="8.26953125" bestFit="1" customWidth="1"/>
    <col min="6" max="6" width="19.1796875" bestFit="1" customWidth="1"/>
    <col min="7" max="7" width="14.1796875" bestFit="1" customWidth="1"/>
    <col min="8" max="8" width="14.26953125" customWidth="1"/>
  </cols>
  <sheetData>
    <row r="1" spans="1:8" x14ac:dyDescent="0.35">
      <c r="A1" s="13" t="s">
        <v>150</v>
      </c>
    </row>
    <row r="2" spans="1:8" x14ac:dyDescent="0.35">
      <c r="A2" s="8" t="s">
        <v>114</v>
      </c>
      <c r="B2" s="8" t="s">
        <v>121</v>
      </c>
      <c r="C2" s="8" t="s">
        <v>122</v>
      </c>
      <c r="D2" s="8" t="s">
        <v>104</v>
      </c>
      <c r="E2" s="8" t="s">
        <v>116</v>
      </c>
      <c r="F2" s="8" t="s">
        <v>115</v>
      </c>
      <c r="G2" s="8" t="s">
        <v>123</v>
      </c>
      <c r="H2" s="8" t="s">
        <v>124</v>
      </c>
    </row>
    <row r="3" spans="1:8" x14ac:dyDescent="0.35">
      <c r="G3" s="19"/>
      <c r="H3" s="19"/>
    </row>
    <row r="4" spans="1:8" x14ac:dyDescent="0.35">
      <c r="G4" s="19"/>
      <c r="H4" s="19"/>
    </row>
    <row r="5" spans="1:8" x14ac:dyDescent="0.35">
      <c r="G5" s="19"/>
      <c r="H5" s="19"/>
    </row>
    <row r="6" spans="1:8" x14ac:dyDescent="0.35">
      <c r="G6" s="19"/>
      <c r="H6" s="19"/>
    </row>
    <row r="7" spans="1:8" x14ac:dyDescent="0.35">
      <c r="G7" s="19"/>
      <c r="H7" s="19"/>
    </row>
    <row r="8" spans="1:8" x14ac:dyDescent="0.35">
      <c r="G8" s="19"/>
      <c r="H8" s="19"/>
    </row>
    <row r="9" spans="1:8" x14ac:dyDescent="0.35">
      <c r="G9" s="19"/>
      <c r="H9" s="19"/>
    </row>
    <row r="10" spans="1:8" x14ac:dyDescent="0.35">
      <c r="G10" s="19"/>
      <c r="H10" s="19"/>
    </row>
    <row r="11" spans="1:8" x14ac:dyDescent="0.35">
      <c r="G11" s="19"/>
      <c r="H11" s="19"/>
    </row>
    <row r="12" spans="1:8" x14ac:dyDescent="0.35">
      <c r="G12" s="19"/>
      <c r="H12" s="19"/>
    </row>
    <row r="13" spans="1:8" x14ac:dyDescent="0.35">
      <c r="G13" s="19"/>
      <c r="H13" s="19"/>
    </row>
    <row r="14" spans="1:8" x14ac:dyDescent="0.35">
      <c r="G14" s="19"/>
      <c r="H14" s="19"/>
    </row>
    <row r="15" spans="1:8" x14ac:dyDescent="0.35">
      <c r="G15" s="19"/>
      <c r="H15" s="19"/>
    </row>
    <row r="16" spans="1:8" x14ac:dyDescent="0.35">
      <c r="G16" s="19"/>
      <c r="H16" s="19"/>
    </row>
    <row r="17" spans="7:8" x14ac:dyDescent="0.35">
      <c r="G17" s="19"/>
      <c r="H17" s="19"/>
    </row>
    <row r="18" spans="7:8" x14ac:dyDescent="0.35">
      <c r="G18" s="19"/>
      <c r="H18" s="19"/>
    </row>
    <row r="19" spans="7:8" x14ac:dyDescent="0.35">
      <c r="G19" s="19"/>
      <c r="H19" s="19"/>
    </row>
    <row r="20" spans="7:8" x14ac:dyDescent="0.35">
      <c r="G20" s="19"/>
      <c r="H20" s="19"/>
    </row>
    <row r="21" spans="7:8" x14ac:dyDescent="0.35">
      <c r="G21" s="19"/>
      <c r="H21" s="19"/>
    </row>
    <row r="22" spans="7:8" x14ac:dyDescent="0.35">
      <c r="G22" s="19"/>
      <c r="H22" s="19"/>
    </row>
    <row r="23" spans="7:8" x14ac:dyDescent="0.35">
      <c r="G23" s="19"/>
      <c r="H23" s="19"/>
    </row>
    <row r="24" spans="7:8" x14ac:dyDescent="0.35">
      <c r="G24" s="19"/>
      <c r="H24" s="19"/>
    </row>
    <row r="25" spans="7:8" x14ac:dyDescent="0.35">
      <c r="G25" s="19"/>
      <c r="H25" s="19"/>
    </row>
    <row r="26" spans="7:8" x14ac:dyDescent="0.35">
      <c r="G26" s="19"/>
      <c r="H26" s="19"/>
    </row>
    <row r="27" spans="7:8" x14ac:dyDescent="0.35">
      <c r="G27" s="19"/>
      <c r="H27" s="19"/>
    </row>
    <row r="28" spans="7:8" x14ac:dyDescent="0.35">
      <c r="G28" s="19"/>
      <c r="H28" s="19"/>
    </row>
    <row r="29" spans="7:8" x14ac:dyDescent="0.35">
      <c r="G29" s="19"/>
      <c r="H29" s="19"/>
    </row>
    <row r="30" spans="7:8" x14ac:dyDescent="0.35">
      <c r="G30" s="19"/>
      <c r="H30" s="19"/>
    </row>
    <row r="31" spans="7:8" x14ac:dyDescent="0.35">
      <c r="G31" s="19"/>
      <c r="H31" s="19"/>
    </row>
    <row r="32" spans="7:8" x14ac:dyDescent="0.35">
      <c r="G32" s="19"/>
      <c r="H32" s="19"/>
    </row>
    <row r="33" spans="7:8" x14ac:dyDescent="0.35">
      <c r="G33" s="19"/>
      <c r="H33" s="19"/>
    </row>
    <row r="34" spans="7:8" x14ac:dyDescent="0.35">
      <c r="G34" s="19"/>
      <c r="H34" s="19"/>
    </row>
    <row r="35" spans="7:8" x14ac:dyDescent="0.35">
      <c r="G35" s="19"/>
      <c r="H35" s="19"/>
    </row>
    <row r="36" spans="7:8" x14ac:dyDescent="0.35">
      <c r="G36" s="19"/>
      <c r="H36" s="19"/>
    </row>
    <row r="37" spans="7:8" x14ac:dyDescent="0.35">
      <c r="G37" s="19"/>
      <c r="H37" s="19"/>
    </row>
    <row r="38" spans="7:8" x14ac:dyDescent="0.35">
      <c r="G38" s="19"/>
      <c r="H38" s="19"/>
    </row>
    <row r="39" spans="7:8" x14ac:dyDescent="0.35">
      <c r="G39" s="19"/>
      <c r="H39" s="19"/>
    </row>
    <row r="40" spans="7:8" x14ac:dyDescent="0.35">
      <c r="G40" s="19"/>
      <c r="H40" s="19"/>
    </row>
    <row r="41" spans="7:8" x14ac:dyDescent="0.35">
      <c r="G41" s="19"/>
      <c r="H41" s="19"/>
    </row>
    <row r="42" spans="7:8" x14ac:dyDescent="0.35">
      <c r="G42" s="19"/>
      <c r="H42" s="19"/>
    </row>
    <row r="43" spans="7:8" x14ac:dyDescent="0.35">
      <c r="G43" s="19"/>
      <c r="H43" s="19"/>
    </row>
    <row r="44" spans="7:8" x14ac:dyDescent="0.35">
      <c r="G44" s="19"/>
      <c r="H44" s="19"/>
    </row>
    <row r="45" spans="7:8" x14ac:dyDescent="0.35">
      <c r="G45" s="19"/>
      <c r="H45" s="19"/>
    </row>
    <row r="46" spans="7:8" x14ac:dyDescent="0.35">
      <c r="G46" s="19"/>
      <c r="H46" s="19"/>
    </row>
    <row r="47" spans="7:8" x14ac:dyDescent="0.35">
      <c r="G47" s="19"/>
      <c r="H47" s="19"/>
    </row>
    <row r="48" spans="7:8" x14ac:dyDescent="0.35">
      <c r="G48" s="19"/>
      <c r="H48" s="19"/>
    </row>
    <row r="49" spans="7:8" x14ac:dyDescent="0.35">
      <c r="G49" s="19"/>
      <c r="H49" s="19"/>
    </row>
    <row r="50" spans="7:8" x14ac:dyDescent="0.35">
      <c r="G50" s="19"/>
      <c r="H50" s="19"/>
    </row>
    <row r="51" spans="7:8" x14ac:dyDescent="0.35">
      <c r="G51" s="19"/>
      <c r="H51" s="19"/>
    </row>
    <row r="52" spans="7:8" x14ac:dyDescent="0.35">
      <c r="G52" s="19"/>
      <c r="H52" s="19"/>
    </row>
    <row r="53" spans="7:8" x14ac:dyDescent="0.35">
      <c r="G53" s="19"/>
      <c r="H53" s="19"/>
    </row>
    <row r="54" spans="7:8" x14ac:dyDescent="0.35">
      <c r="G54" s="19"/>
      <c r="H54" s="19"/>
    </row>
    <row r="55" spans="7:8" x14ac:dyDescent="0.35">
      <c r="G55" s="19"/>
      <c r="H55" s="19"/>
    </row>
    <row r="56" spans="7:8" x14ac:dyDescent="0.35">
      <c r="G56" s="19"/>
      <c r="H56" s="19"/>
    </row>
    <row r="57" spans="7:8" x14ac:dyDescent="0.35">
      <c r="G57" s="19"/>
      <c r="H57" s="19"/>
    </row>
    <row r="58" spans="7:8" x14ac:dyDescent="0.35">
      <c r="G58" s="19"/>
      <c r="H58" s="19"/>
    </row>
    <row r="59" spans="7:8" x14ac:dyDescent="0.35">
      <c r="G59" s="19"/>
      <c r="H59" s="19"/>
    </row>
    <row r="60" spans="7:8" x14ac:dyDescent="0.35">
      <c r="G60" s="19"/>
      <c r="H60" s="19"/>
    </row>
    <row r="61" spans="7:8" x14ac:dyDescent="0.35">
      <c r="G61" s="19"/>
      <c r="H61" s="19"/>
    </row>
    <row r="62" spans="7:8" x14ac:dyDescent="0.35">
      <c r="G62" s="19"/>
      <c r="H62" s="19"/>
    </row>
    <row r="63" spans="7:8" x14ac:dyDescent="0.35">
      <c r="G63" s="19"/>
      <c r="H63" s="19"/>
    </row>
    <row r="64" spans="7:8" x14ac:dyDescent="0.35">
      <c r="G64" s="19"/>
      <c r="H64" s="19"/>
    </row>
    <row r="65" spans="7:8" x14ac:dyDescent="0.35">
      <c r="G65" s="19"/>
      <c r="H65" s="19"/>
    </row>
    <row r="66" spans="7:8" x14ac:dyDescent="0.35">
      <c r="G66" s="19"/>
      <c r="H66" s="19"/>
    </row>
    <row r="67" spans="7:8" x14ac:dyDescent="0.35">
      <c r="G67" s="19"/>
      <c r="H67" s="19"/>
    </row>
    <row r="68" spans="7:8" x14ac:dyDescent="0.35">
      <c r="G68" s="19"/>
      <c r="H68" s="19"/>
    </row>
    <row r="69" spans="7:8" x14ac:dyDescent="0.35">
      <c r="G69" s="19"/>
      <c r="H69" s="19"/>
    </row>
    <row r="70" spans="7:8" x14ac:dyDescent="0.35">
      <c r="G70" s="19"/>
      <c r="H70" s="19"/>
    </row>
    <row r="71" spans="7:8" x14ac:dyDescent="0.35">
      <c r="G71" s="19"/>
      <c r="H71" s="19"/>
    </row>
    <row r="72" spans="7:8" x14ac:dyDescent="0.35">
      <c r="G72" s="19"/>
      <c r="H72" s="19"/>
    </row>
    <row r="73" spans="7:8" x14ac:dyDescent="0.35">
      <c r="G73" s="19"/>
      <c r="H73" s="19"/>
    </row>
    <row r="74" spans="7:8" x14ac:dyDescent="0.35">
      <c r="G74" s="19"/>
      <c r="H74" s="19"/>
    </row>
    <row r="75" spans="7:8" x14ac:dyDescent="0.35">
      <c r="G75" s="19"/>
      <c r="H75" s="19"/>
    </row>
    <row r="76" spans="7:8" x14ac:dyDescent="0.35">
      <c r="G76" s="19"/>
      <c r="H76" s="19"/>
    </row>
    <row r="77" spans="7:8" x14ac:dyDescent="0.35">
      <c r="G77" s="19"/>
      <c r="H77" s="19"/>
    </row>
    <row r="78" spans="7:8" x14ac:dyDescent="0.35">
      <c r="G78" s="19"/>
      <c r="H78" s="19"/>
    </row>
    <row r="79" spans="7:8" x14ac:dyDescent="0.35">
      <c r="G79" s="19"/>
      <c r="H79" s="19"/>
    </row>
    <row r="80" spans="7:8" x14ac:dyDescent="0.35">
      <c r="G80" s="19"/>
      <c r="H80" s="19"/>
    </row>
    <row r="81" spans="7:8" x14ac:dyDescent="0.35">
      <c r="G81" s="19"/>
      <c r="H81" s="19"/>
    </row>
    <row r="82" spans="7:8" x14ac:dyDescent="0.35">
      <c r="G82" s="19"/>
      <c r="H82" s="19"/>
    </row>
    <row r="83" spans="7:8" x14ac:dyDescent="0.35">
      <c r="G83" s="19"/>
      <c r="H83" s="19"/>
    </row>
    <row r="84" spans="7:8" x14ac:dyDescent="0.35">
      <c r="G84" s="19"/>
      <c r="H84" s="19"/>
    </row>
    <row r="85" spans="7:8" x14ac:dyDescent="0.35">
      <c r="G85" s="19"/>
      <c r="H85" s="19"/>
    </row>
    <row r="86" spans="7:8" x14ac:dyDescent="0.35">
      <c r="G86" s="19"/>
      <c r="H86" s="19"/>
    </row>
    <row r="87" spans="7:8" x14ac:dyDescent="0.35">
      <c r="G87" s="19"/>
      <c r="H87" s="19"/>
    </row>
    <row r="88" spans="7:8" x14ac:dyDescent="0.35">
      <c r="G88" s="19"/>
      <c r="H88" s="19"/>
    </row>
    <row r="89" spans="7:8" x14ac:dyDescent="0.35">
      <c r="G89" s="19"/>
      <c r="H89" s="19"/>
    </row>
    <row r="90" spans="7:8" x14ac:dyDescent="0.35">
      <c r="G90" s="19"/>
      <c r="H90" s="19"/>
    </row>
    <row r="91" spans="7:8" x14ac:dyDescent="0.35">
      <c r="G91" s="19"/>
      <c r="H91" s="19"/>
    </row>
    <row r="92" spans="7:8" x14ac:dyDescent="0.35">
      <c r="G92" s="19"/>
      <c r="H92" s="19"/>
    </row>
    <row r="93" spans="7:8" x14ac:dyDescent="0.35">
      <c r="G93" s="19"/>
      <c r="H93" s="19"/>
    </row>
    <row r="94" spans="7:8" x14ac:dyDescent="0.35">
      <c r="G94" s="19"/>
      <c r="H94" s="19"/>
    </row>
    <row r="95" spans="7:8" x14ac:dyDescent="0.35">
      <c r="G95" s="19"/>
      <c r="H95" s="19"/>
    </row>
    <row r="96" spans="7:8" x14ac:dyDescent="0.35">
      <c r="G96" s="19"/>
      <c r="H96" s="19"/>
    </row>
    <row r="97" spans="7:8" x14ac:dyDescent="0.35">
      <c r="G97" s="19"/>
      <c r="H97" s="19"/>
    </row>
    <row r="98" spans="7:8" x14ac:dyDescent="0.35">
      <c r="G98" s="19"/>
      <c r="H98" s="19"/>
    </row>
    <row r="99" spans="7:8" x14ac:dyDescent="0.35">
      <c r="G99" s="19"/>
      <c r="H99" s="19"/>
    </row>
    <row r="100" spans="7:8" x14ac:dyDescent="0.35">
      <c r="G100" s="19"/>
      <c r="H100" s="19"/>
    </row>
    <row r="101" spans="7:8" x14ac:dyDescent="0.35">
      <c r="G101" s="19"/>
      <c r="H101" s="19"/>
    </row>
    <row r="102" spans="7:8" x14ac:dyDescent="0.35">
      <c r="G102" s="19"/>
      <c r="H102" s="19"/>
    </row>
    <row r="103" spans="7:8" x14ac:dyDescent="0.35">
      <c r="G103" s="19"/>
      <c r="H103" s="19"/>
    </row>
    <row r="104" spans="7:8" x14ac:dyDescent="0.35">
      <c r="G104" s="19"/>
      <c r="H104" s="19"/>
    </row>
    <row r="105" spans="7:8" x14ac:dyDescent="0.35">
      <c r="G105" s="19"/>
      <c r="H105" s="19"/>
    </row>
    <row r="106" spans="7:8" x14ac:dyDescent="0.35">
      <c r="G106" s="19"/>
      <c r="H106" s="19"/>
    </row>
    <row r="107" spans="7:8" x14ac:dyDescent="0.35">
      <c r="G107" s="19"/>
      <c r="H107" s="19"/>
    </row>
    <row r="108" spans="7:8" x14ac:dyDescent="0.35">
      <c r="G108" s="19"/>
      <c r="H108" s="19"/>
    </row>
    <row r="109" spans="7:8" x14ac:dyDescent="0.35">
      <c r="G109" s="19"/>
      <c r="H109" s="19"/>
    </row>
    <row r="110" spans="7:8" x14ac:dyDescent="0.35">
      <c r="G110" s="19"/>
      <c r="H110" s="19"/>
    </row>
    <row r="111" spans="7:8" x14ac:dyDescent="0.35">
      <c r="G111" s="19"/>
      <c r="H111" s="19"/>
    </row>
    <row r="112" spans="7:8" x14ac:dyDescent="0.35">
      <c r="G112" s="19"/>
      <c r="H112" s="19"/>
    </row>
    <row r="113" spans="7:8" x14ac:dyDescent="0.35">
      <c r="G113" s="19"/>
      <c r="H113" s="19"/>
    </row>
    <row r="114" spans="7:8" x14ac:dyDescent="0.35">
      <c r="G114" s="19"/>
      <c r="H114" s="19"/>
    </row>
    <row r="115" spans="7:8" x14ac:dyDescent="0.35">
      <c r="G115" s="19"/>
      <c r="H115" s="19"/>
    </row>
    <row r="116" spans="7:8" x14ac:dyDescent="0.35">
      <c r="G116" s="19"/>
      <c r="H116" s="19"/>
    </row>
    <row r="117" spans="7:8" x14ac:dyDescent="0.35">
      <c r="G117" s="19"/>
      <c r="H117" s="19"/>
    </row>
    <row r="118" spans="7:8" x14ac:dyDescent="0.35">
      <c r="G118" s="19"/>
      <c r="H118" s="19"/>
    </row>
    <row r="119" spans="7:8" x14ac:dyDescent="0.35">
      <c r="G119" s="19"/>
      <c r="H119" s="19"/>
    </row>
    <row r="120" spans="7:8" x14ac:dyDescent="0.35">
      <c r="G120" s="19"/>
      <c r="H120" s="19"/>
    </row>
    <row r="121" spans="7:8" x14ac:dyDescent="0.35">
      <c r="G121" s="19"/>
      <c r="H121" s="19"/>
    </row>
    <row r="122" spans="7:8" x14ac:dyDescent="0.35">
      <c r="G122" s="19"/>
      <c r="H122" s="19"/>
    </row>
    <row r="123" spans="7:8" x14ac:dyDescent="0.35">
      <c r="G123" s="19"/>
      <c r="H123" s="19"/>
    </row>
    <row r="124" spans="7:8" x14ac:dyDescent="0.35">
      <c r="G124" s="19"/>
      <c r="H124" s="19"/>
    </row>
    <row r="125" spans="7:8" x14ac:dyDescent="0.35">
      <c r="G125" s="19"/>
      <c r="H125" s="19"/>
    </row>
    <row r="126" spans="7:8" x14ac:dyDescent="0.35">
      <c r="G126" s="19"/>
      <c r="H126" s="19"/>
    </row>
    <row r="127" spans="7:8" x14ac:dyDescent="0.35">
      <c r="G127" s="19"/>
      <c r="H127" s="19"/>
    </row>
    <row r="128" spans="7:8" x14ac:dyDescent="0.35">
      <c r="G128" s="19"/>
      <c r="H128" s="19"/>
    </row>
    <row r="129" spans="7:8" x14ac:dyDescent="0.35">
      <c r="G129" s="19"/>
      <c r="H129" s="19"/>
    </row>
    <row r="130" spans="7:8" x14ac:dyDescent="0.35">
      <c r="G130" s="19"/>
      <c r="H130" s="19"/>
    </row>
    <row r="131" spans="7:8" x14ac:dyDescent="0.35">
      <c r="G131" s="19"/>
      <c r="H131" s="19"/>
    </row>
    <row r="132" spans="7:8" x14ac:dyDescent="0.35">
      <c r="G132" s="19"/>
      <c r="H132" s="19"/>
    </row>
    <row r="133" spans="7:8" x14ac:dyDescent="0.35">
      <c r="G133" s="19"/>
      <c r="H133" s="19"/>
    </row>
    <row r="134" spans="7:8" x14ac:dyDescent="0.35">
      <c r="G134" s="19"/>
      <c r="H134" s="19"/>
    </row>
    <row r="135" spans="7:8" x14ac:dyDescent="0.35">
      <c r="G135" s="19"/>
      <c r="H135" s="19"/>
    </row>
    <row r="136" spans="7:8" x14ac:dyDescent="0.35">
      <c r="G136" s="19"/>
      <c r="H136" s="19"/>
    </row>
    <row r="137" spans="7:8" x14ac:dyDescent="0.35">
      <c r="G137" s="19"/>
      <c r="H137" s="19"/>
    </row>
    <row r="138" spans="7:8" x14ac:dyDescent="0.35">
      <c r="G138" s="19"/>
      <c r="H138" s="19"/>
    </row>
    <row r="139" spans="7:8" x14ac:dyDescent="0.35">
      <c r="G139" s="19"/>
      <c r="H139" s="19"/>
    </row>
    <row r="140" spans="7:8" x14ac:dyDescent="0.35">
      <c r="G140" s="19"/>
      <c r="H140" s="19"/>
    </row>
    <row r="141" spans="7:8" x14ac:dyDescent="0.35">
      <c r="G141" s="19"/>
      <c r="H141" s="19"/>
    </row>
    <row r="142" spans="7:8" x14ac:dyDescent="0.35">
      <c r="G142" s="19"/>
      <c r="H142" s="19"/>
    </row>
    <row r="143" spans="7:8" x14ac:dyDescent="0.35">
      <c r="G143" s="19"/>
      <c r="H143" s="19"/>
    </row>
    <row r="144" spans="7:8" x14ac:dyDescent="0.35">
      <c r="G144" s="19"/>
      <c r="H144" s="19"/>
    </row>
    <row r="145" spans="7:8" x14ac:dyDescent="0.35">
      <c r="G145" s="19"/>
      <c r="H145" s="19"/>
    </row>
    <row r="146" spans="7:8" x14ac:dyDescent="0.35">
      <c r="G146" s="19"/>
      <c r="H146" s="19"/>
    </row>
    <row r="147" spans="7:8" x14ac:dyDescent="0.35">
      <c r="G147" s="19"/>
      <c r="H147" s="19"/>
    </row>
    <row r="148" spans="7:8" x14ac:dyDescent="0.35">
      <c r="G148" s="19"/>
      <c r="H148" s="19"/>
    </row>
    <row r="149" spans="7:8" x14ac:dyDescent="0.35">
      <c r="G149" s="19"/>
      <c r="H149" s="19"/>
    </row>
    <row r="150" spans="7:8" x14ac:dyDescent="0.35">
      <c r="G150" s="19"/>
      <c r="H150" s="19"/>
    </row>
    <row r="151" spans="7:8" x14ac:dyDescent="0.35">
      <c r="G151" s="19"/>
      <c r="H151" s="19"/>
    </row>
    <row r="152" spans="7:8" x14ac:dyDescent="0.35">
      <c r="G152" s="19"/>
      <c r="H152" s="19"/>
    </row>
    <row r="153" spans="7:8" x14ac:dyDescent="0.35">
      <c r="G153" s="19"/>
      <c r="H153" s="19"/>
    </row>
    <row r="154" spans="7:8" x14ac:dyDescent="0.35">
      <c r="G154" s="19"/>
      <c r="H154" s="19"/>
    </row>
    <row r="155" spans="7:8" x14ac:dyDescent="0.35">
      <c r="G155" s="19"/>
      <c r="H155" s="19"/>
    </row>
    <row r="156" spans="7:8" x14ac:dyDescent="0.35">
      <c r="G156" s="19"/>
      <c r="H156" s="19"/>
    </row>
    <row r="157" spans="7:8" x14ac:dyDescent="0.35">
      <c r="G157" s="19"/>
      <c r="H157" s="19"/>
    </row>
    <row r="158" spans="7:8" x14ac:dyDescent="0.35">
      <c r="G158" s="19"/>
      <c r="H158" s="19"/>
    </row>
    <row r="159" spans="7:8" x14ac:dyDescent="0.35">
      <c r="G159" s="19"/>
      <c r="H159" s="19"/>
    </row>
    <row r="160" spans="7:8" x14ac:dyDescent="0.35">
      <c r="G160" s="19"/>
      <c r="H160" s="19"/>
    </row>
    <row r="161" spans="7:8" x14ac:dyDescent="0.35">
      <c r="G161" s="19"/>
      <c r="H161" s="19"/>
    </row>
    <row r="162" spans="7:8" x14ac:dyDescent="0.35">
      <c r="G162" s="19"/>
      <c r="H162" s="19"/>
    </row>
    <row r="163" spans="7:8" x14ac:dyDescent="0.35">
      <c r="G163" s="19"/>
      <c r="H163" s="19"/>
    </row>
    <row r="164" spans="7:8" x14ac:dyDescent="0.35">
      <c r="G164" s="19"/>
      <c r="H164" s="19"/>
    </row>
    <row r="165" spans="7:8" x14ac:dyDescent="0.35">
      <c r="G165" s="19"/>
      <c r="H165" s="19"/>
    </row>
    <row r="166" spans="7:8" x14ac:dyDescent="0.35">
      <c r="G166" s="19"/>
      <c r="H166" s="19"/>
    </row>
    <row r="167" spans="7:8" x14ac:dyDescent="0.35">
      <c r="G167" s="19"/>
      <c r="H167" s="19"/>
    </row>
    <row r="168" spans="7:8" x14ac:dyDescent="0.35">
      <c r="G168" s="19"/>
      <c r="H168" s="19"/>
    </row>
    <row r="169" spans="7:8" x14ac:dyDescent="0.35">
      <c r="G169" s="19"/>
      <c r="H169" s="19"/>
    </row>
    <row r="170" spans="7:8" x14ac:dyDescent="0.35">
      <c r="G170" s="19"/>
      <c r="H170" s="19"/>
    </row>
    <row r="171" spans="7:8" x14ac:dyDescent="0.35">
      <c r="G171" s="19"/>
      <c r="H171" s="19"/>
    </row>
    <row r="172" spans="7:8" x14ac:dyDescent="0.35">
      <c r="G172" s="19"/>
      <c r="H172" s="19"/>
    </row>
    <row r="173" spans="7:8" x14ac:dyDescent="0.35">
      <c r="G173" s="19"/>
      <c r="H173" s="19"/>
    </row>
    <row r="174" spans="7:8" x14ac:dyDescent="0.35">
      <c r="G174" s="19"/>
      <c r="H174" s="19"/>
    </row>
    <row r="175" spans="7:8" x14ac:dyDescent="0.35">
      <c r="G175" s="19"/>
      <c r="H175" s="19"/>
    </row>
    <row r="176" spans="7:8" x14ac:dyDescent="0.35">
      <c r="G176" s="19"/>
      <c r="H176" s="19"/>
    </row>
    <row r="177" spans="7:8" x14ac:dyDescent="0.35">
      <c r="G177" s="19"/>
      <c r="H177" s="19"/>
    </row>
    <row r="178" spans="7:8" x14ac:dyDescent="0.35">
      <c r="G178" s="19"/>
      <c r="H178" s="19"/>
    </row>
    <row r="179" spans="7:8" x14ac:dyDescent="0.35">
      <c r="G179" s="19"/>
      <c r="H179" s="19"/>
    </row>
    <row r="180" spans="7:8" x14ac:dyDescent="0.35">
      <c r="G180" s="19"/>
      <c r="H180" s="19"/>
    </row>
    <row r="181" spans="7:8" x14ac:dyDescent="0.35">
      <c r="G181" s="19"/>
      <c r="H181" s="19"/>
    </row>
    <row r="182" spans="7:8" x14ac:dyDescent="0.35">
      <c r="G182" s="19"/>
      <c r="H182" s="19"/>
    </row>
    <row r="183" spans="7:8" x14ac:dyDescent="0.35">
      <c r="G183" s="19"/>
      <c r="H183" s="19"/>
    </row>
    <row r="184" spans="7:8" x14ac:dyDescent="0.35">
      <c r="G184" s="19"/>
      <c r="H184" s="19"/>
    </row>
    <row r="185" spans="7:8" x14ac:dyDescent="0.35">
      <c r="G185" s="19"/>
      <c r="H185" s="19"/>
    </row>
    <row r="186" spans="7:8" x14ac:dyDescent="0.35">
      <c r="G186" s="19"/>
      <c r="H186" s="19"/>
    </row>
    <row r="187" spans="7:8" x14ac:dyDescent="0.35">
      <c r="G187" s="19"/>
      <c r="H187" s="19"/>
    </row>
    <row r="188" spans="7:8" x14ac:dyDescent="0.35">
      <c r="G188" s="19"/>
      <c r="H188" s="19"/>
    </row>
    <row r="189" spans="7:8" x14ac:dyDescent="0.35">
      <c r="G189" s="19"/>
      <c r="H189" s="19"/>
    </row>
    <row r="190" spans="7:8" x14ac:dyDescent="0.35">
      <c r="G190" s="19"/>
      <c r="H190" s="19"/>
    </row>
    <row r="191" spans="7:8" x14ac:dyDescent="0.35">
      <c r="G191" s="19"/>
      <c r="H191" s="19"/>
    </row>
    <row r="192" spans="7:8" x14ac:dyDescent="0.35">
      <c r="G192" s="19"/>
      <c r="H192" s="19"/>
    </row>
    <row r="193" spans="7:8" x14ac:dyDescent="0.35">
      <c r="G193" s="19"/>
      <c r="H193" s="19"/>
    </row>
    <row r="194" spans="7:8" x14ac:dyDescent="0.35">
      <c r="G194" s="19"/>
      <c r="H194" s="19"/>
    </row>
    <row r="195" spans="7:8" x14ac:dyDescent="0.35">
      <c r="G195" s="19"/>
      <c r="H195" s="19"/>
    </row>
    <row r="196" spans="7:8" x14ac:dyDescent="0.35">
      <c r="G196" s="19"/>
      <c r="H196" s="19"/>
    </row>
    <row r="197" spans="7:8" x14ac:dyDescent="0.35">
      <c r="G197" s="19"/>
      <c r="H197" s="19"/>
    </row>
    <row r="198" spans="7:8" x14ac:dyDescent="0.35">
      <c r="G198" s="19"/>
      <c r="H198" s="19"/>
    </row>
    <row r="199" spans="7:8" x14ac:dyDescent="0.35">
      <c r="G199" s="19"/>
      <c r="H199" s="19"/>
    </row>
    <row r="200" spans="7:8" x14ac:dyDescent="0.35">
      <c r="G200" s="19"/>
      <c r="H200" s="19"/>
    </row>
    <row r="201" spans="7:8" x14ac:dyDescent="0.35">
      <c r="G201" s="19"/>
      <c r="H201" s="19"/>
    </row>
    <row r="202" spans="7:8" x14ac:dyDescent="0.35">
      <c r="G202" s="19"/>
      <c r="H202" s="19"/>
    </row>
    <row r="203" spans="7:8" x14ac:dyDescent="0.35">
      <c r="G203" s="19"/>
      <c r="H203" s="19"/>
    </row>
    <row r="204" spans="7:8" x14ac:dyDescent="0.35">
      <c r="G204" s="19"/>
      <c r="H204" s="19"/>
    </row>
    <row r="205" spans="7:8" x14ac:dyDescent="0.35">
      <c r="G205" s="19"/>
      <c r="H205" s="19"/>
    </row>
    <row r="206" spans="7:8" x14ac:dyDescent="0.35">
      <c r="G206" s="19"/>
      <c r="H206" s="19"/>
    </row>
    <row r="207" spans="7:8" x14ac:dyDescent="0.35">
      <c r="G207" s="19"/>
      <c r="H207" s="19"/>
    </row>
    <row r="208" spans="7:8" x14ac:dyDescent="0.35">
      <c r="G208" s="19"/>
      <c r="H208" s="19"/>
    </row>
    <row r="209" spans="7:8" x14ac:dyDescent="0.35">
      <c r="G209" s="19"/>
      <c r="H209" s="19"/>
    </row>
    <row r="210" spans="7:8" x14ac:dyDescent="0.35">
      <c r="G210" s="19"/>
      <c r="H210" s="19"/>
    </row>
    <row r="211" spans="7:8" x14ac:dyDescent="0.35">
      <c r="G211" s="19"/>
      <c r="H211" s="19"/>
    </row>
    <row r="212" spans="7:8" x14ac:dyDescent="0.35">
      <c r="G212" s="19"/>
      <c r="H212" s="19"/>
    </row>
    <row r="213" spans="7:8" x14ac:dyDescent="0.35">
      <c r="G213" s="19"/>
      <c r="H213" s="19"/>
    </row>
    <row r="214" spans="7:8" x14ac:dyDescent="0.35">
      <c r="G214" s="19"/>
      <c r="H214" s="19"/>
    </row>
    <row r="215" spans="7:8" x14ac:dyDescent="0.35">
      <c r="G215" s="19"/>
      <c r="H215" s="19"/>
    </row>
    <row r="216" spans="7:8" x14ac:dyDescent="0.35">
      <c r="G216" s="19"/>
      <c r="H216" s="19"/>
    </row>
    <row r="217" spans="7:8" x14ac:dyDescent="0.35">
      <c r="G217" s="19"/>
      <c r="H217" s="19"/>
    </row>
    <row r="218" spans="7:8" x14ac:dyDescent="0.35">
      <c r="G218" s="19"/>
      <c r="H218" s="19"/>
    </row>
    <row r="219" spans="7:8" x14ac:dyDescent="0.35">
      <c r="G219" s="19"/>
      <c r="H219" s="19"/>
    </row>
    <row r="220" spans="7:8" x14ac:dyDescent="0.35">
      <c r="G220" s="19"/>
      <c r="H220" s="19"/>
    </row>
    <row r="221" spans="7:8" x14ac:dyDescent="0.35">
      <c r="G221" s="19"/>
      <c r="H221" s="19"/>
    </row>
    <row r="222" spans="7:8" x14ac:dyDescent="0.35">
      <c r="G222" s="19"/>
      <c r="H222" s="19"/>
    </row>
    <row r="223" spans="7:8" x14ac:dyDescent="0.35">
      <c r="G223" s="19"/>
      <c r="H223" s="19"/>
    </row>
    <row r="224" spans="7:8" x14ac:dyDescent="0.35">
      <c r="G224" s="19"/>
      <c r="H224" s="19"/>
    </row>
    <row r="225" spans="7:8" x14ac:dyDescent="0.35">
      <c r="G225" s="19"/>
      <c r="H225" s="19"/>
    </row>
    <row r="226" spans="7:8" x14ac:dyDescent="0.35">
      <c r="G226" s="19"/>
      <c r="H226" s="19"/>
    </row>
    <row r="227" spans="7:8" x14ac:dyDescent="0.35">
      <c r="G227" s="19"/>
      <c r="H227" s="19"/>
    </row>
    <row r="228" spans="7:8" x14ac:dyDescent="0.35">
      <c r="G228" s="19"/>
      <c r="H228" s="19"/>
    </row>
    <row r="229" spans="7:8" x14ac:dyDescent="0.35">
      <c r="G229" s="19"/>
      <c r="H229" s="19"/>
    </row>
    <row r="230" spans="7:8" x14ac:dyDescent="0.35">
      <c r="G230" s="19"/>
      <c r="H230" s="19"/>
    </row>
    <row r="231" spans="7:8" x14ac:dyDescent="0.35">
      <c r="G231" s="19"/>
      <c r="H231" s="19"/>
    </row>
    <row r="232" spans="7:8" x14ac:dyDescent="0.35">
      <c r="G232" s="19"/>
      <c r="H232" s="19"/>
    </row>
    <row r="233" spans="7:8" x14ac:dyDescent="0.35">
      <c r="G233" s="19"/>
      <c r="H233" s="19"/>
    </row>
    <row r="234" spans="7:8" x14ac:dyDescent="0.35">
      <c r="G234" s="19"/>
      <c r="H234" s="19"/>
    </row>
    <row r="235" spans="7:8" x14ac:dyDescent="0.35">
      <c r="G235" s="19"/>
      <c r="H235" s="19"/>
    </row>
    <row r="236" spans="7:8" x14ac:dyDescent="0.35">
      <c r="G236" s="19"/>
      <c r="H236" s="19"/>
    </row>
    <row r="237" spans="7:8" x14ac:dyDescent="0.35">
      <c r="G237" s="19"/>
      <c r="H237" s="19"/>
    </row>
    <row r="238" spans="7:8" x14ac:dyDescent="0.35">
      <c r="G238" s="19"/>
      <c r="H238" s="19"/>
    </row>
    <row r="239" spans="7:8" x14ac:dyDescent="0.35">
      <c r="G239" s="19"/>
      <c r="H239" s="19"/>
    </row>
    <row r="240" spans="7:8" x14ac:dyDescent="0.35">
      <c r="G240" s="19"/>
      <c r="H240" s="19"/>
    </row>
    <row r="241" spans="7:8" x14ac:dyDescent="0.35">
      <c r="G241" s="19"/>
      <c r="H241" s="19"/>
    </row>
    <row r="242" spans="7:8" x14ac:dyDescent="0.35">
      <c r="G242" s="19"/>
      <c r="H242" s="19"/>
    </row>
    <row r="243" spans="7:8" x14ac:dyDescent="0.35">
      <c r="G243" s="19"/>
      <c r="H243" s="19"/>
    </row>
    <row r="244" spans="7:8" x14ac:dyDescent="0.35">
      <c r="G244" s="19"/>
      <c r="H244" s="19"/>
    </row>
    <row r="245" spans="7:8" x14ac:dyDescent="0.35">
      <c r="G245" s="19"/>
      <c r="H245" s="19"/>
    </row>
    <row r="246" spans="7:8" x14ac:dyDescent="0.35">
      <c r="G246" s="19"/>
      <c r="H246" s="19"/>
    </row>
    <row r="247" spans="7:8" x14ac:dyDescent="0.35">
      <c r="G247" s="19"/>
      <c r="H247" s="19"/>
    </row>
    <row r="248" spans="7:8" x14ac:dyDescent="0.35">
      <c r="G248" s="19"/>
      <c r="H248" s="19"/>
    </row>
    <row r="249" spans="7:8" x14ac:dyDescent="0.35">
      <c r="G249" s="19"/>
      <c r="H249" s="19"/>
    </row>
    <row r="250" spans="7:8" x14ac:dyDescent="0.35">
      <c r="G250" s="19"/>
      <c r="H250" s="19"/>
    </row>
    <row r="251" spans="7:8" x14ac:dyDescent="0.35">
      <c r="G251" s="19"/>
      <c r="H251" s="19"/>
    </row>
    <row r="252" spans="7:8" x14ac:dyDescent="0.35">
      <c r="G252" s="19"/>
      <c r="H252" s="19"/>
    </row>
    <row r="253" spans="7:8" x14ac:dyDescent="0.35">
      <c r="G253" s="19"/>
      <c r="H253" s="19"/>
    </row>
    <row r="254" spans="7:8" x14ac:dyDescent="0.35">
      <c r="G254" s="19"/>
      <c r="H254" s="19"/>
    </row>
    <row r="255" spans="7:8" x14ac:dyDescent="0.35">
      <c r="G255" s="19"/>
      <c r="H255" s="19"/>
    </row>
    <row r="256" spans="7:8" x14ac:dyDescent="0.35">
      <c r="G256" s="19"/>
      <c r="H256" s="19"/>
    </row>
    <row r="257" spans="7:8" x14ac:dyDescent="0.35">
      <c r="G257" s="19"/>
      <c r="H257" s="19"/>
    </row>
    <row r="258" spans="7:8" x14ac:dyDescent="0.35">
      <c r="G258" s="19"/>
      <c r="H258" s="19"/>
    </row>
    <row r="259" spans="7:8" x14ac:dyDescent="0.35">
      <c r="G259" s="19"/>
      <c r="H259" s="19"/>
    </row>
    <row r="260" spans="7:8" x14ac:dyDescent="0.35">
      <c r="G260" s="19"/>
      <c r="H260" s="19"/>
    </row>
    <row r="261" spans="7:8" x14ac:dyDescent="0.35">
      <c r="G261" s="19"/>
      <c r="H261" s="19"/>
    </row>
    <row r="262" spans="7:8" x14ac:dyDescent="0.35">
      <c r="G262" s="19"/>
      <c r="H262" s="19"/>
    </row>
    <row r="263" spans="7:8" x14ac:dyDescent="0.35">
      <c r="G263" s="19"/>
      <c r="H263" s="19"/>
    </row>
    <row r="264" spans="7:8" x14ac:dyDescent="0.35">
      <c r="G264" s="19"/>
      <c r="H264" s="19"/>
    </row>
    <row r="265" spans="7:8" x14ac:dyDescent="0.35">
      <c r="G265" s="19"/>
      <c r="H265" s="19"/>
    </row>
    <row r="266" spans="7:8" x14ac:dyDescent="0.35">
      <c r="G266" s="19"/>
      <c r="H266" s="19"/>
    </row>
    <row r="267" spans="7:8" x14ac:dyDescent="0.35">
      <c r="G267" s="19"/>
      <c r="H267" s="19"/>
    </row>
    <row r="268" spans="7:8" x14ac:dyDescent="0.35">
      <c r="G268" s="19"/>
      <c r="H268" s="19"/>
    </row>
    <row r="269" spans="7:8" x14ac:dyDescent="0.35">
      <c r="G269" s="19"/>
      <c r="H269" s="19"/>
    </row>
    <row r="270" spans="7:8" x14ac:dyDescent="0.35">
      <c r="G270" s="19"/>
      <c r="H270" s="19"/>
    </row>
    <row r="271" spans="7:8" x14ac:dyDescent="0.35">
      <c r="G271" s="19"/>
      <c r="H271" s="19"/>
    </row>
    <row r="272" spans="7:8" x14ac:dyDescent="0.35">
      <c r="G272" s="19"/>
      <c r="H272" s="19"/>
    </row>
    <row r="273" spans="7:8" x14ac:dyDescent="0.35">
      <c r="G273" s="19"/>
      <c r="H273" s="19"/>
    </row>
    <row r="274" spans="7:8" x14ac:dyDescent="0.35">
      <c r="G274" s="19"/>
      <c r="H274" s="19"/>
    </row>
    <row r="275" spans="7:8" x14ac:dyDescent="0.35">
      <c r="G275" s="19"/>
      <c r="H275" s="19"/>
    </row>
    <row r="276" spans="7:8" x14ac:dyDescent="0.35">
      <c r="G276" s="19"/>
      <c r="H276" s="19"/>
    </row>
    <row r="277" spans="7:8" x14ac:dyDescent="0.35">
      <c r="G277" s="19"/>
      <c r="H277" s="19"/>
    </row>
    <row r="278" spans="7:8" x14ac:dyDescent="0.35">
      <c r="G278" s="19"/>
      <c r="H278" s="19"/>
    </row>
    <row r="279" spans="7:8" x14ac:dyDescent="0.35">
      <c r="G279" s="19"/>
      <c r="H279" s="19"/>
    </row>
    <row r="280" spans="7:8" x14ac:dyDescent="0.35">
      <c r="G280" s="19"/>
      <c r="H280" s="19"/>
    </row>
    <row r="281" spans="7:8" x14ac:dyDescent="0.35">
      <c r="G281" s="19"/>
      <c r="H281" s="19"/>
    </row>
    <row r="282" spans="7:8" x14ac:dyDescent="0.35">
      <c r="G282" s="19"/>
      <c r="H282" s="19"/>
    </row>
    <row r="283" spans="7:8" x14ac:dyDescent="0.35">
      <c r="G283" s="19"/>
      <c r="H283" s="19"/>
    </row>
    <row r="284" spans="7:8" x14ac:dyDescent="0.35">
      <c r="G284" s="19"/>
      <c r="H284" s="19"/>
    </row>
    <row r="285" spans="7:8" x14ac:dyDescent="0.35">
      <c r="G285" s="19"/>
      <c r="H285" s="19"/>
    </row>
    <row r="286" spans="7:8" x14ac:dyDescent="0.35">
      <c r="G286" s="19"/>
      <c r="H286" s="19"/>
    </row>
    <row r="287" spans="7:8" x14ac:dyDescent="0.35">
      <c r="G287" s="19"/>
      <c r="H287" s="19"/>
    </row>
    <row r="288" spans="7:8" x14ac:dyDescent="0.35">
      <c r="G288" s="19"/>
      <c r="H288" s="19"/>
    </row>
    <row r="289" spans="7:8" x14ac:dyDescent="0.35">
      <c r="G289" s="19"/>
      <c r="H289" s="19"/>
    </row>
    <row r="290" spans="7:8" x14ac:dyDescent="0.35">
      <c r="G290" s="19"/>
      <c r="H290" s="19"/>
    </row>
    <row r="291" spans="7:8" x14ac:dyDescent="0.35">
      <c r="G291" s="19"/>
      <c r="H291" s="19"/>
    </row>
    <row r="292" spans="7:8" x14ac:dyDescent="0.35">
      <c r="G292" s="19"/>
      <c r="H292" s="19"/>
    </row>
    <row r="293" spans="7:8" x14ac:dyDescent="0.35">
      <c r="G293" s="19"/>
      <c r="H293" s="19"/>
    </row>
    <row r="294" spans="7:8" x14ac:dyDescent="0.35">
      <c r="G294" s="19"/>
      <c r="H294" s="19"/>
    </row>
    <row r="295" spans="7:8" x14ac:dyDescent="0.35">
      <c r="G295" s="19"/>
      <c r="H295" s="19"/>
    </row>
    <row r="296" spans="7:8" x14ac:dyDescent="0.35">
      <c r="G296" s="19"/>
      <c r="H296" s="19"/>
    </row>
    <row r="297" spans="7:8" x14ac:dyDescent="0.35">
      <c r="G297" s="19"/>
      <c r="H297" s="19"/>
    </row>
    <row r="298" spans="7:8" x14ac:dyDescent="0.35">
      <c r="G298" s="19"/>
      <c r="H298" s="19"/>
    </row>
    <row r="299" spans="7:8" x14ac:dyDescent="0.35">
      <c r="G299" s="19"/>
      <c r="H299" s="19"/>
    </row>
    <row r="300" spans="7:8" x14ac:dyDescent="0.35">
      <c r="G300" s="19"/>
      <c r="H300" s="19"/>
    </row>
  </sheetData>
  <autoFilter ref="A2:H2" xr:uid="{28504FD8-CB6C-44ED-8743-07FF6AA7184C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3345-FC9D-4C5E-A6B3-61529278F973}">
  <sheetPr codeName="Sheet5">
    <tabColor rgb="FFFF0000"/>
  </sheetPr>
  <dimension ref="B3:E36"/>
  <sheetViews>
    <sheetView workbookViewId="0">
      <selection activeCell="C9" sqref="C9"/>
    </sheetView>
  </sheetViews>
  <sheetFormatPr defaultRowHeight="14.5" x14ac:dyDescent="0.35"/>
  <cols>
    <col min="2" max="2" width="9.6328125" bestFit="1" customWidth="1"/>
    <col min="3" max="3" width="26.1796875" bestFit="1" customWidth="1"/>
    <col min="4" max="4" width="75.36328125" customWidth="1"/>
  </cols>
  <sheetData>
    <row r="3" spans="2:5" x14ac:dyDescent="0.35">
      <c r="B3" s="4"/>
      <c r="C3" s="4"/>
      <c r="D3" s="4"/>
      <c r="E3" s="4"/>
    </row>
    <row r="4" spans="2:5" x14ac:dyDescent="0.35">
      <c r="B4" s="4" t="s">
        <v>108</v>
      </c>
      <c r="C4" s="8">
        <v>2022</v>
      </c>
      <c r="D4" s="4"/>
      <c r="E4" s="4"/>
    </row>
    <row r="5" spans="2:5" x14ac:dyDescent="0.35">
      <c r="B5" s="4" t="s">
        <v>109</v>
      </c>
      <c r="C5" s="9">
        <v>10</v>
      </c>
      <c r="D5" s="15" t="s">
        <v>155</v>
      </c>
      <c r="E5" s="4"/>
    </row>
    <row r="6" spans="2:5" x14ac:dyDescent="0.35">
      <c r="B6" s="4" t="s">
        <v>138</v>
      </c>
      <c r="C6" s="8" t="s">
        <v>141</v>
      </c>
      <c r="D6" s="4"/>
      <c r="E6" s="4"/>
    </row>
    <row r="7" spans="2:5" x14ac:dyDescent="0.35">
      <c r="B7" s="4" t="s">
        <v>139</v>
      </c>
      <c r="C7" s="8" t="s">
        <v>140</v>
      </c>
      <c r="D7" s="4"/>
      <c r="E7" s="4"/>
    </row>
    <row r="8" spans="2:5" x14ac:dyDescent="0.35">
      <c r="B8" s="4" t="s">
        <v>111</v>
      </c>
      <c r="C8" s="4" t="s">
        <v>151</v>
      </c>
      <c r="D8" s="4"/>
      <c r="E8" s="4"/>
    </row>
    <row r="9" spans="2:5" x14ac:dyDescent="0.35">
      <c r="B9" s="4" t="s">
        <v>113</v>
      </c>
      <c r="C9" s="4"/>
      <c r="D9" s="4"/>
      <c r="E9" s="4"/>
    </row>
    <row r="10" spans="2:5" x14ac:dyDescent="0.35">
      <c r="B10" s="4"/>
      <c r="C10" s="4"/>
      <c r="D10" s="4"/>
      <c r="E10" s="4"/>
    </row>
    <row r="11" spans="2:5" x14ac:dyDescent="0.35">
      <c r="B11" s="4"/>
      <c r="C11" s="6"/>
      <c r="D11" s="6" t="s">
        <v>146</v>
      </c>
      <c r="E11" s="4"/>
    </row>
    <row r="12" spans="2:5" x14ac:dyDescent="0.35">
      <c r="B12" s="4"/>
      <c r="C12" s="6" t="s">
        <v>149</v>
      </c>
      <c r="D12" s="7" t="str">
        <f>"J:\Acctng\Production\"&amp;C4&amp;"\Requests\Leslie Darrigo\"&amp;C4&amp;RIGHT("00"&amp;C5,2)&amp;" Sales By MemberFirm.xls"</f>
        <v>J:\Acctng\Production\2022\Requests\Leslie Darrigo\202210 Sales By MemberFirm.xls</v>
      </c>
      <c r="E12" s="4" t="s">
        <v>154</v>
      </c>
    </row>
    <row r="13" spans="2:5" x14ac:dyDescent="0.35">
      <c r="B13" s="4"/>
      <c r="C13" s="6" t="s">
        <v>125</v>
      </c>
      <c r="D13" s="7"/>
      <c r="E13" s="4"/>
    </row>
    <row r="14" spans="2:5" x14ac:dyDescent="0.35">
      <c r="B14" s="4"/>
      <c r="C14" s="4"/>
      <c r="D14" s="4"/>
      <c r="E14" s="4"/>
    </row>
    <row r="15" spans="2:5" x14ac:dyDescent="0.35">
      <c r="B15" s="4"/>
      <c r="C15" s="5"/>
      <c r="D15" s="5"/>
      <c r="E15" s="4"/>
    </row>
    <row r="20" spans="2:4" x14ac:dyDescent="0.35">
      <c r="B20" t="s">
        <v>126</v>
      </c>
    </row>
    <row r="21" spans="2:4" x14ac:dyDescent="0.35">
      <c r="B21" t="s">
        <v>128</v>
      </c>
    </row>
    <row r="22" spans="2:4" x14ac:dyDescent="0.35">
      <c r="B22" s="11" t="s">
        <v>127</v>
      </c>
      <c r="C22" s="10"/>
    </row>
    <row r="23" spans="2:4" x14ac:dyDescent="0.35">
      <c r="B23" t="str">
        <f>"2. Set the year and month at top left. Download as an Excel file as: "</f>
        <v xml:space="preserve">2. Set the year and month at top left. Download as an Excel file as: </v>
      </c>
    </row>
    <row r="24" spans="2:4" x14ac:dyDescent="0.35">
      <c r="D24" s="14" t="str">
        <f>C4&amp;RIGHT("00"&amp;C5,2)&amp;" Sales By MemberFirm.xlsx"</f>
        <v>202210 Sales By MemberFirm.xlsx</v>
      </c>
    </row>
    <row r="25" spans="2:4" x14ac:dyDescent="0.35">
      <c r="B25" t="s">
        <v>152</v>
      </c>
    </row>
    <row r="26" spans="2:4" x14ac:dyDescent="0.35">
      <c r="B26" t="s">
        <v>137</v>
      </c>
    </row>
    <row r="28" spans="2:4" x14ac:dyDescent="0.35">
      <c r="B28" t="s">
        <v>153</v>
      </c>
    </row>
    <row r="29" spans="2:4" x14ac:dyDescent="0.35">
      <c r="B29" t="s">
        <v>129</v>
      </c>
    </row>
    <row r="30" spans="2:4" x14ac:dyDescent="0.35">
      <c r="B30" t="s">
        <v>130</v>
      </c>
    </row>
    <row r="31" spans="2:4" x14ac:dyDescent="0.35">
      <c r="B31" t="s">
        <v>131</v>
      </c>
    </row>
    <row r="32" spans="2:4" x14ac:dyDescent="0.35">
      <c r="B32" t="s">
        <v>132</v>
      </c>
    </row>
    <row r="33" spans="2:2" x14ac:dyDescent="0.35">
      <c r="B33" t="s">
        <v>133</v>
      </c>
    </row>
    <row r="34" spans="2:2" x14ac:dyDescent="0.35">
      <c r="B34" t="s">
        <v>134</v>
      </c>
    </row>
    <row r="35" spans="2:2" x14ac:dyDescent="0.35">
      <c r="B35" t="s">
        <v>135</v>
      </c>
    </row>
    <row r="36" spans="2:2" x14ac:dyDescent="0.35">
      <c r="B36" t="s">
        <v>136</v>
      </c>
    </row>
  </sheetData>
  <hyperlinks>
    <hyperlink ref="B22" r:id="rId1" xr:uid="{E4F8CE15-986B-4B85-85B5-19F5FD5D07FA}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Leslie.Leslie">
                <anchor moveWithCells="1" sizeWithCells="1">
                  <from>
                    <xdr:col>3</xdr:col>
                    <xdr:colOff>723900</xdr:colOff>
                    <xdr:row>3</xdr:row>
                    <xdr:rowOff>19050</xdr:rowOff>
                  </from>
                  <to>
                    <xdr:col>3</xdr:col>
                    <xdr:colOff>2565400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LeslieEmail">
                <anchor moveWithCells="1" sizeWithCells="1">
                  <from>
                    <xdr:col>3</xdr:col>
                    <xdr:colOff>3086100</xdr:colOff>
                    <xdr:row>3</xdr:row>
                    <xdr:rowOff>31750</xdr:rowOff>
                  </from>
                  <to>
                    <xdr:col>3</xdr:col>
                    <xdr:colOff>4927600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1D75-AB6B-4035-8C20-C2C8247FC1B2}">
  <sheetPr codeName="Sheet4">
    <tabColor theme="0"/>
  </sheetPr>
  <dimension ref="A1:J500"/>
  <sheetViews>
    <sheetView workbookViewId="0">
      <selection activeCell="H7" sqref="H7"/>
    </sheetView>
  </sheetViews>
  <sheetFormatPr defaultRowHeight="14.5" x14ac:dyDescent="0.35"/>
  <cols>
    <col min="1" max="1" width="52.54296875" bestFit="1" customWidth="1"/>
    <col min="2" max="2" width="22.7265625" bestFit="1" customWidth="1"/>
    <col min="3" max="3" width="24.81640625" bestFit="1" customWidth="1"/>
    <col min="4" max="4" width="12.1796875" style="1" bestFit="1" customWidth="1"/>
    <col min="7" max="7" width="9.6328125" bestFit="1" customWidth="1"/>
    <col min="8" max="8" width="26.1796875" bestFit="1" customWidth="1"/>
    <col min="9" max="9" width="95.26953125" bestFit="1" customWidth="1"/>
  </cols>
  <sheetData>
    <row r="1" spans="1:10" x14ac:dyDescent="0.35">
      <c r="A1" t="s">
        <v>147</v>
      </c>
    </row>
    <row r="2" spans="1:10" x14ac:dyDescent="0.35">
      <c r="A2" s="2" t="s">
        <v>104</v>
      </c>
      <c r="B2" s="2" t="s">
        <v>105</v>
      </c>
      <c r="C2" s="2" t="s">
        <v>106</v>
      </c>
      <c r="D2" s="3" t="s">
        <v>107</v>
      </c>
      <c r="G2" s="4"/>
      <c r="H2" s="4"/>
      <c r="I2" s="4"/>
      <c r="J2" s="4"/>
    </row>
    <row r="3" spans="1:10" x14ac:dyDescent="0.35">
      <c r="B3" s="19"/>
      <c r="C3" s="19"/>
      <c r="D3" s="18"/>
      <c r="G3" s="4" t="s">
        <v>108</v>
      </c>
      <c r="H3" s="8">
        <v>2022</v>
      </c>
      <c r="I3" s="4"/>
      <c r="J3" s="4"/>
    </row>
    <row r="4" spans="1:10" x14ac:dyDescent="0.35">
      <c r="B4" s="19"/>
      <c r="C4" s="19"/>
      <c r="D4" s="18"/>
      <c r="G4" s="4" t="s">
        <v>109</v>
      </c>
      <c r="H4" s="9">
        <v>9</v>
      </c>
      <c r="I4" s="15" t="s">
        <v>155</v>
      </c>
      <c r="J4" s="4"/>
    </row>
    <row r="5" spans="1:10" x14ac:dyDescent="0.35">
      <c r="B5" s="19"/>
      <c r="C5" s="19"/>
      <c r="D5" s="18"/>
      <c r="G5" s="4" t="s">
        <v>138</v>
      </c>
      <c r="H5" s="8" t="s">
        <v>141</v>
      </c>
      <c r="I5" s="4"/>
      <c r="J5" s="4"/>
    </row>
    <row r="6" spans="1:10" x14ac:dyDescent="0.35">
      <c r="B6" s="19"/>
      <c r="C6" s="19"/>
      <c r="D6" s="18"/>
      <c r="G6" s="4" t="s">
        <v>139</v>
      </c>
      <c r="H6" s="8" t="s">
        <v>140</v>
      </c>
      <c r="I6" s="4"/>
      <c r="J6" s="4"/>
    </row>
    <row r="7" spans="1:10" x14ac:dyDescent="0.35">
      <c r="B7" s="19"/>
      <c r="C7" s="19"/>
      <c r="D7" s="18"/>
      <c r="G7" s="4" t="s">
        <v>111</v>
      </c>
      <c r="H7" s="4" t="s">
        <v>112</v>
      </c>
      <c r="I7" s="4"/>
      <c r="J7" s="4"/>
    </row>
    <row r="8" spans="1:10" x14ac:dyDescent="0.35">
      <c r="B8" s="19"/>
      <c r="C8" s="19"/>
      <c r="D8" s="18"/>
      <c r="G8" s="4" t="s">
        <v>113</v>
      </c>
      <c r="H8" s="4"/>
      <c r="I8" s="4"/>
      <c r="J8" s="4"/>
    </row>
    <row r="9" spans="1:10" x14ac:dyDescent="0.35">
      <c r="B9" s="19"/>
      <c r="C9" s="19"/>
      <c r="D9" s="18"/>
      <c r="G9" s="4"/>
      <c r="H9" s="4"/>
      <c r="I9" s="4"/>
      <c r="J9" s="4"/>
    </row>
    <row r="10" spans="1:10" x14ac:dyDescent="0.35">
      <c r="B10" s="19"/>
      <c r="C10" s="19"/>
      <c r="D10" s="18"/>
      <c r="G10" s="4"/>
      <c r="H10" s="6" t="s">
        <v>111</v>
      </c>
      <c r="I10" s="6" t="s">
        <v>146</v>
      </c>
      <c r="J10" s="4"/>
    </row>
    <row r="11" spans="1:10" x14ac:dyDescent="0.35">
      <c r="B11" s="19"/>
      <c r="C11" s="19"/>
      <c r="D11" s="18"/>
      <c r="G11" s="4"/>
      <c r="H11" s="6" t="s">
        <v>149</v>
      </c>
      <c r="I11" s="7" t="str">
        <f>"J:\Acctng\Production\"&amp;H3&amp;"\Requests\Derek Palumbo\"&amp;TEXT(EOMONTH(DATE(H3,H4,1),0),"yyyymmdd")&amp;" JH Commissionable Life Prem Breakout by MF.xlsx"</f>
        <v>J:\Acctng\Production\2022\Requests\Derek Palumbo\20220930 JH Commissionable Life Prem Breakout by MF.xlsx</v>
      </c>
      <c r="J11" s="4"/>
    </row>
    <row r="12" spans="1:10" x14ac:dyDescent="0.35">
      <c r="B12" s="19"/>
      <c r="C12" s="19"/>
      <c r="D12" s="18"/>
      <c r="G12" s="4"/>
      <c r="H12" s="6" t="s">
        <v>125</v>
      </c>
      <c r="I12" s="7" t="str">
        <f>"J:\Acctng\Production\"&amp;H3&amp;"\Requests\Derek Palumbo\JH Commissionable Life Prem Breakout by MF.sql"</f>
        <v>J:\Acctng\Production\2022\Requests\Derek Palumbo\JH Commissionable Life Prem Breakout by MF.sql</v>
      </c>
      <c r="J12" s="4"/>
    </row>
    <row r="13" spans="1:10" x14ac:dyDescent="0.35">
      <c r="B13" s="19"/>
      <c r="C13" s="19"/>
      <c r="D13" s="18"/>
      <c r="G13" s="4"/>
      <c r="H13" s="4"/>
      <c r="I13" s="4"/>
      <c r="J13" s="4"/>
    </row>
    <row r="14" spans="1:10" x14ac:dyDescent="0.35">
      <c r="B14" s="19"/>
      <c r="C14" s="19"/>
      <c r="D14" s="18"/>
      <c r="G14" s="4"/>
      <c r="H14" s="5"/>
      <c r="I14" s="5"/>
      <c r="J14" s="4"/>
    </row>
    <row r="15" spans="1:10" x14ac:dyDescent="0.35">
      <c r="B15" s="19"/>
      <c r="C15" s="19"/>
      <c r="D15" s="18"/>
    </row>
    <row r="16" spans="1:10" x14ac:dyDescent="0.35">
      <c r="B16" s="19"/>
      <c r="C16" s="19"/>
      <c r="D16" s="18"/>
    </row>
    <row r="17" spans="2:4" x14ac:dyDescent="0.35">
      <c r="B17" s="19"/>
      <c r="C17" s="19"/>
      <c r="D17" s="18"/>
    </row>
    <row r="18" spans="2:4" x14ac:dyDescent="0.35">
      <c r="B18" s="19"/>
      <c r="C18" s="19"/>
      <c r="D18" s="18"/>
    </row>
    <row r="19" spans="2:4" x14ac:dyDescent="0.35">
      <c r="B19" s="19"/>
      <c r="C19" s="19"/>
      <c r="D19" s="18"/>
    </row>
    <row r="20" spans="2:4" x14ac:dyDescent="0.35">
      <c r="B20" s="19"/>
      <c r="C20" s="19"/>
      <c r="D20" s="18"/>
    </row>
    <row r="21" spans="2:4" x14ac:dyDescent="0.35">
      <c r="B21" s="19"/>
      <c r="C21" s="19"/>
      <c r="D21" s="18"/>
    </row>
    <row r="22" spans="2:4" x14ac:dyDescent="0.35">
      <c r="B22" s="19"/>
      <c r="C22" s="19"/>
      <c r="D22" s="18"/>
    </row>
    <row r="23" spans="2:4" x14ac:dyDescent="0.35">
      <c r="B23" s="19"/>
      <c r="C23" s="19"/>
      <c r="D23" s="18"/>
    </row>
    <row r="24" spans="2:4" x14ac:dyDescent="0.35">
      <c r="B24" s="19"/>
      <c r="C24" s="19"/>
      <c r="D24" s="18"/>
    </row>
    <row r="25" spans="2:4" x14ac:dyDescent="0.35">
      <c r="B25" s="19"/>
      <c r="C25" s="19"/>
      <c r="D25" s="18"/>
    </row>
    <row r="26" spans="2:4" x14ac:dyDescent="0.35">
      <c r="B26" s="19"/>
      <c r="C26" s="19"/>
      <c r="D26" s="18"/>
    </row>
    <row r="27" spans="2:4" x14ac:dyDescent="0.35">
      <c r="B27" s="19"/>
      <c r="C27" s="19"/>
      <c r="D27" s="18"/>
    </row>
    <row r="28" spans="2:4" x14ac:dyDescent="0.35">
      <c r="B28" s="19"/>
      <c r="C28" s="19"/>
      <c r="D28" s="18"/>
    </row>
    <row r="29" spans="2:4" x14ac:dyDescent="0.35">
      <c r="B29" s="19"/>
      <c r="C29" s="19"/>
      <c r="D29" s="18"/>
    </row>
    <row r="30" spans="2:4" x14ac:dyDescent="0.35">
      <c r="B30" s="19"/>
      <c r="C30" s="19"/>
      <c r="D30" s="18"/>
    </row>
    <row r="31" spans="2:4" x14ac:dyDescent="0.35">
      <c r="B31" s="19"/>
      <c r="C31" s="19"/>
      <c r="D31" s="18"/>
    </row>
    <row r="32" spans="2:4" x14ac:dyDescent="0.35">
      <c r="B32" s="19"/>
      <c r="C32" s="19"/>
      <c r="D32" s="18"/>
    </row>
    <row r="33" spans="2:4" x14ac:dyDescent="0.35">
      <c r="B33" s="19"/>
      <c r="C33" s="19"/>
      <c r="D33" s="18"/>
    </row>
    <row r="34" spans="2:4" x14ac:dyDescent="0.35">
      <c r="B34" s="19"/>
      <c r="C34" s="19"/>
      <c r="D34" s="18"/>
    </row>
    <row r="35" spans="2:4" x14ac:dyDescent="0.35">
      <c r="B35" s="19"/>
      <c r="C35" s="19"/>
      <c r="D35" s="18"/>
    </row>
    <row r="36" spans="2:4" x14ac:dyDescent="0.35">
      <c r="B36" s="19"/>
      <c r="C36" s="19"/>
      <c r="D36" s="18"/>
    </row>
    <row r="37" spans="2:4" x14ac:dyDescent="0.35">
      <c r="B37" s="19"/>
      <c r="C37" s="19"/>
      <c r="D37" s="18"/>
    </row>
    <row r="38" spans="2:4" x14ac:dyDescent="0.35">
      <c r="B38" s="19"/>
      <c r="C38" s="19"/>
      <c r="D38" s="18"/>
    </row>
    <row r="39" spans="2:4" x14ac:dyDescent="0.35">
      <c r="B39" s="19"/>
      <c r="C39" s="19"/>
      <c r="D39" s="18"/>
    </row>
    <row r="40" spans="2:4" x14ac:dyDescent="0.35">
      <c r="B40" s="19"/>
      <c r="C40" s="19"/>
      <c r="D40" s="18"/>
    </row>
    <row r="41" spans="2:4" x14ac:dyDescent="0.35">
      <c r="B41" s="19"/>
      <c r="C41" s="19"/>
      <c r="D41" s="18"/>
    </row>
    <row r="42" spans="2:4" x14ac:dyDescent="0.35">
      <c r="B42" s="19"/>
      <c r="C42" s="19"/>
      <c r="D42" s="18"/>
    </row>
    <row r="43" spans="2:4" x14ac:dyDescent="0.35">
      <c r="B43" s="19"/>
      <c r="C43" s="19"/>
      <c r="D43" s="18"/>
    </row>
    <row r="44" spans="2:4" x14ac:dyDescent="0.35">
      <c r="B44" s="19"/>
      <c r="C44" s="19"/>
      <c r="D44" s="18"/>
    </row>
    <row r="45" spans="2:4" x14ac:dyDescent="0.35">
      <c r="B45" s="19"/>
      <c r="C45" s="19"/>
      <c r="D45" s="18"/>
    </row>
    <row r="46" spans="2:4" x14ac:dyDescent="0.35">
      <c r="B46" s="19"/>
      <c r="C46" s="19"/>
      <c r="D46" s="18"/>
    </row>
    <row r="47" spans="2:4" x14ac:dyDescent="0.35">
      <c r="B47" s="19"/>
      <c r="C47" s="19"/>
      <c r="D47" s="18"/>
    </row>
    <row r="48" spans="2:4" x14ac:dyDescent="0.35">
      <c r="B48" s="19"/>
      <c r="C48" s="19"/>
      <c r="D48" s="18"/>
    </row>
    <row r="49" spans="2:4" x14ac:dyDescent="0.35">
      <c r="B49" s="19"/>
      <c r="C49" s="19"/>
      <c r="D49" s="18"/>
    </row>
    <row r="50" spans="2:4" x14ac:dyDescent="0.35">
      <c r="B50" s="19"/>
      <c r="C50" s="19"/>
      <c r="D50" s="18"/>
    </row>
    <row r="51" spans="2:4" x14ac:dyDescent="0.35">
      <c r="B51" s="19"/>
      <c r="C51" s="19"/>
      <c r="D51" s="18"/>
    </row>
    <row r="52" spans="2:4" x14ac:dyDescent="0.35">
      <c r="B52" s="19"/>
      <c r="C52" s="19"/>
      <c r="D52" s="18"/>
    </row>
    <row r="53" spans="2:4" x14ac:dyDescent="0.35">
      <c r="B53" s="19"/>
      <c r="C53" s="19"/>
      <c r="D53" s="18"/>
    </row>
    <row r="54" spans="2:4" x14ac:dyDescent="0.35">
      <c r="B54" s="19"/>
      <c r="C54" s="19"/>
      <c r="D54" s="18"/>
    </row>
    <row r="55" spans="2:4" x14ac:dyDescent="0.35">
      <c r="B55" s="19"/>
      <c r="C55" s="19"/>
      <c r="D55" s="18"/>
    </row>
    <row r="56" spans="2:4" x14ac:dyDescent="0.35">
      <c r="B56" s="19"/>
      <c r="C56" s="19"/>
      <c r="D56" s="18"/>
    </row>
    <row r="57" spans="2:4" x14ac:dyDescent="0.35">
      <c r="B57" s="19"/>
      <c r="C57" s="19"/>
      <c r="D57" s="18"/>
    </row>
    <row r="58" spans="2:4" x14ac:dyDescent="0.35">
      <c r="B58" s="19"/>
      <c r="C58" s="19"/>
      <c r="D58" s="18"/>
    </row>
    <row r="59" spans="2:4" x14ac:dyDescent="0.35">
      <c r="B59" s="19"/>
      <c r="C59" s="19"/>
      <c r="D59" s="18"/>
    </row>
    <row r="60" spans="2:4" x14ac:dyDescent="0.35">
      <c r="B60" s="19"/>
      <c r="C60" s="19"/>
      <c r="D60" s="18"/>
    </row>
    <row r="61" spans="2:4" x14ac:dyDescent="0.35">
      <c r="B61" s="19"/>
      <c r="C61" s="19"/>
      <c r="D61" s="18"/>
    </row>
    <row r="62" spans="2:4" x14ac:dyDescent="0.35">
      <c r="B62" s="19"/>
      <c r="C62" s="19"/>
      <c r="D62" s="18"/>
    </row>
    <row r="63" spans="2:4" x14ac:dyDescent="0.35">
      <c r="B63" s="19"/>
      <c r="C63" s="19"/>
      <c r="D63" s="18"/>
    </row>
    <row r="64" spans="2:4" x14ac:dyDescent="0.35">
      <c r="B64" s="19"/>
      <c r="C64" s="19"/>
      <c r="D64" s="18"/>
    </row>
    <row r="65" spans="2:4" x14ac:dyDescent="0.35">
      <c r="B65" s="19"/>
      <c r="C65" s="19"/>
      <c r="D65" s="18"/>
    </row>
    <row r="66" spans="2:4" x14ac:dyDescent="0.35">
      <c r="B66" s="19"/>
      <c r="C66" s="19"/>
      <c r="D66" s="18"/>
    </row>
    <row r="67" spans="2:4" x14ac:dyDescent="0.35">
      <c r="B67" s="19"/>
      <c r="C67" s="19"/>
      <c r="D67" s="18"/>
    </row>
    <row r="68" spans="2:4" x14ac:dyDescent="0.35">
      <c r="B68" s="19"/>
      <c r="C68" s="19"/>
      <c r="D68" s="18"/>
    </row>
    <row r="69" spans="2:4" x14ac:dyDescent="0.35">
      <c r="B69" s="19"/>
      <c r="C69" s="19"/>
      <c r="D69" s="18"/>
    </row>
    <row r="70" spans="2:4" x14ac:dyDescent="0.35">
      <c r="B70" s="19"/>
      <c r="C70" s="19"/>
      <c r="D70" s="18"/>
    </row>
    <row r="71" spans="2:4" x14ac:dyDescent="0.35">
      <c r="B71" s="19"/>
      <c r="C71" s="19"/>
      <c r="D71" s="18"/>
    </row>
    <row r="72" spans="2:4" x14ac:dyDescent="0.35">
      <c r="B72" s="19"/>
      <c r="C72" s="19"/>
      <c r="D72" s="18"/>
    </row>
    <row r="73" spans="2:4" x14ac:dyDescent="0.35">
      <c r="B73" s="19"/>
      <c r="C73" s="19"/>
      <c r="D73" s="18"/>
    </row>
    <row r="74" spans="2:4" x14ac:dyDescent="0.35">
      <c r="B74" s="19"/>
      <c r="C74" s="19"/>
      <c r="D74" s="18"/>
    </row>
    <row r="75" spans="2:4" x14ac:dyDescent="0.35">
      <c r="B75" s="19"/>
      <c r="C75" s="19"/>
      <c r="D75" s="18"/>
    </row>
    <row r="76" spans="2:4" x14ac:dyDescent="0.35">
      <c r="B76" s="19"/>
      <c r="C76" s="19"/>
      <c r="D76" s="18"/>
    </row>
    <row r="77" spans="2:4" x14ac:dyDescent="0.35">
      <c r="B77" s="19"/>
      <c r="C77" s="19"/>
      <c r="D77" s="18"/>
    </row>
    <row r="78" spans="2:4" x14ac:dyDescent="0.35">
      <c r="B78" s="19"/>
      <c r="C78" s="19"/>
      <c r="D78" s="18"/>
    </row>
    <row r="79" spans="2:4" x14ac:dyDescent="0.35">
      <c r="B79" s="19"/>
      <c r="C79" s="19"/>
      <c r="D79" s="18"/>
    </row>
    <row r="80" spans="2:4" x14ac:dyDescent="0.35">
      <c r="B80" s="19"/>
      <c r="C80" s="19"/>
      <c r="D80" s="18"/>
    </row>
    <row r="81" spans="2:4" x14ac:dyDescent="0.35">
      <c r="B81" s="19"/>
      <c r="C81" s="19"/>
      <c r="D81" s="18"/>
    </row>
    <row r="82" spans="2:4" x14ac:dyDescent="0.35">
      <c r="B82" s="19"/>
      <c r="C82" s="19"/>
      <c r="D82" s="18"/>
    </row>
    <row r="83" spans="2:4" x14ac:dyDescent="0.35">
      <c r="B83" s="19"/>
      <c r="C83" s="19"/>
      <c r="D83" s="18"/>
    </row>
    <row r="84" spans="2:4" x14ac:dyDescent="0.35">
      <c r="B84" s="19"/>
      <c r="C84" s="19"/>
      <c r="D84" s="18"/>
    </row>
    <row r="85" spans="2:4" x14ac:dyDescent="0.35">
      <c r="B85" s="19"/>
      <c r="C85" s="19"/>
      <c r="D85" s="18"/>
    </row>
    <row r="86" spans="2:4" x14ac:dyDescent="0.35">
      <c r="B86" s="19"/>
      <c r="C86" s="19"/>
      <c r="D86" s="18"/>
    </row>
    <row r="87" spans="2:4" x14ac:dyDescent="0.35">
      <c r="B87" s="19"/>
      <c r="C87" s="19"/>
      <c r="D87" s="18"/>
    </row>
    <row r="88" spans="2:4" x14ac:dyDescent="0.35">
      <c r="B88" s="19"/>
      <c r="C88" s="19"/>
      <c r="D88" s="18"/>
    </row>
    <row r="89" spans="2:4" x14ac:dyDescent="0.35">
      <c r="B89" s="19"/>
      <c r="C89" s="19"/>
      <c r="D89" s="18"/>
    </row>
    <row r="90" spans="2:4" x14ac:dyDescent="0.35">
      <c r="B90" s="19"/>
      <c r="C90" s="19"/>
      <c r="D90" s="18"/>
    </row>
    <row r="91" spans="2:4" x14ac:dyDescent="0.35">
      <c r="B91" s="19"/>
      <c r="C91" s="19"/>
      <c r="D91" s="18"/>
    </row>
    <row r="92" spans="2:4" x14ac:dyDescent="0.35">
      <c r="B92" s="19"/>
      <c r="C92" s="19"/>
      <c r="D92" s="18"/>
    </row>
    <row r="93" spans="2:4" x14ac:dyDescent="0.35">
      <c r="B93" s="19"/>
      <c r="C93" s="19"/>
      <c r="D93" s="18"/>
    </row>
    <row r="94" spans="2:4" x14ac:dyDescent="0.35">
      <c r="B94" s="19"/>
      <c r="C94" s="19"/>
      <c r="D94" s="18"/>
    </row>
    <row r="95" spans="2:4" x14ac:dyDescent="0.35">
      <c r="B95" s="19"/>
      <c r="C95" s="19"/>
      <c r="D95" s="18"/>
    </row>
    <row r="96" spans="2:4" x14ac:dyDescent="0.35">
      <c r="B96" s="19"/>
      <c r="C96" s="19"/>
      <c r="D96" s="18"/>
    </row>
    <row r="97" spans="2:4" x14ac:dyDescent="0.35">
      <c r="B97" s="19"/>
      <c r="C97" s="19"/>
      <c r="D97" s="18"/>
    </row>
    <row r="98" spans="2:4" x14ac:dyDescent="0.35">
      <c r="B98" s="19"/>
      <c r="C98" s="19"/>
      <c r="D98" s="18"/>
    </row>
    <row r="99" spans="2:4" x14ac:dyDescent="0.35">
      <c r="B99" s="19"/>
      <c r="C99" s="19"/>
      <c r="D99" s="18"/>
    </row>
    <row r="100" spans="2:4" x14ac:dyDescent="0.35">
      <c r="B100" s="19"/>
      <c r="C100" s="19"/>
      <c r="D100" s="18"/>
    </row>
    <row r="101" spans="2:4" x14ac:dyDescent="0.35">
      <c r="B101" s="19"/>
      <c r="C101" s="19"/>
      <c r="D101" s="18"/>
    </row>
    <row r="102" spans="2:4" x14ac:dyDescent="0.35">
      <c r="B102" s="19"/>
      <c r="C102" s="19"/>
      <c r="D102" s="18"/>
    </row>
    <row r="103" spans="2:4" x14ac:dyDescent="0.35">
      <c r="B103" s="19"/>
      <c r="C103" s="19"/>
      <c r="D103" s="18"/>
    </row>
    <row r="104" spans="2:4" x14ac:dyDescent="0.35">
      <c r="B104" s="19"/>
      <c r="C104" s="19"/>
      <c r="D104" s="18"/>
    </row>
    <row r="105" spans="2:4" x14ac:dyDescent="0.35">
      <c r="B105" s="19"/>
      <c r="C105" s="19"/>
      <c r="D105" s="18"/>
    </row>
    <row r="106" spans="2:4" x14ac:dyDescent="0.35">
      <c r="B106" s="19"/>
      <c r="C106" s="19"/>
      <c r="D106" s="18"/>
    </row>
    <row r="107" spans="2:4" x14ac:dyDescent="0.35">
      <c r="B107" s="19"/>
      <c r="C107" s="19"/>
      <c r="D107" s="18"/>
    </row>
    <row r="108" spans="2:4" x14ac:dyDescent="0.35">
      <c r="B108" s="19"/>
      <c r="C108" s="19"/>
      <c r="D108" s="18"/>
    </row>
    <row r="109" spans="2:4" x14ac:dyDescent="0.35">
      <c r="B109" s="19"/>
      <c r="C109" s="19"/>
      <c r="D109" s="18"/>
    </row>
    <row r="110" spans="2:4" x14ac:dyDescent="0.35">
      <c r="B110" s="19"/>
      <c r="C110" s="19"/>
      <c r="D110" s="18"/>
    </row>
    <row r="111" spans="2:4" x14ac:dyDescent="0.35">
      <c r="B111" s="19"/>
      <c r="C111" s="19"/>
      <c r="D111" s="18"/>
    </row>
    <row r="112" spans="2:4" x14ac:dyDescent="0.35">
      <c r="B112" s="19"/>
      <c r="C112" s="19"/>
      <c r="D112" s="18"/>
    </row>
    <row r="113" spans="2:4" x14ac:dyDescent="0.35">
      <c r="B113" s="19"/>
      <c r="C113" s="19"/>
      <c r="D113" s="18"/>
    </row>
    <row r="114" spans="2:4" x14ac:dyDescent="0.35">
      <c r="B114" s="19"/>
      <c r="C114" s="19"/>
      <c r="D114" s="18"/>
    </row>
    <row r="115" spans="2:4" x14ac:dyDescent="0.35">
      <c r="B115" s="19"/>
      <c r="C115" s="19"/>
      <c r="D115" s="18"/>
    </row>
    <row r="116" spans="2:4" x14ac:dyDescent="0.35">
      <c r="B116" s="19"/>
      <c r="C116" s="19"/>
      <c r="D116" s="18"/>
    </row>
    <row r="117" spans="2:4" x14ac:dyDescent="0.35">
      <c r="B117" s="19"/>
      <c r="C117" s="19"/>
      <c r="D117" s="18"/>
    </row>
    <row r="118" spans="2:4" x14ac:dyDescent="0.35">
      <c r="B118" s="19"/>
      <c r="C118" s="19"/>
      <c r="D118" s="18"/>
    </row>
    <row r="119" spans="2:4" x14ac:dyDescent="0.35">
      <c r="B119" s="19"/>
      <c r="C119" s="19"/>
      <c r="D119" s="18"/>
    </row>
    <row r="120" spans="2:4" x14ac:dyDescent="0.35">
      <c r="B120" s="19"/>
      <c r="C120" s="19"/>
      <c r="D120" s="18"/>
    </row>
    <row r="121" spans="2:4" x14ac:dyDescent="0.35">
      <c r="B121" s="19"/>
      <c r="C121" s="19"/>
      <c r="D121" s="18"/>
    </row>
    <row r="122" spans="2:4" x14ac:dyDescent="0.35">
      <c r="B122" s="19"/>
      <c r="C122" s="19"/>
      <c r="D122" s="18"/>
    </row>
    <row r="123" spans="2:4" x14ac:dyDescent="0.35">
      <c r="B123" s="19"/>
      <c r="C123" s="19"/>
      <c r="D123" s="18"/>
    </row>
    <row r="124" spans="2:4" x14ac:dyDescent="0.35">
      <c r="B124" s="19"/>
      <c r="C124" s="19"/>
      <c r="D124" s="18"/>
    </row>
    <row r="125" spans="2:4" x14ac:dyDescent="0.35">
      <c r="B125" s="19"/>
      <c r="C125" s="19"/>
      <c r="D125" s="18"/>
    </row>
    <row r="126" spans="2:4" x14ac:dyDescent="0.35">
      <c r="B126" s="19"/>
      <c r="C126" s="19"/>
      <c r="D126" s="18"/>
    </row>
    <row r="127" spans="2:4" x14ac:dyDescent="0.35">
      <c r="B127" s="19"/>
      <c r="C127" s="19"/>
      <c r="D127" s="18"/>
    </row>
    <row r="128" spans="2:4" x14ac:dyDescent="0.35">
      <c r="B128" s="19"/>
      <c r="C128" s="19"/>
      <c r="D128" s="18"/>
    </row>
    <row r="129" spans="2:4" x14ac:dyDescent="0.35">
      <c r="B129" s="19"/>
      <c r="C129" s="19"/>
      <c r="D129" s="18"/>
    </row>
    <row r="130" spans="2:4" x14ac:dyDescent="0.35">
      <c r="B130" s="19"/>
      <c r="C130" s="19"/>
      <c r="D130" s="18"/>
    </row>
    <row r="131" spans="2:4" x14ac:dyDescent="0.35">
      <c r="B131" s="19"/>
      <c r="C131" s="19"/>
      <c r="D131" s="18"/>
    </row>
    <row r="132" spans="2:4" x14ac:dyDescent="0.35">
      <c r="B132" s="19"/>
      <c r="C132" s="19"/>
      <c r="D132" s="18"/>
    </row>
    <row r="133" spans="2:4" x14ac:dyDescent="0.35">
      <c r="B133" s="19"/>
      <c r="C133" s="19"/>
      <c r="D133" s="18"/>
    </row>
    <row r="134" spans="2:4" x14ac:dyDescent="0.35">
      <c r="B134" s="19"/>
      <c r="C134" s="19"/>
      <c r="D134" s="18"/>
    </row>
    <row r="135" spans="2:4" x14ac:dyDescent="0.35">
      <c r="B135" s="19"/>
      <c r="C135" s="19"/>
      <c r="D135" s="18"/>
    </row>
    <row r="136" spans="2:4" x14ac:dyDescent="0.35">
      <c r="B136" s="19"/>
      <c r="C136" s="19"/>
      <c r="D136" s="18"/>
    </row>
    <row r="137" spans="2:4" x14ac:dyDescent="0.35">
      <c r="D137"/>
    </row>
    <row r="138" spans="2:4" x14ac:dyDescent="0.35">
      <c r="D138"/>
    </row>
    <row r="139" spans="2:4" x14ac:dyDescent="0.35">
      <c r="D139"/>
    </row>
    <row r="140" spans="2:4" x14ac:dyDescent="0.35">
      <c r="D140"/>
    </row>
    <row r="141" spans="2:4" x14ac:dyDescent="0.35">
      <c r="D141"/>
    </row>
    <row r="142" spans="2:4" x14ac:dyDescent="0.35">
      <c r="D142"/>
    </row>
    <row r="143" spans="2:4" x14ac:dyDescent="0.35">
      <c r="D143"/>
    </row>
    <row r="144" spans="2:4" x14ac:dyDescent="0.35">
      <c r="D144"/>
    </row>
    <row r="145" spans="4:4" x14ac:dyDescent="0.35">
      <c r="D145"/>
    </row>
    <row r="146" spans="4:4" x14ac:dyDescent="0.35">
      <c r="D146"/>
    </row>
    <row r="147" spans="4:4" x14ac:dyDescent="0.35">
      <c r="D147"/>
    </row>
    <row r="148" spans="4:4" x14ac:dyDescent="0.35">
      <c r="D148"/>
    </row>
    <row r="149" spans="4:4" x14ac:dyDescent="0.35">
      <c r="D149"/>
    </row>
    <row r="150" spans="4:4" x14ac:dyDescent="0.35">
      <c r="D150"/>
    </row>
    <row r="151" spans="4:4" x14ac:dyDescent="0.35">
      <c r="D151"/>
    </row>
    <row r="152" spans="4:4" x14ac:dyDescent="0.35">
      <c r="D152"/>
    </row>
    <row r="153" spans="4:4" x14ac:dyDescent="0.35">
      <c r="D153"/>
    </row>
    <row r="154" spans="4:4" x14ac:dyDescent="0.35">
      <c r="D154"/>
    </row>
    <row r="155" spans="4:4" x14ac:dyDescent="0.35">
      <c r="D155"/>
    </row>
    <row r="156" spans="4:4" x14ac:dyDescent="0.35">
      <c r="D156"/>
    </row>
    <row r="157" spans="4:4" x14ac:dyDescent="0.35">
      <c r="D157"/>
    </row>
    <row r="158" spans="4:4" x14ac:dyDescent="0.35">
      <c r="D158"/>
    </row>
    <row r="159" spans="4:4" x14ac:dyDescent="0.35">
      <c r="D159"/>
    </row>
    <row r="160" spans="4:4" x14ac:dyDescent="0.35">
      <c r="D160"/>
    </row>
    <row r="161" spans="4:4" x14ac:dyDescent="0.35">
      <c r="D161"/>
    </row>
    <row r="162" spans="4:4" x14ac:dyDescent="0.35">
      <c r="D162"/>
    </row>
    <row r="163" spans="4:4" x14ac:dyDescent="0.35">
      <c r="D163"/>
    </row>
    <row r="164" spans="4:4" x14ac:dyDescent="0.35">
      <c r="D164"/>
    </row>
    <row r="165" spans="4:4" x14ac:dyDescent="0.35">
      <c r="D165"/>
    </row>
    <row r="166" spans="4:4" x14ac:dyDescent="0.35">
      <c r="D166"/>
    </row>
    <row r="167" spans="4:4" x14ac:dyDescent="0.35">
      <c r="D167"/>
    </row>
    <row r="168" spans="4:4" x14ac:dyDescent="0.35">
      <c r="D168"/>
    </row>
    <row r="169" spans="4:4" x14ac:dyDescent="0.35">
      <c r="D169"/>
    </row>
    <row r="170" spans="4:4" x14ac:dyDescent="0.35">
      <c r="D170"/>
    </row>
    <row r="171" spans="4:4" x14ac:dyDescent="0.35">
      <c r="D171"/>
    </row>
    <row r="172" spans="4:4" x14ac:dyDescent="0.35">
      <c r="D172"/>
    </row>
    <row r="173" spans="4:4" x14ac:dyDescent="0.35">
      <c r="D173"/>
    </row>
    <row r="174" spans="4:4" x14ac:dyDescent="0.35">
      <c r="D174"/>
    </row>
    <row r="175" spans="4:4" x14ac:dyDescent="0.35">
      <c r="D175"/>
    </row>
    <row r="176" spans="4:4" x14ac:dyDescent="0.35">
      <c r="D176"/>
    </row>
    <row r="177" spans="4:4" x14ac:dyDescent="0.35">
      <c r="D177"/>
    </row>
    <row r="178" spans="4:4" x14ac:dyDescent="0.35">
      <c r="D178"/>
    </row>
    <row r="179" spans="4:4" x14ac:dyDescent="0.35">
      <c r="D179"/>
    </row>
    <row r="180" spans="4:4" x14ac:dyDescent="0.35">
      <c r="D180"/>
    </row>
    <row r="181" spans="4:4" x14ac:dyDescent="0.35">
      <c r="D181"/>
    </row>
    <row r="182" spans="4:4" x14ac:dyDescent="0.35">
      <c r="D182"/>
    </row>
    <row r="183" spans="4:4" x14ac:dyDescent="0.35">
      <c r="D183"/>
    </row>
    <row r="184" spans="4:4" x14ac:dyDescent="0.35">
      <c r="D184"/>
    </row>
    <row r="185" spans="4:4" x14ac:dyDescent="0.35">
      <c r="D185"/>
    </row>
    <row r="186" spans="4:4" x14ac:dyDescent="0.35">
      <c r="D186"/>
    </row>
    <row r="187" spans="4:4" x14ac:dyDescent="0.35">
      <c r="D187"/>
    </row>
    <row r="188" spans="4:4" x14ac:dyDescent="0.35">
      <c r="D188"/>
    </row>
    <row r="189" spans="4:4" x14ac:dyDescent="0.35">
      <c r="D189"/>
    </row>
    <row r="190" spans="4:4" x14ac:dyDescent="0.35">
      <c r="D190"/>
    </row>
    <row r="191" spans="4:4" x14ac:dyDescent="0.35">
      <c r="D191"/>
    </row>
    <row r="192" spans="4:4" x14ac:dyDescent="0.35">
      <c r="D192"/>
    </row>
    <row r="193" spans="4:4" x14ac:dyDescent="0.35">
      <c r="D193"/>
    </row>
    <row r="194" spans="4:4" x14ac:dyDescent="0.35">
      <c r="D194"/>
    </row>
    <row r="195" spans="4:4" x14ac:dyDescent="0.35">
      <c r="D195"/>
    </row>
    <row r="196" spans="4:4" x14ac:dyDescent="0.35">
      <c r="D196"/>
    </row>
    <row r="197" spans="4:4" x14ac:dyDescent="0.35">
      <c r="D197"/>
    </row>
    <row r="198" spans="4:4" x14ac:dyDescent="0.35">
      <c r="D198"/>
    </row>
    <row r="199" spans="4:4" x14ac:dyDescent="0.35">
      <c r="D199"/>
    </row>
    <row r="200" spans="4:4" x14ac:dyDescent="0.35">
      <c r="D200"/>
    </row>
    <row r="201" spans="4:4" x14ac:dyDescent="0.35">
      <c r="D201"/>
    </row>
    <row r="202" spans="4:4" x14ac:dyDescent="0.35">
      <c r="D202"/>
    </row>
    <row r="203" spans="4:4" x14ac:dyDescent="0.35">
      <c r="D203"/>
    </row>
    <row r="204" spans="4:4" x14ac:dyDescent="0.35">
      <c r="D204"/>
    </row>
    <row r="205" spans="4:4" x14ac:dyDescent="0.35">
      <c r="D205"/>
    </row>
    <row r="206" spans="4:4" x14ac:dyDescent="0.35">
      <c r="D206"/>
    </row>
    <row r="207" spans="4:4" x14ac:dyDescent="0.35">
      <c r="D207"/>
    </row>
    <row r="208" spans="4:4" x14ac:dyDescent="0.35">
      <c r="D208"/>
    </row>
    <row r="209" spans="4:4" x14ac:dyDescent="0.35">
      <c r="D209"/>
    </row>
    <row r="210" spans="4:4" x14ac:dyDescent="0.35">
      <c r="D210"/>
    </row>
    <row r="211" spans="4:4" x14ac:dyDescent="0.35">
      <c r="D211"/>
    </row>
    <row r="212" spans="4:4" x14ac:dyDescent="0.35">
      <c r="D212"/>
    </row>
    <row r="213" spans="4:4" x14ac:dyDescent="0.35">
      <c r="D213"/>
    </row>
    <row r="214" spans="4:4" x14ac:dyDescent="0.35">
      <c r="D214"/>
    </row>
    <row r="215" spans="4:4" x14ac:dyDescent="0.35">
      <c r="D215"/>
    </row>
    <row r="216" spans="4:4" x14ac:dyDescent="0.35">
      <c r="D216"/>
    </row>
    <row r="217" spans="4:4" x14ac:dyDescent="0.35">
      <c r="D217"/>
    </row>
    <row r="218" spans="4:4" x14ac:dyDescent="0.35">
      <c r="D218"/>
    </row>
    <row r="219" spans="4:4" x14ac:dyDescent="0.35">
      <c r="D219"/>
    </row>
    <row r="220" spans="4:4" x14ac:dyDescent="0.35">
      <c r="D220"/>
    </row>
    <row r="221" spans="4:4" x14ac:dyDescent="0.35">
      <c r="D221"/>
    </row>
    <row r="222" spans="4:4" x14ac:dyDescent="0.35">
      <c r="D222"/>
    </row>
    <row r="223" spans="4:4" x14ac:dyDescent="0.35">
      <c r="D223"/>
    </row>
    <row r="224" spans="4:4" x14ac:dyDescent="0.35">
      <c r="D224"/>
    </row>
    <row r="225" spans="4:4" x14ac:dyDescent="0.35">
      <c r="D225"/>
    </row>
    <row r="226" spans="4:4" x14ac:dyDescent="0.35">
      <c r="D226"/>
    </row>
    <row r="227" spans="4:4" x14ac:dyDescent="0.35">
      <c r="D227"/>
    </row>
    <row r="228" spans="4:4" x14ac:dyDescent="0.35">
      <c r="D228"/>
    </row>
    <row r="229" spans="4:4" x14ac:dyDescent="0.35">
      <c r="D229"/>
    </row>
    <row r="230" spans="4:4" x14ac:dyDescent="0.35">
      <c r="D230"/>
    </row>
    <row r="231" spans="4:4" x14ac:dyDescent="0.35">
      <c r="D231"/>
    </row>
    <row r="232" spans="4:4" x14ac:dyDescent="0.35">
      <c r="D232"/>
    </row>
    <row r="233" spans="4:4" x14ac:dyDescent="0.35">
      <c r="D233"/>
    </row>
    <row r="234" spans="4:4" x14ac:dyDescent="0.35">
      <c r="D234"/>
    </row>
    <row r="235" spans="4:4" x14ac:dyDescent="0.35">
      <c r="D235"/>
    </row>
    <row r="236" spans="4:4" x14ac:dyDescent="0.35">
      <c r="D236"/>
    </row>
    <row r="237" spans="4:4" x14ac:dyDescent="0.35">
      <c r="D237"/>
    </row>
    <row r="238" spans="4:4" x14ac:dyDescent="0.35">
      <c r="D238"/>
    </row>
    <row r="239" spans="4:4" x14ac:dyDescent="0.35">
      <c r="D239"/>
    </row>
    <row r="240" spans="4:4" x14ac:dyDescent="0.35">
      <c r="D240"/>
    </row>
    <row r="241" spans="4:4" x14ac:dyDescent="0.35">
      <c r="D241"/>
    </row>
    <row r="242" spans="4:4" x14ac:dyDescent="0.35">
      <c r="D242"/>
    </row>
    <row r="243" spans="4:4" x14ac:dyDescent="0.35">
      <c r="D243"/>
    </row>
    <row r="244" spans="4:4" x14ac:dyDescent="0.35">
      <c r="D244"/>
    </row>
    <row r="245" spans="4:4" x14ac:dyDescent="0.35">
      <c r="D245"/>
    </row>
    <row r="246" spans="4:4" x14ac:dyDescent="0.35">
      <c r="D246"/>
    </row>
    <row r="247" spans="4:4" x14ac:dyDescent="0.35">
      <c r="D247"/>
    </row>
    <row r="248" spans="4:4" x14ac:dyDescent="0.35">
      <c r="D248"/>
    </row>
    <row r="249" spans="4:4" x14ac:dyDescent="0.35">
      <c r="D249"/>
    </row>
    <row r="250" spans="4:4" x14ac:dyDescent="0.35">
      <c r="D250"/>
    </row>
    <row r="251" spans="4:4" x14ac:dyDescent="0.35">
      <c r="D251"/>
    </row>
    <row r="252" spans="4:4" x14ac:dyDescent="0.35">
      <c r="D252"/>
    </row>
    <row r="253" spans="4:4" x14ac:dyDescent="0.35">
      <c r="D253"/>
    </row>
    <row r="254" spans="4:4" x14ac:dyDescent="0.35">
      <c r="D254"/>
    </row>
    <row r="255" spans="4:4" x14ac:dyDescent="0.35">
      <c r="D255"/>
    </row>
    <row r="256" spans="4:4" x14ac:dyDescent="0.35">
      <c r="D256"/>
    </row>
    <row r="257" spans="4:4" x14ac:dyDescent="0.35">
      <c r="D257"/>
    </row>
    <row r="258" spans="4:4" x14ac:dyDescent="0.35">
      <c r="D258"/>
    </row>
    <row r="259" spans="4:4" x14ac:dyDescent="0.35">
      <c r="D259"/>
    </row>
    <row r="260" spans="4:4" x14ac:dyDescent="0.35">
      <c r="D260"/>
    </row>
    <row r="261" spans="4:4" x14ac:dyDescent="0.35">
      <c r="D261"/>
    </row>
    <row r="262" spans="4:4" x14ac:dyDescent="0.35">
      <c r="D262"/>
    </row>
    <row r="263" spans="4:4" x14ac:dyDescent="0.35">
      <c r="D263"/>
    </row>
    <row r="264" spans="4:4" x14ac:dyDescent="0.35">
      <c r="D264"/>
    </row>
    <row r="265" spans="4:4" x14ac:dyDescent="0.35">
      <c r="D265"/>
    </row>
    <row r="266" spans="4:4" x14ac:dyDescent="0.35">
      <c r="D266"/>
    </row>
    <row r="267" spans="4:4" x14ac:dyDescent="0.35">
      <c r="D267"/>
    </row>
    <row r="268" spans="4:4" x14ac:dyDescent="0.35">
      <c r="D268"/>
    </row>
    <row r="269" spans="4:4" x14ac:dyDescent="0.35">
      <c r="D269"/>
    </row>
    <row r="270" spans="4:4" x14ac:dyDescent="0.35">
      <c r="D270"/>
    </row>
    <row r="271" spans="4:4" x14ac:dyDescent="0.35">
      <c r="D271"/>
    </row>
    <row r="272" spans="4:4" x14ac:dyDescent="0.35">
      <c r="D272"/>
    </row>
    <row r="273" spans="4:4" x14ac:dyDescent="0.35">
      <c r="D273"/>
    </row>
    <row r="274" spans="4:4" x14ac:dyDescent="0.35">
      <c r="D274"/>
    </row>
    <row r="275" spans="4:4" x14ac:dyDescent="0.35">
      <c r="D275"/>
    </row>
    <row r="276" spans="4:4" x14ac:dyDescent="0.35">
      <c r="D276"/>
    </row>
    <row r="277" spans="4:4" x14ac:dyDescent="0.35">
      <c r="D277"/>
    </row>
    <row r="278" spans="4:4" x14ac:dyDescent="0.35">
      <c r="D278"/>
    </row>
    <row r="279" spans="4:4" x14ac:dyDescent="0.35">
      <c r="D279"/>
    </row>
    <row r="280" spans="4:4" x14ac:dyDescent="0.35">
      <c r="D280"/>
    </row>
    <row r="281" spans="4:4" x14ac:dyDescent="0.35">
      <c r="D281"/>
    </row>
    <row r="282" spans="4:4" x14ac:dyDescent="0.35">
      <c r="D282"/>
    </row>
    <row r="283" spans="4:4" x14ac:dyDescent="0.35">
      <c r="D283"/>
    </row>
    <row r="284" spans="4:4" x14ac:dyDescent="0.35">
      <c r="D284"/>
    </row>
    <row r="285" spans="4:4" x14ac:dyDescent="0.35">
      <c r="D285"/>
    </row>
    <row r="286" spans="4:4" x14ac:dyDescent="0.35">
      <c r="D286"/>
    </row>
    <row r="287" spans="4:4" x14ac:dyDescent="0.35">
      <c r="D287"/>
    </row>
    <row r="288" spans="4:4" x14ac:dyDescent="0.35">
      <c r="D288"/>
    </row>
    <row r="289" spans="4:4" x14ac:dyDescent="0.35">
      <c r="D289"/>
    </row>
    <row r="290" spans="4:4" x14ac:dyDescent="0.35">
      <c r="D290"/>
    </row>
    <row r="291" spans="4:4" x14ac:dyDescent="0.35">
      <c r="D291"/>
    </row>
    <row r="292" spans="4:4" x14ac:dyDescent="0.35">
      <c r="D292"/>
    </row>
    <row r="293" spans="4:4" x14ac:dyDescent="0.35">
      <c r="D293"/>
    </row>
    <row r="294" spans="4:4" x14ac:dyDescent="0.35">
      <c r="D294"/>
    </row>
    <row r="295" spans="4:4" x14ac:dyDescent="0.35">
      <c r="D295"/>
    </row>
    <row r="296" spans="4:4" x14ac:dyDescent="0.35">
      <c r="D296"/>
    </row>
    <row r="297" spans="4:4" x14ac:dyDescent="0.35">
      <c r="D297"/>
    </row>
    <row r="298" spans="4:4" x14ac:dyDescent="0.35">
      <c r="D298"/>
    </row>
    <row r="299" spans="4:4" x14ac:dyDescent="0.35">
      <c r="D299"/>
    </row>
    <row r="300" spans="4:4" x14ac:dyDescent="0.35">
      <c r="D300"/>
    </row>
    <row r="301" spans="4:4" x14ac:dyDescent="0.35">
      <c r="D301"/>
    </row>
    <row r="302" spans="4:4" x14ac:dyDescent="0.35">
      <c r="D302"/>
    </row>
    <row r="303" spans="4:4" x14ac:dyDescent="0.35">
      <c r="D303"/>
    </row>
    <row r="304" spans="4:4" x14ac:dyDescent="0.35">
      <c r="D304"/>
    </row>
    <row r="305" spans="4:4" x14ac:dyDescent="0.35">
      <c r="D305"/>
    </row>
    <row r="306" spans="4:4" x14ac:dyDescent="0.35">
      <c r="D306"/>
    </row>
    <row r="307" spans="4:4" x14ac:dyDescent="0.35">
      <c r="D307"/>
    </row>
    <row r="308" spans="4:4" x14ac:dyDescent="0.35">
      <c r="D308"/>
    </row>
    <row r="309" spans="4:4" x14ac:dyDescent="0.35">
      <c r="D309"/>
    </row>
    <row r="310" spans="4:4" x14ac:dyDescent="0.35">
      <c r="D310"/>
    </row>
    <row r="311" spans="4:4" x14ac:dyDescent="0.35">
      <c r="D311"/>
    </row>
    <row r="312" spans="4:4" x14ac:dyDescent="0.35">
      <c r="D312"/>
    </row>
    <row r="313" spans="4:4" x14ac:dyDescent="0.35">
      <c r="D313"/>
    </row>
    <row r="314" spans="4:4" x14ac:dyDescent="0.35">
      <c r="D314"/>
    </row>
    <row r="315" spans="4:4" x14ac:dyDescent="0.35">
      <c r="D315"/>
    </row>
    <row r="316" spans="4:4" x14ac:dyDescent="0.35">
      <c r="D316"/>
    </row>
    <row r="317" spans="4:4" x14ac:dyDescent="0.35">
      <c r="D317"/>
    </row>
    <row r="318" spans="4:4" x14ac:dyDescent="0.35">
      <c r="D318"/>
    </row>
    <row r="319" spans="4:4" x14ac:dyDescent="0.35">
      <c r="D319"/>
    </row>
    <row r="320" spans="4:4" x14ac:dyDescent="0.35">
      <c r="D320"/>
    </row>
    <row r="321" spans="4:4" x14ac:dyDescent="0.35">
      <c r="D321"/>
    </row>
    <row r="322" spans="4:4" x14ac:dyDescent="0.35">
      <c r="D322"/>
    </row>
    <row r="323" spans="4:4" x14ac:dyDescent="0.35">
      <c r="D323"/>
    </row>
    <row r="324" spans="4:4" x14ac:dyDescent="0.35">
      <c r="D324"/>
    </row>
    <row r="325" spans="4:4" x14ac:dyDescent="0.35">
      <c r="D325"/>
    </row>
    <row r="326" spans="4:4" x14ac:dyDescent="0.35">
      <c r="D326"/>
    </row>
    <row r="327" spans="4:4" x14ac:dyDescent="0.35">
      <c r="D327"/>
    </row>
    <row r="328" spans="4:4" x14ac:dyDescent="0.35">
      <c r="D328"/>
    </row>
    <row r="329" spans="4:4" x14ac:dyDescent="0.35">
      <c r="D329"/>
    </row>
    <row r="330" spans="4:4" x14ac:dyDescent="0.35">
      <c r="D330"/>
    </row>
    <row r="331" spans="4:4" x14ac:dyDescent="0.35">
      <c r="D331"/>
    </row>
    <row r="332" spans="4:4" x14ac:dyDescent="0.35">
      <c r="D332"/>
    </row>
    <row r="333" spans="4:4" x14ac:dyDescent="0.35">
      <c r="D333"/>
    </row>
    <row r="334" spans="4:4" x14ac:dyDescent="0.35">
      <c r="D334"/>
    </row>
    <row r="335" spans="4:4" x14ac:dyDescent="0.35">
      <c r="D335"/>
    </row>
    <row r="336" spans="4:4" x14ac:dyDescent="0.35">
      <c r="D336"/>
    </row>
    <row r="337" spans="4:4" x14ac:dyDescent="0.35">
      <c r="D337"/>
    </row>
    <row r="338" spans="4:4" x14ac:dyDescent="0.35">
      <c r="D338"/>
    </row>
    <row r="339" spans="4:4" x14ac:dyDescent="0.35">
      <c r="D339"/>
    </row>
    <row r="340" spans="4:4" x14ac:dyDescent="0.35">
      <c r="D340"/>
    </row>
    <row r="341" spans="4:4" x14ac:dyDescent="0.35">
      <c r="D341"/>
    </row>
    <row r="342" spans="4:4" x14ac:dyDescent="0.35">
      <c r="D342"/>
    </row>
    <row r="343" spans="4:4" x14ac:dyDescent="0.35">
      <c r="D343"/>
    </row>
    <row r="344" spans="4:4" x14ac:dyDescent="0.35">
      <c r="D344"/>
    </row>
    <row r="345" spans="4:4" x14ac:dyDescent="0.35">
      <c r="D345"/>
    </row>
    <row r="346" spans="4:4" x14ac:dyDescent="0.35">
      <c r="D346"/>
    </row>
    <row r="347" spans="4:4" x14ac:dyDescent="0.35">
      <c r="D347"/>
    </row>
    <row r="348" spans="4:4" x14ac:dyDescent="0.35">
      <c r="D348"/>
    </row>
    <row r="349" spans="4:4" x14ac:dyDescent="0.35">
      <c r="D349"/>
    </row>
    <row r="350" spans="4:4" x14ac:dyDescent="0.35">
      <c r="D350"/>
    </row>
    <row r="351" spans="4:4" x14ac:dyDescent="0.35">
      <c r="D351"/>
    </row>
    <row r="352" spans="4:4" x14ac:dyDescent="0.35">
      <c r="D352"/>
    </row>
    <row r="353" spans="4:4" x14ac:dyDescent="0.35">
      <c r="D353"/>
    </row>
    <row r="354" spans="4:4" x14ac:dyDescent="0.35">
      <c r="D354"/>
    </row>
    <row r="355" spans="4:4" x14ac:dyDescent="0.35">
      <c r="D355"/>
    </row>
    <row r="356" spans="4:4" x14ac:dyDescent="0.35">
      <c r="D356"/>
    </row>
    <row r="357" spans="4:4" x14ac:dyDescent="0.35">
      <c r="D357"/>
    </row>
    <row r="358" spans="4:4" x14ac:dyDescent="0.35">
      <c r="D358"/>
    </row>
    <row r="359" spans="4:4" x14ac:dyDescent="0.35">
      <c r="D359"/>
    </row>
    <row r="360" spans="4:4" x14ac:dyDescent="0.35">
      <c r="D360"/>
    </row>
    <row r="361" spans="4:4" x14ac:dyDescent="0.35">
      <c r="D361"/>
    </row>
    <row r="362" spans="4:4" x14ac:dyDescent="0.35">
      <c r="D362"/>
    </row>
    <row r="363" spans="4:4" x14ac:dyDescent="0.35">
      <c r="D363"/>
    </row>
    <row r="364" spans="4:4" x14ac:dyDescent="0.35">
      <c r="D364"/>
    </row>
    <row r="365" spans="4:4" x14ac:dyDescent="0.35">
      <c r="D365"/>
    </row>
    <row r="366" spans="4:4" x14ac:dyDescent="0.35">
      <c r="D366"/>
    </row>
    <row r="367" spans="4:4" x14ac:dyDescent="0.35">
      <c r="D367"/>
    </row>
    <row r="368" spans="4:4" x14ac:dyDescent="0.35">
      <c r="D368"/>
    </row>
    <row r="369" spans="4:4" x14ac:dyDescent="0.35">
      <c r="D369"/>
    </row>
    <row r="370" spans="4:4" x14ac:dyDescent="0.35">
      <c r="D370"/>
    </row>
    <row r="371" spans="4:4" x14ac:dyDescent="0.35">
      <c r="D371"/>
    </row>
    <row r="372" spans="4:4" x14ac:dyDescent="0.35">
      <c r="D372"/>
    </row>
    <row r="373" spans="4:4" x14ac:dyDescent="0.35">
      <c r="D373"/>
    </row>
    <row r="374" spans="4:4" x14ac:dyDescent="0.35">
      <c r="D374"/>
    </row>
    <row r="375" spans="4:4" x14ac:dyDescent="0.35">
      <c r="D375"/>
    </row>
    <row r="376" spans="4:4" x14ac:dyDescent="0.35">
      <c r="D376"/>
    </row>
    <row r="377" spans="4:4" x14ac:dyDescent="0.35">
      <c r="D377"/>
    </row>
    <row r="378" spans="4:4" x14ac:dyDescent="0.35">
      <c r="D378"/>
    </row>
    <row r="379" spans="4:4" x14ac:dyDescent="0.35">
      <c r="D379"/>
    </row>
    <row r="380" spans="4:4" x14ac:dyDescent="0.35">
      <c r="D380"/>
    </row>
    <row r="381" spans="4:4" x14ac:dyDescent="0.35">
      <c r="D381"/>
    </row>
    <row r="382" spans="4:4" x14ac:dyDescent="0.35">
      <c r="D382"/>
    </row>
    <row r="383" spans="4:4" x14ac:dyDescent="0.35">
      <c r="D383"/>
    </row>
    <row r="384" spans="4:4" x14ac:dyDescent="0.35">
      <c r="D384"/>
    </row>
    <row r="385" spans="4:4" x14ac:dyDescent="0.35">
      <c r="D385"/>
    </row>
    <row r="386" spans="4:4" x14ac:dyDescent="0.35">
      <c r="D386"/>
    </row>
    <row r="387" spans="4:4" x14ac:dyDescent="0.35">
      <c r="D387"/>
    </row>
    <row r="388" spans="4:4" x14ac:dyDescent="0.35">
      <c r="D388"/>
    </row>
    <row r="389" spans="4:4" x14ac:dyDescent="0.35">
      <c r="D389"/>
    </row>
    <row r="390" spans="4:4" x14ac:dyDescent="0.35">
      <c r="D390"/>
    </row>
    <row r="391" spans="4:4" x14ac:dyDescent="0.35">
      <c r="D391"/>
    </row>
    <row r="392" spans="4:4" x14ac:dyDescent="0.35">
      <c r="D392"/>
    </row>
    <row r="393" spans="4:4" x14ac:dyDescent="0.35">
      <c r="D393"/>
    </row>
    <row r="394" spans="4:4" x14ac:dyDescent="0.35">
      <c r="D394"/>
    </row>
    <row r="395" spans="4:4" x14ac:dyDescent="0.35">
      <c r="D395"/>
    </row>
    <row r="396" spans="4:4" x14ac:dyDescent="0.35">
      <c r="D396"/>
    </row>
    <row r="397" spans="4:4" x14ac:dyDescent="0.35">
      <c r="D397"/>
    </row>
    <row r="398" spans="4:4" x14ac:dyDescent="0.35">
      <c r="D398"/>
    </row>
    <row r="399" spans="4:4" x14ac:dyDescent="0.35">
      <c r="D399"/>
    </row>
    <row r="400" spans="4:4" x14ac:dyDescent="0.35">
      <c r="D400"/>
    </row>
    <row r="401" spans="4:4" x14ac:dyDescent="0.35">
      <c r="D401"/>
    </row>
    <row r="402" spans="4:4" x14ac:dyDescent="0.35">
      <c r="D402"/>
    </row>
    <row r="403" spans="4:4" x14ac:dyDescent="0.35">
      <c r="D403"/>
    </row>
    <row r="404" spans="4:4" x14ac:dyDescent="0.35">
      <c r="D404"/>
    </row>
    <row r="405" spans="4:4" x14ac:dyDescent="0.35">
      <c r="D405"/>
    </row>
    <row r="406" spans="4:4" x14ac:dyDescent="0.35">
      <c r="D406"/>
    </row>
    <row r="407" spans="4:4" x14ac:dyDescent="0.35">
      <c r="D407"/>
    </row>
    <row r="408" spans="4:4" x14ac:dyDescent="0.35">
      <c r="D408"/>
    </row>
    <row r="409" spans="4:4" x14ac:dyDescent="0.35">
      <c r="D409"/>
    </row>
    <row r="410" spans="4:4" x14ac:dyDescent="0.35">
      <c r="D410"/>
    </row>
    <row r="411" spans="4:4" x14ac:dyDescent="0.35">
      <c r="D411"/>
    </row>
    <row r="412" spans="4:4" x14ac:dyDescent="0.35">
      <c r="D412"/>
    </row>
    <row r="413" spans="4:4" x14ac:dyDescent="0.35">
      <c r="D413"/>
    </row>
    <row r="414" spans="4:4" x14ac:dyDescent="0.35">
      <c r="D414"/>
    </row>
    <row r="415" spans="4:4" x14ac:dyDescent="0.35">
      <c r="D415"/>
    </row>
    <row r="416" spans="4:4" x14ac:dyDescent="0.35">
      <c r="D416"/>
    </row>
    <row r="417" spans="4:4" x14ac:dyDescent="0.35">
      <c r="D417"/>
    </row>
    <row r="418" spans="4:4" x14ac:dyDescent="0.35">
      <c r="D418"/>
    </row>
    <row r="419" spans="4:4" x14ac:dyDescent="0.35">
      <c r="D419"/>
    </row>
    <row r="420" spans="4:4" x14ac:dyDescent="0.35">
      <c r="D420"/>
    </row>
    <row r="421" spans="4:4" x14ac:dyDescent="0.35">
      <c r="D421"/>
    </row>
    <row r="422" spans="4:4" x14ac:dyDescent="0.35">
      <c r="D422"/>
    </row>
    <row r="423" spans="4:4" x14ac:dyDescent="0.35">
      <c r="D423"/>
    </row>
    <row r="424" spans="4:4" x14ac:dyDescent="0.35">
      <c r="D424"/>
    </row>
    <row r="425" spans="4:4" x14ac:dyDescent="0.35">
      <c r="D425"/>
    </row>
    <row r="426" spans="4:4" x14ac:dyDescent="0.35">
      <c r="D426"/>
    </row>
    <row r="427" spans="4:4" x14ac:dyDescent="0.35">
      <c r="D427"/>
    </row>
    <row r="428" spans="4:4" x14ac:dyDescent="0.35">
      <c r="D428"/>
    </row>
    <row r="429" spans="4:4" x14ac:dyDescent="0.35">
      <c r="D429"/>
    </row>
    <row r="430" spans="4:4" x14ac:dyDescent="0.35">
      <c r="D430"/>
    </row>
    <row r="431" spans="4:4" x14ac:dyDescent="0.35">
      <c r="D431"/>
    </row>
    <row r="432" spans="4:4" x14ac:dyDescent="0.35">
      <c r="D432"/>
    </row>
    <row r="433" spans="4:4" x14ac:dyDescent="0.35">
      <c r="D433"/>
    </row>
    <row r="434" spans="4:4" x14ac:dyDescent="0.35">
      <c r="D434"/>
    </row>
    <row r="435" spans="4:4" x14ac:dyDescent="0.35">
      <c r="D435"/>
    </row>
    <row r="436" spans="4:4" x14ac:dyDescent="0.35">
      <c r="D436"/>
    </row>
    <row r="437" spans="4:4" x14ac:dyDescent="0.35">
      <c r="D437"/>
    </row>
    <row r="438" spans="4:4" x14ac:dyDescent="0.35">
      <c r="D438"/>
    </row>
    <row r="439" spans="4:4" x14ac:dyDescent="0.35">
      <c r="D439"/>
    </row>
    <row r="440" spans="4:4" x14ac:dyDescent="0.35">
      <c r="D440"/>
    </row>
    <row r="441" spans="4:4" x14ac:dyDescent="0.35">
      <c r="D441"/>
    </row>
    <row r="442" spans="4:4" x14ac:dyDescent="0.35">
      <c r="D442"/>
    </row>
    <row r="443" spans="4:4" x14ac:dyDescent="0.35">
      <c r="D443"/>
    </row>
    <row r="444" spans="4:4" x14ac:dyDescent="0.35">
      <c r="D444"/>
    </row>
    <row r="445" spans="4:4" x14ac:dyDescent="0.35">
      <c r="D445"/>
    </row>
    <row r="446" spans="4:4" x14ac:dyDescent="0.35">
      <c r="D446"/>
    </row>
    <row r="447" spans="4:4" x14ac:dyDescent="0.35">
      <c r="D447"/>
    </row>
    <row r="448" spans="4:4" x14ac:dyDescent="0.35">
      <c r="D448"/>
    </row>
    <row r="449" spans="4:4" x14ac:dyDescent="0.35">
      <c r="D449"/>
    </row>
    <row r="450" spans="4:4" x14ac:dyDescent="0.35">
      <c r="D450"/>
    </row>
    <row r="451" spans="4:4" x14ac:dyDescent="0.35">
      <c r="D451"/>
    </row>
    <row r="452" spans="4:4" x14ac:dyDescent="0.35">
      <c r="D452"/>
    </row>
    <row r="453" spans="4:4" x14ac:dyDescent="0.35">
      <c r="D453"/>
    </row>
    <row r="454" spans="4:4" x14ac:dyDescent="0.35">
      <c r="D454"/>
    </row>
    <row r="455" spans="4:4" x14ac:dyDescent="0.35">
      <c r="D455"/>
    </row>
    <row r="456" spans="4:4" x14ac:dyDescent="0.35">
      <c r="D456"/>
    </row>
    <row r="457" spans="4:4" x14ac:dyDescent="0.35">
      <c r="D457"/>
    </row>
    <row r="458" spans="4:4" x14ac:dyDescent="0.35">
      <c r="D458"/>
    </row>
    <row r="459" spans="4:4" x14ac:dyDescent="0.35">
      <c r="D459"/>
    </row>
    <row r="460" spans="4:4" x14ac:dyDescent="0.35">
      <c r="D460"/>
    </row>
    <row r="461" spans="4:4" x14ac:dyDescent="0.35">
      <c r="D461"/>
    </row>
    <row r="462" spans="4:4" x14ac:dyDescent="0.35">
      <c r="D462"/>
    </row>
    <row r="463" spans="4:4" x14ac:dyDescent="0.35">
      <c r="D463"/>
    </row>
    <row r="464" spans="4:4" x14ac:dyDescent="0.35">
      <c r="D464"/>
    </row>
    <row r="465" spans="4:4" x14ac:dyDescent="0.35">
      <c r="D465"/>
    </row>
    <row r="466" spans="4:4" x14ac:dyDescent="0.35">
      <c r="D466"/>
    </row>
    <row r="467" spans="4:4" x14ac:dyDescent="0.35">
      <c r="D467"/>
    </row>
    <row r="468" spans="4:4" x14ac:dyDescent="0.35">
      <c r="D468"/>
    </row>
    <row r="469" spans="4:4" x14ac:dyDescent="0.35">
      <c r="D469"/>
    </row>
    <row r="470" spans="4:4" x14ac:dyDescent="0.35">
      <c r="D470"/>
    </row>
    <row r="471" spans="4:4" x14ac:dyDescent="0.35">
      <c r="D471"/>
    </row>
    <row r="472" spans="4:4" x14ac:dyDescent="0.35">
      <c r="D472"/>
    </row>
    <row r="473" spans="4:4" x14ac:dyDescent="0.35">
      <c r="D473"/>
    </row>
    <row r="474" spans="4:4" x14ac:dyDescent="0.35">
      <c r="D474"/>
    </row>
    <row r="475" spans="4:4" x14ac:dyDescent="0.35">
      <c r="D475"/>
    </row>
    <row r="476" spans="4:4" x14ac:dyDescent="0.35">
      <c r="D476"/>
    </row>
    <row r="477" spans="4:4" x14ac:dyDescent="0.35">
      <c r="D477"/>
    </row>
    <row r="478" spans="4:4" x14ac:dyDescent="0.35">
      <c r="D478"/>
    </row>
    <row r="479" spans="4:4" x14ac:dyDescent="0.35">
      <c r="D479"/>
    </row>
    <row r="480" spans="4:4" x14ac:dyDescent="0.35">
      <c r="D480"/>
    </row>
    <row r="481" spans="4:4" x14ac:dyDescent="0.35">
      <c r="D481"/>
    </row>
    <row r="482" spans="4:4" x14ac:dyDescent="0.35">
      <c r="D482"/>
    </row>
    <row r="483" spans="4:4" x14ac:dyDescent="0.35">
      <c r="D483"/>
    </row>
    <row r="484" spans="4:4" x14ac:dyDescent="0.35">
      <c r="D484"/>
    </row>
    <row r="485" spans="4:4" x14ac:dyDescent="0.35">
      <c r="D485"/>
    </row>
    <row r="486" spans="4:4" x14ac:dyDescent="0.35">
      <c r="D486"/>
    </row>
    <row r="487" spans="4:4" x14ac:dyDescent="0.35">
      <c r="D487"/>
    </row>
    <row r="488" spans="4:4" x14ac:dyDescent="0.35">
      <c r="D488"/>
    </row>
    <row r="489" spans="4:4" x14ac:dyDescent="0.35">
      <c r="D489"/>
    </row>
    <row r="490" spans="4:4" x14ac:dyDescent="0.35">
      <c r="D490"/>
    </row>
    <row r="491" spans="4:4" x14ac:dyDescent="0.35">
      <c r="D491"/>
    </row>
    <row r="492" spans="4:4" x14ac:dyDescent="0.35">
      <c r="D492"/>
    </row>
    <row r="493" spans="4:4" x14ac:dyDescent="0.35">
      <c r="D493"/>
    </row>
    <row r="494" spans="4:4" x14ac:dyDescent="0.35">
      <c r="D494"/>
    </row>
    <row r="495" spans="4:4" x14ac:dyDescent="0.35">
      <c r="D495"/>
    </row>
    <row r="496" spans="4:4" x14ac:dyDescent="0.35">
      <c r="D496"/>
    </row>
    <row r="497" spans="4:4" x14ac:dyDescent="0.35">
      <c r="D497"/>
    </row>
    <row r="498" spans="4:4" x14ac:dyDescent="0.35">
      <c r="D498"/>
    </row>
    <row r="499" spans="4:4" x14ac:dyDescent="0.35">
      <c r="D499"/>
    </row>
    <row r="500" spans="4:4" x14ac:dyDescent="0.35">
      <c r="D500"/>
    </row>
  </sheetData>
  <autoFilter ref="A2:D153" xr:uid="{00000000-0009-0000-0000-000000000000}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erek.Derek">
                <anchor moveWithCells="1" sizeWithCells="1">
                  <from>
                    <xdr:col>8</xdr:col>
                    <xdr:colOff>723900</xdr:colOff>
                    <xdr:row>2</xdr:row>
                    <xdr:rowOff>19050</xdr:rowOff>
                  </from>
                  <to>
                    <xdr:col>8</xdr:col>
                    <xdr:colOff>2565400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erekEmail">
                <anchor moveWithCells="1" sizeWithCells="1">
                  <from>
                    <xdr:col>8</xdr:col>
                    <xdr:colOff>3086100</xdr:colOff>
                    <xdr:row>2</xdr:row>
                    <xdr:rowOff>31750</xdr:rowOff>
                  </from>
                  <to>
                    <xdr:col>8</xdr:col>
                    <xdr:colOff>4927600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8D7-F2FB-42A4-ABA2-A4C2138D6DAD}">
  <sheetPr codeName="Sheet7">
    <tabColor theme="7" tint="0.59999389629810485"/>
  </sheetPr>
  <dimension ref="B3:P53"/>
  <sheetViews>
    <sheetView zoomScaleNormal="100" workbookViewId="0">
      <selection activeCell="C13" sqref="C13"/>
    </sheetView>
  </sheetViews>
  <sheetFormatPr defaultRowHeight="14.5" x14ac:dyDescent="0.35"/>
  <cols>
    <col min="2" max="2" width="13.36328125" bestFit="1" customWidth="1"/>
    <col min="3" max="3" width="23" customWidth="1"/>
    <col min="4" max="4" width="27.453125" customWidth="1"/>
    <col min="5" max="5" width="19.08984375" bestFit="1" customWidth="1"/>
    <col min="6" max="6" width="14" customWidth="1"/>
    <col min="7" max="7" width="17.26953125" customWidth="1"/>
    <col min="8" max="8" width="21.1796875" customWidth="1"/>
    <col min="12" max="12" width="10.36328125" bestFit="1" customWidth="1"/>
    <col min="13" max="13" width="14" bestFit="1" customWidth="1"/>
    <col min="14" max="14" width="17.7265625" bestFit="1" customWidth="1"/>
    <col min="15" max="15" width="17" bestFit="1" customWidth="1"/>
    <col min="16" max="16" width="9.7265625" bestFit="1" customWidth="1"/>
    <col min="17" max="17" width="11.1796875" customWidth="1"/>
  </cols>
  <sheetData>
    <row r="3" spans="2:7" x14ac:dyDescent="0.35">
      <c r="B3" s="4"/>
      <c r="C3" s="4"/>
      <c r="D3" s="4"/>
      <c r="E3" s="4"/>
      <c r="F3" s="4"/>
      <c r="G3" s="4"/>
    </row>
    <row r="4" spans="2:7" x14ac:dyDescent="0.35">
      <c r="B4" s="4" t="s">
        <v>108</v>
      </c>
      <c r="C4" s="8">
        <v>2022</v>
      </c>
      <c r="D4" s="4"/>
      <c r="E4" s="4"/>
      <c r="F4" s="4"/>
      <c r="G4" s="4"/>
    </row>
    <row r="5" spans="2:7" x14ac:dyDescent="0.35">
      <c r="B5" s="4" t="s">
        <v>109</v>
      </c>
      <c r="C5" s="9">
        <v>10</v>
      </c>
      <c r="D5" s="15" t="s">
        <v>155</v>
      </c>
      <c r="E5" s="4"/>
      <c r="F5" s="4"/>
      <c r="G5" s="4"/>
    </row>
    <row r="6" spans="2:7" x14ac:dyDescent="0.35">
      <c r="B6" s="4" t="s">
        <v>138</v>
      </c>
      <c r="C6" s="8" t="s">
        <v>141</v>
      </c>
      <c r="D6" s="4"/>
      <c r="E6" s="4"/>
      <c r="F6" s="4"/>
      <c r="G6" s="4"/>
    </row>
    <row r="7" spans="2:7" x14ac:dyDescent="0.35">
      <c r="B7" s="4" t="s">
        <v>139</v>
      </c>
      <c r="C7" s="8" t="s">
        <v>140</v>
      </c>
      <c r="D7" s="4"/>
      <c r="E7" s="4"/>
      <c r="F7" s="4"/>
      <c r="G7" s="4"/>
    </row>
    <row r="8" spans="2:7" x14ac:dyDescent="0.35">
      <c r="B8" s="4" t="s">
        <v>111</v>
      </c>
      <c r="C8" s="4" t="s">
        <v>156</v>
      </c>
      <c r="D8" s="4"/>
      <c r="E8" s="4"/>
      <c r="F8" s="4"/>
      <c r="G8" s="4"/>
    </row>
    <row r="9" spans="2:7" x14ac:dyDescent="0.35">
      <c r="B9" s="4" t="s">
        <v>113</v>
      </c>
      <c r="C9" s="16"/>
      <c r="D9" s="4"/>
      <c r="E9" s="4"/>
      <c r="F9" s="4"/>
      <c r="G9" s="4"/>
    </row>
    <row r="10" spans="2:7" x14ac:dyDescent="0.35">
      <c r="B10" s="4"/>
      <c r="C10" s="4"/>
      <c r="D10" s="16"/>
      <c r="E10" s="4"/>
      <c r="F10" s="4"/>
      <c r="G10" s="4"/>
    </row>
    <row r="11" spans="2:7" x14ac:dyDescent="0.35">
      <c r="B11" s="4"/>
      <c r="C11" s="6"/>
      <c r="D11" s="6" t="s">
        <v>158</v>
      </c>
      <c r="E11" s="4"/>
      <c r="F11" s="4"/>
      <c r="G11" s="4"/>
    </row>
    <row r="12" spans="2:7" x14ac:dyDescent="0.35">
      <c r="B12" s="4"/>
      <c r="C12" s="6" t="s">
        <v>149</v>
      </c>
      <c r="D12" s="33" t="str">
        <f>HYPERLINK("J:\Acctng\Financials\STORY\"&amp;C4&amp;"\Production "&amp;C4&amp;".xlsx")</f>
        <v>J:\Acctng\Financials\STORY\2022\Production 2022.xlsx</v>
      </c>
      <c r="E12" s="20"/>
      <c r="F12" s="4"/>
      <c r="G12" s="4"/>
    </row>
    <row r="13" spans="2:7" x14ac:dyDescent="0.35">
      <c r="B13" s="4"/>
      <c r="C13" s="6" t="s">
        <v>125</v>
      </c>
      <c r="D13" s="7" t="s">
        <v>157</v>
      </c>
      <c r="E13" s="4"/>
      <c r="F13" s="4"/>
      <c r="G13" s="4"/>
    </row>
    <row r="14" spans="2:7" x14ac:dyDescent="0.35">
      <c r="B14" s="4"/>
      <c r="C14" s="4"/>
      <c r="D14" s="4"/>
      <c r="E14" s="4"/>
      <c r="F14" s="4"/>
      <c r="G14" s="4"/>
    </row>
    <row r="15" spans="2:7" x14ac:dyDescent="0.35">
      <c r="B15" s="4"/>
      <c r="C15" s="5"/>
      <c r="D15" s="5"/>
      <c r="E15" s="4"/>
      <c r="F15" s="4"/>
      <c r="G15" s="4"/>
    </row>
    <row r="20" spans="2:16" x14ac:dyDescent="0.35">
      <c r="B20" s="36" t="s">
        <v>164</v>
      </c>
      <c r="C20" s="36"/>
      <c r="D20" s="36"/>
      <c r="E20" s="36"/>
      <c r="F20" s="36"/>
      <c r="G20" s="36"/>
      <c r="H20" s="36"/>
      <c r="I20" s="34" t="s">
        <v>162</v>
      </c>
      <c r="J20" s="34"/>
      <c r="K20" s="34"/>
      <c r="L20" s="34"/>
      <c r="M20" s="34"/>
      <c r="N20" s="34"/>
      <c r="O20" s="35" t="s">
        <v>163</v>
      </c>
      <c r="P20" s="35"/>
    </row>
    <row r="21" spans="2:16" x14ac:dyDescent="0.35">
      <c r="B21" s="23" t="s">
        <v>121</v>
      </c>
      <c r="C21" s="23" t="s">
        <v>142</v>
      </c>
      <c r="D21" s="23" t="s">
        <v>143</v>
      </c>
      <c r="E21" s="23" t="s">
        <v>144</v>
      </c>
      <c r="F21" s="23" t="s">
        <v>88</v>
      </c>
      <c r="G21" s="23" t="s">
        <v>145</v>
      </c>
      <c r="H21" s="24" t="s">
        <v>95</v>
      </c>
      <c r="I21" s="25" t="s">
        <v>144</v>
      </c>
      <c r="J21" s="25" t="s">
        <v>88</v>
      </c>
      <c r="K21" s="25" t="s">
        <v>145</v>
      </c>
      <c r="L21" s="25" t="s">
        <v>95</v>
      </c>
      <c r="M21" s="25" t="s">
        <v>159</v>
      </c>
      <c r="N21" s="25" t="s">
        <v>160</v>
      </c>
      <c r="O21" s="26" t="s">
        <v>87</v>
      </c>
      <c r="P21" s="26" t="s">
        <v>161</v>
      </c>
    </row>
    <row r="22" spans="2:16" x14ac:dyDescent="0.35">
      <c r="B22" s="17"/>
      <c r="C22" s="17"/>
      <c r="D22" s="17"/>
      <c r="E22" s="17"/>
      <c r="F22" s="17"/>
      <c r="G22" s="17"/>
      <c r="H22" s="17"/>
      <c r="I22" s="21" t="s">
        <v>83</v>
      </c>
      <c r="J22" s="21" t="s">
        <v>84</v>
      </c>
      <c r="K22" s="21" t="s">
        <v>85</v>
      </c>
      <c r="L22" s="21" t="s">
        <v>86</v>
      </c>
      <c r="M22" s="21" cm="1">
        <f t="array" ref="M22">IFERROR(INDEX($C$22:$C$35,MATCH($I22&amp;$J22&amp;$K22&amp;$L22,$E$22:$E$32&amp;$F$22:$F$32&amp;$G$22:$G$32&amp;$H$22:$H$32,0)),0)</f>
        <v>0</v>
      </c>
      <c r="N22" s="21" cm="1">
        <f t="array" ref="N22">IFERROR(INDEX($D$22:$D$35,MATCH($I22&amp;$J22&amp;$K22&amp;$L22,$E$22:$E$32&amp;$F$22:$F$32&amp;$G$22:$G$32&amp;$H$22:$H$32,0)),0)</f>
        <v>0</v>
      </c>
      <c r="O22" s="27" t="s">
        <v>89</v>
      </c>
      <c r="P22" s="28">
        <f>M22</f>
        <v>0</v>
      </c>
    </row>
    <row r="23" spans="2:16" x14ac:dyDescent="0.35">
      <c r="B23" s="17"/>
      <c r="C23" s="17"/>
      <c r="D23" s="17"/>
      <c r="E23" s="17"/>
      <c r="F23" s="17"/>
      <c r="G23" s="17"/>
      <c r="H23" s="17"/>
      <c r="I23" s="21" t="s">
        <v>83</v>
      </c>
      <c r="J23" s="21" t="s">
        <v>88</v>
      </c>
      <c r="K23" s="21" t="s">
        <v>85</v>
      </c>
      <c r="L23" s="21" t="s">
        <v>86</v>
      </c>
      <c r="M23" s="21" cm="1">
        <f t="array" ref="M23">IFERROR(INDEX($C$22:$C$35,MATCH($I23&amp;$J23&amp;$K23&amp;$L23,$E$22:$E$32&amp;$F$22:$F$32&amp;$G$22:$G$32&amp;$H$22:$H$32,0)),0)</f>
        <v>0</v>
      </c>
      <c r="N23" s="21" cm="1">
        <f t="array" ref="N23">IFERROR(INDEX($D$22:$D$35,MATCH($I23&amp;$J23&amp;$K23&amp;$L23,$E$22:$E$32&amp;$F$22:$F$32&amp;$G$22:$G$32&amp;$H$22:$H$32,0)),0)</f>
        <v>0</v>
      </c>
      <c r="O23" s="27" t="s">
        <v>88</v>
      </c>
      <c r="P23" s="29">
        <f>M23+N23</f>
        <v>0</v>
      </c>
    </row>
    <row r="24" spans="2:16" x14ac:dyDescent="0.35">
      <c r="B24" s="17"/>
      <c r="C24" s="17"/>
      <c r="D24" s="17"/>
      <c r="E24" s="17"/>
      <c r="F24" s="17"/>
      <c r="G24" s="17"/>
      <c r="H24" s="17"/>
      <c r="I24" s="21" t="s">
        <v>83</v>
      </c>
      <c r="J24" s="21" t="s">
        <v>84</v>
      </c>
      <c r="K24" s="21" t="s">
        <v>90</v>
      </c>
      <c r="L24" s="21" t="s">
        <v>86</v>
      </c>
      <c r="M24" s="21" cm="1">
        <f t="array" ref="M24">IFERROR(INDEX($C$22:$C$35,MATCH($I24&amp;$J24&amp;$K24&amp;$L24,$E$22:$E$32&amp;$F$22:$F$32&amp;$G$22:$G$32&amp;$H$22:$H$32,0)),0)</f>
        <v>0</v>
      </c>
      <c r="N24" s="21" cm="1">
        <f t="array" ref="N24">IFERROR(INDEX($D$22:$D$35,MATCH($I24&amp;$J24&amp;$K24&amp;$L24,$E$22:$E$32&amp;$F$22:$F$32&amp;$G$22:$G$32&amp;$H$22:$H$32,0)),0)</f>
        <v>0</v>
      </c>
      <c r="O24" s="27" t="s">
        <v>92</v>
      </c>
      <c r="P24" s="30">
        <f>N22</f>
        <v>0</v>
      </c>
    </row>
    <row r="25" spans="2:16" x14ac:dyDescent="0.35">
      <c r="B25" s="17"/>
      <c r="C25" s="17"/>
      <c r="D25" s="17"/>
      <c r="E25" s="17"/>
      <c r="F25" s="17"/>
      <c r="G25" s="17"/>
      <c r="H25" s="17"/>
      <c r="I25" s="21" t="s">
        <v>91</v>
      </c>
      <c r="J25" s="21" t="s">
        <v>84</v>
      </c>
      <c r="K25" s="21" t="s">
        <v>85</v>
      </c>
      <c r="L25" s="21" t="s">
        <v>86</v>
      </c>
      <c r="M25" s="21" cm="1">
        <f t="array" ref="M25">IFERROR(INDEX($C$22:$C$35,MATCH($I25&amp;$J25&amp;$K25&amp;$L25,$E$22:$E$32&amp;$F$22:$F$32&amp;$G$22:$G$32&amp;$H$22:$H$32,0)),0)</f>
        <v>0</v>
      </c>
      <c r="N25" s="21" cm="1">
        <f t="array" ref="N25">IFERROR(INDEX($D$22:$D$35,MATCH($I25&amp;$J25&amp;$K25&amp;$L25,$E$22:$E$32&amp;$F$22:$F$32&amp;$G$22:$G$32&amp;$H$22:$H$32,0)),0)</f>
        <v>0</v>
      </c>
      <c r="O25" s="27" t="s">
        <v>93</v>
      </c>
      <c r="P25" s="22">
        <f>SUM(P22:P24)</f>
        <v>0</v>
      </c>
    </row>
    <row r="26" spans="2:16" x14ac:dyDescent="0.35">
      <c r="B26" s="17"/>
      <c r="C26" s="17"/>
      <c r="D26" s="17"/>
      <c r="E26" s="17"/>
      <c r="F26" s="17"/>
      <c r="G26" s="17"/>
      <c r="H26" s="17"/>
      <c r="I26" s="21" t="s">
        <v>91</v>
      </c>
      <c r="J26" s="21" t="s">
        <v>84</v>
      </c>
      <c r="K26" s="21" t="s">
        <v>90</v>
      </c>
      <c r="L26" s="21" t="s">
        <v>86</v>
      </c>
      <c r="M26" s="21" cm="1">
        <f t="array" ref="M26">IFERROR(INDEX($C$22:$C$35,MATCH($I26&amp;$J26&amp;$K26&amp;$L26,$E$22:$E$32&amp;$F$22:$F$32&amp;$G$22:$G$32&amp;$H$22:$H$32,0)),0)</f>
        <v>0</v>
      </c>
      <c r="N26" s="21" cm="1">
        <f t="array" ref="N26">IFERROR(INDEX($D$22:$D$35,MATCH($I26&amp;$J26&amp;$K26&amp;$L26,$E$22:$E$32&amp;$F$22:$F$32&amp;$G$22:$G$32&amp;$H$22:$H$32,0)),0)</f>
        <v>0</v>
      </c>
      <c r="O26" s="27" t="s">
        <v>94</v>
      </c>
      <c r="P26" s="28">
        <f>M27+N27</f>
        <v>0</v>
      </c>
    </row>
    <row r="27" spans="2:16" x14ac:dyDescent="0.35">
      <c r="B27" s="17"/>
      <c r="C27" s="17"/>
      <c r="D27" s="17"/>
      <c r="E27" s="17"/>
      <c r="F27" s="17"/>
      <c r="G27" s="17"/>
      <c r="H27" s="17"/>
      <c r="I27" s="21" t="s">
        <v>94</v>
      </c>
      <c r="J27" s="21" t="s">
        <v>84</v>
      </c>
      <c r="K27" s="21" t="s">
        <v>85</v>
      </c>
      <c r="L27" s="21" t="s">
        <v>86</v>
      </c>
      <c r="M27" s="21" cm="1">
        <f t="array" ref="M27">IFERROR(INDEX($C$22:$C$35,MATCH($I27&amp;$J27&amp;$K27&amp;$L27,$E$22:$E$32&amp;$F$22:$F$32&amp;$G$22:$G$32&amp;$H$22:$H$32,0)),0)</f>
        <v>0</v>
      </c>
      <c r="N27" s="21" cm="1">
        <f t="array" ref="N27">IFERROR(INDEX($D$22:$D$35,MATCH($I27&amp;$J27&amp;$K27&amp;$L27,$E$22:$E$32&amp;$F$22:$F$32&amp;$G$22:$G$32&amp;$H$22:$H$32,0)),0)</f>
        <v>0</v>
      </c>
      <c r="O27" s="27" t="s">
        <v>96</v>
      </c>
      <c r="P27" s="29">
        <f>M28+N28</f>
        <v>0</v>
      </c>
    </row>
    <row r="28" spans="2:16" x14ac:dyDescent="0.35">
      <c r="B28" s="17"/>
      <c r="C28" s="17"/>
      <c r="D28" s="17"/>
      <c r="E28" s="17"/>
      <c r="F28" s="17"/>
      <c r="G28" s="17"/>
      <c r="H28" s="17"/>
      <c r="I28" s="21" t="s">
        <v>94</v>
      </c>
      <c r="J28" s="21" t="s">
        <v>84</v>
      </c>
      <c r="K28" s="21" t="s">
        <v>85</v>
      </c>
      <c r="L28" s="21" t="s">
        <v>95</v>
      </c>
      <c r="M28" s="21" cm="1">
        <f t="array" ref="M28">IFERROR(INDEX($C$22:$C$35,MATCH($I28&amp;$J28&amp;$K28&amp;$L28,$E$22:$E$32&amp;$F$22:$F$32&amp;$G$22:$G$32&amp;$H$22:$H$32,0)),0)</f>
        <v>0</v>
      </c>
      <c r="N28" s="21" cm="1">
        <f t="array" ref="N28">IFERROR(INDEX($D$22:$D$35,MATCH($I28&amp;$J28&amp;$K28&amp;$L28,$E$22:$E$32&amp;$F$22:$F$32&amp;$G$22:$G$32&amp;$H$22:$H$32,0)),0)</f>
        <v>0</v>
      </c>
      <c r="O28" s="27" t="s">
        <v>98</v>
      </c>
      <c r="P28" s="29">
        <v>0</v>
      </c>
    </row>
    <row r="29" spans="2:16" x14ac:dyDescent="0.35">
      <c r="B29" s="17"/>
      <c r="C29" s="17"/>
      <c r="D29" s="17"/>
      <c r="E29" s="17"/>
      <c r="F29" s="17"/>
      <c r="G29" s="17"/>
      <c r="H29" s="17"/>
      <c r="I29" s="21" t="s">
        <v>97</v>
      </c>
      <c r="J29" s="21" t="s">
        <v>84</v>
      </c>
      <c r="K29" s="21" t="s">
        <v>85</v>
      </c>
      <c r="L29" s="21" t="s">
        <v>95</v>
      </c>
      <c r="M29" s="21" cm="1">
        <f t="array" ref="M29">IFERROR(INDEX($C$22:$C$35,MATCH($I29&amp;$J29&amp;$K29&amp;$L29,$E$22:$E$32&amp;$F$22:$F$32&amp;$G$22:$G$32&amp;$H$22:$H$32,0)),0)</f>
        <v>0</v>
      </c>
      <c r="N29" s="21" cm="1">
        <f t="array" ref="N29">IFERROR(INDEX($D$22:$D$35,MATCH($I29&amp;$J29&amp;$K29&amp;$L29,$E$22:$E$32&amp;$F$22:$F$32&amp;$G$22:$G$32&amp;$H$22:$H$32,0)),0)</f>
        <v>0</v>
      </c>
      <c r="O29" s="27" t="s">
        <v>91</v>
      </c>
      <c r="P29" s="29">
        <f>M25+N25</f>
        <v>0</v>
      </c>
    </row>
    <row r="30" spans="2:16" x14ac:dyDescent="0.35">
      <c r="B30" s="17"/>
      <c r="C30" s="17"/>
      <c r="D30" s="17"/>
      <c r="E30" s="17"/>
      <c r="F30" s="17"/>
      <c r="G30" s="17"/>
      <c r="H30" s="17"/>
      <c r="I30" s="21" t="s">
        <v>97</v>
      </c>
      <c r="J30" s="21" t="s">
        <v>84</v>
      </c>
      <c r="K30" s="21" t="s">
        <v>85</v>
      </c>
      <c r="L30" s="21" t="s">
        <v>86</v>
      </c>
      <c r="M30" s="21" cm="1">
        <f t="array" ref="M30">IFERROR(INDEX($C$22:$C$35,MATCH($I30&amp;$J30&amp;$K30&amp;$L30,$E$22:$E$32&amp;$F$22:$F$32&amp;$G$22:$G$32&amp;$H$22:$H$32,0)),0)</f>
        <v>0</v>
      </c>
      <c r="N30" s="21" cm="1">
        <f t="array" ref="N30">IFERROR(INDEX($D$22:$D$35,MATCH($I30&amp;$J30&amp;$K30&amp;$L30,$E$22:$E$32&amp;$F$22:$F$32&amp;$G$22:$G$32&amp;$H$22:$H$32,0)),0)</f>
        <v>0</v>
      </c>
      <c r="O30" s="27" t="s">
        <v>99</v>
      </c>
      <c r="P30" s="29">
        <v>0</v>
      </c>
    </row>
    <row r="31" spans="2:16" x14ac:dyDescent="0.35">
      <c r="B31" s="17"/>
      <c r="C31" s="17"/>
      <c r="D31" s="17"/>
      <c r="E31" s="17"/>
      <c r="F31" s="17"/>
      <c r="G31" s="17"/>
      <c r="H31" s="17"/>
      <c r="I31" s="21" t="s">
        <v>97</v>
      </c>
      <c r="J31" s="21" t="s">
        <v>84</v>
      </c>
      <c r="K31" s="21" t="s">
        <v>90</v>
      </c>
      <c r="L31" s="21" t="s">
        <v>95</v>
      </c>
      <c r="M31" s="21" cm="1">
        <f t="array" ref="M31">IFERROR(INDEX($C$22:$C$35,MATCH($I31&amp;$J31&amp;$K31&amp;$L31,$E$22:$E$32&amp;$F$22:$F$32&amp;$G$22:$G$32&amp;$H$22:$H$32,0)),0)</f>
        <v>0</v>
      </c>
      <c r="N31" s="21" cm="1">
        <f t="array" ref="N31">IFERROR(INDEX($D$22:$D$35,MATCH($I31&amp;$J31&amp;$K31&amp;$L31,$E$22:$E$32&amp;$F$22:$F$32&amp;$G$22:$G$32&amp;$H$22:$H$32,0)),0)</f>
        <v>0</v>
      </c>
      <c r="O31" s="27" t="s">
        <v>100</v>
      </c>
      <c r="P31" s="30">
        <f>M29+M30</f>
        <v>0</v>
      </c>
    </row>
    <row r="32" spans="2:16" x14ac:dyDescent="0.35">
      <c r="B32" s="17"/>
      <c r="C32" s="17"/>
      <c r="D32" s="17"/>
      <c r="E32" s="17"/>
      <c r="F32" s="17"/>
      <c r="G32" s="17"/>
      <c r="H32" s="17"/>
      <c r="I32" s="21" t="s">
        <v>94</v>
      </c>
      <c r="J32" s="21" t="s">
        <v>84</v>
      </c>
      <c r="K32" s="21" t="s">
        <v>90</v>
      </c>
      <c r="L32" s="21" t="s">
        <v>86</v>
      </c>
      <c r="M32" s="21" cm="1">
        <f t="array" ref="M32">IFERROR(INDEX($C$22:$C$35,MATCH($I32&amp;$J32&amp;$K32&amp;$L32,$E$22:$E$32&amp;$F$22:$F$32&amp;$G$22:$G$32&amp;$H$22:$H$32,0)),0)</f>
        <v>0</v>
      </c>
      <c r="N32" s="21" cm="1">
        <f t="array" ref="N32">IFERROR(INDEX($D$22:$D$35,MATCH($I32&amp;$J32&amp;$K32&amp;$L32,$E$22:$E$32&amp;$F$22:$F$32&amp;$G$22:$G$32&amp;$H$22:$H$32,0)),0)</f>
        <v>0</v>
      </c>
      <c r="O32" s="27" t="s">
        <v>101</v>
      </c>
      <c r="P32" s="22">
        <f>SUM(P26:P31)+P25</f>
        <v>0</v>
      </c>
    </row>
    <row r="33" spans="2:16" x14ac:dyDescent="0.35">
      <c r="B33" s="17"/>
      <c r="C33" s="17"/>
      <c r="D33" s="17"/>
      <c r="E33" s="17"/>
      <c r="F33" s="17"/>
      <c r="G33" s="17"/>
      <c r="H33" s="17"/>
      <c r="O33" s="27" t="s">
        <v>102</v>
      </c>
      <c r="P33" s="31">
        <f>M24+N24+M26+N26+M31+N31+M32+N32</f>
        <v>0</v>
      </c>
    </row>
    <row r="34" spans="2:16" x14ac:dyDescent="0.35">
      <c r="B34" s="17"/>
      <c r="C34" s="17"/>
      <c r="D34" s="17"/>
      <c r="E34" s="17"/>
      <c r="F34" s="17"/>
      <c r="G34" s="17"/>
      <c r="H34" s="17"/>
      <c r="O34" s="27" t="s">
        <v>103</v>
      </c>
      <c r="P34" s="22">
        <f>P32+P33</f>
        <v>0</v>
      </c>
    </row>
    <row r="35" spans="2:16" x14ac:dyDescent="0.35">
      <c r="B35" s="17"/>
      <c r="C35" s="17"/>
      <c r="D35" s="17"/>
      <c r="E35" s="17"/>
      <c r="F35" s="17"/>
      <c r="G35" s="17"/>
      <c r="H35" s="17"/>
    </row>
    <row r="38" spans="2:16" x14ac:dyDescent="0.35">
      <c r="B38" s="36" t="s">
        <v>165</v>
      </c>
      <c r="C38" s="36"/>
      <c r="D38" s="36"/>
      <c r="E38" s="36"/>
      <c r="F38" s="36"/>
      <c r="G38" s="36"/>
      <c r="H38" s="36"/>
      <c r="I38" s="34" t="s">
        <v>162</v>
      </c>
      <c r="J38" s="34"/>
      <c r="K38" s="34"/>
      <c r="L38" s="34"/>
      <c r="M38" s="34"/>
      <c r="N38" s="34"/>
      <c r="O38" s="35" t="s">
        <v>163</v>
      </c>
      <c r="P38" s="35"/>
    </row>
    <row r="39" spans="2:16" x14ac:dyDescent="0.35">
      <c r="B39" s="23" t="s">
        <v>121</v>
      </c>
      <c r="C39" s="23" t="s">
        <v>142</v>
      </c>
      <c r="D39" s="23" t="s">
        <v>143</v>
      </c>
      <c r="E39" s="23" t="s">
        <v>144</v>
      </c>
      <c r="F39" s="23" t="s">
        <v>88</v>
      </c>
      <c r="G39" s="23" t="s">
        <v>145</v>
      </c>
      <c r="H39" s="24" t="s">
        <v>95</v>
      </c>
      <c r="I39" s="25" t="s">
        <v>144</v>
      </c>
      <c r="J39" s="25" t="s">
        <v>88</v>
      </c>
      <c r="K39" s="25" t="s">
        <v>145</v>
      </c>
      <c r="L39" s="25" t="s">
        <v>95</v>
      </c>
      <c r="M39" s="25" t="s">
        <v>159</v>
      </c>
      <c r="N39" s="25" t="s">
        <v>160</v>
      </c>
      <c r="O39" s="26" t="s">
        <v>87</v>
      </c>
      <c r="P39" s="26" t="s">
        <v>161</v>
      </c>
    </row>
    <row r="40" spans="2:16" x14ac:dyDescent="0.35">
      <c r="B40" s="17"/>
      <c r="C40" s="17"/>
      <c r="D40" s="17"/>
      <c r="E40" s="17"/>
      <c r="F40" s="17"/>
      <c r="G40" s="17"/>
      <c r="H40" s="17"/>
      <c r="I40" s="21" t="s">
        <v>83</v>
      </c>
      <c r="J40" s="21" t="s">
        <v>84</v>
      </c>
      <c r="K40" s="21" t="s">
        <v>85</v>
      </c>
      <c r="L40" s="21" t="s">
        <v>86</v>
      </c>
      <c r="M40" s="21" cm="1">
        <f t="array" ref="M40">IFERROR(INDEX($C$40:$C$53,MATCH($I40&amp;$J40&amp;$K40&amp;$L40,$E$40:$E$50&amp;$F$40:$F$50&amp;$G$40:$G$50&amp;$H$40:$H$50,0)),0)</f>
        <v>0</v>
      </c>
      <c r="N40" s="21" cm="1">
        <f t="array" ref="N40">IFERROR(INDEX($D$40:$D$53,MATCH($I40&amp;$J40&amp;$K40&amp;$L40,$E$40:$E$50&amp;$F$40:$F$50&amp;$G$40:$G$50&amp;$H$40:$H$50,0)),0)</f>
        <v>0</v>
      </c>
      <c r="O40" s="27" t="s">
        <v>89</v>
      </c>
      <c r="P40" s="32">
        <f>M40</f>
        <v>0</v>
      </c>
    </row>
    <row r="41" spans="2:16" x14ac:dyDescent="0.35">
      <c r="B41" s="17"/>
      <c r="C41" s="17"/>
      <c r="D41" s="17"/>
      <c r="E41" s="17"/>
      <c r="F41" s="17"/>
      <c r="G41" s="17"/>
      <c r="H41" s="17"/>
      <c r="I41" s="21" t="s">
        <v>83</v>
      </c>
      <c r="J41" s="21" t="s">
        <v>88</v>
      </c>
      <c r="K41" s="21" t="s">
        <v>85</v>
      </c>
      <c r="L41" s="21" t="s">
        <v>86</v>
      </c>
      <c r="M41" s="21" cm="1">
        <f t="array" ref="M41">IFERROR(INDEX($C$40:$C$53,MATCH($I41&amp;$J41&amp;$K41&amp;$L41,$E$40:$E$50&amp;$F$40:$F$50&amp;$G$40:$G$50&amp;$H$40:$H$50,0)),0)</f>
        <v>0</v>
      </c>
      <c r="N41" s="21" cm="1">
        <f t="array" ref="N41">IFERROR(INDEX($D$40:$D$53,MATCH($I41&amp;$J41&amp;$K41&amp;$L41,$E$40:$E$50&amp;$F$40:$F$50&amp;$G$40:$G$50&amp;$H$40:$H$50,0)),0)</f>
        <v>0</v>
      </c>
      <c r="O41" s="27" t="s">
        <v>88</v>
      </c>
      <c r="P41" s="32">
        <f>M41+N41</f>
        <v>0</v>
      </c>
    </row>
    <row r="42" spans="2:16" x14ac:dyDescent="0.35">
      <c r="B42" s="17"/>
      <c r="C42" s="17"/>
      <c r="D42" s="17"/>
      <c r="E42" s="17"/>
      <c r="F42" s="17"/>
      <c r="G42" s="17"/>
      <c r="H42" s="17"/>
      <c r="I42" s="21" t="s">
        <v>83</v>
      </c>
      <c r="J42" s="21" t="s">
        <v>84</v>
      </c>
      <c r="K42" s="21" t="s">
        <v>90</v>
      </c>
      <c r="L42" s="21" t="s">
        <v>86</v>
      </c>
      <c r="M42" s="21" cm="1">
        <f t="array" ref="M42">IFERROR(INDEX($C$40:$C$53,MATCH($I42&amp;$J42&amp;$K42&amp;$L42,$E$40:$E$50&amp;$F$40:$F$50&amp;$G$40:$G$50&amp;$H$40:$H$50,0)),0)</f>
        <v>0</v>
      </c>
      <c r="N42" s="21" cm="1">
        <f t="array" ref="N42">IFERROR(INDEX($D$40:$D$53,MATCH($I42&amp;$J42&amp;$K42&amp;$L42,$E$40:$E$50&amp;$F$40:$F$50&amp;$G$40:$G$50&amp;$H$40:$H$50,0)),0)</f>
        <v>0</v>
      </c>
      <c r="O42" s="27" t="s">
        <v>92</v>
      </c>
      <c r="P42" s="32">
        <f>N40</f>
        <v>0</v>
      </c>
    </row>
    <row r="43" spans="2:16" x14ac:dyDescent="0.35">
      <c r="B43" s="17"/>
      <c r="C43" s="17"/>
      <c r="D43" s="17"/>
      <c r="E43" s="17"/>
      <c r="F43" s="17"/>
      <c r="G43" s="17"/>
      <c r="H43" s="17"/>
      <c r="I43" s="21" t="s">
        <v>91</v>
      </c>
      <c r="J43" s="21" t="s">
        <v>84</v>
      </c>
      <c r="K43" s="21" t="s">
        <v>85</v>
      </c>
      <c r="L43" s="21" t="s">
        <v>86</v>
      </c>
      <c r="M43" s="21" cm="1">
        <f t="array" ref="M43">IFERROR(INDEX($C$40:$C$53,MATCH($I43&amp;$J43&amp;$K43&amp;$L43,$E$40:$E$50&amp;$F$40:$F$50&amp;$G$40:$G$50&amp;$H$40:$H$50,0)),0)</f>
        <v>0</v>
      </c>
      <c r="N43" s="21" cm="1">
        <f t="array" ref="N43">IFERROR(INDEX($D$40:$D$53,MATCH($I43&amp;$J43&amp;$K43&amp;$L43,$E$40:$E$50&amp;$F$40:$F$50&amp;$G$40:$G$50&amp;$H$40:$H$50,0)),0)</f>
        <v>0</v>
      </c>
      <c r="O43" s="27" t="s">
        <v>93</v>
      </c>
      <c r="P43" s="22">
        <f>SUM(P40:P42)</f>
        <v>0</v>
      </c>
    </row>
    <row r="44" spans="2:16" x14ac:dyDescent="0.35">
      <c r="B44" s="17"/>
      <c r="C44" s="17"/>
      <c r="D44" s="17"/>
      <c r="E44" s="17"/>
      <c r="F44" s="17"/>
      <c r="G44" s="17"/>
      <c r="H44" s="17"/>
      <c r="I44" s="21" t="s">
        <v>91</v>
      </c>
      <c r="J44" s="21" t="s">
        <v>84</v>
      </c>
      <c r="K44" s="21" t="s">
        <v>90</v>
      </c>
      <c r="L44" s="21" t="s">
        <v>86</v>
      </c>
      <c r="M44" s="21" cm="1">
        <f t="array" ref="M44">IFERROR(INDEX($C$40:$C$53,MATCH($I44&amp;$J44&amp;$K44&amp;$L44,$E$40:$E$50&amp;$F$40:$F$50&amp;$G$40:$G$50&amp;$H$40:$H$50,0)),0)</f>
        <v>0</v>
      </c>
      <c r="N44" s="21" cm="1">
        <f t="array" ref="N44">IFERROR(INDEX($D$40:$D$53,MATCH($I44&amp;$J44&amp;$K44&amp;$L44,$E$40:$E$50&amp;$F$40:$F$50&amp;$G$40:$G$50&amp;$H$40:$H$50,0)),0)</f>
        <v>0</v>
      </c>
      <c r="O44" s="27" t="s">
        <v>94</v>
      </c>
      <c r="P44" s="32">
        <f>M45+N45</f>
        <v>0</v>
      </c>
    </row>
    <row r="45" spans="2:16" x14ac:dyDescent="0.35">
      <c r="B45" s="17"/>
      <c r="C45" s="17"/>
      <c r="D45" s="17"/>
      <c r="E45" s="17"/>
      <c r="F45" s="17"/>
      <c r="G45" s="17"/>
      <c r="H45" s="17"/>
      <c r="I45" s="21" t="s">
        <v>94</v>
      </c>
      <c r="J45" s="21" t="s">
        <v>84</v>
      </c>
      <c r="K45" s="21" t="s">
        <v>85</v>
      </c>
      <c r="L45" s="21" t="s">
        <v>86</v>
      </c>
      <c r="M45" s="21" cm="1">
        <f t="array" ref="M45">IFERROR(INDEX($C$40:$C$53,MATCH($I45&amp;$J45&amp;$K45&amp;$L45,$E$40:$E$50&amp;$F$40:$F$50&amp;$G$40:$G$50&amp;$H$40:$H$50,0)),0)</f>
        <v>0</v>
      </c>
      <c r="N45" s="21" cm="1">
        <f t="array" ref="N45">IFERROR(INDEX($D$40:$D$53,MATCH($I45&amp;$J45&amp;$K45&amp;$L45,$E$40:$E$50&amp;$F$40:$F$50&amp;$G$40:$G$50&amp;$H$40:$H$50,0)),0)</f>
        <v>0</v>
      </c>
      <c r="O45" s="27" t="s">
        <v>96</v>
      </c>
      <c r="P45" s="32">
        <f>M46+N46</f>
        <v>0</v>
      </c>
    </row>
    <row r="46" spans="2:16" x14ac:dyDescent="0.35">
      <c r="B46" s="17"/>
      <c r="C46" s="17"/>
      <c r="D46" s="17"/>
      <c r="E46" s="17"/>
      <c r="F46" s="17"/>
      <c r="G46" s="17"/>
      <c r="H46" s="17"/>
      <c r="I46" s="21" t="s">
        <v>94</v>
      </c>
      <c r="J46" s="21" t="s">
        <v>84</v>
      </c>
      <c r="K46" s="21" t="s">
        <v>85</v>
      </c>
      <c r="L46" s="21" t="s">
        <v>95</v>
      </c>
      <c r="M46" s="21" cm="1">
        <f t="array" ref="M46">IFERROR(INDEX($C$40:$C$53,MATCH($I46&amp;$J46&amp;$K46&amp;$L46,$E$40:$E$50&amp;$F$40:$F$50&amp;$G$40:$G$50&amp;$H$40:$H$50,0)),0)</f>
        <v>0</v>
      </c>
      <c r="N46" s="21" cm="1">
        <f t="array" ref="N46">IFERROR(INDEX($D$40:$D$53,MATCH($I46&amp;$J46&amp;$K46&amp;$L46,$E$40:$E$50&amp;$F$40:$F$50&amp;$G$40:$G$50&amp;$H$40:$H$50,0)),0)</f>
        <v>0</v>
      </c>
      <c r="O46" s="27" t="s">
        <v>98</v>
      </c>
      <c r="P46" s="32">
        <v>0</v>
      </c>
    </row>
    <row r="47" spans="2:16" x14ac:dyDescent="0.35">
      <c r="B47" s="17"/>
      <c r="C47" s="17"/>
      <c r="D47" s="17"/>
      <c r="E47" s="17"/>
      <c r="F47" s="17"/>
      <c r="G47" s="17"/>
      <c r="H47" s="17"/>
      <c r="I47" s="21" t="s">
        <v>97</v>
      </c>
      <c r="J47" s="21" t="s">
        <v>84</v>
      </c>
      <c r="K47" s="21" t="s">
        <v>85</v>
      </c>
      <c r="L47" s="21" t="s">
        <v>95</v>
      </c>
      <c r="M47" s="21" cm="1">
        <f t="array" ref="M47">IFERROR(INDEX($C$40:$C$53,MATCH($I47&amp;$J47&amp;$K47&amp;$L47,$E$40:$E$50&amp;$F$40:$F$50&amp;$G$40:$G$50&amp;$H$40:$H$50,0)),0)</f>
        <v>0</v>
      </c>
      <c r="N47" s="21" cm="1">
        <f t="array" ref="N47">IFERROR(INDEX($D$40:$D$53,MATCH($I47&amp;$J47&amp;$K47&amp;$L47,$E$40:$E$50&amp;$F$40:$F$50&amp;$G$40:$G$50&amp;$H$40:$H$50,0)),0)</f>
        <v>0</v>
      </c>
      <c r="O47" s="27" t="s">
        <v>91</v>
      </c>
      <c r="P47" s="32">
        <f>M43+N43</f>
        <v>0</v>
      </c>
    </row>
    <row r="48" spans="2:16" x14ac:dyDescent="0.35">
      <c r="B48" s="17"/>
      <c r="C48" s="17"/>
      <c r="D48" s="17"/>
      <c r="E48" s="17"/>
      <c r="F48" s="17"/>
      <c r="G48" s="17"/>
      <c r="H48" s="17"/>
      <c r="I48" s="21" t="s">
        <v>97</v>
      </c>
      <c r="J48" s="21" t="s">
        <v>84</v>
      </c>
      <c r="K48" s="21" t="s">
        <v>85</v>
      </c>
      <c r="L48" s="21" t="s">
        <v>86</v>
      </c>
      <c r="M48" s="21" cm="1">
        <f t="array" ref="M48">IFERROR(INDEX($C$40:$C$53,MATCH($I48&amp;$J48&amp;$K48&amp;$L48,$E$40:$E$50&amp;$F$40:$F$50&amp;$G$40:$G$50&amp;$H$40:$H$50,0)),0)</f>
        <v>0</v>
      </c>
      <c r="N48" s="21" cm="1">
        <f t="array" ref="N48">IFERROR(INDEX($D$40:$D$53,MATCH($I48&amp;$J48&amp;$K48&amp;$L48,$E$40:$E$50&amp;$F$40:$F$50&amp;$G$40:$G$50&amp;$H$40:$H$50,0)),0)</f>
        <v>0</v>
      </c>
      <c r="O48" s="27" t="s">
        <v>99</v>
      </c>
      <c r="P48" s="32">
        <v>0</v>
      </c>
    </row>
    <row r="49" spans="2:16" x14ac:dyDescent="0.35">
      <c r="B49" s="17"/>
      <c r="C49" s="17"/>
      <c r="D49" s="17"/>
      <c r="E49" s="17"/>
      <c r="F49" s="17"/>
      <c r="G49" s="17"/>
      <c r="H49" s="17"/>
      <c r="I49" s="21" t="s">
        <v>97</v>
      </c>
      <c r="J49" s="21" t="s">
        <v>84</v>
      </c>
      <c r="K49" s="21" t="s">
        <v>90</v>
      </c>
      <c r="L49" s="21" t="s">
        <v>95</v>
      </c>
      <c r="M49" s="21" cm="1">
        <f t="array" ref="M49">IFERROR(INDEX($C$40:$C$53,MATCH($I49&amp;$J49&amp;$K49&amp;$L49,$E$40:$E$50&amp;$F$40:$F$50&amp;$G$40:$G$50&amp;$H$40:$H$50,0)),0)</f>
        <v>0</v>
      </c>
      <c r="N49" s="21" cm="1">
        <f t="array" ref="N49">IFERROR(INDEX($D$40:$D$53,MATCH($I49&amp;$J49&amp;$K49&amp;$L49,$E$40:$E$50&amp;$F$40:$F$50&amp;$G$40:$G$50&amp;$H$40:$H$50,0)),0)</f>
        <v>0</v>
      </c>
      <c r="O49" s="27" t="s">
        <v>100</v>
      </c>
      <c r="P49" s="32">
        <f>M47+M48</f>
        <v>0</v>
      </c>
    </row>
    <row r="50" spans="2:16" x14ac:dyDescent="0.35">
      <c r="B50" s="17"/>
      <c r="C50" s="17"/>
      <c r="D50" s="17"/>
      <c r="E50" s="17"/>
      <c r="F50" s="17"/>
      <c r="G50" s="17"/>
      <c r="H50" s="17"/>
      <c r="I50" s="21" t="s">
        <v>94</v>
      </c>
      <c r="J50" s="21" t="s">
        <v>84</v>
      </c>
      <c r="K50" s="21" t="s">
        <v>90</v>
      </c>
      <c r="L50" s="21" t="s">
        <v>86</v>
      </c>
      <c r="M50" s="21" cm="1">
        <f t="array" ref="M50">IFERROR(INDEX($C$40:$C$53,MATCH($I50&amp;$J50&amp;$K50&amp;$L50,$E$40:$E$50&amp;$F$40:$F$50&amp;$G$40:$G$50&amp;$H$40:$H$50,0)),0)</f>
        <v>0</v>
      </c>
      <c r="N50" s="21" cm="1">
        <f t="array" ref="N50">IFERROR(INDEX($D$40:$D$53,MATCH($I50&amp;$J50&amp;$K50&amp;$L50,$E$40:$E$50&amp;$F$40:$F$50&amp;$G$40:$G$50&amp;$H$40:$H$50,0)),0)</f>
        <v>0</v>
      </c>
      <c r="O50" s="27" t="s">
        <v>101</v>
      </c>
      <c r="P50" s="22">
        <f>SUM(P44:P49)+P43</f>
        <v>0</v>
      </c>
    </row>
    <row r="51" spans="2:16" x14ac:dyDescent="0.35">
      <c r="B51" s="17"/>
      <c r="C51" s="17"/>
      <c r="D51" s="17"/>
      <c r="E51" s="17"/>
      <c r="F51" s="17"/>
      <c r="G51" s="17"/>
      <c r="H51" s="17"/>
      <c r="O51" s="27" t="s">
        <v>102</v>
      </c>
      <c r="P51" s="32">
        <f>M42+N42+M44+N44+M49+N49+M50+N50</f>
        <v>0</v>
      </c>
    </row>
    <row r="52" spans="2:16" x14ac:dyDescent="0.35">
      <c r="B52" s="17"/>
      <c r="C52" s="17"/>
      <c r="D52" s="17"/>
      <c r="E52" s="17"/>
      <c r="F52" s="17"/>
      <c r="G52" s="17"/>
      <c r="H52" s="17"/>
      <c r="O52" s="27" t="s">
        <v>103</v>
      </c>
      <c r="P52" s="22">
        <f>P50+P51</f>
        <v>0</v>
      </c>
    </row>
    <row r="53" spans="2:16" x14ac:dyDescent="0.35">
      <c r="B53" s="17"/>
      <c r="C53" s="17"/>
      <c r="D53" s="17"/>
      <c r="E53" s="17"/>
      <c r="F53" s="17"/>
      <c r="G53" s="17"/>
      <c r="H53" s="17"/>
    </row>
  </sheetData>
  <mergeCells count="6">
    <mergeCell ref="I20:N20"/>
    <mergeCell ref="O20:P20"/>
    <mergeCell ref="B20:H20"/>
    <mergeCell ref="B38:H38"/>
    <mergeCell ref="I38:N38"/>
    <mergeCell ref="O38:P38"/>
  </mergeCells>
  <conditionalFormatting sqref="R19:U28">
    <cfRule type="cellIs" dxfId="1" priority="2" operator="equal">
      <formula>1</formula>
    </cfRule>
  </conditionalFormatting>
  <conditionalFormatting sqref="R29:U29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Kati.Kati">
                <anchor moveWithCells="1" sizeWithCells="1">
                  <from>
                    <xdr:col>3</xdr:col>
                    <xdr:colOff>1187450</xdr:colOff>
                    <xdr:row>3</xdr:row>
                    <xdr:rowOff>19050</xdr:rowOff>
                  </from>
                  <to>
                    <xdr:col>4</xdr:col>
                    <xdr:colOff>1111250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3</xdr:row>
                    <xdr:rowOff>19050</xdr:rowOff>
                  </from>
                  <to>
                    <xdr:col>6</xdr:col>
                    <xdr:colOff>889000</xdr:colOff>
                    <xdr:row>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2:N46"/>
  <sheetViews>
    <sheetView workbookViewId="0">
      <selection activeCell="A9" sqref="A9"/>
    </sheetView>
  </sheetViews>
  <sheetFormatPr defaultRowHeight="14.5" x14ac:dyDescent="0.35"/>
  <sheetData>
    <row r="2" spans="4:14" x14ac:dyDescent="0.35">
      <c r="D2" t="s">
        <v>0</v>
      </c>
      <c r="J2" t="str">
        <f>LEFT(RIGHT(D2,LEN(D2)-FIND("&lt;",D2)),LEN(RIGHT(D2,LEN(D2)-FIND("&lt;",D2)))-1)</f>
        <v>Andy.Kramer@mfin.com</v>
      </c>
      <c r="N2" t="s">
        <v>42</v>
      </c>
    </row>
    <row r="3" spans="4:14" x14ac:dyDescent="0.35">
      <c r="D3" t="s">
        <v>1</v>
      </c>
      <c r="J3" t="str">
        <f t="shared" ref="J3:J46" si="0">LEFT(RIGHT(D3,LEN(D3)-FIND("&lt;",D3)),LEN(RIGHT(D3,LEN(D3)-FIND("&lt;",D3)))-1)</f>
        <v>Matt.Mylroie@mfin.com</v>
      </c>
      <c r="N3" t="s">
        <v>43</v>
      </c>
    </row>
    <row r="4" spans="4:14" x14ac:dyDescent="0.35">
      <c r="D4" t="s">
        <v>2</v>
      </c>
      <c r="J4" t="str">
        <f t="shared" si="0"/>
        <v>Michael.Banis@mfin.com</v>
      </c>
      <c r="N4" t="s">
        <v>44</v>
      </c>
    </row>
    <row r="5" spans="4:14" x14ac:dyDescent="0.35">
      <c r="D5" t="s">
        <v>3</v>
      </c>
      <c r="J5" t="str">
        <f t="shared" si="0"/>
        <v>Rodger.Hergenrader@mfin.com</v>
      </c>
      <c r="N5" t="s">
        <v>45</v>
      </c>
    </row>
    <row r="6" spans="4:14" x14ac:dyDescent="0.35">
      <c r="D6" t="s">
        <v>4</v>
      </c>
      <c r="J6" t="str">
        <f t="shared" si="0"/>
        <v>Aaron.Janssen@mfin.com</v>
      </c>
      <c r="N6" t="s">
        <v>46</v>
      </c>
    </row>
    <row r="7" spans="4:14" x14ac:dyDescent="0.35">
      <c r="D7" t="s">
        <v>5</v>
      </c>
      <c r="J7" t="str">
        <f t="shared" si="0"/>
        <v>Alanna.Buck@mfin.com</v>
      </c>
      <c r="N7" t="s">
        <v>47</v>
      </c>
    </row>
    <row r="8" spans="4:14" x14ac:dyDescent="0.35">
      <c r="D8" t="s">
        <v>6</v>
      </c>
      <c r="J8" t="str">
        <f t="shared" si="0"/>
        <v>David.Anderson@mfin.com</v>
      </c>
      <c r="N8" t="s">
        <v>48</v>
      </c>
    </row>
    <row r="9" spans="4:14" x14ac:dyDescent="0.35">
      <c r="D9" t="s">
        <v>7</v>
      </c>
      <c r="J9" t="str">
        <f t="shared" si="0"/>
        <v>Dennis.McMahan@mfin.com</v>
      </c>
      <c r="N9" t="s">
        <v>49</v>
      </c>
    </row>
    <row r="10" spans="4:14" x14ac:dyDescent="0.35">
      <c r="D10" t="s">
        <v>8</v>
      </c>
      <c r="J10" t="str">
        <f t="shared" si="0"/>
        <v>Erica.Wohlfahrt@mfin.com</v>
      </c>
      <c r="N10" t="s">
        <v>50</v>
      </c>
    </row>
    <row r="11" spans="4:14" x14ac:dyDescent="0.35">
      <c r="D11" t="s">
        <v>9</v>
      </c>
      <c r="J11" t="str">
        <f t="shared" si="0"/>
        <v>Evan.Seach@mfin.com</v>
      </c>
      <c r="N11" t="s">
        <v>51</v>
      </c>
    </row>
    <row r="12" spans="4:14" x14ac:dyDescent="0.35">
      <c r="D12" t="s">
        <v>10</v>
      </c>
      <c r="J12" t="str">
        <f t="shared" si="0"/>
        <v>Jeff.Struthers@mfin.com</v>
      </c>
      <c r="N12" t="s">
        <v>52</v>
      </c>
    </row>
    <row r="13" spans="4:14" x14ac:dyDescent="0.35">
      <c r="D13" t="s">
        <v>11</v>
      </c>
      <c r="J13" t="str">
        <f t="shared" si="0"/>
        <v>Kim.Williams@mfin.com</v>
      </c>
      <c r="N13" t="s">
        <v>53</v>
      </c>
    </row>
    <row r="14" spans="4:14" x14ac:dyDescent="0.35">
      <c r="D14" t="s">
        <v>12</v>
      </c>
      <c r="J14" t="str">
        <f t="shared" si="0"/>
        <v>Kimberley.Martindell@mfin.com</v>
      </c>
      <c r="N14" t="s">
        <v>54</v>
      </c>
    </row>
    <row r="15" spans="4:14" x14ac:dyDescent="0.35">
      <c r="D15" t="s">
        <v>13</v>
      </c>
      <c r="J15" t="str">
        <f t="shared" si="0"/>
        <v>Kyle.Jones@mfin.com</v>
      </c>
      <c r="N15" t="s">
        <v>55</v>
      </c>
    </row>
    <row r="16" spans="4:14" x14ac:dyDescent="0.35">
      <c r="D16" t="s">
        <v>14</v>
      </c>
      <c r="J16" t="str">
        <f t="shared" si="0"/>
        <v>Mark.Jones@mfin.com</v>
      </c>
      <c r="N16" t="s">
        <v>56</v>
      </c>
    </row>
    <row r="17" spans="4:14" x14ac:dyDescent="0.35">
      <c r="D17" t="s">
        <v>15</v>
      </c>
      <c r="J17" t="str">
        <f t="shared" si="0"/>
        <v>Kellie.Marx@mfin.com</v>
      </c>
      <c r="N17" t="s">
        <v>57</v>
      </c>
    </row>
    <row r="18" spans="4:14" x14ac:dyDescent="0.35">
      <c r="D18" t="s">
        <v>16</v>
      </c>
      <c r="J18" t="str">
        <f t="shared" si="0"/>
        <v>Peggy.Hoagland@mfin.com</v>
      </c>
      <c r="N18" t="s">
        <v>58</v>
      </c>
    </row>
    <row r="19" spans="4:14" x14ac:dyDescent="0.35">
      <c r="D19" t="s">
        <v>17</v>
      </c>
      <c r="J19" t="str">
        <f t="shared" si="0"/>
        <v>Tami.Barraclough@mfin.com</v>
      </c>
      <c r="N19" t="s">
        <v>59</v>
      </c>
    </row>
    <row r="20" spans="4:14" x14ac:dyDescent="0.35">
      <c r="D20" t="s">
        <v>18</v>
      </c>
      <c r="J20" t="str">
        <f t="shared" si="0"/>
        <v>Bruce.Fuller@mfin.com</v>
      </c>
      <c r="N20" t="s">
        <v>60</v>
      </c>
    </row>
    <row r="21" spans="4:14" x14ac:dyDescent="0.35">
      <c r="D21" t="s">
        <v>11</v>
      </c>
      <c r="J21" t="str">
        <f t="shared" si="0"/>
        <v>Kim.Williams@mfin.com</v>
      </c>
      <c r="N21" t="s">
        <v>53</v>
      </c>
    </row>
    <row r="22" spans="4:14" x14ac:dyDescent="0.35">
      <c r="D22" t="s">
        <v>19</v>
      </c>
      <c r="J22" t="str">
        <f t="shared" si="0"/>
        <v>Erik.Reynolds@mfin.com</v>
      </c>
      <c r="N22" t="s">
        <v>61</v>
      </c>
    </row>
    <row r="23" spans="4:14" x14ac:dyDescent="0.35">
      <c r="D23" t="s">
        <v>20</v>
      </c>
      <c r="J23" t="str">
        <f t="shared" si="0"/>
        <v>ReNae.Schwartz@mfin.com</v>
      </c>
      <c r="N23" t="s">
        <v>62</v>
      </c>
    </row>
    <row r="24" spans="4:14" x14ac:dyDescent="0.35">
      <c r="D24" t="s">
        <v>21</v>
      </c>
      <c r="J24" t="str">
        <f t="shared" si="0"/>
        <v>Shelley.Sievers@mfin.com</v>
      </c>
      <c r="N24" t="s">
        <v>63</v>
      </c>
    </row>
    <row r="25" spans="4:14" x14ac:dyDescent="0.35">
      <c r="D25" t="s">
        <v>22</v>
      </c>
      <c r="J25" t="str">
        <f t="shared" si="0"/>
        <v>Hans.Avery@mfin.com</v>
      </c>
      <c r="N25" t="s">
        <v>64</v>
      </c>
    </row>
    <row r="26" spans="4:14" x14ac:dyDescent="0.35">
      <c r="D26" t="s">
        <v>23</v>
      </c>
      <c r="J26" t="str">
        <f t="shared" si="0"/>
        <v>Kati.Anderson@mfin.com</v>
      </c>
      <c r="N26" t="s">
        <v>65</v>
      </c>
    </row>
    <row r="27" spans="4:14" x14ac:dyDescent="0.35">
      <c r="D27" t="s">
        <v>24</v>
      </c>
      <c r="J27" t="str">
        <f t="shared" si="0"/>
        <v>Phillip.Willsey@mfin.com</v>
      </c>
      <c r="N27" t="s">
        <v>66</v>
      </c>
    </row>
    <row r="28" spans="4:14" x14ac:dyDescent="0.35">
      <c r="D28" t="s">
        <v>25</v>
      </c>
      <c r="J28" t="str">
        <f t="shared" si="0"/>
        <v>Hannah.Hasbrook@mfin.com</v>
      </c>
      <c r="N28" t="s">
        <v>67</v>
      </c>
    </row>
    <row r="29" spans="4:14" x14ac:dyDescent="0.35">
      <c r="D29" t="s">
        <v>26</v>
      </c>
      <c r="J29" t="str">
        <f t="shared" si="0"/>
        <v>Carolyn.Bahrman@mfin.com</v>
      </c>
      <c r="N29" t="s">
        <v>68</v>
      </c>
    </row>
    <row r="30" spans="4:14" x14ac:dyDescent="0.35">
      <c r="D30" t="s">
        <v>27</v>
      </c>
      <c r="J30" t="str">
        <f t="shared" si="0"/>
        <v>Greg.Pelletier@mfin.com</v>
      </c>
      <c r="N30" t="s">
        <v>69</v>
      </c>
    </row>
    <row r="31" spans="4:14" x14ac:dyDescent="0.35">
      <c r="D31" t="s">
        <v>4</v>
      </c>
      <c r="J31" t="str">
        <f t="shared" si="0"/>
        <v>Aaron.Janssen@mfin.com</v>
      </c>
      <c r="N31" t="s">
        <v>46</v>
      </c>
    </row>
    <row r="32" spans="4:14" x14ac:dyDescent="0.35">
      <c r="D32" t="s">
        <v>28</v>
      </c>
      <c r="J32" t="str">
        <f t="shared" si="0"/>
        <v>Eric.Smith@mfin.com</v>
      </c>
      <c r="N32" t="s">
        <v>70</v>
      </c>
    </row>
    <row r="33" spans="4:14" x14ac:dyDescent="0.35">
      <c r="D33" t="s">
        <v>29</v>
      </c>
      <c r="J33" t="str">
        <f t="shared" si="0"/>
        <v>Andy.Kramer@mfin.com</v>
      </c>
      <c r="N33" t="s">
        <v>42</v>
      </c>
    </row>
    <row r="34" spans="4:14" x14ac:dyDescent="0.35">
      <c r="D34" t="s">
        <v>12</v>
      </c>
      <c r="J34" t="str">
        <f t="shared" si="0"/>
        <v>Kimberley.Martindell@mfin.com</v>
      </c>
      <c r="N34" t="s">
        <v>54</v>
      </c>
    </row>
    <row r="35" spans="4:14" x14ac:dyDescent="0.35">
      <c r="D35" t="s">
        <v>30</v>
      </c>
      <c r="J35" t="str">
        <f t="shared" si="0"/>
        <v>Elizabeth.Breedlove@mfin.com</v>
      </c>
      <c r="N35" t="s">
        <v>71</v>
      </c>
    </row>
    <row r="36" spans="4:14" x14ac:dyDescent="0.35">
      <c r="D36" t="s">
        <v>31</v>
      </c>
      <c r="J36" t="str">
        <f t="shared" si="0"/>
        <v>Kevin.Kukar@mfin.com</v>
      </c>
      <c r="N36" t="s">
        <v>72</v>
      </c>
    </row>
    <row r="37" spans="4:14" x14ac:dyDescent="0.35">
      <c r="D37" t="s">
        <v>32</v>
      </c>
      <c r="J37" t="str">
        <f t="shared" si="0"/>
        <v>Erik.Bjorvik@mfin.com</v>
      </c>
      <c r="N37" t="s">
        <v>73</v>
      </c>
    </row>
    <row r="38" spans="4:14" x14ac:dyDescent="0.35">
      <c r="D38" t="s">
        <v>33</v>
      </c>
      <c r="J38" t="str">
        <f t="shared" si="0"/>
        <v>Neil.Kulkarni@mfin.com</v>
      </c>
      <c r="N38" t="s">
        <v>74</v>
      </c>
    </row>
    <row r="39" spans="4:14" x14ac:dyDescent="0.35">
      <c r="D39" t="s">
        <v>34</v>
      </c>
      <c r="J39" t="str">
        <f t="shared" si="0"/>
        <v>Shauna.Peart@mfin.com</v>
      </c>
      <c r="N39" t="s">
        <v>75</v>
      </c>
    </row>
    <row r="40" spans="4:14" x14ac:dyDescent="0.35">
      <c r="D40" t="s">
        <v>35</v>
      </c>
      <c r="J40" t="str">
        <f t="shared" si="0"/>
        <v>Cheryl.Egazarian@mfin.com</v>
      </c>
      <c r="N40" t="s">
        <v>76</v>
      </c>
    </row>
    <row r="41" spans="4:14" x14ac:dyDescent="0.35">
      <c r="D41" t="s">
        <v>36</v>
      </c>
      <c r="J41" t="str">
        <f t="shared" si="0"/>
        <v>Amanda.Novak@mfin.com</v>
      </c>
      <c r="N41" t="s">
        <v>77</v>
      </c>
    </row>
    <row r="42" spans="4:14" x14ac:dyDescent="0.35">
      <c r="D42" t="s">
        <v>37</v>
      </c>
      <c r="J42" t="str">
        <f t="shared" si="0"/>
        <v>Antong.Hou@mfin.com</v>
      </c>
      <c r="N42" t="s">
        <v>78</v>
      </c>
    </row>
    <row r="43" spans="4:14" x14ac:dyDescent="0.35">
      <c r="D43" t="s">
        <v>38</v>
      </c>
      <c r="J43" t="str">
        <f t="shared" si="0"/>
        <v>Brian.Hong@mfin.com</v>
      </c>
      <c r="N43" t="s">
        <v>79</v>
      </c>
    </row>
    <row r="44" spans="4:14" x14ac:dyDescent="0.35">
      <c r="D44" t="s">
        <v>39</v>
      </c>
      <c r="J44" t="str">
        <f t="shared" si="0"/>
        <v>Kyle.Davis@mfin.com</v>
      </c>
      <c r="N44" t="s">
        <v>80</v>
      </c>
    </row>
    <row r="45" spans="4:14" x14ac:dyDescent="0.35">
      <c r="D45" t="s">
        <v>40</v>
      </c>
      <c r="J45" t="str">
        <f t="shared" si="0"/>
        <v>Robert.Wagner@mfin.com</v>
      </c>
      <c r="N45" t="s">
        <v>81</v>
      </c>
    </row>
    <row r="46" spans="4:14" x14ac:dyDescent="0.35">
      <c r="D46" t="s">
        <v>41</v>
      </c>
      <c r="J46" t="str">
        <f t="shared" si="0"/>
        <v>Riley.Skyles@mfin.com</v>
      </c>
      <c r="N46" t="s">
        <v>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Tami W Control</vt:lpstr>
      <vt:lpstr>Market Share</vt:lpstr>
      <vt:lpstr>ProdType</vt:lpstr>
      <vt:lpstr>Leslie Darrigo</vt:lpstr>
      <vt:lpstr>Derek Palumbo</vt:lpstr>
      <vt:lpstr>Kati Anderson</vt:lpstr>
      <vt:lpstr>Final Pivot Email List</vt:lpstr>
      <vt:lpstr>MarketShare</vt:lpstr>
      <vt:lpstr>Name_MarketShare</vt:lpstr>
      <vt:lpstr>Name_Prenetration</vt:lpstr>
      <vt:lpstr>Name_ProdStory</vt:lpstr>
      <vt:lpstr>Name_ProdType</vt:lpstr>
      <vt:lpstr>Name_Report</vt:lpstr>
      <vt:lpstr>Penetration</vt:lpstr>
      <vt:lpstr>ProdType</vt:lpstr>
      <vt:lpstr>ProductionStory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Yu-Sheng Lee</dc:creator>
  <cp:lastModifiedBy>Yu-Sheng Lee</cp:lastModifiedBy>
  <dcterms:created xsi:type="dcterms:W3CDTF">2015-06-05T18:17:20Z</dcterms:created>
  <dcterms:modified xsi:type="dcterms:W3CDTF">2023-04-03T20:00:25Z</dcterms:modified>
</cp:coreProperties>
</file>