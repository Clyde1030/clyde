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-shenglee\Desktop\Python\ProductionMacro\"/>
    </mc:Choice>
  </mc:AlternateContent>
  <xr:revisionPtr revIDLastSave="0" documentId="13_ncr:1_{1A562843-3F95-4AFC-B0B5-B49552B1C5BF}" xr6:coauthVersionLast="47" xr6:coauthVersionMax="47" xr10:uidLastSave="{00000000-0000-0000-0000-000000000000}"/>
  <bookViews>
    <workbookView xWindow="28680" yWindow="-120" windowWidth="29040" windowHeight="15840" tabRatio="642" activeTab="5" xr2:uid="{00000000-000D-0000-FFFF-FFFF00000000}"/>
  </bookViews>
  <sheets>
    <sheet name="Tami W Control" sheetId="12" r:id="rId1"/>
    <sheet name="Market Share" sheetId="2" r:id="rId2"/>
    <sheet name="ProdType" sheetId="10" r:id="rId3"/>
    <sheet name="Leslie Darrigo" sheetId="13" r:id="rId4"/>
    <sheet name="Derek Palumbo" sheetId="7" r:id="rId5"/>
    <sheet name="Kati Anderson" sheetId="15" r:id="rId6"/>
    <sheet name="Final Pivot Email List" sheetId="1" state="hidden" r:id="rId7"/>
  </sheets>
  <functionGroups builtInGroupCount="19"/>
  <definedNames>
    <definedName name="_xlnm._FilterDatabase" localSheetId="4" hidden="1">'Derek Palumbo'!$A$2:$D$153</definedName>
    <definedName name="_xlnm._FilterDatabase" localSheetId="3" hidden="1">'Leslie Darrigo'!#REF!</definedName>
    <definedName name="_xlnm._FilterDatabase" localSheetId="1" hidden="1">'Market Share'!$A$2:$H$1941</definedName>
    <definedName name="_xlnm._FilterDatabase" localSheetId="2" hidden="1">ProdType!$A$2:$H$2</definedName>
    <definedName name="MarketShare">'Market Share'!$A$3:$H$5000</definedName>
    <definedName name="Name_MarketShare">'Tami W Control'!$D$12</definedName>
    <definedName name="Name_Prenetration">'Derek Palumbo'!$I$11</definedName>
    <definedName name="Name_ProdStory">'Kati Anderson'!$D$12</definedName>
    <definedName name="Name_ProdType">'Tami W Control'!$E$12</definedName>
    <definedName name="Name_Report">'Leslie Darrigo'!$D$12</definedName>
    <definedName name="Penetration">'Derek Palumbo'!$A$3:$D$500</definedName>
    <definedName name="ProdType">ProdType!$A$3:$H$500</definedName>
    <definedName name="ProductionStory">'Kati Anderson'!$B$22:$H$35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15" l="1"/>
  <c r="N50" i="15" l="1" a="1"/>
  <c r="N50" i="15" s="1"/>
  <c r="M50" i="15" a="1"/>
  <c r="M50" i="15" s="1"/>
  <c r="N49" i="15" a="1"/>
  <c r="N49" i="15" s="1"/>
  <c r="M49" i="15" a="1"/>
  <c r="M49" i="15" s="1"/>
  <c r="N48" i="15" a="1"/>
  <c r="N48" i="15" s="1"/>
  <c r="M48" i="15" a="1"/>
  <c r="M48" i="15" s="1"/>
  <c r="N47" i="15" a="1"/>
  <c r="N47" i="15" s="1"/>
  <c r="M47" i="15" a="1"/>
  <c r="M47" i="15" s="1"/>
  <c r="N46" i="15" a="1"/>
  <c r="N46" i="15" s="1"/>
  <c r="M46" i="15" a="1"/>
  <c r="M46" i="15" s="1"/>
  <c r="P45" i="15" s="1"/>
  <c r="N45" i="15" a="1"/>
  <c r="N45" i="15" s="1"/>
  <c r="M45" i="15" a="1"/>
  <c r="M45" i="15" s="1"/>
  <c r="N44" i="15" a="1"/>
  <c r="N44" i="15" s="1"/>
  <c r="M44" i="15" a="1"/>
  <c r="M44" i="15" s="1"/>
  <c r="N43" i="15" a="1"/>
  <c r="N43" i="15" s="1"/>
  <c r="M43" i="15" a="1"/>
  <c r="M43" i="15" s="1"/>
  <c r="N42" i="15" a="1"/>
  <c r="N42" i="15" s="1"/>
  <c r="M42" i="15" a="1"/>
  <c r="M42" i="15" s="1"/>
  <c r="N41" i="15" a="1"/>
  <c r="N41" i="15" s="1"/>
  <c r="M41" i="15" a="1"/>
  <c r="M41" i="15" s="1"/>
  <c r="P41" i="15" s="1"/>
  <c r="N40" i="15" a="1"/>
  <c r="N40" i="15" s="1"/>
  <c r="P42" i="15" s="1"/>
  <c r="M40" i="15" a="1"/>
  <c r="M40" i="15" s="1"/>
  <c r="P40" i="15" s="1"/>
  <c r="N23" i="15" a="1"/>
  <c r="N23" i="15" s="1"/>
  <c r="N24" i="15" a="1"/>
  <c r="N24" i="15" s="1"/>
  <c r="N25" i="15" a="1"/>
  <c r="N25" i="15" s="1"/>
  <c r="N26" i="15" a="1"/>
  <c r="N26" i="15" s="1"/>
  <c r="N27" i="15" a="1"/>
  <c r="N27" i="15" s="1"/>
  <c r="N28" i="15" a="1"/>
  <c r="N28" i="15" s="1"/>
  <c r="N29" i="15" a="1"/>
  <c r="N29" i="15" s="1"/>
  <c r="N30" i="15" a="1"/>
  <c r="N30" i="15" s="1"/>
  <c r="N31" i="15" a="1"/>
  <c r="N31" i="15" s="1"/>
  <c r="N32" i="15" a="1"/>
  <c r="N32" i="15" s="1"/>
  <c r="N22" i="15" a="1"/>
  <c r="N22" i="15" s="1"/>
  <c r="P24" i="15" s="1"/>
  <c r="M32" i="15" a="1"/>
  <c r="M32" i="15" s="1"/>
  <c r="M31" i="15" a="1"/>
  <c r="M31" i="15" s="1"/>
  <c r="M30" i="15" a="1"/>
  <c r="M30" i="15" s="1"/>
  <c r="M29" i="15" a="1"/>
  <c r="M29" i="15" s="1"/>
  <c r="M28" i="15" a="1"/>
  <c r="M28" i="15" s="1"/>
  <c r="M27" i="15" a="1"/>
  <c r="M27" i="15" s="1"/>
  <c r="M26" i="15" a="1"/>
  <c r="M26" i="15" s="1"/>
  <c r="M25" i="15" a="1"/>
  <c r="M25" i="15" s="1"/>
  <c r="M24" i="15" a="1"/>
  <c r="M24" i="15" s="1"/>
  <c r="M23" i="15" a="1"/>
  <c r="M23" i="15" s="1"/>
  <c r="M22" i="15" a="1"/>
  <c r="M22" i="15" s="1"/>
  <c r="P43" i="15" l="1"/>
  <c r="P33" i="15"/>
  <c r="P44" i="15"/>
  <c r="P31" i="15"/>
  <c r="P47" i="15"/>
  <c r="P49" i="15"/>
  <c r="P51" i="15"/>
  <c r="P23" i="15"/>
  <c r="P29" i="15"/>
  <c r="P26" i="15"/>
  <c r="P27" i="15"/>
  <c r="P50" i="15" l="1"/>
  <c r="P52" i="15" s="1"/>
  <c r="P22" i="15"/>
  <c r="P25" i="15" s="1"/>
  <c r="P32" i="15" s="1"/>
  <c r="P34" i="15" s="1"/>
  <c r="D12" i="13" l="1"/>
  <c r="B23" i="13"/>
  <c r="D24" i="13"/>
  <c r="I11" i="7"/>
  <c r="I12" i="7"/>
  <c r="E13" i="12" l="1"/>
  <c r="D12" i="12"/>
  <c r="E12" i="12"/>
  <c r="D13" i="12"/>
  <c r="J46" i="1" l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<sst xmlns="http://schemas.openxmlformats.org/spreadsheetml/2006/main" count="7560" uniqueCount="327">
  <si>
    <t>Andy Kramer &lt;Andy.Kramer@mfin.com&gt;</t>
  </si>
  <si>
    <t xml:space="preserve"> Matt Mylroie &lt;Matt.Mylroie@mfin.com&gt;</t>
  </si>
  <si>
    <t xml:space="preserve"> Michael Banis &lt;Michael.Banis@mfin.com&gt;</t>
  </si>
  <si>
    <t xml:space="preserve"> Rodger Hergenrader &lt;Rodger.Hergenrader@mfin.com&gt;</t>
  </si>
  <si>
    <t xml:space="preserve"> Aaron Janssen &lt;Aaron.Janssen@mfin.com&gt;</t>
  </si>
  <si>
    <t xml:space="preserve"> Alanna Buck &lt;Alanna.Buck@mfin.com&gt;</t>
  </si>
  <si>
    <t xml:space="preserve"> David Anderson &lt;David.Anderson@mfin.com&gt;</t>
  </si>
  <si>
    <t xml:space="preserve"> Dennis McMahan &lt;Dennis.McMahan@mfin.com&gt;</t>
  </si>
  <si>
    <t xml:space="preserve"> Erica Wohlfahrt &lt;Erica.Wohlfahrt@mfin.com&gt;</t>
  </si>
  <si>
    <t xml:space="preserve"> Evan Seach &lt;Evan.Seach@mfin.com&gt;</t>
  </si>
  <si>
    <t xml:space="preserve"> Jeff Struthers &lt;Jeff.Struthers@mfin.com&gt;</t>
  </si>
  <si>
    <t xml:space="preserve"> Kim Williams &lt;Kim.Williams@mfin.com&gt;</t>
  </si>
  <si>
    <t xml:space="preserve"> Kimberley Martindell &lt;Kimberley.Martindell@mfin.com&gt;</t>
  </si>
  <si>
    <t xml:space="preserve"> Kyle Jones &lt;Kyle.Jones@mfin.com&gt;</t>
  </si>
  <si>
    <t xml:space="preserve"> Mark Jones &lt;Mark.Jones@mfin.com&gt;</t>
  </si>
  <si>
    <t xml:space="preserve"> Kellie Marx &lt;Kellie.Marx@mfin.com&gt;</t>
  </si>
  <si>
    <t xml:space="preserve"> Peggy Hoagland &lt;Peggy.Hoagland@mfin.com&gt;</t>
  </si>
  <si>
    <t xml:space="preserve"> Tami Barraclough &lt;Tami.Barraclough@mfin.com&gt;</t>
  </si>
  <si>
    <t xml:space="preserve"> Bruce Fuller &lt;Bruce.Fuller@mfin.com&gt;</t>
  </si>
  <si>
    <t xml:space="preserve"> Erik Reynolds &lt;Erik.Reynolds@mfin.com&gt;</t>
  </si>
  <si>
    <t xml:space="preserve"> ReNae Schwartz &lt;ReNae.Schwartz@mfin.com&gt;</t>
  </si>
  <si>
    <t xml:space="preserve"> Shelley Sievers &lt;Shelley.Sievers@mfin.com&gt;</t>
  </si>
  <si>
    <t xml:space="preserve"> Hans Avery &lt;Hans.Avery@mfin.com&gt;</t>
  </si>
  <si>
    <t xml:space="preserve"> Kati Anderson &lt;Kati.Anderson@mfin.com&gt;</t>
  </si>
  <si>
    <t xml:space="preserve"> Phillip Willsey &lt;Phillip.Willsey@mfin.com&gt;</t>
  </si>
  <si>
    <t xml:space="preserve"> Hannah Hasbrook &lt;Hannah.Hasbrook@mfin.com&gt;</t>
  </si>
  <si>
    <t xml:space="preserve"> Carolyn Bahrman &lt;Carolyn.Bahrman@mfin.com&gt;</t>
  </si>
  <si>
    <t xml:space="preserve"> Greg Pelletier &lt;Greg.Pelletier@mfin.com&gt;</t>
  </si>
  <si>
    <t xml:space="preserve"> Eric Smith &lt;Eric.Smith@mfin.com&gt;</t>
  </si>
  <si>
    <t xml:space="preserve"> Andy Kramer &lt;Andy.Kramer@mfin.com&gt;</t>
  </si>
  <si>
    <t xml:space="preserve"> Elizabeth Breedlove &lt;Elizabeth.Breedlove@mfin.com&gt;</t>
  </si>
  <si>
    <t xml:space="preserve"> Kevin Kukar &lt;Kevin.Kukar@mfin.com&gt;</t>
  </si>
  <si>
    <t xml:space="preserve"> Erik Bjorvik &lt;Erik.Bjorvik@mfin.com&gt;</t>
  </si>
  <si>
    <t xml:space="preserve"> Neil Kulkarni &lt;Neil.Kulkarni@mfin.com&gt;</t>
  </si>
  <si>
    <t xml:space="preserve"> Shauna Peart &lt;Shauna.Peart@mfin.com&gt;</t>
  </si>
  <si>
    <t xml:space="preserve"> Cheryl Egazarian &lt;Cheryl.Egazarian@mfin.com&gt;</t>
  </si>
  <si>
    <t xml:space="preserve"> Amanda Novak &lt;Amanda.Novak@mfin.com&gt;</t>
  </si>
  <si>
    <t xml:space="preserve"> Antong Hou &lt;Antong.Hou@mfin.com&gt;</t>
  </si>
  <si>
    <t xml:space="preserve"> Brian Hong &lt;Brian.Hong@mfin.com&gt;</t>
  </si>
  <si>
    <t xml:space="preserve"> Kyle Davis &lt;Kyle.Davis@mfin.com&gt;</t>
  </si>
  <si>
    <t xml:space="preserve"> Robert Wagner &lt;Robert.Wagner@mfin.com&gt;</t>
  </si>
  <si>
    <t xml:space="preserve"> Riley Skyles &lt;Riley.Skyles@mfin.com&gt;</t>
  </si>
  <si>
    <t>Andy.Kramer@mfin.com;</t>
  </si>
  <si>
    <t>Matt.Mylroie@mfin.com;</t>
  </si>
  <si>
    <t>Michael.Banis@mfin.com;</t>
  </si>
  <si>
    <t>Rodger.Hergenrader@mfin.com;</t>
  </si>
  <si>
    <t>Aaron.Janssen@mfin.com;</t>
  </si>
  <si>
    <t>Alanna.Buck@mfin.com;</t>
  </si>
  <si>
    <t>David.Anderson@mfin.com;</t>
  </si>
  <si>
    <t>Dennis.McMahan@mfin.com;</t>
  </si>
  <si>
    <t>Erica.Wohlfahrt@mfin.com;</t>
  </si>
  <si>
    <t>Evan.Seach@mfin.com;</t>
  </si>
  <si>
    <t>Jeff.Struthers@mfin.com;</t>
  </si>
  <si>
    <t>Kim.Williams@mfin.com;</t>
  </si>
  <si>
    <t>Kimberley.Martindell@mfin.com;</t>
  </si>
  <si>
    <t>Kyle.Jones@mfin.com;</t>
  </si>
  <si>
    <t>Mark.Jones@mfin.com;</t>
  </si>
  <si>
    <t>Kellie.Marx@mfin.com;</t>
  </si>
  <si>
    <t>Peggy.Hoagland@mfin.com;</t>
  </si>
  <si>
    <t>Tami.Barraclough@mfin.com;</t>
  </si>
  <si>
    <t>Bruce.Fuller@mfin.com;</t>
  </si>
  <si>
    <t>Erik.Reynolds@mfin.com;</t>
  </si>
  <si>
    <t>ReNae.Schwartz@mfin.com;</t>
  </si>
  <si>
    <t>Shelley.Sievers@mfin.com;</t>
  </si>
  <si>
    <t>Hans.Avery@mfin.com;</t>
  </si>
  <si>
    <t>Kati.Anderson@mfin.com;</t>
  </si>
  <si>
    <t>Phillip.Willsey@mfin.com;</t>
  </si>
  <si>
    <t>Hannah.Hasbrook@mfin.com;</t>
  </si>
  <si>
    <t>Carolyn.Bahrman@mfin.com;</t>
  </si>
  <si>
    <t>Greg.Pelletier@mfin.com;</t>
  </si>
  <si>
    <t>Eric.Smith@mfin.com;</t>
  </si>
  <si>
    <t>Elizabeth.Breedlove@mfin.com;</t>
  </si>
  <si>
    <t>Kevin.Kukar@mfin.com;</t>
  </si>
  <si>
    <t>Erik.Bjorvik@mfin.com;</t>
  </si>
  <si>
    <t>Neil.Kulkarni@mfin.com;</t>
  </si>
  <si>
    <t>Shauna.Peart@mfin.com;</t>
  </si>
  <si>
    <t>Cheryl.Egazarian@mfin.com;</t>
  </si>
  <si>
    <t>Amanda.Novak@mfin.com;</t>
  </si>
  <si>
    <t>Antong.Hou@mfin.com;</t>
  </si>
  <si>
    <t>Brian.Hong@mfin.com;</t>
  </si>
  <si>
    <t>Kyle.Davis@mfin.com;</t>
  </si>
  <si>
    <t>Robert.Wagner@mfin.com;</t>
  </si>
  <si>
    <t>Riley.Skyles@mfin.com;</t>
  </si>
  <si>
    <t>Life</t>
  </si>
  <si>
    <t>Non-Mag</t>
  </si>
  <si>
    <t>M-Carrier</t>
  </si>
  <si>
    <t>Non-Group</t>
  </si>
  <si>
    <t>line</t>
  </si>
  <si>
    <t>Magnastar</t>
  </si>
  <si>
    <t>Comm. Life</t>
  </si>
  <si>
    <t>Non-M</t>
  </si>
  <si>
    <t>Annuity</t>
  </si>
  <si>
    <t>Low/Non Comm. Life</t>
  </si>
  <si>
    <t>Total Life</t>
  </si>
  <si>
    <t>Disability</t>
  </si>
  <si>
    <t>Group</t>
  </si>
  <si>
    <t>Group Disability</t>
  </si>
  <si>
    <t>401(k)</t>
  </si>
  <si>
    <t>Life Settlements</t>
  </si>
  <si>
    <t>Magnastar Annuity</t>
  </si>
  <si>
    <t>401K</t>
  </si>
  <si>
    <t>Total M Carr Sales</t>
  </si>
  <si>
    <t>Non-M Carrier</t>
  </si>
  <si>
    <t>Total Sales</t>
  </si>
  <si>
    <t>MemberFirm</t>
  </si>
  <si>
    <t>TotalCommissionable</t>
  </si>
  <si>
    <t>JHTotalCommissionable</t>
  </si>
  <si>
    <t>JHPercent</t>
  </si>
  <si>
    <t>Year</t>
  </si>
  <si>
    <t>Month</t>
  </si>
  <si>
    <t>Tami Wroblewski</t>
  </si>
  <si>
    <t>Requester</t>
  </si>
  <si>
    <t>Derek Palumbo</t>
  </si>
  <si>
    <t>Email</t>
  </si>
  <si>
    <t>twroblewski@pacificlife.com</t>
  </si>
  <si>
    <t>dpalumbo@jhancock.com</t>
  </si>
  <si>
    <t>YearApplied</t>
  </si>
  <si>
    <t>Type</t>
  </si>
  <si>
    <t>Territory</t>
  </si>
  <si>
    <t>AllTarget</t>
  </si>
  <si>
    <t>AllExcess</t>
  </si>
  <si>
    <t>PLTarget</t>
  </si>
  <si>
    <t>PLExcess</t>
  </si>
  <si>
    <t>MonthApplied</t>
  </si>
  <si>
    <t>Carrier</t>
  </si>
  <si>
    <t>TargetPremium</t>
  </si>
  <si>
    <t>ExcessPremium</t>
  </si>
  <si>
    <t>SQL Script</t>
  </si>
  <si>
    <t>Update Steps</t>
  </si>
  <si>
    <t>http://mreportsdev.mfin.com/Reports/Pages/Report.aspx?ItemPath=%2fSales+Reports%2fSales+By+MemberFirm&amp;ViewMode=Detail</t>
  </si>
  <si>
    <t>1. Go to</t>
  </si>
  <si>
    <t>1.       Download the Excel file and save to Request folder</t>
  </si>
  <si>
    <t>2.       Unmerge columns A to B</t>
  </si>
  <si>
    <t>3.       Move Confidential heading and Report title to column C</t>
  </si>
  <si>
    <t>4.       Remove column B</t>
  </si>
  <si>
    <t>5.       Merge and Center B1:J1 and B2:J2</t>
  </si>
  <si>
    <t>6.       Auto fit column A</t>
  </si>
  <si>
    <t>7.       Add filters for B19:K19</t>
  </si>
  <si>
    <t>8.       Same step for sheet 2</t>
  </si>
  <si>
    <t>4. If the email looks good, send out the email</t>
  </si>
  <si>
    <t>Server</t>
  </si>
  <si>
    <t>Database</t>
  </si>
  <si>
    <t>ProductionAndOverride</t>
  </si>
  <si>
    <t>pdxvmdb11</t>
  </si>
  <si>
    <t>Comm Premium (Millions)</t>
  </si>
  <si>
    <t>Non-Comm Premium (Millions)</t>
  </si>
  <si>
    <t>LOB</t>
  </si>
  <si>
    <t>M Carrier</t>
  </si>
  <si>
    <t>Market Share</t>
  </si>
  <si>
    <t>Quarterly Penetration Report</t>
  </si>
  <si>
    <t>Production by Type</t>
  </si>
  <si>
    <t>File Path</t>
  </si>
  <si>
    <t>Production By Territory and Product Type</t>
  </si>
  <si>
    <t>1776 Advisor Group</t>
  </si>
  <si>
    <t>Member Firm</t>
  </si>
  <si>
    <t>West</t>
  </si>
  <si>
    <t>Altium Wealth Management</t>
  </si>
  <si>
    <t>Former MF</t>
  </si>
  <si>
    <t>East</t>
  </si>
  <si>
    <t>Alvarez Group, Private Client LLC, The</t>
  </si>
  <si>
    <t>Central</t>
  </si>
  <si>
    <t>Apexium Insurance Services LP</t>
  </si>
  <si>
    <t>Arlen Corporation</t>
  </si>
  <si>
    <t>Provisional MF</t>
  </si>
  <si>
    <t>AssuredPartners MCM</t>
  </si>
  <si>
    <t>PNW</t>
  </si>
  <si>
    <t>Atlas Advisory Group, LLC</t>
  </si>
  <si>
    <t>AUCTORIS</t>
  </si>
  <si>
    <t>Barry, Evans, Josephs &amp; Snipes</t>
  </si>
  <si>
    <t>Becker Suffern McLanahan, Ltd.</t>
  </si>
  <si>
    <t>Benson Blackburn, LLC</t>
  </si>
  <si>
    <t>BoliColi.com</t>
  </si>
  <si>
    <t>Boulevard Financial, LLC</t>
  </si>
  <si>
    <t>Bridge Financial Group, LLC</t>
  </si>
  <si>
    <t>BryanMark Group, Inc.</t>
  </si>
  <si>
    <t>Byron Financial Insurance Services, LLC</t>
  </si>
  <si>
    <t>Cammon Company</t>
  </si>
  <si>
    <t>Capital Strategies Group, Inc.</t>
  </si>
  <si>
    <t>Carlson Hammond</t>
  </si>
  <si>
    <t>Catalyst Solutions Group, Inc.</t>
  </si>
  <si>
    <t>Chaffee &amp; Associates LLC</t>
  </si>
  <si>
    <t>Chamberlain Group</t>
  </si>
  <si>
    <t>Chernoff Diamond &amp; Co., LLC</t>
  </si>
  <si>
    <t>Clary Executive Benefits LLC</t>
  </si>
  <si>
    <t>Cohn Financial Group, LLC</t>
  </si>
  <si>
    <t>Colorado Financial Group, Inc.</t>
  </si>
  <si>
    <t>Cornerstone Advisors</t>
  </si>
  <si>
    <t>Cornerstone Institutional Investors, LLC</t>
  </si>
  <si>
    <t>Corrigan &amp; Company</t>
  </si>
  <si>
    <t>Coyle Company, The</t>
  </si>
  <si>
    <t>Cypress Strategies</t>
  </si>
  <si>
    <t>DBP Wealth Advisory Group</t>
  </si>
  <si>
    <t>Downey Group, Inc., The</t>
  </si>
  <si>
    <t>DSG Family Legacy Insurance Solutions, Inc.</t>
  </si>
  <si>
    <t>Eagle Private Insurance Services</t>
  </si>
  <si>
    <t>Enza Financial, LLC</t>
  </si>
  <si>
    <t>Erben Associates, LLC</t>
  </si>
  <si>
    <t>Eslick Financial Group, Inc.</t>
  </si>
  <si>
    <t>Evergreen Consulting, Inc.</t>
  </si>
  <si>
    <t>Executive Compensation Group, LLC, The</t>
  </si>
  <si>
    <t>Fieldstone Insurance Group, LLC</t>
  </si>
  <si>
    <t>Financial Concepts Inc.</t>
  </si>
  <si>
    <t>Financial Designs Ltd.</t>
  </si>
  <si>
    <t>Garlikov &amp; Associates, Inc.</t>
  </si>
  <si>
    <t>Gateway Financial Group, Inc.</t>
  </si>
  <si>
    <t>GDK &amp; Company</t>
  </si>
  <si>
    <t>Gencorp Insurance &amp; Financial Services</t>
  </si>
  <si>
    <t>Gideon Strategic Partners, LLC</t>
  </si>
  <si>
    <t>Goldstein Financial Group, LLC</t>
  </si>
  <si>
    <t>Greenberg &amp; Rapp Financial Group, Inc.</t>
  </si>
  <si>
    <t>Greenberg, Wexler &amp; Eig, LLC</t>
  </si>
  <si>
    <t>Groff Team Partners, LLC</t>
  </si>
  <si>
    <t>HEIRMARK, LTD</t>
  </si>
  <si>
    <t>Heritage Capital Strategies, Inc.</t>
  </si>
  <si>
    <t>Heritage Strategies, LLC</t>
  </si>
  <si>
    <t>Horan Securities, Inc.</t>
  </si>
  <si>
    <t>Houghton Financial Partners, LLC</t>
  </si>
  <si>
    <t>Jamieson Financial Services, LLC</t>
  </si>
  <si>
    <t>JKJ Financial Services</t>
  </si>
  <si>
    <t>Jones Lowry</t>
  </si>
  <si>
    <t>KB Financial Partners, LLC</t>
  </si>
  <si>
    <t>Kibble &amp; Prentice Holding Company</t>
  </si>
  <si>
    <t>Knight Planning Corporation</t>
  </si>
  <si>
    <t>Koptis Organization, LLC, The</t>
  </si>
  <si>
    <t>Kornreich Insurance Services</t>
  </si>
  <si>
    <t>Krizek Group, The</t>
  </si>
  <si>
    <t>Laugharn &amp; Wilson Insurance Services, LLC</t>
  </si>
  <si>
    <t>Legacy Advisors, LLC</t>
  </si>
  <si>
    <t>Legacy Wealth LLC</t>
  </si>
  <si>
    <t>Lindberg &amp; Ripple</t>
  </si>
  <si>
    <t>Links Consulting</t>
  </si>
  <si>
    <t>LoVasco Consulting Group, Inc.</t>
  </si>
  <si>
    <t>Lyman Group, LLC, The</t>
  </si>
  <si>
    <t>M Advisory Group</t>
  </si>
  <si>
    <t>M Benefit Solutions</t>
  </si>
  <si>
    <t>M/Barrington Corporation</t>
  </si>
  <si>
    <t>Mack Financial Group, Inc.</t>
  </si>
  <si>
    <t>Madison &amp; Main Advisors, LLC</t>
  </si>
  <si>
    <t>Madison Group, The</t>
  </si>
  <si>
    <t>MBL Advisors Inc.</t>
  </si>
  <si>
    <t>McDowell Financial Group</t>
  </si>
  <si>
    <t>McInnes Group, Inc.</t>
  </si>
  <si>
    <t>Meridian Financial Group, LLC</t>
  </si>
  <si>
    <t>Mezrah Financial Group</t>
  </si>
  <si>
    <t>Miscellaneous Firms</t>
  </si>
  <si>
    <t>Morris Boyle GP</t>
  </si>
  <si>
    <t>Mullin Barens Sanford Financial &amp; Insurance Services, LLC</t>
  </si>
  <si>
    <t>MullinTBG</t>
  </si>
  <si>
    <t>NBW Insurance Group</t>
  </si>
  <si>
    <t>Nease, Lagana, Eden &amp; Culley, Inc.</t>
  </si>
  <si>
    <t>Newton One Advisors</t>
  </si>
  <si>
    <t>OneTeam Financial, LLC</t>
  </si>
  <si>
    <t>Ownership Advisors, Inc.</t>
  </si>
  <si>
    <t>Pappas Financial</t>
  </si>
  <si>
    <t>Parq Advisors</t>
  </si>
  <si>
    <t>Peck Financial</t>
  </si>
  <si>
    <t>Perspective Financial Group, An Alera Group Company</t>
  </si>
  <si>
    <t>Peter M. Williams &amp; Company</t>
  </si>
  <si>
    <t>Pfleger Financial Group, Inc.</t>
  </si>
  <si>
    <t>Pillar International Insurance Advisors, LLC</t>
  </si>
  <si>
    <t>Pinnacle Financial Group</t>
  </si>
  <si>
    <t>Plybon &amp; Associates, Inc.</t>
  </si>
  <si>
    <t>Pollock Financial Group</t>
  </si>
  <si>
    <t>Portell Financial Services, Inc.</t>
  </si>
  <si>
    <t>Premier Partners, LLC</t>
  </si>
  <si>
    <t>Professional Financial Services, Inc.</t>
  </si>
  <si>
    <t>Queally Group, Incorporated</t>
  </si>
  <si>
    <t>R.O.W. Group, The</t>
  </si>
  <si>
    <t>Retirement &amp; Insurance Resources, LLC</t>
  </si>
  <si>
    <t>Robinson Financial Group, Inc., The</t>
  </si>
  <si>
    <t>RockBridge Advisors Group, LLC</t>
  </si>
  <si>
    <t>Rose Glen, LLC</t>
  </si>
  <si>
    <t>Rose Street Advisors, LLC</t>
  </si>
  <si>
    <t>SilverStone Group</t>
  </si>
  <si>
    <t>Southern Wealth Management, LLP</t>
  </si>
  <si>
    <t>Stephens Insurance, LLC</t>
  </si>
  <si>
    <t>Strategic Advisor Group</t>
  </si>
  <si>
    <t>Strategic Wealth Advisors</t>
  </si>
  <si>
    <t>Swartzbaugh-Farber &amp; Associates, Inc.</t>
  </si>
  <si>
    <t>TCS Insurance Agency, Inc.</t>
  </si>
  <si>
    <t>Teekell Company, Inc., The</t>
  </si>
  <si>
    <t>Tenzing Insurance Strategies</t>
  </si>
  <si>
    <t>Thomas Financial Group</t>
  </si>
  <si>
    <t>Tippett Moorhead &amp; Haden, An Alera Group Agency, LLC</t>
  </si>
  <si>
    <t>TPG Consulting, LLC</t>
  </si>
  <si>
    <t>TRC Financial Insurance Services</t>
  </si>
  <si>
    <t>United Financial Consultants</t>
  </si>
  <si>
    <t>Valley Forge Financial Group, Inc.</t>
  </si>
  <si>
    <t>ViaForte, Inc.</t>
  </si>
  <si>
    <t>Vie International Financial Services, Ltd.</t>
  </si>
  <si>
    <t>Wallace Advisory Group</t>
  </si>
  <si>
    <t>Warner Companies, The</t>
  </si>
  <si>
    <t>Wealth Benefits Group</t>
  </si>
  <si>
    <t>Wealth Preservation Partners, LLC</t>
  </si>
  <si>
    <t>Wellspring Global Insurance Solutions</t>
  </si>
  <si>
    <t>Winged Keel Group</t>
  </si>
  <si>
    <t>Waxman Lawson Financial</t>
  </si>
  <si>
    <t>Advanced Life Insurance Strategies, Inc.</t>
  </si>
  <si>
    <t>Ressourcement, Inc.</t>
  </si>
  <si>
    <t>Brown Company, The</t>
  </si>
  <si>
    <t>Dodd Consulting, LLC</t>
  </si>
  <si>
    <t>Pacific Life Insurance Company</t>
  </si>
  <si>
    <t>Universal Life</t>
  </si>
  <si>
    <t>Term</t>
  </si>
  <si>
    <t>Variable Life</t>
  </si>
  <si>
    <t>Variable Survivorship</t>
  </si>
  <si>
    <t>Survivorship-UL</t>
  </si>
  <si>
    <t>Hybrid LTC</t>
  </si>
  <si>
    <t>Variable COLI</t>
  </si>
  <si>
    <t>MINS Commissions</t>
  </si>
  <si>
    <t>Leslie Darrigo</t>
  </si>
  <si>
    <t>ldarrigo@thomasfinancial.com</t>
  </si>
  <si>
    <r>
      <t xml:space="preserve">3. Press the </t>
    </r>
    <r>
      <rPr>
        <b/>
        <sz val="11"/>
        <color theme="1"/>
        <rFont val="Calibri"/>
        <family val="2"/>
        <scheme val="minor"/>
      </rPr>
      <t>[Populate Report]</t>
    </r>
    <r>
      <rPr>
        <sz val="11"/>
        <color theme="1"/>
        <rFont val="Calibri"/>
        <family val="2"/>
        <scheme val="minor"/>
      </rPr>
      <t xml:space="preserve"> Button and then </t>
    </r>
    <r>
      <rPr>
        <b/>
        <sz val="11"/>
        <color theme="1"/>
        <rFont val="Calibri"/>
        <family val="2"/>
        <scheme val="minor"/>
      </rPr>
      <t>[Draft Email]</t>
    </r>
    <r>
      <rPr>
        <sz val="11"/>
        <color theme="1"/>
        <rFont val="Calibri"/>
        <family val="2"/>
        <scheme val="minor"/>
      </rPr>
      <t xml:space="preserve"> button</t>
    </r>
  </si>
  <si>
    <t>This is the manual steps that the Macro do:</t>
  </si>
  <si>
    <t>&lt;-has to be xls format</t>
  </si>
  <si>
    <t>&lt;--integer</t>
  </si>
  <si>
    <t>Kati Anderson</t>
  </si>
  <si>
    <t>J:\Acctng\Production\Production Process Documentation\SQL Queries\Production Story.sql</t>
  </si>
  <si>
    <t>Production Story</t>
  </si>
  <si>
    <t>CommPrem(M)</t>
  </si>
  <si>
    <t>NonCommPrem(M)</t>
  </si>
  <si>
    <t>Data</t>
  </si>
  <si>
    <t>Correct Order</t>
  </si>
  <si>
    <t>Export</t>
  </si>
  <si>
    <t>From SQL - Current Month</t>
  </si>
  <si>
    <t>From SQL - Previous Month Copied from above</t>
  </si>
  <si>
    <t>kati.anderson@mfin.com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</si>
</sst>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9" fontId="0" fillId="0" borderId="0" xfId="2" applyFont="1"/>
    <xf numFmtId="0" fontId="0" fillId="3" borderId="0" xfId="0" applyFill="1"/>
    <xf numFmtId="9" fontId="0" fillId="3" borderId="0" xfId="2" applyFont="1" applyFill="1"/>
    <xf numFmtId="0" fontId="0" fillId="4" borderId="0" xfId="0" applyFill="1"/>
    <xf numFmtId="0" fontId="2" fillId="4" borderId="0" xfId="0" applyFont="1" applyFill="1"/>
    <xf numFmtId="0" fontId="0" fillId="4" borderId="0" xfId="0" applyFont="1" applyFill="1"/>
    <xf numFmtId="0" fontId="0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ont="1" applyFill="1" applyBorder="1"/>
    <xf numFmtId="0" fontId="0" fillId="5" borderId="0" xfId="0" applyFill="1"/>
    <xf numFmtId="0" fontId="0" fillId="5" borderId="0" xfId="0" quotePrefix="1" applyFill="1"/>
    <xf numFmtId="0" fontId="0" fillId="4" borderId="1" xfId="0" applyFill="1" applyBorder="1"/>
    <xf numFmtId="0" fontId="0" fillId="0" borderId="0" xfId="0" applyFill="1"/>
    <xf numFmtId="0" fontId="4" fillId="0" borderId="0" xfId="3" applyAlignment="1">
      <alignment horizontal="left" vertical="center" indent="14"/>
    </xf>
    <xf numFmtId="0" fontId="4" fillId="0" borderId="0" xfId="3"/>
    <xf numFmtId="14" fontId="0" fillId="0" borderId="0" xfId="0" applyNumberFormat="1"/>
    <xf numFmtId="0" fontId="2" fillId="0" borderId="0" xfId="0" applyFont="1"/>
    <xf numFmtId="0" fontId="6" fillId="0" borderId="0" xfId="0" applyFont="1"/>
    <xf numFmtId="0" fontId="7" fillId="4" borderId="0" xfId="0" quotePrefix="1" applyFont="1" applyFill="1"/>
    <xf numFmtId="0" fontId="4" fillId="4" borderId="0" xfId="3" applyFill="1"/>
    <xf numFmtId="0" fontId="0" fillId="6" borderId="0" xfId="0" applyFill="1"/>
    <xf numFmtId="10" fontId="0" fillId="0" borderId="0" xfId="2" applyNumberFormat="1" applyFont="1"/>
    <xf numFmtId="43" fontId="0" fillId="0" borderId="0" xfId="1" applyFont="1"/>
    <xf numFmtId="0" fontId="8" fillId="4" borderId="0" xfId="0" applyFont="1" applyFill="1"/>
    <xf numFmtId="0" fontId="0" fillId="10" borderId="0" xfId="0" applyFill="1"/>
    <xf numFmtId="0" fontId="0" fillId="11" borderId="0" xfId="0" applyFill="1" applyAlignment="1"/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wrapText="1"/>
    </xf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1" xfId="0" applyFill="1" applyBorder="1" applyAlignment="1"/>
    <xf numFmtId="0" fontId="0" fillId="2" borderId="0" xfId="0" applyFill="1" applyBorder="1" applyAlignment="1"/>
    <xf numFmtId="0" fontId="0" fillId="8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4" borderId="1" xfId="3" applyFill="1" applyBorder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1746250</xdr:colOff>
          <xdr:row>3</xdr:row>
          <xdr:rowOff>12700</xdr:rowOff>
        </xdr:from>
        <xdr:to>
          <xdr:col>3</xdr:col>
          <xdr:colOff>3581400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4000500</xdr:colOff>
          <xdr:row>3</xdr:row>
          <xdr:rowOff>6350</xdr:rowOff>
        </xdr:from>
        <xdr:to>
          <xdr:col>3</xdr:col>
          <xdr:colOff>5835650</xdr:colOff>
          <xdr:row>7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3</xdr:row>
          <xdr:rowOff>19050</xdr:rowOff>
        </xdr:from>
        <xdr:to>
          <xdr:col>3</xdr:col>
          <xdr:colOff>2565400</xdr:colOff>
          <xdr:row>8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3086100</xdr:colOff>
          <xdr:row>3</xdr:row>
          <xdr:rowOff>31750</xdr:rowOff>
        </xdr:from>
        <xdr:to>
          <xdr:col>3</xdr:col>
          <xdr:colOff>4927600</xdr:colOff>
          <xdr:row>8</xdr:row>
          <xdr:rowOff>19050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2</xdr:row>
          <xdr:rowOff>19050</xdr:rowOff>
        </xdr:from>
        <xdr:to>
          <xdr:col>8</xdr:col>
          <xdr:colOff>2565400</xdr:colOff>
          <xdr:row>7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3086100</xdr:colOff>
          <xdr:row>2</xdr:row>
          <xdr:rowOff>31750</xdr:rowOff>
        </xdr:from>
        <xdr:to>
          <xdr:col>8</xdr:col>
          <xdr:colOff>4927600</xdr:colOff>
          <xdr:row>7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1187450</xdr:colOff>
          <xdr:row>3</xdr:row>
          <xdr:rowOff>19050</xdr:rowOff>
        </xdr:from>
        <xdr:to>
          <xdr:col>4</xdr:col>
          <xdr:colOff>1111250</xdr:colOff>
          <xdr:row>8</xdr:row>
          <xdr:rowOff>6350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19050</xdr:rowOff>
        </xdr:from>
        <xdr:to>
          <xdr:col>6</xdr:col>
          <xdr:colOff>889000</xdr:colOff>
          <xdr:row>8</xdr:row>
          <xdr:rowOff>6350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mreportsdev.mfin.com/Reports/Pages/Report.aspx?ItemPath=%2fSales+Reports%2fSales+By+MemberFirm&amp;ViewMode=Detail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78A74-C5C1-4F8E-8A3D-AD5C7AA3E268}">
  <sheetPr codeName="Sheet8">
    <tabColor theme="4" tint="0.39997558519241921"/>
  </sheetPr>
  <dimension ref="B3:F23"/>
  <sheetViews>
    <sheetView zoomScaleNormal="100" workbookViewId="0">
      <selection activeCell="D17" sqref="D17"/>
    </sheetView>
  </sheetViews>
  <sheetFormatPr defaultRowHeight="14.5" x14ac:dyDescent="0.35"/>
  <cols>
    <col min="2" max="2" width="9.6328125" bestFit="1" customWidth="1"/>
    <col min="3" max="3" width="15.6328125" customWidth="1"/>
    <col min="4" max="4" width="95.26953125" bestFit="1" customWidth="1"/>
    <col min="5" max="5" width="96.6328125" bestFit="1" customWidth="1"/>
  </cols>
  <sheetData>
    <row r="3" spans="2:6" x14ac:dyDescent="0.35">
      <c r="B3" s="4"/>
      <c r="C3" s="4"/>
      <c r="D3" s="4"/>
      <c r="E3" s="4"/>
      <c r="F3" s="4"/>
    </row>
    <row r="4" spans="2:6" x14ac:dyDescent="0.35">
      <c r="B4" s="4" t="s">
        <v>108</v>
      </c>
      <c r="C4" s="10">
        <v>2022</v>
      </c>
      <c r="D4" s="4"/>
      <c r="E4" s="4"/>
      <c r="F4" s="4"/>
    </row>
    <row r="5" spans="2:6" x14ac:dyDescent="0.35">
      <c r="B5" s="4" t="s">
        <v>109</v>
      </c>
      <c r="C5" s="11">
        <v>10</v>
      </c>
      <c r="D5" s="19" t="s">
        <v>315</v>
      </c>
      <c r="E5" s="4"/>
      <c r="F5" s="4"/>
    </row>
    <row r="6" spans="2:6" x14ac:dyDescent="0.35">
      <c r="B6" s="4" t="s">
        <v>140</v>
      </c>
      <c r="C6" s="10" t="s">
        <v>143</v>
      </c>
      <c r="D6" s="4"/>
      <c r="E6" s="4"/>
      <c r="F6" s="4"/>
    </row>
    <row r="7" spans="2:6" x14ac:dyDescent="0.35">
      <c r="B7" s="4" t="s">
        <v>141</v>
      </c>
      <c r="C7" s="10" t="s">
        <v>142</v>
      </c>
      <c r="D7" s="4"/>
      <c r="E7" s="4"/>
      <c r="F7" s="4"/>
    </row>
    <row r="8" spans="2:6" x14ac:dyDescent="0.35">
      <c r="B8" s="4" t="s">
        <v>111</v>
      </c>
      <c r="C8" s="4" t="s">
        <v>110</v>
      </c>
      <c r="D8" s="4"/>
      <c r="E8" s="4"/>
      <c r="F8" s="4"/>
    </row>
    <row r="9" spans="2:6" x14ac:dyDescent="0.35">
      <c r="B9" s="4" t="s">
        <v>113</v>
      </c>
      <c r="C9" s="4" t="s">
        <v>114</v>
      </c>
      <c r="D9" s="4"/>
      <c r="E9" s="4"/>
      <c r="F9" s="4"/>
    </row>
    <row r="10" spans="2:6" x14ac:dyDescent="0.35">
      <c r="B10" s="4"/>
      <c r="C10" s="4"/>
      <c r="D10" s="4"/>
      <c r="E10" s="4"/>
      <c r="F10" s="4"/>
    </row>
    <row r="11" spans="2:6" x14ac:dyDescent="0.35">
      <c r="B11" s="4"/>
      <c r="C11" s="7"/>
      <c r="D11" s="7" t="s">
        <v>148</v>
      </c>
      <c r="E11" s="8" t="s">
        <v>150</v>
      </c>
      <c r="F11" s="4"/>
    </row>
    <row r="12" spans="2:6" x14ac:dyDescent="0.35">
      <c r="B12" s="4"/>
      <c r="C12" s="7" t="s">
        <v>151</v>
      </c>
      <c r="D12" s="9" t="str">
        <f>"J:\Acctng\Production\"&amp;C4&amp;"\Requests\Tami Wroblewski\Market Share\"&amp;"PL Market Share YTD "&amp;TEXT(INT(C5)*29,"mmmm")&amp;" "&amp;C4&amp;".xlsx"</f>
        <v>J:\Acctng\Production\2022\Requests\Tami Wroblewski\Market Share\PL Market Share YTD October 2022.xlsx</v>
      </c>
      <c r="E12" s="12" t="str">
        <f>"J:\Acctng\Production\"&amp;C4&amp;"\Requests\Tami Wroblewski\Production by Type\"&amp;"PL Production thru "&amp;TEXT(INT(C5)*29,"mmmm")&amp;" "&amp;C4&amp;".xlsx"</f>
        <v>J:\Acctng\Production\2022\Requests\Tami Wroblewski\Production by Type\PL Production thru October 2022.xlsx</v>
      </c>
      <c r="F12" s="4"/>
    </row>
    <row r="13" spans="2:6" x14ac:dyDescent="0.35">
      <c r="B13" s="4"/>
      <c r="C13" s="7" t="s">
        <v>127</v>
      </c>
      <c r="D13" s="9" t="str">
        <f>"J:\Acctng\Production\"&amp;C4&amp;"\Requests\Tami Wroblewski\Market Share\PL Market Share.sql"</f>
        <v>J:\Acctng\Production\2022\Requests\Tami Wroblewski\Market Share\PL Market Share.sql</v>
      </c>
      <c r="E13" s="12" t="str">
        <f>"J:\Acctng\Production\"&amp;C4&amp;"\Requests\Tami Wroblewski\Production by Type\PL Production by Type- Region.sql"</f>
        <v>J:\Acctng\Production\2022\Requests\Tami Wroblewski\Production by Type\PL Production by Type- Region.sql</v>
      </c>
      <c r="F13" s="4"/>
    </row>
    <row r="14" spans="2:6" x14ac:dyDescent="0.35">
      <c r="B14" s="4"/>
      <c r="C14" s="6"/>
      <c r="D14" s="6"/>
      <c r="E14" s="4"/>
      <c r="F14" s="4"/>
    </row>
    <row r="15" spans="2:6" x14ac:dyDescent="0.35">
      <c r="B15" s="4"/>
      <c r="C15" s="5"/>
      <c r="D15" s="5"/>
      <c r="E15" s="4"/>
      <c r="F15" s="4"/>
    </row>
    <row r="19" spans="3:3" x14ac:dyDescent="0.35">
      <c r="C19" s="16"/>
    </row>
    <row r="22" spans="3:3" x14ac:dyDescent="0.35">
      <c r="C22" s="16"/>
    </row>
    <row r="23" spans="3:3" x14ac:dyDescent="0.35">
      <c r="C23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mi.Tami">
                <anchor moveWithCells="1" sizeWithCells="1">
                  <from>
                    <xdr:col>3</xdr:col>
                    <xdr:colOff>1746250</xdr:colOff>
                    <xdr:row>3</xdr:row>
                    <xdr:rowOff>12700</xdr:rowOff>
                  </from>
                  <to>
                    <xdr:col>3</xdr:col>
                    <xdr:colOff>3581400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mail">
                <anchor moveWithCells="1" sizeWithCells="1">
                  <from>
                    <xdr:col>3</xdr:col>
                    <xdr:colOff>4000500</xdr:colOff>
                    <xdr:row>3</xdr:row>
                    <xdr:rowOff>6350</xdr:rowOff>
                  </from>
                  <to>
                    <xdr:col>3</xdr:col>
                    <xdr:colOff>5835650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08F60-E87E-4C9C-B9FE-CC18F93D10B4}">
  <sheetPr codeName="Sheet2">
    <tabColor theme="4" tint="0.39997558519241921"/>
  </sheetPr>
  <dimension ref="A1:O1941"/>
  <sheetViews>
    <sheetView topLeftCell="A2" workbookViewId="0">
      <selection activeCell="F2" sqref="F2"/>
    </sheetView>
  </sheetViews>
  <sheetFormatPr defaultRowHeight="14.5" x14ac:dyDescent="0.35"/>
  <cols>
    <col min="1" max="1" width="13.6328125" bestFit="1" customWidth="1"/>
    <col min="2" max="2" width="50.1796875" bestFit="1" customWidth="1"/>
    <col min="3" max="3" width="13.453125" bestFit="1" customWidth="1"/>
    <col min="4" max="4" width="10.6328125" bestFit="1" customWidth="1"/>
    <col min="5" max="6" width="14.6328125" bestFit="1" customWidth="1"/>
    <col min="7" max="8" width="13.6328125" bestFit="1" customWidth="1"/>
  </cols>
  <sheetData>
    <row r="1" spans="1:15" x14ac:dyDescent="0.35">
      <c r="A1" s="17" t="s">
        <v>148</v>
      </c>
    </row>
    <row r="2" spans="1:15" x14ac:dyDescent="0.35">
      <c r="A2" s="10" t="s">
        <v>116</v>
      </c>
      <c r="B2" s="10" t="s">
        <v>104</v>
      </c>
      <c r="C2" s="10" t="s">
        <v>117</v>
      </c>
      <c r="D2" s="10" t="s">
        <v>118</v>
      </c>
      <c r="E2" s="10" t="s">
        <v>119</v>
      </c>
      <c r="F2" s="10" t="s">
        <v>120</v>
      </c>
      <c r="G2" s="10" t="s">
        <v>121</v>
      </c>
      <c r="H2" s="10" t="s">
        <v>122</v>
      </c>
      <c r="M2" s="13"/>
      <c r="N2" s="13"/>
      <c r="O2" s="13"/>
    </row>
    <row r="3" spans="1:15" x14ac:dyDescent="0.35">
      <c r="A3">
        <v>2022</v>
      </c>
      <c r="B3" t="s">
        <v>153</v>
      </c>
      <c r="C3" t="s">
        <v>154</v>
      </c>
      <c r="D3" t="s">
        <v>155</v>
      </c>
      <c r="E3" s="23">
        <v>3957305.37</v>
      </c>
      <c r="F3" s="23">
        <v>480297.18</v>
      </c>
      <c r="G3" s="23">
        <v>59938.93</v>
      </c>
      <c r="H3" s="23">
        <v>1843.18</v>
      </c>
      <c r="M3" s="13"/>
      <c r="N3" s="13"/>
      <c r="O3" s="13"/>
    </row>
    <row r="4" spans="1:15" x14ac:dyDescent="0.35">
      <c r="A4">
        <v>2022</v>
      </c>
      <c r="B4" t="s">
        <v>156</v>
      </c>
      <c r="C4" t="s">
        <v>157</v>
      </c>
      <c r="D4" t="s">
        <v>158</v>
      </c>
      <c r="E4" s="23">
        <v>110096.79</v>
      </c>
      <c r="F4" s="23">
        <v>165025.06</v>
      </c>
      <c r="G4" s="23">
        <v>8403.75</v>
      </c>
      <c r="H4" s="23">
        <v>70960.06</v>
      </c>
      <c r="M4" s="13"/>
      <c r="N4" s="13"/>
      <c r="O4" s="13"/>
    </row>
    <row r="5" spans="1:15" x14ac:dyDescent="0.35">
      <c r="A5">
        <v>2022</v>
      </c>
      <c r="B5" t="s">
        <v>159</v>
      </c>
      <c r="C5" t="s">
        <v>157</v>
      </c>
      <c r="D5" t="s">
        <v>160</v>
      </c>
      <c r="E5" s="23">
        <v>0</v>
      </c>
      <c r="F5" s="23">
        <v>0</v>
      </c>
      <c r="G5" s="23">
        <v>0</v>
      </c>
      <c r="H5" s="23">
        <v>0</v>
      </c>
      <c r="M5" s="13"/>
      <c r="N5" s="13"/>
      <c r="O5" s="13"/>
    </row>
    <row r="6" spans="1:15" x14ac:dyDescent="0.35">
      <c r="A6">
        <v>2022</v>
      </c>
      <c r="B6" t="s">
        <v>161</v>
      </c>
      <c r="C6" t="s">
        <v>154</v>
      </c>
      <c r="D6" t="s">
        <v>158</v>
      </c>
      <c r="E6" s="23">
        <v>610148.76</v>
      </c>
      <c r="F6" s="23">
        <v>8048566.6699999999</v>
      </c>
      <c r="G6" s="23">
        <v>550303.9</v>
      </c>
      <c r="H6" s="23">
        <v>7696735.6399999997</v>
      </c>
      <c r="M6" s="13"/>
      <c r="N6" s="13"/>
      <c r="O6" s="13"/>
    </row>
    <row r="7" spans="1:15" x14ac:dyDescent="0.35">
      <c r="A7">
        <v>2022</v>
      </c>
      <c r="B7" t="s">
        <v>162</v>
      </c>
      <c r="C7" t="s">
        <v>163</v>
      </c>
      <c r="D7" t="s">
        <v>158</v>
      </c>
      <c r="E7" s="23">
        <v>36199.879999999997</v>
      </c>
      <c r="F7" s="23">
        <v>85912.16</v>
      </c>
      <c r="G7" s="23">
        <v>0</v>
      </c>
      <c r="H7" s="23">
        <v>0</v>
      </c>
      <c r="M7" s="13"/>
      <c r="N7" s="13"/>
      <c r="O7" s="13"/>
    </row>
    <row r="8" spans="1:15" x14ac:dyDescent="0.35">
      <c r="A8">
        <v>2022</v>
      </c>
      <c r="B8" t="s">
        <v>164</v>
      </c>
      <c r="C8" t="s">
        <v>154</v>
      </c>
      <c r="D8" t="s">
        <v>165</v>
      </c>
      <c r="E8" s="23">
        <v>1463458.98</v>
      </c>
      <c r="F8" s="23">
        <v>1515811.2</v>
      </c>
      <c r="G8" s="23">
        <v>483269.2</v>
      </c>
      <c r="H8" s="23">
        <v>7787.3</v>
      </c>
      <c r="M8" s="13"/>
      <c r="N8" s="13"/>
      <c r="O8" s="13"/>
    </row>
    <row r="9" spans="1:15" x14ac:dyDescent="0.35">
      <c r="A9">
        <v>2022</v>
      </c>
      <c r="B9" t="s">
        <v>166</v>
      </c>
      <c r="C9" t="s">
        <v>157</v>
      </c>
      <c r="D9" t="s">
        <v>158</v>
      </c>
      <c r="E9" s="23">
        <v>11118.45</v>
      </c>
      <c r="F9" s="23">
        <v>10561.15</v>
      </c>
      <c r="G9" s="23">
        <v>0</v>
      </c>
      <c r="H9" s="23">
        <v>0</v>
      </c>
      <c r="M9" s="13"/>
      <c r="N9" s="13"/>
      <c r="O9" s="13"/>
    </row>
    <row r="10" spans="1:15" x14ac:dyDescent="0.35">
      <c r="A10">
        <v>2022</v>
      </c>
      <c r="B10" t="s">
        <v>167</v>
      </c>
      <c r="C10" t="s">
        <v>154</v>
      </c>
      <c r="D10" t="s">
        <v>155</v>
      </c>
      <c r="E10" s="23">
        <v>129511.01</v>
      </c>
      <c r="F10" s="23">
        <v>67768.44</v>
      </c>
      <c r="G10" s="23">
        <v>112186.67</v>
      </c>
      <c r="H10" s="23">
        <v>27509.63</v>
      </c>
      <c r="M10" s="13"/>
      <c r="N10" s="13"/>
      <c r="O10" s="13"/>
    </row>
    <row r="11" spans="1:15" x14ac:dyDescent="0.35">
      <c r="A11">
        <v>2022</v>
      </c>
      <c r="B11" t="s">
        <v>168</v>
      </c>
      <c r="C11" t="s">
        <v>154</v>
      </c>
      <c r="D11" t="s">
        <v>158</v>
      </c>
      <c r="E11" s="23">
        <v>1379673.04</v>
      </c>
      <c r="F11" s="23">
        <v>2694922.2</v>
      </c>
      <c r="G11" s="23">
        <v>583939.27</v>
      </c>
      <c r="H11" s="23">
        <v>230181.3</v>
      </c>
      <c r="M11" s="13"/>
      <c r="N11" s="13"/>
      <c r="O11" s="13"/>
    </row>
    <row r="12" spans="1:15" x14ac:dyDescent="0.35">
      <c r="A12">
        <v>2022</v>
      </c>
      <c r="B12" t="s">
        <v>169</v>
      </c>
      <c r="C12" t="s">
        <v>154</v>
      </c>
      <c r="D12" t="s">
        <v>160</v>
      </c>
      <c r="E12" s="23">
        <v>56299.99</v>
      </c>
      <c r="F12" s="23">
        <v>67265.600000000006</v>
      </c>
      <c r="G12" s="23">
        <v>4780</v>
      </c>
      <c r="H12" s="23">
        <v>1986</v>
      </c>
      <c r="M12" s="13"/>
      <c r="N12" s="13"/>
      <c r="O12" s="13"/>
    </row>
    <row r="13" spans="1:15" x14ac:dyDescent="0.35">
      <c r="A13">
        <v>2022</v>
      </c>
      <c r="B13" t="s">
        <v>170</v>
      </c>
      <c r="C13" t="s">
        <v>154</v>
      </c>
      <c r="D13" t="s">
        <v>160</v>
      </c>
      <c r="E13" s="23">
        <v>1368443.85</v>
      </c>
      <c r="F13" s="23">
        <v>2411565.6</v>
      </c>
      <c r="G13" s="23">
        <v>666219.32999999996</v>
      </c>
      <c r="H13" s="23">
        <v>1183987.0900000001</v>
      </c>
      <c r="M13" s="13"/>
      <c r="N13" s="13"/>
      <c r="O13" s="13"/>
    </row>
    <row r="14" spans="1:15" x14ac:dyDescent="0.35">
      <c r="A14">
        <v>2022</v>
      </c>
      <c r="B14" t="s">
        <v>171</v>
      </c>
      <c r="C14" t="s">
        <v>154</v>
      </c>
      <c r="D14" t="s">
        <v>158</v>
      </c>
      <c r="E14" s="23">
        <v>274277.96999999997</v>
      </c>
      <c r="F14" s="23">
        <v>1299872.3500000001</v>
      </c>
      <c r="G14" s="23">
        <v>2519.9499999999998</v>
      </c>
      <c r="H14" s="23">
        <v>5298.59</v>
      </c>
      <c r="M14" s="13"/>
      <c r="N14" s="13"/>
      <c r="O14" s="13"/>
    </row>
    <row r="15" spans="1:15" x14ac:dyDescent="0.35">
      <c r="A15">
        <v>2022</v>
      </c>
      <c r="B15" t="s">
        <v>172</v>
      </c>
      <c r="C15" t="s">
        <v>154</v>
      </c>
      <c r="D15" t="s">
        <v>155</v>
      </c>
      <c r="E15" s="23">
        <v>1000462.55</v>
      </c>
      <c r="F15" s="23">
        <v>1799002.43</v>
      </c>
      <c r="G15" s="23">
        <v>-12291.47</v>
      </c>
      <c r="H15" s="23">
        <v>29822.33</v>
      </c>
      <c r="M15" s="13"/>
      <c r="N15" s="13"/>
      <c r="O15" s="13"/>
    </row>
    <row r="16" spans="1:15" x14ac:dyDescent="0.35">
      <c r="A16">
        <v>2022</v>
      </c>
      <c r="B16" t="s">
        <v>173</v>
      </c>
      <c r="C16" t="s">
        <v>154</v>
      </c>
      <c r="D16" t="s">
        <v>155</v>
      </c>
      <c r="E16" s="23">
        <v>1199943.18</v>
      </c>
      <c r="F16" s="23">
        <v>1001382.1</v>
      </c>
      <c r="G16" s="23">
        <v>1203.82</v>
      </c>
      <c r="H16" s="23">
        <v>3118</v>
      </c>
      <c r="M16" s="13"/>
      <c r="N16" s="13"/>
      <c r="O16" s="13"/>
    </row>
    <row r="17" spans="1:15" x14ac:dyDescent="0.35">
      <c r="A17">
        <v>2022</v>
      </c>
      <c r="B17" t="s">
        <v>174</v>
      </c>
      <c r="C17" t="s">
        <v>154</v>
      </c>
      <c r="D17" t="s">
        <v>160</v>
      </c>
      <c r="E17" s="23">
        <v>1109220.6200000001</v>
      </c>
      <c r="F17" s="23">
        <v>448090.75</v>
      </c>
      <c r="G17" s="23">
        <v>311785</v>
      </c>
      <c r="H17" s="23">
        <v>0</v>
      </c>
      <c r="M17" s="13"/>
      <c r="N17" s="13"/>
      <c r="O17" s="13"/>
    </row>
    <row r="18" spans="1:15" x14ac:dyDescent="0.35">
      <c r="A18">
        <v>2022</v>
      </c>
      <c r="B18" t="s">
        <v>175</v>
      </c>
      <c r="C18" t="s">
        <v>154</v>
      </c>
      <c r="D18" t="s">
        <v>158</v>
      </c>
      <c r="E18" s="23">
        <v>686001.85</v>
      </c>
      <c r="F18" s="23">
        <v>80191.179999999993</v>
      </c>
      <c r="G18" s="23">
        <v>578565.02</v>
      </c>
      <c r="H18" s="23">
        <v>0</v>
      </c>
      <c r="M18" s="13"/>
      <c r="N18" s="13"/>
      <c r="O18" s="13"/>
    </row>
    <row r="19" spans="1:15" x14ac:dyDescent="0.35">
      <c r="A19">
        <v>2022</v>
      </c>
      <c r="B19" t="s">
        <v>176</v>
      </c>
      <c r="C19" t="s">
        <v>154</v>
      </c>
      <c r="D19" t="s">
        <v>160</v>
      </c>
      <c r="E19" s="23">
        <v>453996.16</v>
      </c>
      <c r="F19" s="23">
        <v>1023340.49</v>
      </c>
      <c r="G19" s="23">
        <v>23435.1</v>
      </c>
      <c r="H19" s="23">
        <v>57877.69</v>
      </c>
      <c r="M19" s="13"/>
      <c r="N19" s="13"/>
      <c r="O19" s="13"/>
    </row>
    <row r="20" spans="1:15" x14ac:dyDescent="0.35">
      <c r="A20">
        <v>2022</v>
      </c>
      <c r="B20" t="s">
        <v>177</v>
      </c>
      <c r="C20" t="s">
        <v>154</v>
      </c>
      <c r="D20" t="s">
        <v>160</v>
      </c>
      <c r="E20" s="23">
        <v>1228967.19</v>
      </c>
      <c r="F20" s="23">
        <v>517657.36</v>
      </c>
      <c r="G20" s="23">
        <v>413285.34</v>
      </c>
      <c r="H20" s="23">
        <v>31844.19</v>
      </c>
      <c r="M20" s="13"/>
      <c r="N20" s="13"/>
      <c r="O20" s="13"/>
    </row>
    <row r="21" spans="1:15" x14ac:dyDescent="0.35">
      <c r="A21">
        <v>2022</v>
      </c>
      <c r="B21" t="s">
        <v>178</v>
      </c>
      <c r="C21" t="s">
        <v>154</v>
      </c>
      <c r="D21" t="s">
        <v>155</v>
      </c>
      <c r="E21" s="23">
        <v>59462.51</v>
      </c>
      <c r="F21" s="23">
        <v>104853.5</v>
      </c>
      <c r="G21" s="23">
        <v>41171.9</v>
      </c>
      <c r="H21" s="23">
        <v>94956.75</v>
      </c>
      <c r="M21" s="13"/>
      <c r="N21" s="13"/>
      <c r="O21" s="13"/>
    </row>
    <row r="22" spans="1:15" x14ac:dyDescent="0.35">
      <c r="A22">
        <v>2022</v>
      </c>
      <c r="B22" t="s">
        <v>179</v>
      </c>
      <c r="C22" t="s">
        <v>154</v>
      </c>
      <c r="D22" t="s">
        <v>160</v>
      </c>
      <c r="E22" s="23">
        <v>61893.68</v>
      </c>
      <c r="F22" s="23">
        <v>75198.080000000002</v>
      </c>
      <c r="G22" s="23">
        <v>4291.22</v>
      </c>
      <c r="H22" s="23">
        <v>9939.5</v>
      </c>
      <c r="M22" s="13"/>
      <c r="N22" s="13"/>
      <c r="O22" s="13"/>
    </row>
    <row r="23" spans="1:15" x14ac:dyDescent="0.35">
      <c r="A23">
        <v>2022</v>
      </c>
      <c r="B23" t="s">
        <v>180</v>
      </c>
      <c r="C23" t="s">
        <v>154</v>
      </c>
      <c r="D23" t="s">
        <v>160</v>
      </c>
      <c r="E23" s="23">
        <v>521656.1</v>
      </c>
      <c r="F23" s="23">
        <v>787216.91</v>
      </c>
      <c r="G23" s="23">
        <v>369831</v>
      </c>
      <c r="H23" s="23">
        <v>248</v>
      </c>
      <c r="M23" s="13"/>
      <c r="N23" s="13"/>
      <c r="O23" s="13"/>
    </row>
    <row r="24" spans="1:15" x14ac:dyDescent="0.35">
      <c r="A24">
        <v>2022</v>
      </c>
      <c r="B24" t="s">
        <v>181</v>
      </c>
      <c r="C24" t="s">
        <v>154</v>
      </c>
      <c r="D24" t="s">
        <v>155</v>
      </c>
      <c r="E24" s="23">
        <v>2486539.21</v>
      </c>
      <c r="F24" s="23">
        <v>3423371.33</v>
      </c>
      <c r="G24" s="23">
        <v>107633.56</v>
      </c>
      <c r="H24" s="23">
        <v>554224.64000000001</v>
      </c>
      <c r="M24" s="13"/>
      <c r="N24" s="13"/>
      <c r="O24" s="13"/>
    </row>
    <row r="25" spans="1:15" x14ac:dyDescent="0.35">
      <c r="A25">
        <v>2022</v>
      </c>
      <c r="B25" t="s">
        <v>182</v>
      </c>
      <c r="C25" t="s">
        <v>154</v>
      </c>
      <c r="D25" t="s">
        <v>158</v>
      </c>
      <c r="E25" s="23">
        <v>0</v>
      </c>
      <c r="F25" s="23">
        <v>0</v>
      </c>
      <c r="G25" s="23">
        <v>55994.36</v>
      </c>
      <c r="H25" s="23">
        <v>20630.38</v>
      </c>
    </row>
    <row r="26" spans="1:15" x14ac:dyDescent="0.35">
      <c r="A26">
        <v>2022</v>
      </c>
      <c r="B26" t="s">
        <v>183</v>
      </c>
      <c r="C26" t="s">
        <v>154</v>
      </c>
      <c r="D26" t="s">
        <v>155</v>
      </c>
      <c r="E26" s="23">
        <v>6527.33</v>
      </c>
      <c r="F26" s="23">
        <v>17464.27</v>
      </c>
      <c r="G26" s="23">
        <v>6527.33</v>
      </c>
      <c r="H26" s="23">
        <v>17464.27</v>
      </c>
    </row>
    <row r="27" spans="1:15" x14ac:dyDescent="0.35">
      <c r="A27">
        <v>2022</v>
      </c>
      <c r="B27" t="s">
        <v>184</v>
      </c>
      <c r="C27" t="s">
        <v>154</v>
      </c>
      <c r="D27" t="s">
        <v>155</v>
      </c>
      <c r="E27" s="23">
        <v>21247839.079999998</v>
      </c>
      <c r="F27" s="23">
        <v>170583660.47</v>
      </c>
      <c r="G27" s="23">
        <v>6046467.0199999996</v>
      </c>
      <c r="H27" s="23">
        <v>60169076.799999997</v>
      </c>
    </row>
    <row r="28" spans="1:15" x14ac:dyDescent="0.35">
      <c r="A28">
        <v>2022</v>
      </c>
      <c r="B28" t="s">
        <v>185</v>
      </c>
      <c r="C28" t="s">
        <v>157</v>
      </c>
      <c r="D28" t="s">
        <v>160</v>
      </c>
      <c r="E28" s="23">
        <v>4222.95</v>
      </c>
      <c r="F28" s="23">
        <v>0</v>
      </c>
      <c r="G28" s="23">
        <v>3650</v>
      </c>
      <c r="H28" s="23">
        <v>0</v>
      </c>
    </row>
    <row r="29" spans="1:15" x14ac:dyDescent="0.35">
      <c r="A29">
        <v>2022</v>
      </c>
      <c r="B29" t="s">
        <v>186</v>
      </c>
      <c r="C29" t="s">
        <v>154</v>
      </c>
      <c r="D29" t="s">
        <v>158</v>
      </c>
      <c r="E29" s="23">
        <v>1310316.5900000001</v>
      </c>
      <c r="F29" s="23">
        <v>7964370.1849999996</v>
      </c>
      <c r="G29" s="23">
        <v>115378.37</v>
      </c>
      <c r="H29" s="23">
        <v>485072.56</v>
      </c>
    </row>
    <row r="30" spans="1:15" x14ac:dyDescent="0.35">
      <c r="A30">
        <v>2022</v>
      </c>
      <c r="B30" t="s">
        <v>187</v>
      </c>
      <c r="C30" t="s">
        <v>154</v>
      </c>
      <c r="D30" t="s">
        <v>158</v>
      </c>
      <c r="E30" s="23">
        <v>459094.71</v>
      </c>
      <c r="F30" s="23">
        <v>3854203.33</v>
      </c>
      <c r="G30" s="23">
        <v>114268.95</v>
      </c>
      <c r="H30" s="23">
        <v>900666.85</v>
      </c>
    </row>
    <row r="31" spans="1:15" x14ac:dyDescent="0.35">
      <c r="A31">
        <v>2022</v>
      </c>
      <c r="B31" t="s">
        <v>188</v>
      </c>
      <c r="C31" t="s">
        <v>154</v>
      </c>
      <c r="D31" t="s">
        <v>155</v>
      </c>
      <c r="E31" s="23">
        <v>6865905.5599999996</v>
      </c>
      <c r="F31" s="23">
        <v>4108066.66</v>
      </c>
      <c r="G31" s="23">
        <v>0</v>
      </c>
      <c r="H31" s="23">
        <v>0</v>
      </c>
    </row>
    <row r="32" spans="1:15" x14ac:dyDescent="0.35">
      <c r="A32">
        <v>2022</v>
      </c>
      <c r="B32" t="s">
        <v>189</v>
      </c>
      <c r="C32" t="s">
        <v>154</v>
      </c>
      <c r="D32" t="s">
        <v>158</v>
      </c>
      <c r="E32" s="23">
        <v>2008201.62</v>
      </c>
      <c r="F32" s="23">
        <v>4877503</v>
      </c>
      <c r="G32" s="23">
        <v>1684.25</v>
      </c>
      <c r="H32" s="23">
        <v>62546.75</v>
      </c>
    </row>
    <row r="33" spans="1:8" x14ac:dyDescent="0.35">
      <c r="A33">
        <v>2022</v>
      </c>
      <c r="B33" t="s">
        <v>190</v>
      </c>
      <c r="C33" t="s">
        <v>154</v>
      </c>
      <c r="D33" t="s">
        <v>155</v>
      </c>
      <c r="E33" s="23">
        <v>289135.55</v>
      </c>
      <c r="F33" s="23">
        <v>970641.73</v>
      </c>
      <c r="G33" s="23">
        <v>262600</v>
      </c>
      <c r="H33" s="23">
        <v>873644.99</v>
      </c>
    </row>
    <row r="34" spans="1:8" x14ac:dyDescent="0.35">
      <c r="A34">
        <v>2022</v>
      </c>
      <c r="B34" t="s">
        <v>191</v>
      </c>
      <c r="C34" t="s">
        <v>154</v>
      </c>
      <c r="D34" t="s">
        <v>160</v>
      </c>
      <c r="E34" s="23">
        <v>99736.48</v>
      </c>
      <c r="F34" s="23">
        <v>72968.570000000007</v>
      </c>
      <c r="G34" s="23">
        <v>82936.98</v>
      </c>
      <c r="H34" s="23">
        <v>64963.53</v>
      </c>
    </row>
    <row r="35" spans="1:8" x14ac:dyDescent="0.35">
      <c r="A35">
        <v>2022</v>
      </c>
      <c r="B35" t="s">
        <v>192</v>
      </c>
      <c r="C35" t="s">
        <v>154</v>
      </c>
      <c r="D35" t="s">
        <v>160</v>
      </c>
      <c r="E35" s="23">
        <v>799949.01</v>
      </c>
      <c r="F35" s="23">
        <v>318497.48</v>
      </c>
      <c r="G35" s="23">
        <v>685516.41</v>
      </c>
      <c r="H35" s="23">
        <v>318497.48</v>
      </c>
    </row>
    <row r="36" spans="1:8" x14ac:dyDescent="0.35">
      <c r="A36">
        <v>2022</v>
      </c>
      <c r="B36" t="s">
        <v>193</v>
      </c>
      <c r="C36" t="s">
        <v>154</v>
      </c>
      <c r="D36" t="s">
        <v>155</v>
      </c>
      <c r="E36" s="23">
        <v>328316.86</v>
      </c>
      <c r="F36" s="23">
        <v>273696.48</v>
      </c>
      <c r="G36" s="23">
        <v>0</v>
      </c>
      <c r="H36" s="23">
        <v>0</v>
      </c>
    </row>
    <row r="37" spans="1:8" x14ac:dyDescent="0.35">
      <c r="A37">
        <v>2022</v>
      </c>
      <c r="B37" t="s">
        <v>194</v>
      </c>
      <c r="C37" t="s">
        <v>157</v>
      </c>
      <c r="D37" t="s">
        <v>155</v>
      </c>
      <c r="E37" s="23">
        <v>0</v>
      </c>
      <c r="F37" s="23">
        <v>0</v>
      </c>
      <c r="G37" s="23">
        <v>0</v>
      </c>
      <c r="H37" s="23">
        <v>0</v>
      </c>
    </row>
    <row r="38" spans="1:8" x14ac:dyDescent="0.35">
      <c r="A38">
        <v>2022</v>
      </c>
      <c r="B38" t="s">
        <v>195</v>
      </c>
      <c r="C38" t="s">
        <v>154</v>
      </c>
      <c r="D38" t="s">
        <v>160</v>
      </c>
      <c r="E38" s="23">
        <v>415644.02</v>
      </c>
      <c r="F38" s="23">
        <v>11344.31</v>
      </c>
      <c r="G38" s="23">
        <v>151676.51999999999</v>
      </c>
      <c r="H38" s="23">
        <v>2415.61</v>
      </c>
    </row>
    <row r="39" spans="1:8" x14ac:dyDescent="0.35">
      <c r="A39">
        <v>2022</v>
      </c>
      <c r="B39" t="s">
        <v>196</v>
      </c>
      <c r="C39" t="s">
        <v>154</v>
      </c>
      <c r="D39" t="s">
        <v>155</v>
      </c>
      <c r="E39" s="23">
        <v>601951.98</v>
      </c>
      <c r="F39" s="23">
        <v>4445328.6900000004</v>
      </c>
      <c r="G39" s="23">
        <v>73092</v>
      </c>
      <c r="H39" s="23">
        <v>412374.25</v>
      </c>
    </row>
    <row r="40" spans="1:8" x14ac:dyDescent="0.35">
      <c r="A40">
        <v>2022</v>
      </c>
      <c r="B40" t="s">
        <v>197</v>
      </c>
      <c r="C40" t="s">
        <v>154</v>
      </c>
      <c r="D40" t="s">
        <v>160</v>
      </c>
      <c r="E40" s="23">
        <v>29836.21</v>
      </c>
      <c r="F40" s="23">
        <v>13712.58</v>
      </c>
      <c r="G40" s="23">
        <v>9700</v>
      </c>
      <c r="H40" s="23">
        <v>3300</v>
      </c>
    </row>
    <row r="41" spans="1:8" x14ac:dyDescent="0.35">
      <c r="A41">
        <v>2022</v>
      </c>
      <c r="B41" t="s">
        <v>198</v>
      </c>
      <c r="C41" t="s">
        <v>154</v>
      </c>
      <c r="D41" t="s">
        <v>160</v>
      </c>
      <c r="E41" s="23">
        <v>274848.23</v>
      </c>
      <c r="F41" s="23">
        <v>0</v>
      </c>
      <c r="G41" s="23">
        <v>3316</v>
      </c>
      <c r="H41" s="23">
        <v>0</v>
      </c>
    </row>
    <row r="42" spans="1:8" x14ac:dyDescent="0.35">
      <c r="A42">
        <v>2022</v>
      </c>
      <c r="B42" t="s">
        <v>199</v>
      </c>
      <c r="C42" t="s">
        <v>154</v>
      </c>
      <c r="D42" t="s">
        <v>160</v>
      </c>
      <c r="E42" s="23">
        <v>601509.06000000006</v>
      </c>
      <c r="F42" s="23">
        <v>1456897.67</v>
      </c>
      <c r="G42" s="23">
        <v>40104</v>
      </c>
      <c r="H42" s="23">
        <v>48624.13</v>
      </c>
    </row>
    <row r="43" spans="1:8" x14ac:dyDescent="0.35">
      <c r="A43">
        <v>2022</v>
      </c>
      <c r="B43" t="s">
        <v>200</v>
      </c>
      <c r="C43" t="s">
        <v>154</v>
      </c>
      <c r="D43" t="s">
        <v>158</v>
      </c>
      <c r="E43" s="23">
        <v>576907.72</v>
      </c>
      <c r="F43" s="23">
        <v>137895.31</v>
      </c>
      <c r="G43" s="23">
        <v>28140</v>
      </c>
      <c r="H43" s="23">
        <v>33924</v>
      </c>
    </row>
    <row r="44" spans="1:8" x14ac:dyDescent="0.35">
      <c r="A44">
        <v>2022</v>
      </c>
      <c r="B44" t="s">
        <v>201</v>
      </c>
      <c r="C44" t="s">
        <v>154</v>
      </c>
      <c r="D44" t="s">
        <v>160</v>
      </c>
      <c r="E44" s="23">
        <v>0</v>
      </c>
      <c r="F44" s="23">
        <v>0</v>
      </c>
      <c r="G44" s="23">
        <v>380774.29</v>
      </c>
      <c r="H44" s="23">
        <v>1550918.14</v>
      </c>
    </row>
    <row r="45" spans="1:8" x14ac:dyDescent="0.35">
      <c r="A45">
        <v>2022</v>
      </c>
      <c r="B45" t="s">
        <v>202</v>
      </c>
      <c r="C45" t="s">
        <v>154</v>
      </c>
      <c r="D45" t="s">
        <v>155</v>
      </c>
      <c r="E45" s="23">
        <v>1775779.42</v>
      </c>
      <c r="F45" s="23">
        <v>1545731.35</v>
      </c>
      <c r="G45" s="23">
        <v>287980.03999999998</v>
      </c>
      <c r="H45" s="23">
        <v>1126494.49</v>
      </c>
    </row>
    <row r="46" spans="1:8" x14ac:dyDescent="0.35">
      <c r="A46">
        <v>2022</v>
      </c>
      <c r="B46" t="s">
        <v>203</v>
      </c>
      <c r="C46" t="s">
        <v>154</v>
      </c>
      <c r="D46" t="s">
        <v>160</v>
      </c>
      <c r="E46" s="23">
        <v>2078748.78</v>
      </c>
      <c r="F46" s="23">
        <v>2455065.9900000002</v>
      </c>
      <c r="G46" s="23">
        <v>1574478.73</v>
      </c>
      <c r="H46" s="23">
        <v>1997298.21</v>
      </c>
    </row>
    <row r="47" spans="1:8" x14ac:dyDescent="0.35">
      <c r="A47">
        <v>2022</v>
      </c>
      <c r="B47" t="s">
        <v>204</v>
      </c>
      <c r="C47" t="s">
        <v>154</v>
      </c>
      <c r="D47" t="s">
        <v>158</v>
      </c>
      <c r="E47" s="23">
        <v>1990716.58</v>
      </c>
      <c r="F47" s="23">
        <v>3717170.93</v>
      </c>
      <c r="G47" s="23">
        <v>903364.27</v>
      </c>
      <c r="H47" s="23">
        <v>2063804.33</v>
      </c>
    </row>
    <row r="48" spans="1:8" x14ac:dyDescent="0.35">
      <c r="A48">
        <v>2022</v>
      </c>
      <c r="B48" t="s">
        <v>205</v>
      </c>
      <c r="C48" t="s">
        <v>154</v>
      </c>
      <c r="D48" t="s">
        <v>160</v>
      </c>
      <c r="E48" s="23">
        <v>265146.01</v>
      </c>
      <c r="F48" s="23">
        <v>12058.26</v>
      </c>
      <c r="G48" s="23">
        <v>17474.5</v>
      </c>
      <c r="H48" s="23">
        <v>819.26</v>
      </c>
    </row>
    <row r="49" spans="1:8" x14ac:dyDescent="0.35">
      <c r="A49">
        <v>2022</v>
      </c>
      <c r="B49" t="s">
        <v>206</v>
      </c>
      <c r="C49" t="s">
        <v>154</v>
      </c>
      <c r="D49" t="s">
        <v>158</v>
      </c>
      <c r="E49" s="23">
        <v>76887.47</v>
      </c>
      <c r="F49" s="23">
        <v>330549.51</v>
      </c>
      <c r="G49" s="23">
        <v>5762</v>
      </c>
      <c r="H49" s="23">
        <v>175398.57</v>
      </c>
    </row>
    <row r="50" spans="1:8" x14ac:dyDescent="0.35">
      <c r="A50">
        <v>2022</v>
      </c>
      <c r="B50" t="s">
        <v>207</v>
      </c>
      <c r="C50" t="s">
        <v>157</v>
      </c>
      <c r="D50" t="s">
        <v>155</v>
      </c>
      <c r="E50" s="23">
        <v>76952.98</v>
      </c>
      <c r="F50" s="23">
        <v>232686.32</v>
      </c>
      <c r="G50" s="23">
        <v>0</v>
      </c>
      <c r="H50" s="23">
        <v>0</v>
      </c>
    </row>
    <row r="51" spans="1:8" x14ac:dyDescent="0.35">
      <c r="A51">
        <v>2022</v>
      </c>
      <c r="B51" t="s">
        <v>208</v>
      </c>
      <c r="C51" t="s">
        <v>157</v>
      </c>
      <c r="D51" t="s">
        <v>160</v>
      </c>
      <c r="E51" s="23">
        <v>136359.07999999999</v>
      </c>
      <c r="F51" s="23">
        <v>125501.8</v>
      </c>
      <c r="G51" s="23">
        <v>4292</v>
      </c>
      <c r="H51" s="23">
        <v>120601.8</v>
      </c>
    </row>
    <row r="52" spans="1:8" x14ac:dyDescent="0.35">
      <c r="A52">
        <v>2022</v>
      </c>
      <c r="B52" t="s">
        <v>209</v>
      </c>
      <c r="C52" t="s">
        <v>154</v>
      </c>
      <c r="D52" t="s">
        <v>158</v>
      </c>
      <c r="E52" s="23">
        <v>16396263.26</v>
      </c>
      <c r="F52" s="23">
        <v>13228279.7105</v>
      </c>
      <c r="G52" s="23">
        <v>7203376.7599999998</v>
      </c>
      <c r="H52" s="23">
        <v>855114.33</v>
      </c>
    </row>
    <row r="53" spans="1:8" x14ac:dyDescent="0.35">
      <c r="A53">
        <v>2022</v>
      </c>
      <c r="B53" t="s">
        <v>210</v>
      </c>
      <c r="C53" t="s">
        <v>154</v>
      </c>
      <c r="D53" t="s">
        <v>158</v>
      </c>
      <c r="E53" s="23">
        <v>686017.21</v>
      </c>
      <c r="F53" s="23">
        <v>744369.83</v>
      </c>
      <c r="G53" s="23">
        <v>0</v>
      </c>
      <c r="H53" s="23">
        <v>3700</v>
      </c>
    </row>
    <row r="54" spans="1:8" x14ac:dyDescent="0.35">
      <c r="A54">
        <v>2022</v>
      </c>
      <c r="B54" t="s">
        <v>211</v>
      </c>
      <c r="C54" t="s">
        <v>154</v>
      </c>
      <c r="D54" t="s">
        <v>160</v>
      </c>
      <c r="E54" s="23">
        <v>0</v>
      </c>
      <c r="F54" s="23">
        <v>0</v>
      </c>
      <c r="G54" s="23">
        <v>232291.18</v>
      </c>
      <c r="H54" s="23">
        <v>0</v>
      </c>
    </row>
    <row r="55" spans="1:8" x14ac:dyDescent="0.35">
      <c r="A55">
        <v>2022</v>
      </c>
      <c r="B55" t="s">
        <v>212</v>
      </c>
      <c r="C55" t="s">
        <v>154</v>
      </c>
      <c r="D55" t="s">
        <v>160</v>
      </c>
      <c r="E55" s="23">
        <v>408973.69</v>
      </c>
      <c r="F55" s="23">
        <v>2645915.77</v>
      </c>
      <c r="G55" s="23">
        <v>215657.52</v>
      </c>
      <c r="H55" s="23">
        <v>1132424.44</v>
      </c>
    </row>
    <row r="56" spans="1:8" x14ac:dyDescent="0.35">
      <c r="A56">
        <v>2022</v>
      </c>
      <c r="B56" t="s">
        <v>213</v>
      </c>
      <c r="C56" t="s">
        <v>154</v>
      </c>
      <c r="D56" t="s">
        <v>155</v>
      </c>
      <c r="E56" s="23">
        <v>814582.03</v>
      </c>
      <c r="F56" s="23">
        <v>235333.11</v>
      </c>
      <c r="G56" s="23">
        <v>277570.52</v>
      </c>
      <c r="H56" s="23">
        <v>70769.14</v>
      </c>
    </row>
    <row r="57" spans="1:8" x14ac:dyDescent="0.35">
      <c r="A57">
        <v>2022</v>
      </c>
      <c r="B57" t="s">
        <v>214</v>
      </c>
      <c r="C57" t="s">
        <v>154</v>
      </c>
      <c r="D57" t="s">
        <v>158</v>
      </c>
      <c r="E57" s="23">
        <v>192166.39</v>
      </c>
      <c r="F57" s="23">
        <v>90708.22</v>
      </c>
      <c r="G57" s="23">
        <v>0</v>
      </c>
      <c r="H57" s="23">
        <v>12071.54</v>
      </c>
    </row>
    <row r="58" spans="1:8" x14ac:dyDescent="0.35">
      <c r="A58">
        <v>2022</v>
      </c>
      <c r="B58" t="s">
        <v>215</v>
      </c>
      <c r="C58" t="s">
        <v>154</v>
      </c>
      <c r="D58" t="s">
        <v>160</v>
      </c>
      <c r="E58" s="23">
        <v>0</v>
      </c>
      <c r="F58" s="23">
        <v>0</v>
      </c>
      <c r="G58" s="23">
        <v>859019.89</v>
      </c>
      <c r="H58" s="23">
        <v>192029.59</v>
      </c>
    </row>
    <row r="59" spans="1:8" x14ac:dyDescent="0.35">
      <c r="A59">
        <v>2022</v>
      </c>
      <c r="B59" t="s">
        <v>216</v>
      </c>
      <c r="C59" t="s">
        <v>154</v>
      </c>
      <c r="D59" t="s">
        <v>155</v>
      </c>
      <c r="E59" s="23">
        <v>653039.27</v>
      </c>
      <c r="F59" s="23">
        <v>17712.560000000001</v>
      </c>
      <c r="G59" s="23">
        <v>33801.57</v>
      </c>
      <c r="H59" s="23">
        <v>0</v>
      </c>
    </row>
    <row r="60" spans="1:8" x14ac:dyDescent="0.35">
      <c r="A60">
        <v>2022</v>
      </c>
      <c r="B60" t="s">
        <v>217</v>
      </c>
      <c r="C60" t="s">
        <v>154</v>
      </c>
      <c r="D60" t="s">
        <v>160</v>
      </c>
      <c r="E60" s="23">
        <v>380019.56</v>
      </c>
      <c r="F60" s="23">
        <v>227083.81</v>
      </c>
      <c r="G60" s="23">
        <v>123781.25</v>
      </c>
      <c r="H60" s="23">
        <v>60096.53</v>
      </c>
    </row>
    <row r="61" spans="1:8" x14ac:dyDescent="0.35">
      <c r="A61">
        <v>2022</v>
      </c>
      <c r="B61" t="s">
        <v>218</v>
      </c>
      <c r="C61" t="s">
        <v>154</v>
      </c>
      <c r="D61" t="s">
        <v>158</v>
      </c>
      <c r="E61" s="23">
        <v>787279.625</v>
      </c>
      <c r="F61" s="23">
        <v>2077365.3149999999</v>
      </c>
      <c r="G61" s="23">
        <v>347974.34499999997</v>
      </c>
      <c r="H61" s="23">
        <v>1884833.325</v>
      </c>
    </row>
    <row r="62" spans="1:8" x14ac:dyDescent="0.35">
      <c r="A62">
        <v>2022</v>
      </c>
      <c r="B62" t="s">
        <v>219</v>
      </c>
      <c r="C62" t="s">
        <v>154</v>
      </c>
      <c r="D62" t="s">
        <v>160</v>
      </c>
      <c r="E62" s="23">
        <v>2016566.91</v>
      </c>
      <c r="F62" s="23">
        <v>1861639.78</v>
      </c>
      <c r="G62" s="23">
        <v>706285.6</v>
      </c>
      <c r="H62" s="23">
        <v>266044.71000000002</v>
      </c>
    </row>
    <row r="63" spans="1:8" x14ac:dyDescent="0.35">
      <c r="A63">
        <v>2022</v>
      </c>
      <c r="B63" t="s">
        <v>220</v>
      </c>
      <c r="C63" t="s">
        <v>154</v>
      </c>
      <c r="D63" t="s">
        <v>158</v>
      </c>
      <c r="E63" s="23">
        <v>4572571.87</v>
      </c>
      <c r="F63" s="23">
        <v>1810440.2</v>
      </c>
      <c r="G63" s="23">
        <v>202887.98</v>
      </c>
      <c r="H63" s="23">
        <v>118965.35</v>
      </c>
    </row>
    <row r="64" spans="1:8" x14ac:dyDescent="0.35">
      <c r="A64">
        <v>2022</v>
      </c>
      <c r="B64" t="s">
        <v>221</v>
      </c>
      <c r="C64" t="s">
        <v>154</v>
      </c>
      <c r="D64" t="s">
        <v>165</v>
      </c>
      <c r="E64" s="23">
        <v>3078</v>
      </c>
      <c r="F64" s="23">
        <v>4.09</v>
      </c>
      <c r="G64" s="23">
        <v>0</v>
      </c>
      <c r="H64" s="23">
        <v>4.09</v>
      </c>
    </row>
    <row r="65" spans="1:8" x14ac:dyDescent="0.35">
      <c r="A65">
        <v>2022</v>
      </c>
      <c r="B65" t="s">
        <v>222</v>
      </c>
      <c r="C65" t="s">
        <v>157</v>
      </c>
      <c r="D65" t="s">
        <v>158</v>
      </c>
      <c r="E65" s="23">
        <v>13319.76</v>
      </c>
      <c r="F65" s="23">
        <v>1400.54</v>
      </c>
      <c r="G65" s="23">
        <v>0</v>
      </c>
      <c r="H65" s="23">
        <v>1400.54</v>
      </c>
    </row>
    <row r="66" spans="1:8" x14ac:dyDescent="0.35">
      <c r="A66">
        <v>2022</v>
      </c>
      <c r="B66" t="s">
        <v>223</v>
      </c>
      <c r="C66" t="s">
        <v>163</v>
      </c>
      <c r="D66" t="s">
        <v>160</v>
      </c>
      <c r="E66" s="23">
        <v>2410</v>
      </c>
      <c r="F66" s="23">
        <v>0</v>
      </c>
      <c r="G66" s="23">
        <v>0</v>
      </c>
      <c r="H66" s="23">
        <v>0</v>
      </c>
    </row>
    <row r="67" spans="1:8" x14ac:dyDescent="0.35">
      <c r="A67">
        <v>2022</v>
      </c>
      <c r="B67" t="s">
        <v>224</v>
      </c>
      <c r="C67" t="s">
        <v>154</v>
      </c>
      <c r="D67" t="s">
        <v>158</v>
      </c>
      <c r="E67" s="23">
        <v>149009.26999999999</v>
      </c>
      <c r="F67" s="23">
        <v>197518.06</v>
      </c>
      <c r="G67" s="23">
        <v>6483.72</v>
      </c>
      <c r="H67" s="23">
        <v>0</v>
      </c>
    </row>
    <row r="68" spans="1:8" x14ac:dyDescent="0.35">
      <c r="A68">
        <v>2022</v>
      </c>
      <c r="B68" t="s">
        <v>225</v>
      </c>
      <c r="C68" t="s">
        <v>154</v>
      </c>
      <c r="D68" t="s">
        <v>160</v>
      </c>
      <c r="E68" s="23">
        <v>0</v>
      </c>
      <c r="F68" s="23">
        <v>0</v>
      </c>
      <c r="G68" s="23">
        <v>152574.47</v>
      </c>
      <c r="H68" s="23">
        <v>28352.639999999999</v>
      </c>
    </row>
    <row r="69" spans="1:8" x14ac:dyDescent="0.35">
      <c r="A69">
        <v>2022</v>
      </c>
      <c r="B69" t="s">
        <v>226</v>
      </c>
      <c r="C69" t="s">
        <v>154</v>
      </c>
      <c r="D69" t="s">
        <v>155</v>
      </c>
      <c r="E69" s="23">
        <v>0</v>
      </c>
      <c r="F69" s="23">
        <v>0</v>
      </c>
      <c r="G69" s="23">
        <v>807.68</v>
      </c>
      <c r="H69" s="23">
        <v>1017.97</v>
      </c>
    </row>
    <row r="70" spans="1:8" x14ac:dyDescent="0.35">
      <c r="A70">
        <v>2022</v>
      </c>
      <c r="B70" t="s">
        <v>227</v>
      </c>
      <c r="C70" t="s">
        <v>154</v>
      </c>
      <c r="D70" t="s">
        <v>158</v>
      </c>
      <c r="E70" s="23">
        <v>0</v>
      </c>
      <c r="F70" s="23">
        <v>0</v>
      </c>
      <c r="G70" s="23">
        <v>280777</v>
      </c>
      <c r="H70" s="23">
        <v>131846</v>
      </c>
    </row>
    <row r="71" spans="1:8" x14ac:dyDescent="0.35">
      <c r="A71">
        <v>2022</v>
      </c>
      <c r="B71" t="s">
        <v>228</v>
      </c>
      <c r="C71" t="s">
        <v>154</v>
      </c>
      <c r="D71" t="s">
        <v>160</v>
      </c>
      <c r="E71" s="23">
        <v>24136.04</v>
      </c>
      <c r="F71" s="23">
        <v>0</v>
      </c>
      <c r="G71" s="23">
        <v>15397.68</v>
      </c>
      <c r="H71" s="23">
        <v>0</v>
      </c>
    </row>
    <row r="72" spans="1:8" x14ac:dyDescent="0.35">
      <c r="A72">
        <v>2022</v>
      </c>
      <c r="B72" t="s">
        <v>229</v>
      </c>
      <c r="C72" t="s">
        <v>154</v>
      </c>
      <c r="D72" t="s">
        <v>158</v>
      </c>
      <c r="E72" s="23">
        <v>610757.1</v>
      </c>
      <c r="F72" s="23">
        <v>2608752.4900000002</v>
      </c>
      <c r="G72" s="23">
        <v>341980.18</v>
      </c>
      <c r="H72" s="23">
        <v>2474747.9900000002</v>
      </c>
    </row>
    <row r="73" spans="1:8" x14ac:dyDescent="0.35">
      <c r="A73">
        <v>2022</v>
      </c>
      <c r="B73" t="s">
        <v>230</v>
      </c>
      <c r="C73" t="s">
        <v>154</v>
      </c>
      <c r="D73" t="s">
        <v>155</v>
      </c>
      <c r="E73" s="23">
        <v>1734249.07</v>
      </c>
      <c r="F73" s="23">
        <v>1071868.96</v>
      </c>
      <c r="G73" s="23">
        <v>1464607.66</v>
      </c>
      <c r="H73" s="23">
        <v>1070049.44</v>
      </c>
    </row>
    <row r="74" spans="1:8" x14ac:dyDescent="0.35">
      <c r="A74">
        <v>2022</v>
      </c>
      <c r="B74" t="s">
        <v>231</v>
      </c>
      <c r="C74" t="s">
        <v>154</v>
      </c>
      <c r="D74" t="s">
        <v>160</v>
      </c>
      <c r="E74" s="23">
        <v>596966.44999999995</v>
      </c>
      <c r="F74" s="23">
        <v>186134.66</v>
      </c>
      <c r="G74" s="23">
        <v>18834.29</v>
      </c>
      <c r="H74" s="23">
        <v>0</v>
      </c>
    </row>
    <row r="75" spans="1:8" x14ac:dyDescent="0.35">
      <c r="A75">
        <v>2022</v>
      </c>
      <c r="B75" t="s">
        <v>232</v>
      </c>
      <c r="C75" t="s">
        <v>154</v>
      </c>
      <c r="D75" t="s">
        <v>165</v>
      </c>
      <c r="E75" s="23">
        <v>162635.19</v>
      </c>
      <c r="F75" s="23">
        <v>18815.95</v>
      </c>
      <c r="G75" s="23">
        <v>136707.04999999999</v>
      </c>
      <c r="H75" s="23">
        <v>12950.09</v>
      </c>
    </row>
    <row r="76" spans="1:8" x14ac:dyDescent="0.35">
      <c r="A76">
        <v>2022</v>
      </c>
      <c r="B76" t="s">
        <v>233</v>
      </c>
      <c r="C76" t="s">
        <v>154</v>
      </c>
      <c r="D76" t="s">
        <v>155</v>
      </c>
      <c r="E76" s="23">
        <v>4209823.88</v>
      </c>
      <c r="F76" s="23">
        <v>10535973.27</v>
      </c>
      <c r="G76" s="23">
        <v>3196864.64</v>
      </c>
      <c r="H76" s="23">
        <v>10440544.43</v>
      </c>
    </row>
    <row r="77" spans="1:8" x14ac:dyDescent="0.35">
      <c r="A77">
        <v>2022</v>
      </c>
      <c r="B77" t="s">
        <v>234</v>
      </c>
      <c r="C77" t="s">
        <v>154</v>
      </c>
      <c r="D77" t="s">
        <v>160</v>
      </c>
      <c r="E77" s="23">
        <v>2936003</v>
      </c>
      <c r="F77" s="23">
        <v>15046820.380000001</v>
      </c>
      <c r="G77" s="23">
        <v>20573.28</v>
      </c>
      <c r="H77" s="23">
        <v>596142.9</v>
      </c>
    </row>
    <row r="78" spans="1:8" x14ac:dyDescent="0.35">
      <c r="A78">
        <v>2022</v>
      </c>
      <c r="B78" t="s">
        <v>235</v>
      </c>
      <c r="C78" t="s">
        <v>154</v>
      </c>
      <c r="D78" t="s">
        <v>160</v>
      </c>
      <c r="E78" s="23">
        <v>22280.86</v>
      </c>
      <c r="F78" s="23">
        <v>158683.10999999999</v>
      </c>
      <c r="G78" s="23">
        <v>8441.6200000000008</v>
      </c>
      <c r="H78" s="23">
        <v>22522.35</v>
      </c>
    </row>
    <row r="79" spans="1:8" x14ac:dyDescent="0.35">
      <c r="A79">
        <v>2022</v>
      </c>
      <c r="B79" t="s">
        <v>236</v>
      </c>
      <c r="C79" t="s">
        <v>154</v>
      </c>
      <c r="D79" t="s">
        <v>160</v>
      </c>
      <c r="E79" s="23">
        <v>1255442.3400000001</v>
      </c>
      <c r="F79" s="23">
        <v>25291.96</v>
      </c>
      <c r="G79" s="23">
        <v>98645.84</v>
      </c>
      <c r="H79" s="23">
        <v>21991.96</v>
      </c>
    </row>
    <row r="80" spans="1:8" x14ac:dyDescent="0.35">
      <c r="A80">
        <v>2022</v>
      </c>
      <c r="B80" t="s">
        <v>237</v>
      </c>
      <c r="C80" t="s">
        <v>163</v>
      </c>
      <c r="D80" t="s">
        <v>158</v>
      </c>
      <c r="E80" s="23">
        <v>1209517.04</v>
      </c>
      <c r="F80" s="23">
        <v>1240164.56</v>
      </c>
      <c r="G80" s="23">
        <v>89845.09</v>
      </c>
      <c r="H80" s="23">
        <v>693870.5</v>
      </c>
    </row>
    <row r="81" spans="1:8" x14ac:dyDescent="0.35">
      <c r="A81">
        <v>2022</v>
      </c>
      <c r="B81" t="s">
        <v>238</v>
      </c>
      <c r="C81" t="s">
        <v>154</v>
      </c>
      <c r="D81" t="s">
        <v>155</v>
      </c>
      <c r="E81" s="23">
        <v>0</v>
      </c>
      <c r="F81" s="23">
        <v>0</v>
      </c>
      <c r="G81" s="23">
        <v>820667.74</v>
      </c>
      <c r="H81" s="23">
        <v>2194220.11</v>
      </c>
    </row>
    <row r="82" spans="1:8" x14ac:dyDescent="0.35">
      <c r="A82">
        <v>2022</v>
      </c>
      <c r="B82" t="s">
        <v>239</v>
      </c>
      <c r="C82" t="s">
        <v>154</v>
      </c>
      <c r="D82" t="s">
        <v>158</v>
      </c>
      <c r="E82" s="23">
        <v>179180.09</v>
      </c>
      <c r="F82" s="23">
        <v>19072.62</v>
      </c>
      <c r="G82" s="23">
        <v>18243.38</v>
      </c>
      <c r="H82" s="23">
        <v>19072.62</v>
      </c>
    </row>
    <row r="83" spans="1:8" x14ac:dyDescent="0.35">
      <c r="A83">
        <v>2022</v>
      </c>
      <c r="B83" t="s">
        <v>240</v>
      </c>
      <c r="C83" t="s">
        <v>154</v>
      </c>
      <c r="D83" t="s">
        <v>155</v>
      </c>
      <c r="E83" s="23">
        <v>412250.52</v>
      </c>
      <c r="F83" s="23">
        <v>241416.61</v>
      </c>
      <c r="G83" s="23">
        <v>254529.51</v>
      </c>
      <c r="H83" s="23">
        <v>208393.34</v>
      </c>
    </row>
    <row r="84" spans="1:8" x14ac:dyDescent="0.35">
      <c r="A84">
        <v>2022</v>
      </c>
      <c r="B84" t="s">
        <v>241</v>
      </c>
      <c r="C84" t="s">
        <v>154</v>
      </c>
      <c r="D84" t="s">
        <v>155</v>
      </c>
      <c r="E84" s="23">
        <v>335672.4</v>
      </c>
      <c r="F84" s="23">
        <v>1262141.97</v>
      </c>
      <c r="G84" s="23">
        <v>40784.660000000003</v>
      </c>
      <c r="H84" s="23">
        <v>79028.12</v>
      </c>
    </row>
    <row r="85" spans="1:8" x14ac:dyDescent="0.35">
      <c r="A85">
        <v>2022</v>
      </c>
      <c r="B85" t="s">
        <v>242</v>
      </c>
      <c r="C85" t="s">
        <v>154</v>
      </c>
      <c r="D85" t="s">
        <v>160</v>
      </c>
      <c r="E85" s="23">
        <v>348991.17</v>
      </c>
      <c r="F85" s="23">
        <v>-56047.14</v>
      </c>
      <c r="G85" s="23">
        <v>244496.08</v>
      </c>
      <c r="H85" s="23">
        <v>450952.86</v>
      </c>
    </row>
    <row r="86" spans="1:8" x14ac:dyDescent="0.35">
      <c r="A86">
        <v>2022</v>
      </c>
      <c r="B86" t="s">
        <v>243</v>
      </c>
      <c r="C86" t="s">
        <v>154</v>
      </c>
      <c r="D86" t="s">
        <v>165</v>
      </c>
      <c r="E86" s="23">
        <v>203408.5</v>
      </c>
      <c r="F86" s="23">
        <v>181678.59</v>
      </c>
      <c r="G86" s="23">
        <v>12107.5</v>
      </c>
      <c r="H86" s="23">
        <v>0</v>
      </c>
    </row>
    <row r="87" spans="1:8" x14ac:dyDescent="0.35">
      <c r="A87">
        <v>2022</v>
      </c>
      <c r="B87" t="s">
        <v>244</v>
      </c>
      <c r="C87" t="s">
        <v>157</v>
      </c>
      <c r="D87" t="s">
        <v>165</v>
      </c>
      <c r="E87" s="23">
        <v>0</v>
      </c>
      <c r="F87" s="23">
        <v>0</v>
      </c>
      <c r="G87" s="23">
        <v>133810.92000000001</v>
      </c>
      <c r="H87" s="23">
        <v>637241.72</v>
      </c>
    </row>
    <row r="88" spans="1:8" x14ac:dyDescent="0.35">
      <c r="A88">
        <v>2022</v>
      </c>
      <c r="B88" t="s">
        <v>245</v>
      </c>
      <c r="C88" t="s">
        <v>154</v>
      </c>
      <c r="D88" t="s">
        <v>155</v>
      </c>
      <c r="E88" s="23">
        <v>2017037.79</v>
      </c>
      <c r="F88" s="23">
        <v>2794098.79</v>
      </c>
      <c r="G88" s="23">
        <v>866879.93</v>
      </c>
      <c r="H88" s="23">
        <v>2151258.4300000002</v>
      </c>
    </row>
    <row r="89" spans="1:8" x14ac:dyDescent="0.35">
      <c r="A89">
        <v>2022</v>
      </c>
      <c r="B89" t="s">
        <v>246</v>
      </c>
      <c r="C89" t="s">
        <v>154</v>
      </c>
      <c r="D89" t="s">
        <v>155</v>
      </c>
      <c r="E89" s="23">
        <v>444568.62</v>
      </c>
      <c r="F89" s="23">
        <v>1248511.9099999999</v>
      </c>
      <c r="G89" s="23">
        <v>51925.7</v>
      </c>
      <c r="H89" s="23">
        <v>172359.99</v>
      </c>
    </row>
    <row r="90" spans="1:8" x14ac:dyDescent="0.35">
      <c r="A90">
        <v>2022</v>
      </c>
      <c r="B90" t="s">
        <v>247</v>
      </c>
      <c r="C90" t="s">
        <v>154</v>
      </c>
      <c r="D90" t="s">
        <v>160</v>
      </c>
      <c r="E90" s="23">
        <v>591946.53</v>
      </c>
      <c r="F90" s="23">
        <v>4614287.3600000003</v>
      </c>
      <c r="G90" s="23">
        <v>199861.63</v>
      </c>
      <c r="H90" s="23">
        <v>234292.35</v>
      </c>
    </row>
    <row r="91" spans="1:8" x14ac:dyDescent="0.35">
      <c r="A91">
        <v>2022</v>
      </c>
      <c r="B91" t="s">
        <v>248</v>
      </c>
      <c r="C91" t="s">
        <v>154</v>
      </c>
      <c r="D91" t="s">
        <v>160</v>
      </c>
      <c r="E91" s="23">
        <v>2302962.2000000002</v>
      </c>
      <c r="F91" s="23">
        <v>1543546.77</v>
      </c>
      <c r="G91" s="23">
        <v>1798026.66</v>
      </c>
      <c r="H91" s="23">
        <v>452175.6</v>
      </c>
    </row>
    <row r="92" spans="1:8" x14ac:dyDescent="0.35">
      <c r="A92">
        <v>2022</v>
      </c>
      <c r="B92" t="s">
        <v>249</v>
      </c>
      <c r="C92" t="s">
        <v>154</v>
      </c>
      <c r="D92" t="s">
        <v>160</v>
      </c>
      <c r="E92" s="23">
        <v>7035796.25</v>
      </c>
      <c r="F92" s="23">
        <v>4158991.97</v>
      </c>
      <c r="G92" s="23">
        <v>5541217.46</v>
      </c>
      <c r="H92" s="23">
        <v>1805510.56</v>
      </c>
    </row>
    <row r="93" spans="1:8" x14ac:dyDescent="0.35">
      <c r="A93">
        <v>2022</v>
      </c>
      <c r="B93" t="s">
        <v>250</v>
      </c>
      <c r="C93" t="s">
        <v>154</v>
      </c>
      <c r="D93" t="s">
        <v>158</v>
      </c>
      <c r="E93" s="23">
        <v>414096.79</v>
      </c>
      <c r="F93" s="23">
        <v>1267962.77</v>
      </c>
      <c r="G93" s="23">
        <v>82682.44</v>
      </c>
      <c r="H93" s="23">
        <v>1242424.58</v>
      </c>
    </row>
    <row r="94" spans="1:8" x14ac:dyDescent="0.35">
      <c r="A94">
        <v>2022</v>
      </c>
      <c r="B94" t="s">
        <v>251</v>
      </c>
      <c r="C94" t="s">
        <v>163</v>
      </c>
      <c r="D94" t="s">
        <v>158</v>
      </c>
      <c r="E94" s="23">
        <v>1781134.1</v>
      </c>
      <c r="F94" s="23">
        <v>8473136.0690000001</v>
      </c>
      <c r="G94" s="23">
        <v>503115.34</v>
      </c>
      <c r="H94" s="23">
        <v>2636959.59</v>
      </c>
    </row>
    <row r="95" spans="1:8" x14ac:dyDescent="0.35">
      <c r="A95">
        <v>2022</v>
      </c>
      <c r="B95" t="s">
        <v>252</v>
      </c>
      <c r="C95" t="s">
        <v>154</v>
      </c>
      <c r="D95" t="s">
        <v>160</v>
      </c>
      <c r="E95" s="23">
        <v>0</v>
      </c>
      <c r="F95" s="23">
        <v>0</v>
      </c>
      <c r="G95" s="23">
        <v>3407</v>
      </c>
      <c r="H95" s="23">
        <v>163786.28</v>
      </c>
    </row>
    <row r="96" spans="1:8" x14ac:dyDescent="0.35">
      <c r="A96">
        <v>2022</v>
      </c>
      <c r="B96" t="s">
        <v>253</v>
      </c>
      <c r="C96" t="s">
        <v>154</v>
      </c>
      <c r="D96" t="s">
        <v>160</v>
      </c>
      <c r="E96" s="23">
        <v>0</v>
      </c>
      <c r="F96" s="23">
        <v>0</v>
      </c>
      <c r="G96" s="23">
        <v>77951.83</v>
      </c>
      <c r="H96" s="23">
        <v>100046.07</v>
      </c>
    </row>
    <row r="97" spans="1:8" x14ac:dyDescent="0.35">
      <c r="A97">
        <v>2022</v>
      </c>
      <c r="B97" t="s">
        <v>254</v>
      </c>
      <c r="C97" t="s">
        <v>154</v>
      </c>
      <c r="D97" t="s">
        <v>155</v>
      </c>
      <c r="E97" s="23">
        <v>1825528.21</v>
      </c>
      <c r="F97" s="23">
        <v>808215.75</v>
      </c>
      <c r="G97" s="23">
        <v>148040.5</v>
      </c>
      <c r="H97" s="23">
        <v>398375.39</v>
      </c>
    </row>
    <row r="98" spans="1:8" x14ac:dyDescent="0.35">
      <c r="A98">
        <v>2022</v>
      </c>
      <c r="B98" t="s">
        <v>255</v>
      </c>
      <c r="C98" t="s">
        <v>154</v>
      </c>
      <c r="D98" t="s">
        <v>160</v>
      </c>
      <c r="E98" s="23">
        <v>327022.24</v>
      </c>
      <c r="F98" s="23">
        <v>501828.09100000001</v>
      </c>
      <c r="G98" s="23">
        <v>33294.51</v>
      </c>
      <c r="H98" s="23">
        <v>104253.37</v>
      </c>
    </row>
    <row r="99" spans="1:8" x14ac:dyDescent="0.35">
      <c r="A99">
        <v>2022</v>
      </c>
      <c r="B99" t="s">
        <v>256</v>
      </c>
      <c r="C99" t="s">
        <v>154</v>
      </c>
      <c r="D99" t="s">
        <v>158</v>
      </c>
      <c r="E99" s="23">
        <v>280596.26500000001</v>
      </c>
      <c r="F99" s="23">
        <v>592000.21499999997</v>
      </c>
      <c r="G99" s="23">
        <v>66459.554999999993</v>
      </c>
      <c r="H99" s="23">
        <v>486294.96500000003</v>
      </c>
    </row>
    <row r="100" spans="1:8" x14ac:dyDescent="0.35">
      <c r="A100">
        <v>2022</v>
      </c>
      <c r="B100" t="s">
        <v>257</v>
      </c>
      <c r="C100" t="s">
        <v>154</v>
      </c>
      <c r="D100" t="s">
        <v>160</v>
      </c>
      <c r="E100" s="23">
        <v>11190043.779999999</v>
      </c>
      <c r="F100" s="23">
        <v>10878059</v>
      </c>
      <c r="G100" s="23">
        <v>7177873</v>
      </c>
      <c r="H100" s="23">
        <v>6705460</v>
      </c>
    </row>
    <row r="101" spans="1:8" x14ac:dyDescent="0.35">
      <c r="A101">
        <v>2022</v>
      </c>
      <c r="B101" t="s">
        <v>258</v>
      </c>
      <c r="C101" t="s">
        <v>154</v>
      </c>
      <c r="D101" t="s">
        <v>160</v>
      </c>
      <c r="E101" s="23">
        <v>4125832.19</v>
      </c>
      <c r="F101" s="23">
        <v>5765244.4500000002</v>
      </c>
      <c r="G101" s="23">
        <v>3406542.29</v>
      </c>
      <c r="H101" s="23">
        <v>4906001.0199999996</v>
      </c>
    </row>
    <row r="102" spans="1:8" x14ac:dyDescent="0.35">
      <c r="A102">
        <v>2022</v>
      </c>
      <c r="B102" t="s">
        <v>259</v>
      </c>
      <c r="C102" t="s">
        <v>154</v>
      </c>
      <c r="D102" t="s">
        <v>165</v>
      </c>
      <c r="E102" s="23">
        <v>1446595.14</v>
      </c>
      <c r="F102" s="23">
        <v>494656.36</v>
      </c>
      <c r="G102" s="23">
        <v>828242.73</v>
      </c>
      <c r="H102" s="23">
        <v>333472.8</v>
      </c>
    </row>
    <row r="103" spans="1:8" x14ac:dyDescent="0.35">
      <c r="A103">
        <v>2022</v>
      </c>
      <c r="B103" t="s">
        <v>260</v>
      </c>
      <c r="C103" t="s">
        <v>154</v>
      </c>
      <c r="D103" t="s">
        <v>158</v>
      </c>
      <c r="E103" s="23">
        <v>435929.88</v>
      </c>
      <c r="F103" s="23">
        <v>587545.76</v>
      </c>
      <c r="G103" s="23">
        <v>326017.27</v>
      </c>
      <c r="H103" s="23">
        <v>21.06</v>
      </c>
    </row>
    <row r="104" spans="1:8" x14ac:dyDescent="0.35">
      <c r="A104">
        <v>2022</v>
      </c>
      <c r="B104" t="s">
        <v>261</v>
      </c>
      <c r="C104" t="s">
        <v>154</v>
      </c>
      <c r="D104" t="s">
        <v>158</v>
      </c>
      <c r="E104" s="23">
        <v>444217.01</v>
      </c>
      <c r="F104" s="23">
        <v>2594650.77</v>
      </c>
      <c r="G104" s="23">
        <v>391126.23</v>
      </c>
      <c r="H104" s="23">
        <v>2562100.77</v>
      </c>
    </row>
    <row r="105" spans="1:8" x14ac:dyDescent="0.35">
      <c r="A105">
        <v>2022</v>
      </c>
      <c r="B105" t="s">
        <v>262</v>
      </c>
      <c r="C105" t="s">
        <v>154</v>
      </c>
      <c r="D105" t="s">
        <v>155</v>
      </c>
      <c r="E105" s="23">
        <v>6127.83</v>
      </c>
      <c r="F105" s="23">
        <v>110.17</v>
      </c>
      <c r="G105" s="23">
        <v>6127.83</v>
      </c>
      <c r="H105" s="23">
        <v>110.17</v>
      </c>
    </row>
    <row r="106" spans="1:8" x14ac:dyDescent="0.35">
      <c r="A106">
        <v>2022</v>
      </c>
      <c r="B106" t="s">
        <v>263</v>
      </c>
      <c r="C106" t="s">
        <v>157</v>
      </c>
      <c r="D106" t="s">
        <v>160</v>
      </c>
      <c r="E106" s="23">
        <v>1897.6</v>
      </c>
      <c r="F106" s="23">
        <v>0</v>
      </c>
      <c r="G106" s="23">
        <v>0</v>
      </c>
      <c r="H106" s="23">
        <v>0</v>
      </c>
    </row>
    <row r="107" spans="1:8" x14ac:dyDescent="0.35">
      <c r="A107">
        <v>2022</v>
      </c>
      <c r="B107" t="s">
        <v>264</v>
      </c>
      <c r="C107" t="s">
        <v>154</v>
      </c>
      <c r="D107" t="s">
        <v>160</v>
      </c>
      <c r="E107" s="23">
        <v>1502619.84</v>
      </c>
      <c r="F107" s="23">
        <v>2517900.16</v>
      </c>
      <c r="G107" s="23">
        <v>0</v>
      </c>
      <c r="H107" s="23">
        <v>0</v>
      </c>
    </row>
    <row r="108" spans="1:8" x14ac:dyDescent="0.35">
      <c r="A108">
        <v>2022</v>
      </c>
      <c r="B108" t="s">
        <v>265</v>
      </c>
      <c r="C108" t="s">
        <v>154</v>
      </c>
      <c r="D108" t="s">
        <v>158</v>
      </c>
      <c r="E108" s="23">
        <v>83167.5</v>
      </c>
      <c r="F108" s="23">
        <v>619.48</v>
      </c>
      <c r="G108" s="23">
        <v>59380.52</v>
      </c>
      <c r="H108" s="23">
        <v>619.48</v>
      </c>
    </row>
    <row r="109" spans="1:8" x14ac:dyDescent="0.35">
      <c r="A109">
        <v>2022</v>
      </c>
      <c r="B109" t="s">
        <v>266</v>
      </c>
      <c r="C109" t="s">
        <v>154</v>
      </c>
      <c r="D109" t="s">
        <v>158</v>
      </c>
      <c r="E109" s="23">
        <v>354725.03</v>
      </c>
      <c r="F109" s="23">
        <v>7600</v>
      </c>
      <c r="G109" s="23">
        <v>111317.63</v>
      </c>
      <c r="H109" s="23">
        <v>5100</v>
      </c>
    </row>
    <row r="110" spans="1:8" x14ac:dyDescent="0.35">
      <c r="A110">
        <v>2022</v>
      </c>
      <c r="B110" t="s">
        <v>267</v>
      </c>
      <c r="C110" t="s">
        <v>154</v>
      </c>
      <c r="D110" t="s">
        <v>160</v>
      </c>
      <c r="E110" s="23">
        <v>524906.48</v>
      </c>
      <c r="F110" s="23">
        <v>474245.03</v>
      </c>
      <c r="G110" s="23">
        <v>60993.37</v>
      </c>
      <c r="H110" s="23">
        <v>67970.19</v>
      </c>
    </row>
    <row r="111" spans="1:8" x14ac:dyDescent="0.35">
      <c r="A111">
        <v>2022</v>
      </c>
      <c r="B111" t="s">
        <v>268</v>
      </c>
      <c r="C111" t="s">
        <v>154</v>
      </c>
      <c r="D111" t="s">
        <v>160</v>
      </c>
      <c r="E111" s="23">
        <v>0</v>
      </c>
      <c r="F111" s="23">
        <v>0</v>
      </c>
      <c r="G111" s="23">
        <v>0</v>
      </c>
      <c r="H111" s="23">
        <v>0</v>
      </c>
    </row>
    <row r="112" spans="1:8" x14ac:dyDescent="0.35">
      <c r="A112">
        <v>2022</v>
      </c>
      <c r="B112" t="s">
        <v>269</v>
      </c>
      <c r="C112" t="s">
        <v>154</v>
      </c>
      <c r="D112" t="s">
        <v>160</v>
      </c>
      <c r="E112" s="23">
        <v>1013352.32</v>
      </c>
      <c r="F112" s="23">
        <v>2408042.65</v>
      </c>
      <c r="G112" s="23">
        <v>53961.04</v>
      </c>
      <c r="H112" s="23">
        <v>1238472.8999999999</v>
      </c>
    </row>
    <row r="113" spans="1:8" x14ac:dyDescent="0.35">
      <c r="A113">
        <v>2022</v>
      </c>
      <c r="B113" t="s">
        <v>270</v>
      </c>
      <c r="C113" t="s">
        <v>154</v>
      </c>
      <c r="D113" t="s">
        <v>160</v>
      </c>
      <c r="E113" s="23">
        <v>275992.90000000002</v>
      </c>
      <c r="F113" s="23">
        <v>664137.82999999996</v>
      </c>
      <c r="G113" s="23">
        <v>63634.26</v>
      </c>
      <c r="H113" s="23">
        <v>578922.53</v>
      </c>
    </row>
    <row r="114" spans="1:8" x14ac:dyDescent="0.35">
      <c r="A114">
        <v>2022</v>
      </c>
      <c r="B114" t="s">
        <v>271</v>
      </c>
      <c r="C114" t="s">
        <v>154</v>
      </c>
      <c r="D114" t="s">
        <v>158</v>
      </c>
      <c r="E114" s="23">
        <v>446134.1</v>
      </c>
      <c r="F114" s="23">
        <v>1317665.1100000001</v>
      </c>
      <c r="G114" s="23">
        <v>122367.41</v>
      </c>
      <c r="H114" s="23">
        <v>506361</v>
      </c>
    </row>
    <row r="115" spans="1:8" x14ac:dyDescent="0.35">
      <c r="A115">
        <v>2022</v>
      </c>
      <c r="B115" t="s">
        <v>272</v>
      </c>
      <c r="C115" t="s">
        <v>154</v>
      </c>
      <c r="D115" t="s">
        <v>160</v>
      </c>
      <c r="E115" s="23">
        <v>1511059.69</v>
      </c>
      <c r="F115" s="23">
        <v>2675022.0099999998</v>
      </c>
      <c r="G115" s="23">
        <v>983148.63</v>
      </c>
      <c r="H115" s="23">
        <v>2419057.21</v>
      </c>
    </row>
    <row r="116" spans="1:8" x14ac:dyDescent="0.35">
      <c r="A116">
        <v>2022</v>
      </c>
      <c r="B116" t="s">
        <v>273</v>
      </c>
      <c r="C116" t="s">
        <v>154</v>
      </c>
      <c r="D116" t="s">
        <v>155</v>
      </c>
      <c r="E116" s="23">
        <v>1554834.62</v>
      </c>
      <c r="F116" s="23">
        <v>570822.49</v>
      </c>
      <c r="G116" s="23">
        <v>692970.81</v>
      </c>
      <c r="H116" s="23">
        <v>429272.49</v>
      </c>
    </row>
    <row r="117" spans="1:8" x14ac:dyDescent="0.35">
      <c r="A117">
        <v>2022</v>
      </c>
      <c r="B117" t="s">
        <v>274</v>
      </c>
      <c r="C117" t="s">
        <v>154</v>
      </c>
      <c r="D117" t="s">
        <v>160</v>
      </c>
      <c r="E117" s="23">
        <v>0</v>
      </c>
      <c r="F117" s="23">
        <v>0</v>
      </c>
      <c r="G117" s="23">
        <v>554696.81000000006</v>
      </c>
      <c r="H117" s="23">
        <v>5055427.83</v>
      </c>
    </row>
    <row r="118" spans="1:8" x14ac:dyDescent="0.35">
      <c r="A118">
        <v>2022</v>
      </c>
      <c r="B118" t="s">
        <v>275</v>
      </c>
      <c r="C118" t="s">
        <v>154</v>
      </c>
      <c r="D118" t="s">
        <v>160</v>
      </c>
      <c r="E118" s="23">
        <v>0</v>
      </c>
      <c r="F118" s="23">
        <v>0</v>
      </c>
      <c r="G118" s="23">
        <v>0</v>
      </c>
      <c r="H118" s="23">
        <v>0</v>
      </c>
    </row>
    <row r="119" spans="1:8" x14ac:dyDescent="0.35">
      <c r="A119">
        <v>2022</v>
      </c>
      <c r="B119" t="s">
        <v>276</v>
      </c>
      <c r="C119" t="s">
        <v>154</v>
      </c>
      <c r="D119" t="s">
        <v>158</v>
      </c>
      <c r="E119" s="23">
        <v>649447.13</v>
      </c>
      <c r="F119" s="23">
        <v>740229.34</v>
      </c>
      <c r="G119" s="23">
        <v>104239</v>
      </c>
      <c r="H119" s="23">
        <v>5396.65</v>
      </c>
    </row>
    <row r="120" spans="1:8" x14ac:dyDescent="0.35">
      <c r="A120">
        <v>2022</v>
      </c>
      <c r="B120" t="s">
        <v>277</v>
      </c>
      <c r="C120" t="s">
        <v>154</v>
      </c>
      <c r="D120" t="s">
        <v>155</v>
      </c>
      <c r="E120" s="23">
        <v>270076.93</v>
      </c>
      <c r="F120" s="23">
        <v>484081.09</v>
      </c>
      <c r="G120" s="23">
        <v>64392.02</v>
      </c>
      <c r="H120" s="23">
        <v>189053.2</v>
      </c>
    </row>
    <row r="121" spans="1:8" x14ac:dyDescent="0.35">
      <c r="A121">
        <v>2022</v>
      </c>
      <c r="B121" t="s">
        <v>278</v>
      </c>
      <c r="C121" t="s">
        <v>154</v>
      </c>
      <c r="D121" t="s">
        <v>155</v>
      </c>
      <c r="E121" s="23">
        <v>181444.88</v>
      </c>
      <c r="F121" s="23">
        <v>0</v>
      </c>
      <c r="G121" s="23">
        <v>85199.98</v>
      </c>
      <c r="H121" s="23">
        <v>0</v>
      </c>
    </row>
    <row r="122" spans="1:8" x14ac:dyDescent="0.35">
      <c r="A122">
        <v>2022</v>
      </c>
      <c r="B122" t="s">
        <v>279</v>
      </c>
      <c r="C122" t="s">
        <v>154</v>
      </c>
      <c r="D122" t="s">
        <v>155</v>
      </c>
      <c r="E122" s="23">
        <v>1438144.08</v>
      </c>
      <c r="F122" s="23">
        <v>423198.81</v>
      </c>
      <c r="G122" s="23">
        <v>427366.43</v>
      </c>
      <c r="H122" s="23">
        <v>355321.41</v>
      </c>
    </row>
    <row r="123" spans="1:8" x14ac:dyDescent="0.35">
      <c r="A123">
        <v>2022</v>
      </c>
      <c r="B123" t="s">
        <v>280</v>
      </c>
      <c r="C123" t="s">
        <v>154</v>
      </c>
      <c r="D123" t="s">
        <v>160</v>
      </c>
      <c r="E123" s="23">
        <v>353985.32</v>
      </c>
      <c r="F123" s="23">
        <v>278805.18</v>
      </c>
      <c r="G123" s="23">
        <v>86959.48</v>
      </c>
      <c r="H123" s="23">
        <v>87185.36</v>
      </c>
    </row>
    <row r="124" spans="1:8" x14ac:dyDescent="0.35">
      <c r="A124">
        <v>2022</v>
      </c>
      <c r="B124" t="s">
        <v>281</v>
      </c>
      <c r="C124" t="s">
        <v>154</v>
      </c>
      <c r="D124" t="s">
        <v>158</v>
      </c>
      <c r="E124" s="23">
        <v>885571.33</v>
      </c>
      <c r="F124" s="23">
        <v>5545413.8799999999</v>
      </c>
      <c r="G124" s="23">
        <v>169823.81</v>
      </c>
      <c r="H124" s="23">
        <v>0</v>
      </c>
    </row>
    <row r="125" spans="1:8" x14ac:dyDescent="0.35">
      <c r="A125">
        <v>2022</v>
      </c>
      <c r="B125" t="s">
        <v>282</v>
      </c>
      <c r="C125" t="s">
        <v>154</v>
      </c>
      <c r="D125" t="s">
        <v>160</v>
      </c>
      <c r="E125" s="23">
        <v>1005508.9</v>
      </c>
      <c r="F125" s="23">
        <v>1428216.09</v>
      </c>
      <c r="G125" s="23">
        <v>219593.99</v>
      </c>
      <c r="H125" s="23">
        <v>285690.14</v>
      </c>
    </row>
    <row r="126" spans="1:8" x14ac:dyDescent="0.35">
      <c r="A126">
        <v>2022</v>
      </c>
      <c r="B126" t="s">
        <v>283</v>
      </c>
      <c r="C126" t="s">
        <v>154</v>
      </c>
      <c r="D126" t="s">
        <v>155</v>
      </c>
      <c r="E126" s="23">
        <v>1962048.78</v>
      </c>
      <c r="F126" s="23">
        <v>6261921.2400000002</v>
      </c>
      <c r="G126" s="23">
        <v>1311344.69</v>
      </c>
      <c r="H126" s="23">
        <v>3119331.4</v>
      </c>
    </row>
    <row r="127" spans="1:8" x14ac:dyDescent="0.35">
      <c r="A127">
        <v>2022</v>
      </c>
      <c r="B127" t="s">
        <v>284</v>
      </c>
      <c r="C127" t="s">
        <v>154</v>
      </c>
      <c r="D127" t="s">
        <v>158</v>
      </c>
      <c r="E127" s="23">
        <v>187472.39</v>
      </c>
      <c r="F127" s="23">
        <v>395909.75</v>
      </c>
      <c r="G127" s="23">
        <v>0</v>
      </c>
      <c r="H127" s="23">
        <v>2100</v>
      </c>
    </row>
    <row r="128" spans="1:8" x14ac:dyDescent="0.35">
      <c r="A128">
        <v>2022</v>
      </c>
      <c r="B128" t="s">
        <v>285</v>
      </c>
      <c r="C128" t="s">
        <v>154</v>
      </c>
      <c r="D128" t="s">
        <v>155</v>
      </c>
      <c r="E128" s="23">
        <v>915232.22</v>
      </c>
      <c r="F128" s="23">
        <v>1527035.4</v>
      </c>
      <c r="G128" s="23">
        <v>413386.32</v>
      </c>
      <c r="H128" s="23">
        <v>1035195.78</v>
      </c>
    </row>
    <row r="129" spans="1:8" x14ac:dyDescent="0.35">
      <c r="A129">
        <v>2022</v>
      </c>
      <c r="B129" t="s">
        <v>286</v>
      </c>
      <c r="C129" t="s">
        <v>163</v>
      </c>
      <c r="D129" t="s">
        <v>160</v>
      </c>
      <c r="E129" s="23">
        <v>553557.43999999994</v>
      </c>
      <c r="F129" s="23">
        <v>334333.65999999997</v>
      </c>
      <c r="G129" s="23">
        <v>86306.1</v>
      </c>
      <c r="H129" s="23">
        <v>49155.5</v>
      </c>
    </row>
    <row r="130" spans="1:8" x14ac:dyDescent="0.35">
      <c r="A130">
        <v>2022</v>
      </c>
      <c r="B130" t="s">
        <v>287</v>
      </c>
      <c r="C130" t="s">
        <v>154</v>
      </c>
      <c r="D130" t="s">
        <v>158</v>
      </c>
      <c r="E130" s="23">
        <v>854455.5</v>
      </c>
      <c r="F130" s="23">
        <v>1407199</v>
      </c>
      <c r="G130" s="23">
        <v>223759.22</v>
      </c>
      <c r="H130" s="23">
        <v>284863.45</v>
      </c>
    </row>
    <row r="131" spans="1:8" x14ac:dyDescent="0.35">
      <c r="A131">
        <v>2022</v>
      </c>
      <c r="B131" t="s">
        <v>288</v>
      </c>
      <c r="C131" t="s">
        <v>157</v>
      </c>
      <c r="D131" t="s">
        <v>158</v>
      </c>
      <c r="E131" s="23">
        <v>34831.800000000003</v>
      </c>
      <c r="F131" s="23">
        <v>36981.75</v>
      </c>
      <c r="G131" s="23">
        <v>0</v>
      </c>
      <c r="H131" s="23">
        <v>0</v>
      </c>
    </row>
    <row r="132" spans="1:8" x14ac:dyDescent="0.35">
      <c r="A132">
        <v>2022</v>
      </c>
      <c r="B132" t="s">
        <v>289</v>
      </c>
      <c r="C132" t="s">
        <v>154</v>
      </c>
      <c r="D132" t="s">
        <v>160</v>
      </c>
      <c r="E132" s="23">
        <v>250218.32</v>
      </c>
      <c r="F132" s="23">
        <v>17537.34</v>
      </c>
      <c r="G132" s="23">
        <v>0</v>
      </c>
      <c r="H132" s="23">
        <v>0</v>
      </c>
    </row>
    <row r="133" spans="1:8" x14ac:dyDescent="0.35">
      <c r="A133">
        <v>2022</v>
      </c>
      <c r="B133" t="s">
        <v>290</v>
      </c>
      <c r="C133" t="s">
        <v>154</v>
      </c>
      <c r="D133" t="s">
        <v>155</v>
      </c>
      <c r="E133" s="23">
        <v>488803.9</v>
      </c>
      <c r="F133" s="23">
        <v>781087.47</v>
      </c>
      <c r="G133" s="23">
        <v>246533.68</v>
      </c>
      <c r="H133" s="23">
        <v>528528.75</v>
      </c>
    </row>
    <row r="134" spans="1:8" x14ac:dyDescent="0.35">
      <c r="A134">
        <v>2022</v>
      </c>
      <c r="B134" t="s">
        <v>291</v>
      </c>
      <c r="C134" t="s">
        <v>154</v>
      </c>
      <c r="D134" t="s">
        <v>158</v>
      </c>
      <c r="E134" s="23">
        <v>704053.62</v>
      </c>
      <c r="F134" s="23">
        <v>2849611.7</v>
      </c>
      <c r="G134" s="23">
        <v>561861</v>
      </c>
      <c r="H134" s="23">
        <v>2152932.9700000002</v>
      </c>
    </row>
    <row r="135" spans="1:8" x14ac:dyDescent="0.35">
      <c r="A135">
        <v>2022</v>
      </c>
      <c r="B135" t="s">
        <v>292</v>
      </c>
      <c r="C135" t="s">
        <v>154</v>
      </c>
      <c r="D135" t="s">
        <v>160</v>
      </c>
      <c r="E135" s="23">
        <v>257135.21</v>
      </c>
      <c r="F135" s="23">
        <v>1051447.3700000001</v>
      </c>
      <c r="G135" s="23">
        <v>1367.76</v>
      </c>
      <c r="H135" s="23">
        <v>0</v>
      </c>
    </row>
    <row r="136" spans="1:8" x14ac:dyDescent="0.35">
      <c r="A136">
        <v>2022</v>
      </c>
      <c r="B136" t="s">
        <v>293</v>
      </c>
      <c r="C136" t="s">
        <v>154</v>
      </c>
      <c r="D136" t="s">
        <v>158</v>
      </c>
      <c r="E136" s="23">
        <v>48729.2</v>
      </c>
      <c r="F136" s="23">
        <v>13456.56</v>
      </c>
      <c r="G136" s="23">
        <v>0</v>
      </c>
      <c r="H136" s="23">
        <v>0</v>
      </c>
    </row>
    <row r="137" spans="1:8" x14ac:dyDescent="0.35">
      <c r="A137">
        <v>2022</v>
      </c>
      <c r="B137" t="s">
        <v>294</v>
      </c>
      <c r="C137" t="s">
        <v>154</v>
      </c>
      <c r="D137" t="s">
        <v>155</v>
      </c>
      <c r="E137" s="23">
        <v>86039.11</v>
      </c>
      <c r="F137" s="23">
        <v>136785.42000000001</v>
      </c>
      <c r="G137" s="23">
        <v>19285.02</v>
      </c>
      <c r="H137" s="23">
        <v>16212.1</v>
      </c>
    </row>
    <row r="138" spans="1:8" x14ac:dyDescent="0.35">
      <c r="A138">
        <v>2022</v>
      </c>
      <c r="B138" t="s">
        <v>295</v>
      </c>
      <c r="C138" t="s">
        <v>154</v>
      </c>
      <c r="D138" t="s">
        <v>158</v>
      </c>
      <c r="E138" s="23">
        <v>108065641.22</v>
      </c>
      <c r="F138" s="23">
        <v>52493734.449900001</v>
      </c>
      <c r="G138" s="23">
        <v>47848074.82</v>
      </c>
      <c r="H138" s="23">
        <v>26078714.109999999</v>
      </c>
    </row>
    <row r="139" spans="1:8" x14ac:dyDescent="0.35">
      <c r="A139">
        <v>2021</v>
      </c>
      <c r="B139" t="s">
        <v>153</v>
      </c>
      <c r="C139" t="s">
        <v>154</v>
      </c>
      <c r="D139" t="s">
        <v>155</v>
      </c>
      <c r="E139" s="23">
        <v>4894045.9000000004</v>
      </c>
      <c r="F139" s="23">
        <v>1069586.49</v>
      </c>
      <c r="G139" s="23">
        <v>170837.26</v>
      </c>
      <c r="H139" s="23">
        <v>427681.77</v>
      </c>
    </row>
    <row r="140" spans="1:8" x14ac:dyDescent="0.35">
      <c r="A140">
        <v>2021</v>
      </c>
      <c r="B140" t="s">
        <v>161</v>
      </c>
      <c r="C140" t="s">
        <v>154</v>
      </c>
      <c r="D140" t="s">
        <v>158</v>
      </c>
      <c r="E140" s="23">
        <v>442508.62</v>
      </c>
      <c r="F140" s="23">
        <v>1481852.76</v>
      </c>
      <c r="G140" s="23">
        <v>316743.09000000003</v>
      </c>
      <c r="H140" s="23">
        <v>874373.41</v>
      </c>
    </row>
    <row r="141" spans="1:8" x14ac:dyDescent="0.35">
      <c r="A141">
        <v>2021</v>
      </c>
      <c r="B141" t="s">
        <v>162</v>
      </c>
      <c r="C141" t="s">
        <v>163</v>
      </c>
      <c r="D141" t="s">
        <v>158</v>
      </c>
      <c r="E141" s="23">
        <v>135865.57999999999</v>
      </c>
      <c r="F141" s="23">
        <v>74132.509999999995</v>
      </c>
      <c r="G141" s="23">
        <v>0</v>
      </c>
      <c r="H141" s="23">
        <v>0</v>
      </c>
    </row>
    <row r="142" spans="1:8" x14ac:dyDescent="0.35">
      <c r="A142">
        <v>2021</v>
      </c>
      <c r="B142" t="s">
        <v>164</v>
      </c>
      <c r="C142" t="s">
        <v>154</v>
      </c>
      <c r="D142" t="s">
        <v>165</v>
      </c>
      <c r="E142" s="23">
        <v>4060783.87</v>
      </c>
      <c r="F142" s="23">
        <v>2523663.31</v>
      </c>
      <c r="G142" s="23">
        <v>562474.5</v>
      </c>
      <c r="H142" s="23">
        <v>533128.35</v>
      </c>
    </row>
    <row r="143" spans="1:8" x14ac:dyDescent="0.35">
      <c r="A143">
        <v>2021</v>
      </c>
      <c r="B143" t="s">
        <v>167</v>
      </c>
      <c r="C143" t="s">
        <v>154</v>
      </c>
      <c r="D143" t="s">
        <v>155</v>
      </c>
      <c r="E143" s="23">
        <v>4022636.76</v>
      </c>
      <c r="F143" s="23">
        <v>13686225.77</v>
      </c>
      <c r="G143" s="23">
        <v>1261414.18</v>
      </c>
      <c r="H143" s="23">
        <v>7721973.71</v>
      </c>
    </row>
    <row r="144" spans="1:8" x14ac:dyDescent="0.35">
      <c r="A144">
        <v>2021</v>
      </c>
      <c r="B144" t="s">
        <v>168</v>
      </c>
      <c r="C144" t="s">
        <v>154</v>
      </c>
      <c r="D144" t="s">
        <v>158</v>
      </c>
      <c r="E144" s="23">
        <v>1146359.6200000001</v>
      </c>
      <c r="F144" s="23">
        <v>2389419.15</v>
      </c>
      <c r="G144" s="23">
        <v>168505.88</v>
      </c>
      <c r="H144" s="23">
        <v>265585.3</v>
      </c>
    </row>
    <row r="145" spans="1:8" x14ac:dyDescent="0.35">
      <c r="A145">
        <v>2021</v>
      </c>
      <c r="B145" t="s">
        <v>169</v>
      </c>
      <c r="C145" t="s">
        <v>154</v>
      </c>
      <c r="D145" t="s">
        <v>160</v>
      </c>
      <c r="E145" s="23">
        <v>43459.29</v>
      </c>
      <c r="F145" s="23">
        <v>20220</v>
      </c>
      <c r="G145" s="23">
        <v>12779.54</v>
      </c>
      <c r="H145" s="23">
        <v>8204</v>
      </c>
    </row>
    <row r="146" spans="1:8" x14ac:dyDescent="0.35">
      <c r="A146">
        <v>2021</v>
      </c>
      <c r="B146" t="s">
        <v>170</v>
      </c>
      <c r="C146" t="s">
        <v>154</v>
      </c>
      <c r="D146" t="s">
        <v>160</v>
      </c>
      <c r="E146" s="23">
        <v>2504982.35</v>
      </c>
      <c r="F146" s="23">
        <v>3590533.08</v>
      </c>
      <c r="G146" s="23">
        <v>972217.83</v>
      </c>
      <c r="H146" s="23">
        <v>2954525.39</v>
      </c>
    </row>
    <row r="147" spans="1:8" x14ac:dyDescent="0.35">
      <c r="A147">
        <v>2021</v>
      </c>
      <c r="B147" t="s">
        <v>171</v>
      </c>
      <c r="C147" t="s">
        <v>154</v>
      </c>
      <c r="D147" t="s">
        <v>158</v>
      </c>
      <c r="E147" s="23">
        <v>1524082.584</v>
      </c>
      <c r="F147" s="23">
        <v>6404197.2560000001</v>
      </c>
      <c r="G147" s="23">
        <v>422208.46</v>
      </c>
      <c r="H147" s="23">
        <v>393721.04</v>
      </c>
    </row>
    <row r="148" spans="1:8" x14ac:dyDescent="0.35">
      <c r="A148">
        <v>2021</v>
      </c>
      <c r="B148" t="s">
        <v>172</v>
      </c>
      <c r="C148" t="s">
        <v>154</v>
      </c>
      <c r="D148" t="s">
        <v>155</v>
      </c>
      <c r="E148" s="23">
        <v>1826794.86</v>
      </c>
      <c r="F148" s="23">
        <v>2059824.84</v>
      </c>
      <c r="G148" s="23">
        <v>1821271.13</v>
      </c>
      <c r="H148" s="23">
        <v>2059824.84</v>
      </c>
    </row>
    <row r="149" spans="1:8" x14ac:dyDescent="0.35">
      <c r="A149">
        <v>2021</v>
      </c>
      <c r="B149" t="s">
        <v>173</v>
      </c>
      <c r="C149" t="s">
        <v>154</v>
      </c>
      <c r="D149" t="s">
        <v>155</v>
      </c>
      <c r="E149" s="23">
        <v>653243.67000000004</v>
      </c>
      <c r="F149" s="23">
        <v>143621.20000000001</v>
      </c>
      <c r="G149" s="23">
        <v>15866.5</v>
      </c>
      <c r="H149" s="23">
        <v>17693.18</v>
      </c>
    </row>
    <row r="150" spans="1:8" x14ac:dyDescent="0.35">
      <c r="A150">
        <v>2021</v>
      </c>
      <c r="B150" t="s">
        <v>174</v>
      </c>
      <c r="C150" t="s">
        <v>154</v>
      </c>
      <c r="D150" t="s">
        <v>160</v>
      </c>
      <c r="E150" s="23">
        <v>642350.36</v>
      </c>
      <c r="F150" s="23">
        <v>1032471.83</v>
      </c>
      <c r="G150" s="23">
        <v>0</v>
      </c>
      <c r="H150" s="23">
        <v>0</v>
      </c>
    </row>
    <row r="151" spans="1:8" x14ac:dyDescent="0.35">
      <c r="A151">
        <v>2021</v>
      </c>
      <c r="B151" t="s">
        <v>175</v>
      </c>
      <c r="C151" t="s">
        <v>154</v>
      </c>
      <c r="D151" t="s">
        <v>158</v>
      </c>
      <c r="E151" s="23">
        <v>31742.78</v>
      </c>
      <c r="F151" s="23">
        <v>0</v>
      </c>
      <c r="G151" s="23">
        <v>2549.2800000000002</v>
      </c>
      <c r="H151" s="23">
        <v>0</v>
      </c>
    </row>
    <row r="152" spans="1:8" x14ac:dyDescent="0.35">
      <c r="A152">
        <v>2021</v>
      </c>
      <c r="B152" t="s">
        <v>176</v>
      </c>
      <c r="C152" t="s">
        <v>154</v>
      </c>
      <c r="D152" t="s">
        <v>160</v>
      </c>
      <c r="E152" s="23">
        <v>186177.91</v>
      </c>
      <c r="F152" s="23">
        <v>144656.5</v>
      </c>
      <c r="G152" s="23">
        <v>46696.27</v>
      </c>
      <c r="H152" s="23">
        <v>138844.5</v>
      </c>
    </row>
    <row r="153" spans="1:8" x14ac:dyDescent="0.35">
      <c r="A153">
        <v>2021</v>
      </c>
      <c r="B153" t="s">
        <v>177</v>
      </c>
      <c r="C153" t="s">
        <v>154</v>
      </c>
      <c r="D153" t="s">
        <v>160</v>
      </c>
      <c r="E153" s="23">
        <v>1201667.1299999999</v>
      </c>
      <c r="F153" s="23">
        <v>808290.25</v>
      </c>
      <c r="G153" s="23">
        <v>316338.09000000003</v>
      </c>
      <c r="H153" s="23">
        <v>2392.35</v>
      </c>
    </row>
    <row r="154" spans="1:8" x14ac:dyDescent="0.35">
      <c r="A154">
        <v>2021</v>
      </c>
      <c r="B154" t="s">
        <v>178</v>
      </c>
      <c r="C154" t="s">
        <v>154</v>
      </c>
      <c r="D154" t="s">
        <v>155</v>
      </c>
      <c r="E154" s="23">
        <v>154190.96</v>
      </c>
      <c r="F154" s="23">
        <v>444042.52</v>
      </c>
      <c r="G154" s="23">
        <v>83497.740000000005</v>
      </c>
      <c r="H154" s="23">
        <v>435364.45</v>
      </c>
    </row>
    <row r="155" spans="1:8" x14ac:dyDescent="0.35">
      <c r="A155">
        <v>2021</v>
      </c>
      <c r="B155" t="s">
        <v>179</v>
      </c>
      <c r="C155" t="s">
        <v>154</v>
      </c>
      <c r="D155" t="s">
        <v>160</v>
      </c>
      <c r="E155" s="23">
        <v>82983.820000000007</v>
      </c>
      <c r="F155" s="23">
        <v>131497.44</v>
      </c>
      <c r="G155" s="23">
        <v>12292</v>
      </c>
      <c r="H155" s="23">
        <v>2749.84</v>
      </c>
    </row>
    <row r="156" spans="1:8" x14ac:dyDescent="0.35">
      <c r="A156">
        <v>2021</v>
      </c>
      <c r="B156" t="s">
        <v>180</v>
      </c>
      <c r="C156" t="s">
        <v>154</v>
      </c>
      <c r="D156" t="s">
        <v>160</v>
      </c>
      <c r="E156" s="23">
        <v>832338.53</v>
      </c>
      <c r="F156" s="23">
        <v>2193316.5699999998</v>
      </c>
      <c r="G156" s="23">
        <v>20501.759999999998</v>
      </c>
      <c r="H156" s="23">
        <v>0</v>
      </c>
    </row>
    <row r="157" spans="1:8" x14ac:dyDescent="0.35">
      <c r="A157">
        <v>2021</v>
      </c>
      <c r="B157" t="s">
        <v>181</v>
      </c>
      <c r="C157" t="s">
        <v>154</v>
      </c>
      <c r="D157" t="s">
        <v>155</v>
      </c>
      <c r="E157" s="23">
        <v>344396.48</v>
      </c>
      <c r="F157" s="23">
        <v>727054.26</v>
      </c>
      <c r="G157" s="23">
        <v>76339.81</v>
      </c>
      <c r="H157" s="23">
        <v>378128.1</v>
      </c>
    </row>
    <row r="158" spans="1:8" x14ac:dyDescent="0.35">
      <c r="A158">
        <v>2021</v>
      </c>
      <c r="B158" t="s">
        <v>182</v>
      </c>
      <c r="C158" t="s">
        <v>154</v>
      </c>
      <c r="D158" t="s">
        <v>158</v>
      </c>
      <c r="E158" s="23">
        <v>0</v>
      </c>
      <c r="F158" s="23">
        <v>0</v>
      </c>
      <c r="G158" s="23">
        <v>66103.14</v>
      </c>
      <c r="H158" s="23">
        <v>93865.15</v>
      </c>
    </row>
    <row r="159" spans="1:8" x14ac:dyDescent="0.35">
      <c r="A159">
        <v>2021</v>
      </c>
      <c r="B159" t="s">
        <v>183</v>
      </c>
      <c r="C159" t="s">
        <v>154</v>
      </c>
      <c r="D159" t="s">
        <v>155</v>
      </c>
      <c r="E159" s="23">
        <v>13531.21</v>
      </c>
      <c r="F159" s="23">
        <v>23763.06</v>
      </c>
      <c r="G159" s="23">
        <v>13531.21</v>
      </c>
      <c r="H159" s="23">
        <v>23763.06</v>
      </c>
    </row>
    <row r="160" spans="1:8" x14ac:dyDescent="0.35">
      <c r="A160">
        <v>2021</v>
      </c>
      <c r="B160" t="s">
        <v>184</v>
      </c>
      <c r="C160" t="s">
        <v>154</v>
      </c>
      <c r="D160" t="s">
        <v>155</v>
      </c>
      <c r="E160" s="23">
        <v>18630978.16</v>
      </c>
      <c r="F160" s="23">
        <v>94354040.5</v>
      </c>
      <c r="G160" s="23">
        <v>8428546.2400000002</v>
      </c>
      <c r="H160" s="23">
        <v>35756709.409999996</v>
      </c>
    </row>
    <row r="161" spans="1:8" x14ac:dyDescent="0.35">
      <c r="A161">
        <v>2021</v>
      </c>
      <c r="B161" t="s">
        <v>186</v>
      </c>
      <c r="C161" t="s">
        <v>154</v>
      </c>
      <c r="D161" t="s">
        <v>158</v>
      </c>
      <c r="E161" s="23">
        <v>589908.43999999994</v>
      </c>
      <c r="F161" s="23">
        <v>718023.73</v>
      </c>
      <c r="G161" s="23">
        <v>51132.639999999999</v>
      </c>
      <c r="H161" s="23">
        <v>23506.59</v>
      </c>
    </row>
    <row r="162" spans="1:8" x14ac:dyDescent="0.35">
      <c r="A162">
        <v>2021</v>
      </c>
      <c r="B162" t="s">
        <v>187</v>
      </c>
      <c r="C162" t="s">
        <v>154</v>
      </c>
      <c r="D162" t="s">
        <v>158</v>
      </c>
      <c r="E162" s="23">
        <v>508657.28</v>
      </c>
      <c r="F162" s="23">
        <v>1115023.29</v>
      </c>
      <c r="G162" s="23">
        <v>4978.2</v>
      </c>
      <c r="H162" s="23">
        <v>0</v>
      </c>
    </row>
    <row r="163" spans="1:8" x14ac:dyDescent="0.35">
      <c r="A163">
        <v>2021</v>
      </c>
      <c r="B163" t="s">
        <v>188</v>
      </c>
      <c r="C163" t="s">
        <v>154</v>
      </c>
      <c r="D163" t="s">
        <v>155</v>
      </c>
      <c r="E163" s="23">
        <v>8604182.4600000009</v>
      </c>
      <c r="F163" s="23">
        <v>13881.36</v>
      </c>
      <c r="G163" s="23">
        <v>0</v>
      </c>
      <c r="H163" s="23">
        <v>0</v>
      </c>
    </row>
    <row r="164" spans="1:8" x14ac:dyDescent="0.35">
      <c r="A164">
        <v>2021</v>
      </c>
      <c r="B164" t="s">
        <v>189</v>
      </c>
      <c r="C164" t="s">
        <v>154</v>
      </c>
      <c r="D164" t="s">
        <v>158</v>
      </c>
      <c r="E164" s="23">
        <v>2938571.28</v>
      </c>
      <c r="F164" s="23">
        <v>2359905</v>
      </c>
      <c r="G164" s="23">
        <v>0</v>
      </c>
      <c r="H164" s="23">
        <v>17954.759999999998</v>
      </c>
    </row>
    <row r="165" spans="1:8" x14ac:dyDescent="0.35">
      <c r="A165">
        <v>2021</v>
      </c>
      <c r="B165" t="s">
        <v>190</v>
      </c>
      <c r="C165" t="s">
        <v>154</v>
      </c>
      <c r="D165" t="s">
        <v>155</v>
      </c>
      <c r="E165" s="23">
        <v>1474348.1</v>
      </c>
      <c r="F165" s="23">
        <v>11160677.57</v>
      </c>
      <c r="G165" s="23">
        <v>96496</v>
      </c>
      <c r="H165" s="23">
        <v>747029.67</v>
      </c>
    </row>
    <row r="166" spans="1:8" x14ac:dyDescent="0.35">
      <c r="A166">
        <v>2021</v>
      </c>
      <c r="B166" t="s">
        <v>191</v>
      </c>
      <c r="C166" t="s">
        <v>154</v>
      </c>
      <c r="D166" t="s">
        <v>160</v>
      </c>
      <c r="E166" s="23">
        <v>28204.66</v>
      </c>
      <c r="F166" s="23">
        <v>47059.839999999997</v>
      </c>
      <c r="G166" s="23">
        <v>0</v>
      </c>
      <c r="H166" s="23">
        <v>0</v>
      </c>
    </row>
    <row r="167" spans="1:8" x14ac:dyDescent="0.35">
      <c r="A167">
        <v>2021</v>
      </c>
      <c r="B167" t="s">
        <v>192</v>
      </c>
      <c r="C167" t="s">
        <v>154</v>
      </c>
      <c r="D167" t="s">
        <v>160</v>
      </c>
      <c r="E167" s="23">
        <v>874413.87</v>
      </c>
      <c r="F167" s="23">
        <v>1083266.8400000001</v>
      </c>
      <c r="G167" s="23">
        <v>637741.30000000005</v>
      </c>
      <c r="H167" s="23">
        <v>103774.82</v>
      </c>
    </row>
    <row r="168" spans="1:8" x14ac:dyDescent="0.35">
      <c r="A168">
        <v>2021</v>
      </c>
      <c r="B168" t="s">
        <v>193</v>
      </c>
      <c r="C168" t="s">
        <v>154</v>
      </c>
      <c r="D168" t="s">
        <v>155</v>
      </c>
      <c r="E168" s="23">
        <v>364227.43</v>
      </c>
      <c r="F168" s="23">
        <v>439673</v>
      </c>
      <c r="G168" s="23">
        <v>0</v>
      </c>
      <c r="H168" s="23">
        <v>0</v>
      </c>
    </row>
    <row r="169" spans="1:8" x14ac:dyDescent="0.35">
      <c r="A169">
        <v>2021</v>
      </c>
      <c r="B169" t="s">
        <v>195</v>
      </c>
      <c r="C169" t="s">
        <v>154</v>
      </c>
      <c r="D169" t="s">
        <v>160</v>
      </c>
      <c r="E169" s="23">
        <v>430925.43</v>
      </c>
      <c r="F169" s="23">
        <v>65876.91</v>
      </c>
      <c r="G169" s="23">
        <v>145273.68</v>
      </c>
      <c r="H169" s="23">
        <v>21820.1</v>
      </c>
    </row>
    <row r="170" spans="1:8" x14ac:dyDescent="0.35">
      <c r="A170">
        <v>2021</v>
      </c>
      <c r="B170" t="s">
        <v>196</v>
      </c>
      <c r="C170" t="s">
        <v>154</v>
      </c>
      <c r="D170" t="s">
        <v>155</v>
      </c>
      <c r="E170" s="23">
        <v>1047460.81</v>
      </c>
      <c r="F170" s="23">
        <v>810020.74</v>
      </c>
      <c r="G170" s="23">
        <v>786062.86</v>
      </c>
      <c r="H170" s="23">
        <v>369919.45</v>
      </c>
    </row>
    <row r="171" spans="1:8" x14ac:dyDescent="0.35">
      <c r="A171">
        <v>2021</v>
      </c>
      <c r="B171" t="s">
        <v>197</v>
      </c>
      <c r="C171" t="s">
        <v>154</v>
      </c>
      <c r="D171" t="s">
        <v>160</v>
      </c>
      <c r="E171" s="23">
        <v>34764.19</v>
      </c>
      <c r="F171" s="23">
        <v>152082.79</v>
      </c>
      <c r="G171" s="23">
        <v>13000</v>
      </c>
      <c r="H171" s="23">
        <v>0</v>
      </c>
    </row>
    <row r="172" spans="1:8" x14ac:dyDescent="0.35">
      <c r="A172">
        <v>2021</v>
      </c>
      <c r="B172" t="s">
        <v>198</v>
      </c>
      <c r="C172" t="s">
        <v>154</v>
      </c>
      <c r="D172" t="s">
        <v>160</v>
      </c>
      <c r="E172" s="23">
        <v>2500.29</v>
      </c>
      <c r="F172" s="23">
        <v>0</v>
      </c>
      <c r="G172" s="23">
        <v>0</v>
      </c>
      <c r="H172" s="23">
        <v>0</v>
      </c>
    </row>
    <row r="173" spans="1:8" x14ac:dyDescent="0.35">
      <c r="A173">
        <v>2021</v>
      </c>
      <c r="B173" t="s">
        <v>199</v>
      </c>
      <c r="C173" t="s">
        <v>154</v>
      </c>
      <c r="D173" t="s">
        <v>160</v>
      </c>
      <c r="E173" s="23">
        <v>216488.55</v>
      </c>
      <c r="F173" s="23">
        <v>126634.97</v>
      </c>
      <c r="G173" s="23">
        <v>11982</v>
      </c>
      <c r="H173" s="23">
        <v>156.84</v>
      </c>
    </row>
    <row r="174" spans="1:8" x14ac:dyDescent="0.35">
      <c r="A174">
        <v>2021</v>
      </c>
      <c r="B174" t="s">
        <v>200</v>
      </c>
      <c r="C174" t="s">
        <v>154</v>
      </c>
      <c r="D174" t="s">
        <v>158</v>
      </c>
      <c r="E174" s="23">
        <v>273732.8</v>
      </c>
      <c r="F174" s="23">
        <v>38762.959999999999</v>
      </c>
      <c r="G174" s="23">
        <v>0</v>
      </c>
      <c r="H174" s="23">
        <v>0</v>
      </c>
    </row>
    <row r="175" spans="1:8" x14ac:dyDescent="0.35">
      <c r="A175">
        <v>2021</v>
      </c>
      <c r="B175" t="s">
        <v>201</v>
      </c>
      <c r="C175" t="s">
        <v>154</v>
      </c>
      <c r="D175" t="s">
        <v>160</v>
      </c>
      <c r="E175" s="23">
        <v>0</v>
      </c>
      <c r="F175" s="23">
        <v>0</v>
      </c>
      <c r="G175" s="23">
        <v>291911.89</v>
      </c>
      <c r="H175" s="23">
        <v>321372.21000000002</v>
      </c>
    </row>
    <row r="176" spans="1:8" x14ac:dyDescent="0.35">
      <c r="A176">
        <v>2021</v>
      </c>
      <c r="B176" t="s">
        <v>202</v>
      </c>
      <c r="C176" t="s">
        <v>154</v>
      </c>
      <c r="D176" t="s">
        <v>155</v>
      </c>
      <c r="E176" s="23">
        <v>1742941.48</v>
      </c>
      <c r="F176" s="23">
        <v>3215668.39</v>
      </c>
      <c r="G176" s="23">
        <v>189031.33</v>
      </c>
      <c r="H176" s="23">
        <v>137936.65</v>
      </c>
    </row>
    <row r="177" spans="1:8" x14ac:dyDescent="0.35">
      <c r="A177">
        <v>2021</v>
      </c>
      <c r="B177" t="s">
        <v>203</v>
      </c>
      <c r="C177" t="s">
        <v>154</v>
      </c>
      <c r="D177" t="s">
        <v>160</v>
      </c>
      <c r="E177" s="23">
        <v>1150967.82</v>
      </c>
      <c r="F177" s="23">
        <v>717290.06</v>
      </c>
      <c r="G177" s="23">
        <v>749571.96</v>
      </c>
      <c r="H177" s="23">
        <v>296464.57</v>
      </c>
    </row>
    <row r="178" spans="1:8" x14ac:dyDescent="0.35">
      <c r="A178">
        <v>2021</v>
      </c>
      <c r="B178" t="s">
        <v>204</v>
      </c>
      <c r="C178" t="s">
        <v>154</v>
      </c>
      <c r="D178" t="s">
        <v>158</v>
      </c>
      <c r="E178" s="23">
        <v>1780437.44</v>
      </c>
      <c r="F178" s="23">
        <v>2120501.0299999998</v>
      </c>
      <c r="G178" s="23">
        <v>530308.06000000006</v>
      </c>
      <c r="H178" s="23">
        <v>1213574.0900000001</v>
      </c>
    </row>
    <row r="179" spans="1:8" x14ac:dyDescent="0.35">
      <c r="A179">
        <v>2021</v>
      </c>
      <c r="B179" t="s">
        <v>205</v>
      </c>
      <c r="C179" t="s">
        <v>154</v>
      </c>
      <c r="D179" t="s">
        <v>160</v>
      </c>
      <c r="E179" s="23">
        <v>290324.06</v>
      </c>
      <c r="F179" s="23">
        <v>320410.03000000003</v>
      </c>
      <c r="G179" s="23">
        <v>39557.379999999997</v>
      </c>
      <c r="H179" s="23">
        <v>18294.740000000002</v>
      </c>
    </row>
    <row r="180" spans="1:8" x14ac:dyDescent="0.35">
      <c r="A180">
        <v>2021</v>
      </c>
      <c r="B180" t="s">
        <v>206</v>
      </c>
      <c r="C180" t="s">
        <v>154</v>
      </c>
      <c r="D180" t="s">
        <v>158</v>
      </c>
      <c r="E180" s="23">
        <v>185638.97</v>
      </c>
      <c r="F180" s="23">
        <v>115899.2</v>
      </c>
      <c r="G180" s="23">
        <v>0</v>
      </c>
      <c r="H180" s="23">
        <v>0</v>
      </c>
    </row>
    <row r="181" spans="1:8" x14ac:dyDescent="0.35">
      <c r="A181">
        <v>2021</v>
      </c>
      <c r="B181" t="s">
        <v>209</v>
      </c>
      <c r="C181" t="s">
        <v>154</v>
      </c>
      <c r="D181" t="s">
        <v>158</v>
      </c>
      <c r="E181" s="23">
        <v>4583880.2699999996</v>
      </c>
      <c r="F181" s="23">
        <v>2093833.5</v>
      </c>
      <c r="G181" s="23">
        <v>1007763.86</v>
      </c>
      <c r="H181" s="23">
        <v>853155.29</v>
      </c>
    </row>
    <row r="182" spans="1:8" x14ac:dyDescent="0.35">
      <c r="A182">
        <v>2021</v>
      </c>
      <c r="B182" t="s">
        <v>210</v>
      </c>
      <c r="C182" t="s">
        <v>154</v>
      </c>
      <c r="D182" t="s">
        <v>158</v>
      </c>
      <c r="E182" s="23">
        <v>1114013.04</v>
      </c>
      <c r="F182" s="23">
        <v>639286.47</v>
      </c>
      <c r="G182" s="23">
        <v>20689.39</v>
      </c>
      <c r="H182" s="23">
        <v>40699.5</v>
      </c>
    </row>
    <row r="183" spans="1:8" x14ac:dyDescent="0.35">
      <c r="A183">
        <v>2021</v>
      </c>
      <c r="B183" t="s">
        <v>211</v>
      </c>
      <c r="C183" t="s">
        <v>154</v>
      </c>
      <c r="D183" t="s">
        <v>160</v>
      </c>
      <c r="E183" s="23">
        <v>0</v>
      </c>
      <c r="F183" s="23">
        <v>0</v>
      </c>
      <c r="G183" s="23">
        <v>58284</v>
      </c>
      <c r="H183" s="23">
        <v>0</v>
      </c>
    </row>
    <row r="184" spans="1:8" x14ac:dyDescent="0.35">
      <c r="A184">
        <v>2021</v>
      </c>
      <c r="B184" t="s">
        <v>212</v>
      </c>
      <c r="C184" t="s">
        <v>154</v>
      </c>
      <c r="D184" t="s">
        <v>160</v>
      </c>
      <c r="E184" s="23">
        <v>358383.18</v>
      </c>
      <c r="F184" s="23">
        <v>903299.8</v>
      </c>
      <c r="G184" s="23">
        <v>74357.899999999994</v>
      </c>
      <c r="H184" s="23">
        <v>0</v>
      </c>
    </row>
    <row r="185" spans="1:8" x14ac:dyDescent="0.35">
      <c r="A185">
        <v>2021</v>
      </c>
      <c r="B185" t="s">
        <v>213</v>
      </c>
      <c r="C185" t="s">
        <v>154</v>
      </c>
      <c r="D185" t="s">
        <v>155</v>
      </c>
      <c r="E185" s="23">
        <v>1560047.82</v>
      </c>
      <c r="F185" s="23">
        <v>5127136.7699999996</v>
      </c>
      <c r="G185" s="23">
        <v>67475.13</v>
      </c>
      <c r="H185" s="23">
        <v>1246675.3899999999</v>
      </c>
    </row>
    <row r="186" spans="1:8" x14ac:dyDescent="0.35">
      <c r="A186">
        <v>2021</v>
      </c>
      <c r="B186" t="s">
        <v>214</v>
      </c>
      <c r="C186" t="s">
        <v>154</v>
      </c>
      <c r="D186" t="s">
        <v>158</v>
      </c>
      <c r="E186" s="23">
        <v>2698832.64</v>
      </c>
      <c r="F186" s="23">
        <v>2495911.04</v>
      </c>
      <c r="G186" s="23">
        <v>40897.42</v>
      </c>
      <c r="H186" s="23">
        <v>0</v>
      </c>
    </row>
    <row r="187" spans="1:8" x14ac:dyDescent="0.35">
      <c r="A187">
        <v>2021</v>
      </c>
      <c r="B187" t="s">
        <v>215</v>
      </c>
      <c r="C187" t="s">
        <v>154</v>
      </c>
      <c r="D187" t="s">
        <v>160</v>
      </c>
      <c r="E187" s="23">
        <v>0</v>
      </c>
      <c r="F187" s="23">
        <v>0</v>
      </c>
      <c r="G187" s="23">
        <v>21915.67</v>
      </c>
      <c r="H187" s="23">
        <v>106996.08</v>
      </c>
    </row>
    <row r="188" spans="1:8" x14ac:dyDescent="0.35">
      <c r="A188">
        <v>2021</v>
      </c>
      <c r="B188" t="s">
        <v>216</v>
      </c>
      <c r="C188" t="s">
        <v>154</v>
      </c>
      <c r="D188" t="s">
        <v>155</v>
      </c>
      <c r="E188" s="23">
        <v>467681.82</v>
      </c>
      <c r="F188" s="23">
        <v>85046.66</v>
      </c>
      <c r="G188" s="23">
        <v>66519.839999999997</v>
      </c>
      <c r="H188" s="23">
        <v>0</v>
      </c>
    </row>
    <row r="189" spans="1:8" x14ac:dyDescent="0.35">
      <c r="A189">
        <v>2021</v>
      </c>
      <c r="B189" t="s">
        <v>217</v>
      </c>
      <c r="C189" t="s">
        <v>154</v>
      </c>
      <c r="D189" t="s">
        <v>160</v>
      </c>
      <c r="E189" s="23">
        <v>243719.31</v>
      </c>
      <c r="F189" s="23">
        <v>210181.97</v>
      </c>
      <c r="G189" s="23">
        <v>0</v>
      </c>
      <c r="H189" s="23">
        <v>9375.83</v>
      </c>
    </row>
    <row r="190" spans="1:8" x14ac:dyDescent="0.35">
      <c r="A190">
        <v>2021</v>
      </c>
      <c r="B190" t="s">
        <v>218</v>
      </c>
      <c r="C190" t="s">
        <v>154</v>
      </c>
      <c r="D190" t="s">
        <v>158</v>
      </c>
      <c r="E190" s="23">
        <v>1546113.14</v>
      </c>
      <c r="F190" s="23">
        <v>1342527.01</v>
      </c>
      <c r="G190" s="23">
        <v>81785.41</v>
      </c>
      <c r="H190" s="23">
        <v>937111.81</v>
      </c>
    </row>
    <row r="191" spans="1:8" x14ac:dyDescent="0.35">
      <c r="A191">
        <v>2021</v>
      </c>
      <c r="B191" t="s">
        <v>219</v>
      </c>
      <c r="C191" t="s">
        <v>154</v>
      </c>
      <c r="D191" t="s">
        <v>160</v>
      </c>
      <c r="E191" s="23">
        <v>1452184.84</v>
      </c>
      <c r="F191" s="23">
        <v>2835737.8</v>
      </c>
      <c r="G191" s="23">
        <v>6400</v>
      </c>
      <c r="H191" s="23">
        <v>8333.34</v>
      </c>
    </row>
    <row r="192" spans="1:8" x14ac:dyDescent="0.35">
      <c r="A192">
        <v>2021</v>
      </c>
      <c r="B192" t="s">
        <v>220</v>
      </c>
      <c r="C192" t="s">
        <v>154</v>
      </c>
      <c r="D192" t="s">
        <v>158</v>
      </c>
      <c r="E192" s="23">
        <v>880110.96</v>
      </c>
      <c r="F192" s="23">
        <v>609518</v>
      </c>
      <c r="G192" s="23">
        <v>25045.279999999999</v>
      </c>
      <c r="H192" s="23">
        <v>0</v>
      </c>
    </row>
    <row r="193" spans="1:8" x14ac:dyDescent="0.35">
      <c r="A193">
        <v>2021</v>
      </c>
      <c r="B193" t="s">
        <v>221</v>
      </c>
      <c r="C193" t="s">
        <v>154</v>
      </c>
      <c r="D193" t="s">
        <v>165</v>
      </c>
      <c r="E193" s="23">
        <v>2860.02</v>
      </c>
      <c r="F193" s="23">
        <v>0</v>
      </c>
      <c r="G193" s="23">
        <v>1580.77</v>
      </c>
      <c r="H193" s="23">
        <v>0</v>
      </c>
    </row>
    <row r="194" spans="1:8" x14ac:dyDescent="0.35">
      <c r="A194">
        <v>2021</v>
      </c>
      <c r="B194" t="s">
        <v>224</v>
      </c>
      <c r="C194" t="s">
        <v>154</v>
      </c>
      <c r="D194" t="s">
        <v>158</v>
      </c>
      <c r="E194" s="23">
        <v>62913.08</v>
      </c>
      <c r="F194" s="23">
        <v>38186.839999999997</v>
      </c>
      <c r="G194" s="23">
        <v>40606.5</v>
      </c>
      <c r="H194" s="23">
        <v>38186.839999999997</v>
      </c>
    </row>
    <row r="195" spans="1:8" x14ac:dyDescent="0.35">
      <c r="A195">
        <v>2021</v>
      </c>
      <c r="B195" t="s">
        <v>225</v>
      </c>
      <c r="C195" t="s">
        <v>154</v>
      </c>
      <c r="D195" t="s">
        <v>160</v>
      </c>
      <c r="E195" s="23">
        <v>0</v>
      </c>
      <c r="F195" s="23">
        <v>0</v>
      </c>
      <c r="G195" s="23">
        <v>174928.75</v>
      </c>
      <c r="H195" s="23">
        <v>2427.0500000000002</v>
      </c>
    </row>
    <row r="196" spans="1:8" x14ac:dyDescent="0.35">
      <c r="A196">
        <v>2021</v>
      </c>
      <c r="B196" t="s">
        <v>226</v>
      </c>
      <c r="C196" t="s">
        <v>154</v>
      </c>
      <c r="D196" t="s">
        <v>155</v>
      </c>
      <c r="E196" s="23">
        <v>0</v>
      </c>
      <c r="F196" s="23">
        <v>0</v>
      </c>
      <c r="G196" s="23">
        <v>204.92</v>
      </c>
      <c r="H196" s="23">
        <v>1393.03</v>
      </c>
    </row>
    <row r="197" spans="1:8" x14ac:dyDescent="0.35">
      <c r="A197">
        <v>2021</v>
      </c>
      <c r="B197" t="s">
        <v>227</v>
      </c>
      <c r="C197" t="s">
        <v>154</v>
      </c>
      <c r="D197" t="s">
        <v>158</v>
      </c>
      <c r="E197" s="23">
        <v>0</v>
      </c>
      <c r="F197" s="23">
        <v>0</v>
      </c>
      <c r="G197" s="23">
        <v>0</v>
      </c>
      <c r="H197" s="23">
        <v>0</v>
      </c>
    </row>
    <row r="198" spans="1:8" x14ac:dyDescent="0.35">
      <c r="A198">
        <v>2021</v>
      </c>
      <c r="B198" t="s">
        <v>228</v>
      </c>
      <c r="C198" t="s">
        <v>154</v>
      </c>
      <c r="D198" t="s">
        <v>160</v>
      </c>
      <c r="E198" s="23">
        <v>23815.22</v>
      </c>
      <c r="F198" s="23">
        <v>14250</v>
      </c>
      <c r="G198" s="23">
        <v>19116</v>
      </c>
      <c r="H198" s="23">
        <v>14250</v>
      </c>
    </row>
    <row r="199" spans="1:8" x14ac:dyDescent="0.35">
      <c r="A199">
        <v>2021</v>
      </c>
      <c r="B199" t="s">
        <v>229</v>
      </c>
      <c r="C199" t="s">
        <v>154</v>
      </c>
      <c r="D199" t="s">
        <v>158</v>
      </c>
      <c r="E199" s="23">
        <v>795529.51</v>
      </c>
      <c r="F199" s="23">
        <v>100767.66</v>
      </c>
      <c r="G199" s="23">
        <v>198056.4</v>
      </c>
      <c r="H199" s="23">
        <v>83982.52</v>
      </c>
    </row>
    <row r="200" spans="1:8" x14ac:dyDescent="0.35">
      <c r="A200">
        <v>2021</v>
      </c>
      <c r="B200" t="s">
        <v>230</v>
      </c>
      <c r="C200" t="s">
        <v>154</v>
      </c>
      <c r="D200" t="s">
        <v>155</v>
      </c>
      <c r="E200" s="23">
        <v>264667.46999999997</v>
      </c>
      <c r="F200" s="23">
        <v>18189.189999999999</v>
      </c>
      <c r="G200" s="23">
        <v>10512.89</v>
      </c>
      <c r="H200" s="23">
        <v>3445.23</v>
      </c>
    </row>
    <row r="201" spans="1:8" x14ac:dyDescent="0.35">
      <c r="A201">
        <v>2021</v>
      </c>
      <c r="B201" t="s">
        <v>231</v>
      </c>
      <c r="C201" t="s">
        <v>154</v>
      </c>
      <c r="D201" t="s">
        <v>160</v>
      </c>
      <c r="E201" s="23">
        <v>504379.44</v>
      </c>
      <c r="F201" s="23">
        <v>434965.7</v>
      </c>
      <c r="G201" s="23">
        <v>29140.16</v>
      </c>
      <c r="H201" s="23">
        <v>1105.8499999999999</v>
      </c>
    </row>
    <row r="202" spans="1:8" x14ac:dyDescent="0.35">
      <c r="A202">
        <v>2021</v>
      </c>
      <c r="B202" t="s">
        <v>232</v>
      </c>
      <c r="C202" t="s">
        <v>154</v>
      </c>
      <c r="D202" t="s">
        <v>165</v>
      </c>
      <c r="E202" s="23">
        <v>367516.12</v>
      </c>
      <c r="F202" s="23">
        <v>1149625.31</v>
      </c>
      <c r="G202" s="23">
        <v>321140.28000000003</v>
      </c>
      <c r="H202" s="23">
        <v>1147480.6100000001</v>
      </c>
    </row>
    <row r="203" spans="1:8" x14ac:dyDescent="0.35">
      <c r="A203">
        <v>2021</v>
      </c>
      <c r="B203" t="s">
        <v>233</v>
      </c>
      <c r="C203" t="s">
        <v>154</v>
      </c>
      <c r="D203" t="s">
        <v>155</v>
      </c>
      <c r="E203" s="23">
        <v>2037524.17</v>
      </c>
      <c r="F203" s="23">
        <v>1161564.3999999999</v>
      </c>
      <c r="G203" s="23">
        <v>551446.69999999995</v>
      </c>
      <c r="H203" s="23">
        <v>975326.35</v>
      </c>
    </row>
    <row r="204" spans="1:8" x14ac:dyDescent="0.35">
      <c r="A204">
        <v>2021</v>
      </c>
      <c r="B204" t="s">
        <v>234</v>
      </c>
      <c r="C204" t="s">
        <v>154</v>
      </c>
      <c r="D204" t="s">
        <v>160</v>
      </c>
      <c r="E204" s="23">
        <v>1116412.8913</v>
      </c>
      <c r="F204" s="23">
        <v>5368775.2987000002</v>
      </c>
      <c r="G204" s="23">
        <v>43446.86</v>
      </c>
      <c r="H204" s="23">
        <v>995295.47</v>
      </c>
    </row>
    <row r="205" spans="1:8" x14ac:dyDescent="0.35">
      <c r="A205">
        <v>2021</v>
      </c>
      <c r="B205" t="s">
        <v>235</v>
      </c>
      <c r="C205" t="s">
        <v>154</v>
      </c>
      <c r="D205" t="s">
        <v>160</v>
      </c>
      <c r="E205" s="23">
        <v>200352.51</v>
      </c>
      <c r="F205" s="23">
        <v>5578.22</v>
      </c>
      <c r="G205" s="23">
        <v>7115.57</v>
      </c>
      <c r="H205" s="23">
        <v>5578.22</v>
      </c>
    </row>
    <row r="206" spans="1:8" x14ac:dyDescent="0.35">
      <c r="A206">
        <v>2021</v>
      </c>
      <c r="B206" t="s">
        <v>236</v>
      </c>
      <c r="C206" t="s">
        <v>154</v>
      </c>
      <c r="D206" t="s">
        <v>160</v>
      </c>
      <c r="E206" s="23">
        <v>145586.68</v>
      </c>
      <c r="F206" s="23">
        <v>789286.93</v>
      </c>
      <c r="G206" s="23">
        <v>14776.19</v>
      </c>
      <c r="H206" s="23">
        <v>52710.77</v>
      </c>
    </row>
    <row r="207" spans="1:8" x14ac:dyDescent="0.35">
      <c r="A207">
        <v>2021</v>
      </c>
      <c r="B207" t="s">
        <v>237</v>
      </c>
      <c r="C207" t="s">
        <v>163</v>
      </c>
      <c r="D207" t="s">
        <v>158</v>
      </c>
      <c r="E207" s="23">
        <v>654082.34</v>
      </c>
      <c r="F207" s="23">
        <v>1062806.29</v>
      </c>
      <c r="G207" s="23">
        <v>15294.75</v>
      </c>
      <c r="H207" s="23">
        <v>81563.570000000007</v>
      </c>
    </row>
    <row r="208" spans="1:8" x14ac:dyDescent="0.35">
      <c r="A208">
        <v>2021</v>
      </c>
      <c r="B208" t="s">
        <v>238</v>
      </c>
      <c r="C208" t="s">
        <v>154</v>
      </c>
      <c r="D208" t="s">
        <v>155</v>
      </c>
      <c r="E208" s="23">
        <v>0</v>
      </c>
      <c r="F208" s="23">
        <v>0</v>
      </c>
      <c r="G208" s="23">
        <v>192270.32</v>
      </c>
      <c r="H208" s="23">
        <v>10248172.119999999</v>
      </c>
    </row>
    <row r="209" spans="1:8" x14ac:dyDescent="0.35">
      <c r="A209">
        <v>2021</v>
      </c>
      <c r="B209" t="s">
        <v>239</v>
      </c>
      <c r="C209" t="s">
        <v>154</v>
      </c>
      <c r="D209" t="s">
        <v>158</v>
      </c>
      <c r="E209" s="23">
        <v>312178.28999999998</v>
      </c>
      <c r="F209" s="23">
        <v>531275.91</v>
      </c>
      <c r="G209" s="23">
        <v>76621.240000000005</v>
      </c>
      <c r="H209" s="23">
        <v>481085.47</v>
      </c>
    </row>
    <row r="210" spans="1:8" x14ac:dyDescent="0.35">
      <c r="A210">
        <v>2021</v>
      </c>
      <c r="B210" t="s">
        <v>240</v>
      </c>
      <c r="C210" t="s">
        <v>154</v>
      </c>
      <c r="D210" t="s">
        <v>155</v>
      </c>
      <c r="E210" s="23">
        <v>273523.32</v>
      </c>
      <c r="F210" s="23">
        <v>885835.91</v>
      </c>
      <c r="G210" s="23">
        <v>5520</v>
      </c>
      <c r="H210" s="23">
        <v>0</v>
      </c>
    </row>
    <row r="211" spans="1:8" x14ac:dyDescent="0.35">
      <c r="A211">
        <v>2021</v>
      </c>
      <c r="B211" t="s">
        <v>241</v>
      </c>
      <c r="C211" t="s">
        <v>154</v>
      </c>
      <c r="D211" t="s">
        <v>155</v>
      </c>
      <c r="E211" s="23">
        <v>766510.39</v>
      </c>
      <c r="F211" s="23">
        <v>779565.86</v>
      </c>
      <c r="G211" s="23">
        <v>213523.63</v>
      </c>
      <c r="H211" s="23">
        <v>47321.74</v>
      </c>
    </row>
    <row r="212" spans="1:8" x14ac:dyDescent="0.35">
      <c r="A212">
        <v>2021</v>
      </c>
      <c r="B212" t="s">
        <v>242</v>
      </c>
      <c r="C212" t="s">
        <v>154</v>
      </c>
      <c r="D212" t="s">
        <v>160</v>
      </c>
      <c r="E212" s="23">
        <v>955326.01</v>
      </c>
      <c r="F212" s="23">
        <v>2303036.04</v>
      </c>
      <c r="G212" s="23">
        <v>355092.38</v>
      </c>
      <c r="H212" s="23">
        <v>1614597.61</v>
      </c>
    </row>
    <row r="213" spans="1:8" x14ac:dyDescent="0.35">
      <c r="A213">
        <v>2021</v>
      </c>
      <c r="B213" t="s">
        <v>243</v>
      </c>
      <c r="C213" t="s">
        <v>154</v>
      </c>
      <c r="D213" t="s">
        <v>165</v>
      </c>
      <c r="E213" s="23">
        <v>218521.61</v>
      </c>
      <c r="F213" s="23">
        <v>114791.82</v>
      </c>
      <c r="G213" s="23">
        <v>59717.5</v>
      </c>
      <c r="H213" s="23">
        <v>0</v>
      </c>
    </row>
    <row r="214" spans="1:8" x14ac:dyDescent="0.35">
      <c r="A214">
        <v>2021</v>
      </c>
      <c r="B214" t="s">
        <v>245</v>
      </c>
      <c r="C214" t="s">
        <v>154</v>
      </c>
      <c r="D214" t="s">
        <v>155</v>
      </c>
      <c r="E214" s="23">
        <v>9022837.8699999992</v>
      </c>
      <c r="F214" s="23">
        <v>30420828.390000001</v>
      </c>
      <c r="G214" s="23">
        <v>135683.62</v>
      </c>
      <c r="H214" s="23">
        <v>1403872.9</v>
      </c>
    </row>
    <row r="215" spans="1:8" x14ac:dyDescent="0.35">
      <c r="A215">
        <v>2021</v>
      </c>
      <c r="B215" t="s">
        <v>246</v>
      </c>
      <c r="C215" t="s">
        <v>154</v>
      </c>
      <c r="D215" t="s">
        <v>155</v>
      </c>
      <c r="E215" s="23">
        <v>508206.52</v>
      </c>
      <c r="F215" s="23">
        <v>429512.09</v>
      </c>
      <c r="G215" s="23">
        <v>97687.59</v>
      </c>
      <c r="H215" s="23">
        <v>312467.01</v>
      </c>
    </row>
    <row r="216" spans="1:8" x14ac:dyDescent="0.35">
      <c r="A216">
        <v>2021</v>
      </c>
      <c r="B216" t="s">
        <v>247</v>
      </c>
      <c r="C216" t="s">
        <v>154</v>
      </c>
      <c r="D216" t="s">
        <v>160</v>
      </c>
      <c r="E216" s="23">
        <v>197971.33</v>
      </c>
      <c r="F216" s="23">
        <v>533855.21</v>
      </c>
      <c r="G216" s="23">
        <v>197971.33</v>
      </c>
      <c r="H216" s="23">
        <v>490561.71</v>
      </c>
    </row>
    <row r="217" spans="1:8" x14ac:dyDescent="0.35">
      <c r="A217">
        <v>2021</v>
      </c>
      <c r="B217" t="s">
        <v>248</v>
      </c>
      <c r="C217" t="s">
        <v>154</v>
      </c>
      <c r="D217" t="s">
        <v>160</v>
      </c>
      <c r="E217" s="23">
        <v>1842288.36</v>
      </c>
      <c r="F217" s="23">
        <v>1986882.44</v>
      </c>
      <c r="G217" s="23">
        <v>75803.87</v>
      </c>
      <c r="H217" s="23">
        <v>418813.48</v>
      </c>
    </row>
    <row r="218" spans="1:8" x14ac:dyDescent="0.35">
      <c r="A218">
        <v>2021</v>
      </c>
      <c r="B218" t="s">
        <v>249</v>
      </c>
      <c r="C218" t="s">
        <v>154</v>
      </c>
      <c r="D218" t="s">
        <v>160</v>
      </c>
      <c r="E218" s="23">
        <v>3071637.86</v>
      </c>
      <c r="F218" s="23">
        <v>3655380.88</v>
      </c>
      <c r="G218" s="23">
        <v>671768.06</v>
      </c>
      <c r="H218" s="23">
        <v>2011104.6</v>
      </c>
    </row>
    <row r="219" spans="1:8" x14ac:dyDescent="0.35">
      <c r="A219">
        <v>2021</v>
      </c>
      <c r="B219" t="s">
        <v>250</v>
      </c>
      <c r="C219" t="s">
        <v>154</v>
      </c>
      <c r="D219" t="s">
        <v>158</v>
      </c>
      <c r="E219" s="23">
        <v>800546.05</v>
      </c>
      <c r="F219" s="23">
        <v>773319.7</v>
      </c>
      <c r="G219" s="23">
        <v>359053.14</v>
      </c>
      <c r="H219" s="23">
        <v>308001.37</v>
      </c>
    </row>
    <row r="220" spans="1:8" x14ac:dyDescent="0.35">
      <c r="A220">
        <v>2021</v>
      </c>
      <c r="B220" t="s">
        <v>251</v>
      </c>
      <c r="C220" t="s">
        <v>163</v>
      </c>
      <c r="D220" t="s">
        <v>158</v>
      </c>
      <c r="E220" s="23">
        <v>1648661.16</v>
      </c>
      <c r="F220" s="23">
        <v>4138012.53</v>
      </c>
      <c r="G220" s="23">
        <v>325298.58</v>
      </c>
      <c r="H220" s="23">
        <v>643604.5</v>
      </c>
    </row>
    <row r="221" spans="1:8" x14ac:dyDescent="0.35">
      <c r="A221">
        <v>2021</v>
      </c>
      <c r="B221" t="s">
        <v>252</v>
      </c>
      <c r="C221" t="s">
        <v>154</v>
      </c>
      <c r="D221" t="s">
        <v>160</v>
      </c>
      <c r="E221" s="23">
        <v>0</v>
      </c>
      <c r="F221" s="23">
        <v>0</v>
      </c>
      <c r="G221" s="23">
        <v>0</v>
      </c>
      <c r="H221" s="23">
        <v>0</v>
      </c>
    </row>
    <row r="222" spans="1:8" x14ac:dyDescent="0.35">
      <c r="A222">
        <v>2021</v>
      </c>
      <c r="B222" t="s">
        <v>253</v>
      </c>
      <c r="C222" t="s">
        <v>154</v>
      </c>
      <c r="D222" t="s">
        <v>160</v>
      </c>
      <c r="E222" s="23">
        <v>0</v>
      </c>
      <c r="F222" s="23">
        <v>0</v>
      </c>
      <c r="G222" s="23">
        <v>133265.60999999999</v>
      </c>
      <c r="H222" s="23">
        <v>133419.60999999999</v>
      </c>
    </row>
    <row r="223" spans="1:8" x14ac:dyDescent="0.35">
      <c r="A223">
        <v>2021</v>
      </c>
      <c r="B223" t="s">
        <v>254</v>
      </c>
      <c r="C223" t="s">
        <v>154</v>
      </c>
      <c r="D223" t="s">
        <v>155</v>
      </c>
      <c r="E223" s="23">
        <v>2435783.15</v>
      </c>
      <c r="F223" s="23">
        <v>2129959.7000000002</v>
      </c>
      <c r="G223" s="23">
        <v>487462.69</v>
      </c>
      <c r="H223" s="23">
        <v>1004432.13</v>
      </c>
    </row>
    <row r="224" spans="1:8" x14ac:dyDescent="0.35">
      <c r="A224">
        <v>2021</v>
      </c>
      <c r="B224" t="s">
        <v>255</v>
      </c>
      <c r="C224" t="s">
        <v>154</v>
      </c>
      <c r="D224" t="s">
        <v>160</v>
      </c>
      <c r="E224" s="23">
        <v>158972.88</v>
      </c>
      <c r="F224" s="23">
        <v>28044.9</v>
      </c>
      <c r="G224" s="23">
        <v>45925.67</v>
      </c>
      <c r="H224" s="23">
        <v>12179.5</v>
      </c>
    </row>
    <row r="225" spans="1:8" x14ac:dyDescent="0.35">
      <c r="A225">
        <v>2021</v>
      </c>
      <c r="B225" t="s">
        <v>256</v>
      </c>
      <c r="C225" t="s">
        <v>154</v>
      </c>
      <c r="D225" t="s">
        <v>158</v>
      </c>
      <c r="E225" s="23">
        <v>669508.22</v>
      </c>
      <c r="F225" s="23">
        <v>1325840.08</v>
      </c>
      <c r="G225" s="23">
        <v>74830.570000000007</v>
      </c>
      <c r="H225" s="23">
        <v>10394.43</v>
      </c>
    </row>
    <row r="226" spans="1:8" x14ac:dyDescent="0.35">
      <c r="A226">
        <v>2021</v>
      </c>
      <c r="B226" t="s">
        <v>257</v>
      </c>
      <c r="C226" t="s">
        <v>154</v>
      </c>
      <c r="D226" t="s">
        <v>160</v>
      </c>
      <c r="E226" s="23">
        <v>2688525.62</v>
      </c>
      <c r="F226" s="23">
        <v>3284145.5</v>
      </c>
      <c r="G226" s="23">
        <v>0</v>
      </c>
      <c r="H226" s="23">
        <v>0</v>
      </c>
    </row>
    <row r="227" spans="1:8" x14ac:dyDescent="0.35">
      <c r="A227">
        <v>2021</v>
      </c>
      <c r="B227" t="s">
        <v>258</v>
      </c>
      <c r="C227" t="s">
        <v>154</v>
      </c>
      <c r="D227" t="s">
        <v>160</v>
      </c>
      <c r="E227" s="23">
        <v>5466676.4699999997</v>
      </c>
      <c r="F227" s="23">
        <v>3855333.16</v>
      </c>
      <c r="G227" s="23">
        <v>5167693.8499999996</v>
      </c>
      <c r="H227" s="23">
        <v>3762030.53</v>
      </c>
    </row>
    <row r="228" spans="1:8" x14ac:dyDescent="0.35">
      <c r="A228">
        <v>2021</v>
      </c>
      <c r="B228" t="s">
        <v>259</v>
      </c>
      <c r="C228" t="s">
        <v>154</v>
      </c>
      <c r="D228" t="s">
        <v>165</v>
      </c>
      <c r="E228" s="23">
        <v>2011264.77</v>
      </c>
      <c r="F228" s="23">
        <v>817540.51</v>
      </c>
      <c r="G228" s="23">
        <v>535353.98</v>
      </c>
      <c r="H228" s="23">
        <v>18414.169999999998</v>
      </c>
    </row>
    <row r="229" spans="1:8" x14ac:dyDescent="0.35">
      <c r="A229">
        <v>2021</v>
      </c>
      <c r="B229" t="s">
        <v>260</v>
      </c>
      <c r="C229" t="s">
        <v>154</v>
      </c>
      <c r="D229" t="s">
        <v>158</v>
      </c>
      <c r="E229" s="23">
        <v>316236.05</v>
      </c>
      <c r="F229" s="23">
        <v>66526.2</v>
      </c>
      <c r="G229" s="23">
        <v>308911.05</v>
      </c>
      <c r="H229" s="23">
        <v>14905</v>
      </c>
    </row>
    <row r="230" spans="1:8" x14ac:dyDescent="0.35">
      <c r="A230">
        <v>2021</v>
      </c>
      <c r="B230" t="s">
        <v>261</v>
      </c>
      <c r="C230" t="s">
        <v>154</v>
      </c>
      <c r="D230" t="s">
        <v>158</v>
      </c>
      <c r="E230" s="23">
        <v>54266.47</v>
      </c>
      <c r="F230" s="23">
        <v>34662.81</v>
      </c>
      <c r="G230" s="23">
        <v>13526.36</v>
      </c>
      <c r="H230" s="23">
        <v>2613.9499999999998</v>
      </c>
    </row>
    <row r="231" spans="1:8" x14ac:dyDescent="0.35">
      <c r="A231">
        <v>2021</v>
      </c>
      <c r="B231" t="s">
        <v>262</v>
      </c>
      <c r="C231" t="s">
        <v>154</v>
      </c>
      <c r="D231" t="s">
        <v>155</v>
      </c>
      <c r="E231" s="23">
        <v>6748.11</v>
      </c>
      <c r="F231" s="23">
        <v>125.27</v>
      </c>
      <c r="G231" s="23">
        <v>6748.11</v>
      </c>
      <c r="H231" s="23">
        <v>125.27</v>
      </c>
    </row>
    <row r="232" spans="1:8" x14ac:dyDescent="0.35">
      <c r="A232">
        <v>2021</v>
      </c>
      <c r="B232" t="s">
        <v>264</v>
      </c>
      <c r="C232" t="s">
        <v>154</v>
      </c>
      <c r="D232" t="s">
        <v>160</v>
      </c>
      <c r="E232" s="23">
        <v>2684323.64</v>
      </c>
      <c r="F232" s="23">
        <v>5193556.32</v>
      </c>
      <c r="G232" s="23">
        <v>0</v>
      </c>
      <c r="H232" s="23">
        <v>0</v>
      </c>
    </row>
    <row r="233" spans="1:8" x14ac:dyDescent="0.35">
      <c r="A233">
        <v>2021</v>
      </c>
      <c r="B233" t="s">
        <v>265</v>
      </c>
      <c r="C233" t="s">
        <v>154</v>
      </c>
      <c r="D233" t="s">
        <v>158</v>
      </c>
      <c r="E233" s="23">
        <v>25763.42</v>
      </c>
      <c r="F233" s="23">
        <v>11200</v>
      </c>
      <c r="G233" s="23">
        <v>8823.67</v>
      </c>
      <c r="H233" s="23">
        <v>0</v>
      </c>
    </row>
    <row r="234" spans="1:8" x14ac:dyDescent="0.35">
      <c r="A234">
        <v>2021</v>
      </c>
      <c r="B234" t="s">
        <v>266</v>
      </c>
      <c r="C234" t="s">
        <v>154</v>
      </c>
      <c r="D234" t="s">
        <v>158</v>
      </c>
      <c r="E234" s="23">
        <v>427349.21</v>
      </c>
      <c r="F234" s="23">
        <v>65867</v>
      </c>
      <c r="G234" s="23">
        <v>157001</v>
      </c>
      <c r="H234" s="23">
        <v>65417</v>
      </c>
    </row>
    <row r="235" spans="1:8" x14ac:dyDescent="0.35">
      <c r="A235">
        <v>2021</v>
      </c>
      <c r="B235" t="s">
        <v>267</v>
      </c>
      <c r="C235" t="s">
        <v>154</v>
      </c>
      <c r="D235" t="s">
        <v>160</v>
      </c>
      <c r="E235" s="23">
        <v>526902.84</v>
      </c>
      <c r="F235" s="23">
        <v>35256.800000000003</v>
      </c>
      <c r="G235" s="23">
        <v>41141.379999999997</v>
      </c>
      <c r="H235" s="23">
        <v>0</v>
      </c>
    </row>
    <row r="236" spans="1:8" x14ac:dyDescent="0.35">
      <c r="A236">
        <v>2021</v>
      </c>
      <c r="B236" t="s">
        <v>268</v>
      </c>
      <c r="C236" t="s">
        <v>154</v>
      </c>
      <c r="D236" t="s">
        <v>160</v>
      </c>
      <c r="E236" s="23">
        <v>0</v>
      </c>
      <c r="F236" s="23">
        <v>0</v>
      </c>
      <c r="G236" s="23">
        <v>0</v>
      </c>
      <c r="H236" s="23">
        <v>0</v>
      </c>
    </row>
    <row r="237" spans="1:8" x14ac:dyDescent="0.35">
      <c r="A237">
        <v>2021</v>
      </c>
      <c r="B237" t="s">
        <v>269</v>
      </c>
      <c r="C237" t="s">
        <v>154</v>
      </c>
      <c r="D237" t="s">
        <v>160</v>
      </c>
      <c r="E237" s="23">
        <v>785311.61</v>
      </c>
      <c r="F237" s="23">
        <v>834008.88</v>
      </c>
      <c r="G237" s="23">
        <v>16852.02</v>
      </c>
      <c r="H237" s="23">
        <v>45026.44</v>
      </c>
    </row>
    <row r="238" spans="1:8" x14ac:dyDescent="0.35">
      <c r="A238">
        <v>2021</v>
      </c>
      <c r="B238" t="s">
        <v>270</v>
      </c>
      <c r="C238" t="s">
        <v>154</v>
      </c>
      <c r="D238" t="s">
        <v>160</v>
      </c>
      <c r="E238" s="23">
        <v>1367224.19</v>
      </c>
      <c r="F238" s="23">
        <v>2153859.02</v>
      </c>
      <c r="G238" s="23">
        <v>301910.77</v>
      </c>
      <c r="H238" s="23">
        <v>861014.88</v>
      </c>
    </row>
    <row r="239" spans="1:8" x14ac:dyDescent="0.35">
      <c r="A239">
        <v>2021</v>
      </c>
      <c r="B239" t="s">
        <v>271</v>
      </c>
      <c r="C239" t="s">
        <v>154</v>
      </c>
      <c r="D239" t="s">
        <v>158</v>
      </c>
      <c r="E239" s="23">
        <v>1440974.34</v>
      </c>
      <c r="F239" s="23">
        <v>1178058.47</v>
      </c>
      <c r="G239" s="23">
        <v>484820.25</v>
      </c>
      <c r="H239" s="23">
        <v>109774.75</v>
      </c>
    </row>
    <row r="240" spans="1:8" x14ac:dyDescent="0.35">
      <c r="A240">
        <v>2021</v>
      </c>
      <c r="B240" t="s">
        <v>272</v>
      </c>
      <c r="C240" t="s">
        <v>154</v>
      </c>
      <c r="D240" t="s">
        <v>160</v>
      </c>
      <c r="E240" s="23">
        <v>832051.03</v>
      </c>
      <c r="F240" s="23">
        <v>1839607.57</v>
      </c>
      <c r="G240" s="23">
        <v>152807.25</v>
      </c>
      <c r="H240" s="23">
        <v>551758.26</v>
      </c>
    </row>
    <row r="241" spans="1:8" x14ac:dyDescent="0.35">
      <c r="A241">
        <v>2021</v>
      </c>
      <c r="B241" t="s">
        <v>273</v>
      </c>
      <c r="C241" t="s">
        <v>154</v>
      </c>
      <c r="D241" t="s">
        <v>155</v>
      </c>
      <c r="E241" s="23">
        <v>505341.8</v>
      </c>
      <c r="F241" s="23">
        <v>784313.49</v>
      </c>
      <c r="G241" s="23">
        <v>259335.9</v>
      </c>
      <c r="H241" s="23">
        <v>164255.53</v>
      </c>
    </row>
    <row r="242" spans="1:8" x14ac:dyDescent="0.35">
      <c r="A242">
        <v>2021</v>
      </c>
      <c r="B242" t="s">
        <v>274</v>
      </c>
      <c r="C242" t="s">
        <v>154</v>
      </c>
      <c r="D242" t="s">
        <v>160</v>
      </c>
      <c r="E242" s="23">
        <v>0</v>
      </c>
      <c r="F242" s="23">
        <v>0</v>
      </c>
      <c r="G242" s="23">
        <v>173955.34</v>
      </c>
      <c r="H242" s="23">
        <v>762490.95</v>
      </c>
    </row>
    <row r="243" spans="1:8" x14ac:dyDescent="0.35">
      <c r="A243">
        <v>2021</v>
      </c>
      <c r="B243" t="s">
        <v>275</v>
      </c>
      <c r="C243" t="s">
        <v>154</v>
      </c>
      <c r="D243" t="s">
        <v>160</v>
      </c>
      <c r="E243" s="23">
        <v>0</v>
      </c>
      <c r="F243" s="23">
        <v>0</v>
      </c>
      <c r="G243" s="23">
        <v>2554.56</v>
      </c>
      <c r="H243" s="23">
        <v>0</v>
      </c>
    </row>
    <row r="244" spans="1:8" x14ac:dyDescent="0.35">
      <c r="A244">
        <v>2021</v>
      </c>
      <c r="B244" t="s">
        <v>276</v>
      </c>
      <c r="C244" t="s">
        <v>154</v>
      </c>
      <c r="D244" t="s">
        <v>158</v>
      </c>
      <c r="E244" s="23">
        <v>203273.31</v>
      </c>
      <c r="F244" s="23">
        <v>75227.83</v>
      </c>
      <c r="G244" s="23">
        <v>0</v>
      </c>
      <c r="H244" s="23">
        <v>0</v>
      </c>
    </row>
    <row r="245" spans="1:8" x14ac:dyDescent="0.35">
      <c r="A245">
        <v>2021</v>
      </c>
      <c r="B245" t="s">
        <v>277</v>
      </c>
      <c r="C245" t="s">
        <v>154</v>
      </c>
      <c r="D245" t="s">
        <v>155</v>
      </c>
      <c r="E245" s="23">
        <v>330916.78000000003</v>
      </c>
      <c r="F245" s="23">
        <v>346344.19400000002</v>
      </c>
      <c r="G245" s="23">
        <v>131970.67000000001</v>
      </c>
      <c r="H245" s="23">
        <v>30956.28</v>
      </c>
    </row>
    <row r="246" spans="1:8" x14ac:dyDescent="0.35">
      <c r="A246">
        <v>2021</v>
      </c>
      <c r="B246" t="s">
        <v>278</v>
      </c>
      <c r="C246" t="s">
        <v>154</v>
      </c>
      <c r="D246" t="s">
        <v>155</v>
      </c>
      <c r="E246" s="23">
        <v>66522.48</v>
      </c>
      <c r="F246" s="23">
        <v>6473</v>
      </c>
      <c r="G246" s="23">
        <v>0</v>
      </c>
      <c r="H246" s="23">
        <v>0</v>
      </c>
    </row>
    <row r="247" spans="1:8" x14ac:dyDescent="0.35">
      <c r="A247">
        <v>2021</v>
      </c>
      <c r="B247" t="s">
        <v>279</v>
      </c>
      <c r="C247" t="s">
        <v>154</v>
      </c>
      <c r="D247" t="s">
        <v>155</v>
      </c>
      <c r="E247" s="23">
        <v>1775125.97</v>
      </c>
      <c r="F247" s="23">
        <v>2600548.9500000002</v>
      </c>
      <c r="G247" s="23">
        <v>685425.85</v>
      </c>
      <c r="H247" s="23">
        <v>2376045.81</v>
      </c>
    </row>
    <row r="248" spans="1:8" x14ac:dyDescent="0.35">
      <c r="A248">
        <v>2021</v>
      </c>
      <c r="B248" t="s">
        <v>280</v>
      </c>
      <c r="C248" t="s">
        <v>154</v>
      </c>
      <c r="D248" t="s">
        <v>160</v>
      </c>
      <c r="E248" s="23">
        <v>333199.11</v>
      </c>
      <c r="F248" s="23">
        <v>174799.89</v>
      </c>
      <c r="G248" s="23">
        <v>263805.12</v>
      </c>
      <c r="H248" s="23">
        <v>131631.85999999999</v>
      </c>
    </row>
    <row r="249" spans="1:8" x14ac:dyDescent="0.35">
      <c r="A249">
        <v>2021</v>
      </c>
      <c r="B249" t="s">
        <v>281</v>
      </c>
      <c r="C249" t="s">
        <v>154</v>
      </c>
      <c r="D249" t="s">
        <v>158</v>
      </c>
      <c r="E249" s="23">
        <v>1940002.52</v>
      </c>
      <c r="F249" s="23">
        <v>2254801.2200000002</v>
      </c>
      <c r="G249" s="23">
        <v>30777.33</v>
      </c>
      <c r="H249" s="23">
        <v>207054.33</v>
      </c>
    </row>
    <row r="250" spans="1:8" x14ac:dyDescent="0.35">
      <c r="A250">
        <v>2021</v>
      </c>
      <c r="B250" t="s">
        <v>282</v>
      </c>
      <c r="C250" t="s">
        <v>154</v>
      </c>
      <c r="D250" t="s">
        <v>160</v>
      </c>
      <c r="E250" s="23">
        <v>593612.31999999995</v>
      </c>
      <c r="F250" s="23">
        <v>643991.02</v>
      </c>
      <c r="G250" s="23">
        <v>350852.6</v>
      </c>
      <c r="H250" s="23">
        <v>487069.45</v>
      </c>
    </row>
    <row r="251" spans="1:8" x14ac:dyDescent="0.35">
      <c r="A251">
        <v>2021</v>
      </c>
      <c r="B251" t="s">
        <v>283</v>
      </c>
      <c r="C251" t="s">
        <v>154</v>
      </c>
      <c r="D251" t="s">
        <v>155</v>
      </c>
      <c r="E251" s="23">
        <v>12141577.470000001</v>
      </c>
      <c r="F251" s="23">
        <v>10863925.34</v>
      </c>
      <c r="G251" s="23">
        <v>7785821.7300000004</v>
      </c>
      <c r="H251" s="23">
        <v>5149237.47</v>
      </c>
    </row>
    <row r="252" spans="1:8" x14ac:dyDescent="0.35">
      <c r="A252">
        <v>2021</v>
      </c>
      <c r="B252" t="s">
        <v>284</v>
      </c>
      <c r="C252" t="s">
        <v>154</v>
      </c>
      <c r="D252" t="s">
        <v>158</v>
      </c>
      <c r="E252" s="23">
        <v>259870.33</v>
      </c>
      <c r="F252" s="23">
        <v>458850.2</v>
      </c>
      <c r="G252" s="23">
        <v>6241.25</v>
      </c>
      <c r="H252" s="23">
        <v>0</v>
      </c>
    </row>
    <row r="253" spans="1:8" x14ac:dyDescent="0.35">
      <c r="A253">
        <v>2021</v>
      </c>
      <c r="B253" t="s">
        <v>285</v>
      </c>
      <c r="C253" t="s">
        <v>154</v>
      </c>
      <c r="D253" t="s">
        <v>155</v>
      </c>
      <c r="E253" s="23">
        <v>825396.11</v>
      </c>
      <c r="F253" s="23">
        <v>88608.47</v>
      </c>
      <c r="G253" s="23">
        <v>10041.36</v>
      </c>
      <c r="H253" s="23">
        <v>0</v>
      </c>
    </row>
    <row r="254" spans="1:8" x14ac:dyDescent="0.35">
      <c r="A254">
        <v>2021</v>
      </c>
      <c r="B254" t="s">
        <v>286</v>
      </c>
      <c r="C254" t="s">
        <v>163</v>
      </c>
      <c r="D254" t="s">
        <v>160</v>
      </c>
      <c r="E254" s="23">
        <v>138912.16</v>
      </c>
      <c r="F254" s="23">
        <v>2176.92</v>
      </c>
      <c r="G254" s="23">
        <v>0</v>
      </c>
      <c r="H254" s="23">
        <v>0</v>
      </c>
    </row>
    <row r="255" spans="1:8" x14ac:dyDescent="0.35">
      <c r="A255">
        <v>2021</v>
      </c>
      <c r="B255" t="s">
        <v>287</v>
      </c>
      <c r="C255" t="s">
        <v>154</v>
      </c>
      <c r="D255" t="s">
        <v>158</v>
      </c>
      <c r="E255" s="23">
        <v>600898.72</v>
      </c>
      <c r="F255" s="23">
        <v>1809981.69</v>
      </c>
      <c r="G255" s="23">
        <v>130618.56</v>
      </c>
      <c r="H255" s="23">
        <v>872065.31</v>
      </c>
    </row>
    <row r="256" spans="1:8" x14ac:dyDescent="0.35">
      <c r="A256">
        <v>2021</v>
      </c>
      <c r="B256" t="s">
        <v>289</v>
      </c>
      <c r="C256" t="s">
        <v>154</v>
      </c>
      <c r="D256" t="s">
        <v>160</v>
      </c>
      <c r="E256" s="23">
        <v>1438744.67</v>
      </c>
      <c r="F256" s="23">
        <v>812916.37</v>
      </c>
      <c r="G256" s="23">
        <v>0</v>
      </c>
      <c r="H256" s="23">
        <v>0</v>
      </c>
    </row>
    <row r="257" spans="1:8" x14ac:dyDescent="0.35">
      <c r="A257">
        <v>2021</v>
      </c>
      <c r="B257" t="s">
        <v>290</v>
      </c>
      <c r="C257" t="s">
        <v>154</v>
      </c>
      <c r="D257" t="s">
        <v>155</v>
      </c>
      <c r="E257" s="23">
        <v>1283364</v>
      </c>
      <c r="F257" s="23">
        <v>6934185.7000000002</v>
      </c>
      <c r="G257" s="23">
        <v>1156464.29</v>
      </c>
      <c r="H257" s="23">
        <v>6925209.7000000002</v>
      </c>
    </row>
    <row r="258" spans="1:8" x14ac:dyDescent="0.35">
      <c r="A258">
        <v>2021</v>
      </c>
      <c r="B258" t="s">
        <v>291</v>
      </c>
      <c r="C258" t="s">
        <v>154</v>
      </c>
      <c r="D258" t="s">
        <v>158</v>
      </c>
      <c r="E258" s="23">
        <v>261989.8</v>
      </c>
      <c r="F258" s="23">
        <v>85472.25</v>
      </c>
      <c r="G258" s="23">
        <v>192847.96</v>
      </c>
      <c r="H258" s="23">
        <v>32887.29</v>
      </c>
    </row>
    <row r="259" spans="1:8" x14ac:dyDescent="0.35">
      <c r="A259">
        <v>2021</v>
      </c>
      <c r="B259" t="s">
        <v>296</v>
      </c>
      <c r="C259" t="s">
        <v>154</v>
      </c>
      <c r="D259" t="s">
        <v>155</v>
      </c>
      <c r="E259" s="23">
        <v>778470</v>
      </c>
      <c r="F259" s="23">
        <v>0</v>
      </c>
      <c r="G259" s="23">
        <v>0</v>
      </c>
      <c r="H259" s="23">
        <v>0</v>
      </c>
    </row>
    <row r="260" spans="1:8" x14ac:dyDescent="0.35">
      <c r="A260">
        <v>2021</v>
      </c>
      <c r="B260" t="s">
        <v>292</v>
      </c>
      <c r="C260" t="s">
        <v>154</v>
      </c>
      <c r="D260" t="s">
        <v>160</v>
      </c>
      <c r="E260" s="23">
        <v>209674.49</v>
      </c>
      <c r="F260" s="23">
        <v>662372.70600000001</v>
      </c>
      <c r="G260" s="23">
        <v>0</v>
      </c>
      <c r="H260" s="23">
        <v>0</v>
      </c>
    </row>
    <row r="261" spans="1:8" x14ac:dyDescent="0.35">
      <c r="A261">
        <v>2021</v>
      </c>
      <c r="B261" t="s">
        <v>293</v>
      </c>
      <c r="C261" t="s">
        <v>154</v>
      </c>
      <c r="D261" t="s">
        <v>158</v>
      </c>
      <c r="E261" s="23">
        <v>153380.35</v>
      </c>
      <c r="F261" s="23">
        <v>262156.28999999998</v>
      </c>
      <c r="G261" s="23">
        <v>0</v>
      </c>
      <c r="H261" s="23">
        <v>0</v>
      </c>
    </row>
    <row r="262" spans="1:8" x14ac:dyDescent="0.35">
      <c r="A262">
        <v>2021</v>
      </c>
      <c r="B262" t="s">
        <v>294</v>
      </c>
      <c r="C262" t="s">
        <v>154</v>
      </c>
      <c r="D262" t="s">
        <v>155</v>
      </c>
      <c r="E262" s="23">
        <v>205159.04000000001</v>
      </c>
      <c r="F262" s="23">
        <v>261653.84</v>
      </c>
      <c r="G262" s="23">
        <v>2061</v>
      </c>
      <c r="H262" s="23">
        <v>0</v>
      </c>
    </row>
    <row r="263" spans="1:8" x14ac:dyDescent="0.35">
      <c r="A263">
        <v>2021</v>
      </c>
      <c r="B263" t="s">
        <v>295</v>
      </c>
      <c r="C263" t="s">
        <v>154</v>
      </c>
      <c r="D263" t="s">
        <v>158</v>
      </c>
      <c r="E263" s="23">
        <v>112334992.93000001</v>
      </c>
      <c r="F263" s="23">
        <v>39863222.270000003</v>
      </c>
      <c r="G263" s="23">
        <v>51913973.369999997</v>
      </c>
      <c r="H263" s="23">
        <v>14362819.07</v>
      </c>
    </row>
    <row r="264" spans="1:8" x14ac:dyDescent="0.35">
      <c r="A264">
        <v>2020</v>
      </c>
      <c r="B264" t="s">
        <v>153</v>
      </c>
      <c r="C264" t="s">
        <v>154</v>
      </c>
      <c r="D264" t="s">
        <v>155</v>
      </c>
      <c r="E264" s="23">
        <v>580366.42000000004</v>
      </c>
      <c r="F264" s="23">
        <v>617995.63</v>
      </c>
      <c r="G264" s="23">
        <v>275653.33</v>
      </c>
      <c r="H264" s="23">
        <v>457443.21</v>
      </c>
    </row>
    <row r="265" spans="1:8" x14ac:dyDescent="0.35">
      <c r="A265">
        <v>2020</v>
      </c>
      <c r="B265" t="s">
        <v>297</v>
      </c>
      <c r="C265" t="s">
        <v>154</v>
      </c>
      <c r="D265" t="s">
        <v>155</v>
      </c>
      <c r="E265" s="23">
        <v>138400</v>
      </c>
      <c r="F265" s="23">
        <v>81493</v>
      </c>
      <c r="G265" s="23">
        <v>138400</v>
      </c>
      <c r="H265" s="23">
        <v>81493</v>
      </c>
    </row>
    <row r="266" spans="1:8" x14ac:dyDescent="0.35">
      <c r="A266">
        <v>2020</v>
      </c>
      <c r="B266" t="s">
        <v>161</v>
      </c>
      <c r="C266" t="s">
        <v>154</v>
      </c>
      <c r="D266" t="s">
        <v>158</v>
      </c>
      <c r="E266" s="23">
        <v>2022994.23</v>
      </c>
      <c r="F266" s="23">
        <v>2828438.8</v>
      </c>
      <c r="G266" s="23">
        <v>1170808.6399999999</v>
      </c>
      <c r="H266" s="23">
        <v>2777351.57</v>
      </c>
    </row>
    <row r="267" spans="1:8" x14ac:dyDescent="0.35">
      <c r="A267">
        <v>2020</v>
      </c>
      <c r="B267" t="s">
        <v>162</v>
      </c>
      <c r="C267" t="s">
        <v>163</v>
      </c>
      <c r="D267" t="s">
        <v>158</v>
      </c>
      <c r="E267" s="23">
        <v>75733.42</v>
      </c>
      <c r="F267" s="23">
        <v>58506.74</v>
      </c>
      <c r="G267" s="23">
        <v>0</v>
      </c>
      <c r="H267" s="23">
        <v>0</v>
      </c>
    </row>
    <row r="268" spans="1:8" x14ac:dyDescent="0.35">
      <c r="A268">
        <v>2020</v>
      </c>
      <c r="B268" t="s">
        <v>164</v>
      </c>
      <c r="C268" t="s">
        <v>154</v>
      </c>
      <c r="D268" t="s">
        <v>165</v>
      </c>
      <c r="E268" s="23">
        <v>1372947.59</v>
      </c>
      <c r="F268" s="23">
        <v>2217744.4500000002</v>
      </c>
      <c r="G268" s="23">
        <v>211633.2</v>
      </c>
      <c r="H268" s="23">
        <v>193077.02</v>
      </c>
    </row>
    <row r="269" spans="1:8" x14ac:dyDescent="0.35">
      <c r="A269">
        <v>2020</v>
      </c>
      <c r="B269" t="s">
        <v>167</v>
      </c>
      <c r="C269" t="s">
        <v>154</v>
      </c>
      <c r="D269" t="s">
        <v>155</v>
      </c>
      <c r="E269" s="23">
        <v>1540901.42</v>
      </c>
      <c r="F269" s="23">
        <v>16058316.390000001</v>
      </c>
      <c r="G269" s="23">
        <v>319518.67</v>
      </c>
      <c r="H269" s="23">
        <v>1701519.9</v>
      </c>
    </row>
    <row r="270" spans="1:8" x14ac:dyDescent="0.35">
      <c r="A270">
        <v>2020</v>
      </c>
      <c r="B270" t="s">
        <v>168</v>
      </c>
      <c r="C270" t="s">
        <v>154</v>
      </c>
      <c r="D270" t="s">
        <v>158</v>
      </c>
      <c r="E270" s="23">
        <v>3263829.45</v>
      </c>
      <c r="F270" s="23">
        <v>2869734.75</v>
      </c>
      <c r="G270" s="23">
        <v>43538.09</v>
      </c>
      <c r="H270" s="23">
        <v>901078.41</v>
      </c>
    </row>
    <row r="271" spans="1:8" x14ac:dyDescent="0.35">
      <c r="A271">
        <v>2020</v>
      </c>
      <c r="B271" t="s">
        <v>169</v>
      </c>
      <c r="C271" t="s">
        <v>154</v>
      </c>
      <c r="D271" t="s">
        <v>160</v>
      </c>
      <c r="E271" s="23">
        <v>25544.26</v>
      </c>
      <c r="F271" s="23">
        <v>6819.62</v>
      </c>
      <c r="G271" s="23">
        <v>0</v>
      </c>
      <c r="H271" s="23">
        <v>0</v>
      </c>
    </row>
    <row r="272" spans="1:8" x14ac:dyDescent="0.35">
      <c r="A272">
        <v>2020</v>
      </c>
      <c r="B272" t="s">
        <v>170</v>
      </c>
      <c r="C272" t="s">
        <v>154</v>
      </c>
      <c r="D272" t="s">
        <v>160</v>
      </c>
      <c r="E272" s="23">
        <v>2749477.85</v>
      </c>
      <c r="F272" s="23">
        <v>1548089.34</v>
      </c>
      <c r="G272" s="23">
        <v>1475281.24</v>
      </c>
      <c r="H272" s="23">
        <v>10804.01</v>
      </c>
    </row>
    <row r="273" spans="1:8" x14ac:dyDescent="0.35">
      <c r="A273">
        <v>2020</v>
      </c>
      <c r="B273" t="s">
        <v>171</v>
      </c>
      <c r="C273" t="s">
        <v>154</v>
      </c>
      <c r="D273" t="s">
        <v>158</v>
      </c>
      <c r="E273" s="23">
        <v>1414667.58</v>
      </c>
      <c r="F273" s="23">
        <v>329255.36</v>
      </c>
      <c r="G273" s="23">
        <v>585405.66</v>
      </c>
      <c r="H273" s="23">
        <v>787.77</v>
      </c>
    </row>
    <row r="274" spans="1:8" x14ac:dyDescent="0.35">
      <c r="A274">
        <v>2020</v>
      </c>
      <c r="B274" t="s">
        <v>172</v>
      </c>
      <c r="C274" t="s">
        <v>154</v>
      </c>
      <c r="D274" t="s">
        <v>155</v>
      </c>
      <c r="E274" s="23">
        <v>1240453.3700000001</v>
      </c>
      <c r="F274" s="23">
        <v>999321.65</v>
      </c>
      <c r="G274" s="23">
        <v>1095921.54</v>
      </c>
      <c r="H274" s="23">
        <v>972834.28</v>
      </c>
    </row>
    <row r="275" spans="1:8" x14ac:dyDescent="0.35">
      <c r="A275">
        <v>2020</v>
      </c>
      <c r="B275" t="s">
        <v>173</v>
      </c>
      <c r="C275" t="s">
        <v>154</v>
      </c>
      <c r="D275" t="s">
        <v>155</v>
      </c>
      <c r="E275" s="23">
        <v>450768.19</v>
      </c>
      <c r="F275" s="23">
        <v>836786.71</v>
      </c>
      <c r="G275" s="23">
        <v>0</v>
      </c>
      <c r="H275" s="23">
        <v>0</v>
      </c>
    </row>
    <row r="276" spans="1:8" x14ac:dyDescent="0.35">
      <c r="A276">
        <v>2020</v>
      </c>
      <c r="B276" t="s">
        <v>174</v>
      </c>
      <c r="C276" t="s">
        <v>154</v>
      </c>
      <c r="D276" t="s">
        <v>160</v>
      </c>
      <c r="E276" s="23">
        <v>497946.97</v>
      </c>
      <c r="F276" s="23">
        <v>1063570.67</v>
      </c>
      <c r="G276" s="23">
        <v>0</v>
      </c>
      <c r="H276" s="23">
        <v>0</v>
      </c>
    </row>
    <row r="277" spans="1:8" x14ac:dyDescent="0.35">
      <c r="A277">
        <v>2020</v>
      </c>
      <c r="B277" t="s">
        <v>176</v>
      </c>
      <c r="C277" t="s">
        <v>154</v>
      </c>
      <c r="D277" t="s">
        <v>160</v>
      </c>
      <c r="E277" s="23">
        <v>489676.65</v>
      </c>
      <c r="F277" s="23">
        <v>2174435.83</v>
      </c>
      <c r="G277" s="23">
        <v>38777.81</v>
      </c>
      <c r="H277" s="23">
        <v>73186.77</v>
      </c>
    </row>
    <row r="278" spans="1:8" x14ac:dyDescent="0.35">
      <c r="A278">
        <v>2020</v>
      </c>
      <c r="B278" t="s">
        <v>177</v>
      </c>
      <c r="C278" t="s">
        <v>154</v>
      </c>
      <c r="D278" t="s">
        <v>160</v>
      </c>
      <c r="E278" s="23">
        <v>3230216.75</v>
      </c>
      <c r="F278" s="23">
        <v>5676914.2800000003</v>
      </c>
      <c r="G278" s="23">
        <v>407173.97</v>
      </c>
      <c r="H278" s="23">
        <v>907201.83</v>
      </c>
    </row>
    <row r="279" spans="1:8" x14ac:dyDescent="0.35">
      <c r="A279">
        <v>2020</v>
      </c>
      <c r="B279" t="s">
        <v>178</v>
      </c>
      <c r="C279" t="s">
        <v>154</v>
      </c>
      <c r="D279" t="s">
        <v>155</v>
      </c>
      <c r="E279" s="23">
        <v>394109.08</v>
      </c>
      <c r="F279" s="23">
        <v>161407.01999999999</v>
      </c>
      <c r="G279" s="23">
        <v>9241.4500000000007</v>
      </c>
      <c r="H279" s="23">
        <v>11007.38</v>
      </c>
    </row>
    <row r="280" spans="1:8" x14ac:dyDescent="0.35">
      <c r="A280">
        <v>2020</v>
      </c>
      <c r="B280" t="s">
        <v>179</v>
      </c>
      <c r="C280" t="s">
        <v>154</v>
      </c>
      <c r="D280" t="s">
        <v>160</v>
      </c>
      <c r="E280" s="23">
        <v>136357.62</v>
      </c>
      <c r="F280" s="23">
        <v>54357.3</v>
      </c>
      <c r="G280" s="23">
        <v>27874.03</v>
      </c>
      <c r="H280" s="23">
        <v>9067.7000000000007</v>
      </c>
    </row>
    <row r="281" spans="1:8" x14ac:dyDescent="0.35">
      <c r="A281">
        <v>2020</v>
      </c>
      <c r="B281" t="s">
        <v>180</v>
      </c>
      <c r="C281" t="s">
        <v>154</v>
      </c>
      <c r="D281" t="s">
        <v>160</v>
      </c>
      <c r="E281" s="23">
        <v>177464.6</v>
      </c>
      <c r="F281" s="23">
        <v>333783.28000000003</v>
      </c>
      <c r="G281" s="23">
        <v>0</v>
      </c>
      <c r="H281" s="23">
        <v>182000</v>
      </c>
    </row>
    <row r="282" spans="1:8" x14ac:dyDescent="0.35">
      <c r="A282">
        <v>2020</v>
      </c>
      <c r="B282" t="s">
        <v>181</v>
      </c>
      <c r="C282" t="s">
        <v>154</v>
      </c>
      <c r="D282" t="s">
        <v>155</v>
      </c>
      <c r="E282" s="23">
        <v>733239.63</v>
      </c>
      <c r="F282" s="23">
        <v>553989.05000000005</v>
      </c>
      <c r="G282" s="23">
        <v>162406.89000000001</v>
      </c>
      <c r="H282" s="23">
        <v>536626.56000000006</v>
      </c>
    </row>
    <row r="283" spans="1:8" x14ac:dyDescent="0.35">
      <c r="A283">
        <v>2020</v>
      </c>
      <c r="B283" t="s">
        <v>182</v>
      </c>
      <c r="C283" t="s">
        <v>154</v>
      </c>
      <c r="D283" t="s">
        <v>158</v>
      </c>
      <c r="E283" s="23">
        <v>0</v>
      </c>
      <c r="F283" s="23">
        <v>0</v>
      </c>
      <c r="G283" s="23">
        <v>34836.550000000003</v>
      </c>
      <c r="H283" s="23">
        <v>365514.36</v>
      </c>
    </row>
    <row r="284" spans="1:8" x14ac:dyDescent="0.35">
      <c r="A284">
        <v>2020</v>
      </c>
      <c r="B284" t="s">
        <v>183</v>
      </c>
      <c r="C284" t="s">
        <v>154</v>
      </c>
      <c r="D284" t="s">
        <v>155</v>
      </c>
      <c r="E284" s="23">
        <v>28962.7</v>
      </c>
      <c r="F284" s="23">
        <v>35185.910000000003</v>
      </c>
      <c r="G284" s="23">
        <v>28962.7</v>
      </c>
      <c r="H284" s="23">
        <v>35185.910000000003</v>
      </c>
    </row>
    <row r="285" spans="1:8" x14ac:dyDescent="0.35">
      <c r="A285">
        <v>2020</v>
      </c>
      <c r="B285" t="s">
        <v>184</v>
      </c>
      <c r="C285" t="s">
        <v>154</v>
      </c>
      <c r="D285" t="s">
        <v>155</v>
      </c>
      <c r="E285" s="23">
        <v>14889260.279999999</v>
      </c>
      <c r="F285" s="23">
        <v>92688854.379999995</v>
      </c>
      <c r="G285" s="23">
        <v>6705731.0700000003</v>
      </c>
      <c r="H285" s="23">
        <v>33001272.23</v>
      </c>
    </row>
    <row r="286" spans="1:8" x14ac:dyDescent="0.35">
      <c r="A286">
        <v>2020</v>
      </c>
      <c r="B286" t="s">
        <v>186</v>
      </c>
      <c r="C286" t="s">
        <v>154</v>
      </c>
      <c r="D286" t="s">
        <v>158</v>
      </c>
      <c r="E286" s="23">
        <v>1606059.97</v>
      </c>
      <c r="F286" s="23">
        <v>2619982.61</v>
      </c>
      <c r="G286" s="23">
        <v>242777.37</v>
      </c>
      <c r="H286" s="23">
        <v>1120460.42</v>
      </c>
    </row>
    <row r="287" spans="1:8" x14ac:dyDescent="0.35">
      <c r="A287">
        <v>2020</v>
      </c>
      <c r="B287" t="s">
        <v>187</v>
      </c>
      <c r="C287" t="s">
        <v>154</v>
      </c>
      <c r="D287" t="s">
        <v>158</v>
      </c>
      <c r="E287" s="23">
        <v>623140.89</v>
      </c>
      <c r="F287" s="23">
        <v>550589.22</v>
      </c>
      <c r="G287" s="23">
        <v>0</v>
      </c>
      <c r="H287" s="23">
        <v>0</v>
      </c>
    </row>
    <row r="288" spans="1:8" x14ac:dyDescent="0.35">
      <c r="A288">
        <v>2020</v>
      </c>
      <c r="B288" t="s">
        <v>188</v>
      </c>
      <c r="C288" t="s">
        <v>154</v>
      </c>
      <c r="D288" t="s">
        <v>155</v>
      </c>
      <c r="E288" s="23">
        <v>8122715.6500000004</v>
      </c>
      <c r="F288" s="23">
        <v>9547.8700000000008</v>
      </c>
      <c r="G288" s="23">
        <v>0</v>
      </c>
      <c r="H288" s="23">
        <v>0</v>
      </c>
    </row>
    <row r="289" spans="1:8" x14ac:dyDescent="0.35">
      <c r="A289">
        <v>2020</v>
      </c>
      <c r="B289" t="s">
        <v>189</v>
      </c>
      <c r="C289" t="s">
        <v>154</v>
      </c>
      <c r="D289" t="s">
        <v>158</v>
      </c>
      <c r="E289" s="23">
        <v>508747.41</v>
      </c>
      <c r="F289" s="23">
        <v>4041853.8149999999</v>
      </c>
      <c r="G289" s="23">
        <v>13985</v>
      </c>
      <c r="H289" s="23">
        <v>26915</v>
      </c>
    </row>
    <row r="290" spans="1:8" x14ac:dyDescent="0.35">
      <c r="A290">
        <v>2020</v>
      </c>
      <c r="B290" t="s">
        <v>190</v>
      </c>
      <c r="C290" t="s">
        <v>154</v>
      </c>
      <c r="D290" t="s">
        <v>155</v>
      </c>
      <c r="E290" s="23">
        <v>446619.13</v>
      </c>
      <c r="F290" s="23">
        <v>223766.92</v>
      </c>
      <c r="G290" s="23">
        <v>0</v>
      </c>
      <c r="H290" s="23">
        <v>0</v>
      </c>
    </row>
    <row r="291" spans="1:8" x14ac:dyDescent="0.35">
      <c r="A291">
        <v>2020</v>
      </c>
      <c r="B291" t="s">
        <v>192</v>
      </c>
      <c r="C291" t="s">
        <v>154</v>
      </c>
      <c r="D291" t="s">
        <v>160</v>
      </c>
      <c r="E291" s="23">
        <v>855868.48</v>
      </c>
      <c r="F291" s="23">
        <v>510208.46</v>
      </c>
      <c r="G291" s="23">
        <v>558381.15</v>
      </c>
      <c r="H291" s="23">
        <v>84087.84</v>
      </c>
    </row>
    <row r="292" spans="1:8" x14ac:dyDescent="0.35">
      <c r="A292">
        <v>2020</v>
      </c>
      <c r="B292" t="s">
        <v>193</v>
      </c>
      <c r="C292" t="s">
        <v>154</v>
      </c>
      <c r="D292" t="s">
        <v>155</v>
      </c>
      <c r="E292" s="23">
        <v>251782.53</v>
      </c>
      <c r="F292" s="23">
        <v>642089.61</v>
      </c>
      <c r="G292" s="23">
        <v>0</v>
      </c>
      <c r="H292" s="23">
        <v>0</v>
      </c>
    </row>
    <row r="293" spans="1:8" x14ac:dyDescent="0.35">
      <c r="A293">
        <v>2020</v>
      </c>
      <c r="B293" t="s">
        <v>195</v>
      </c>
      <c r="C293" t="s">
        <v>154</v>
      </c>
      <c r="D293" t="s">
        <v>160</v>
      </c>
      <c r="E293" s="23">
        <v>372630.59</v>
      </c>
      <c r="F293" s="23">
        <v>15509.72</v>
      </c>
      <c r="G293" s="23">
        <v>197589.63</v>
      </c>
      <c r="H293" s="23">
        <v>2212.7600000000002</v>
      </c>
    </row>
    <row r="294" spans="1:8" x14ac:dyDescent="0.35">
      <c r="A294">
        <v>2020</v>
      </c>
      <c r="B294" t="s">
        <v>196</v>
      </c>
      <c r="C294" t="s">
        <v>154</v>
      </c>
      <c r="D294" t="s">
        <v>155</v>
      </c>
      <c r="E294" s="23">
        <v>1040571.54</v>
      </c>
      <c r="F294" s="23">
        <v>461905.84</v>
      </c>
      <c r="G294" s="23">
        <v>703734.71</v>
      </c>
      <c r="H294" s="23">
        <v>391387.33</v>
      </c>
    </row>
    <row r="295" spans="1:8" x14ac:dyDescent="0.35">
      <c r="A295">
        <v>2020</v>
      </c>
      <c r="B295" t="s">
        <v>197</v>
      </c>
      <c r="C295" t="s">
        <v>154</v>
      </c>
      <c r="D295" t="s">
        <v>160</v>
      </c>
      <c r="E295" s="23">
        <v>15044.49</v>
      </c>
      <c r="F295" s="23">
        <v>930</v>
      </c>
      <c r="G295" s="23">
        <v>0</v>
      </c>
      <c r="H295" s="23">
        <v>0</v>
      </c>
    </row>
    <row r="296" spans="1:8" x14ac:dyDescent="0.35">
      <c r="A296">
        <v>2020</v>
      </c>
      <c r="B296" t="s">
        <v>198</v>
      </c>
      <c r="C296" t="s">
        <v>154</v>
      </c>
      <c r="D296" t="s">
        <v>160</v>
      </c>
      <c r="E296" s="23">
        <v>94616.17</v>
      </c>
      <c r="F296" s="23">
        <v>201.43</v>
      </c>
      <c r="G296" s="23">
        <v>2225.73</v>
      </c>
      <c r="H296" s="23">
        <v>201.43</v>
      </c>
    </row>
    <row r="297" spans="1:8" x14ac:dyDescent="0.35">
      <c r="A297">
        <v>2020</v>
      </c>
      <c r="B297" t="s">
        <v>199</v>
      </c>
      <c r="C297" t="s">
        <v>154</v>
      </c>
      <c r="D297" t="s">
        <v>160</v>
      </c>
      <c r="E297" s="23">
        <v>336920.77</v>
      </c>
      <c r="F297" s="23">
        <v>667848.76</v>
      </c>
      <c r="G297" s="23">
        <v>1019.4</v>
      </c>
      <c r="H297" s="23">
        <v>700</v>
      </c>
    </row>
    <row r="298" spans="1:8" x14ac:dyDescent="0.35">
      <c r="A298">
        <v>2020</v>
      </c>
      <c r="B298" t="s">
        <v>200</v>
      </c>
      <c r="C298" t="s">
        <v>154</v>
      </c>
      <c r="D298" t="s">
        <v>158</v>
      </c>
      <c r="E298" s="23">
        <v>314452.49</v>
      </c>
      <c r="F298" s="23">
        <v>29153.4</v>
      </c>
      <c r="G298" s="23">
        <v>901.8</v>
      </c>
      <c r="H298" s="23">
        <v>29153.4</v>
      </c>
    </row>
    <row r="299" spans="1:8" x14ac:dyDescent="0.35">
      <c r="A299">
        <v>2020</v>
      </c>
      <c r="B299" t="s">
        <v>201</v>
      </c>
      <c r="C299" t="s">
        <v>154</v>
      </c>
      <c r="D299" t="s">
        <v>160</v>
      </c>
      <c r="E299" s="23">
        <v>0</v>
      </c>
      <c r="F299" s="23">
        <v>0</v>
      </c>
      <c r="G299" s="23">
        <v>115115.38</v>
      </c>
      <c r="H299" s="23">
        <v>341671.38</v>
      </c>
    </row>
    <row r="300" spans="1:8" x14ac:dyDescent="0.35">
      <c r="A300">
        <v>2020</v>
      </c>
      <c r="B300" t="s">
        <v>202</v>
      </c>
      <c r="C300" t="s">
        <v>154</v>
      </c>
      <c r="D300" t="s">
        <v>155</v>
      </c>
      <c r="E300" s="23">
        <v>2870779.71</v>
      </c>
      <c r="F300" s="23">
        <v>891566.7</v>
      </c>
      <c r="G300" s="23">
        <v>410139.61</v>
      </c>
      <c r="H300" s="23">
        <v>298163.03999999998</v>
      </c>
    </row>
    <row r="301" spans="1:8" x14ac:dyDescent="0.35">
      <c r="A301">
        <v>2020</v>
      </c>
      <c r="B301" t="s">
        <v>203</v>
      </c>
      <c r="C301" t="s">
        <v>154</v>
      </c>
      <c r="D301" t="s">
        <v>160</v>
      </c>
      <c r="E301" s="23">
        <v>431997.86</v>
      </c>
      <c r="F301" s="23">
        <v>474465.06</v>
      </c>
      <c r="G301" s="23">
        <v>63468.66</v>
      </c>
      <c r="H301" s="23">
        <v>115327.53</v>
      </c>
    </row>
    <row r="302" spans="1:8" x14ac:dyDescent="0.35">
      <c r="A302">
        <v>2020</v>
      </c>
      <c r="B302" t="s">
        <v>204</v>
      </c>
      <c r="C302" t="s">
        <v>154</v>
      </c>
      <c r="D302" t="s">
        <v>158</v>
      </c>
      <c r="E302" s="23">
        <v>1873800.15</v>
      </c>
      <c r="F302" s="23">
        <v>3078003.01</v>
      </c>
      <c r="G302" s="23">
        <v>829266.39</v>
      </c>
      <c r="H302" s="23">
        <v>624645.76</v>
      </c>
    </row>
    <row r="303" spans="1:8" x14ac:dyDescent="0.35">
      <c r="A303">
        <v>2020</v>
      </c>
      <c r="B303" t="s">
        <v>205</v>
      </c>
      <c r="C303" t="s">
        <v>154</v>
      </c>
      <c r="D303" t="s">
        <v>160</v>
      </c>
      <c r="E303" s="23">
        <v>225579.57</v>
      </c>
      <c r="F303" s="23">
        <v>56725.01</v>
      </c>
      <c r="G303" s="23">
        <v>26051.62</v>
      </c>
      <c r="H303" s="23">
        <v>41578.01</v>
      </c>
    </row>
    <row r="304" spans="1:8" x14ac:dyDescent="0.35">
      <c r="A304">
        <v>2020</v>
      </c>
      <c r="B304" t="s">
        <v>206</v>
      </c>
      <c r="C304" t="s">
        <v>154</v>
      </c>
      <c r="D304" t="s">
        <v>158</v>
      </c>
      <c r="E304" s="23">
        <v>797442.24</v>
      </c>
      <c r="F304" s="23">
        <v>656977.86</v>
      </c>
      <c r="G304" s="23">
        <v>0</v>
      </c>
      <c r="H304" s="23">
        <v>0</v>
      </c>
    </row>
    <row r="305" spans="1:8" x14ac:dyDescent="0.35">
      <c r="A305">
        <v>2020</v>
      </c>
      <c r="B305" t="s">
        <v>209</v>
      </c>
      <c r="C305" t="s">
        <v>154</v>
      </c>
      <c r="D305" t="s">
        <v>158</v>
      </c>
      <c r="E305" s="23">
        <v>942322.45</v>
      </c>
      <c r="F305" s="23">
        <v>1237568.98</v>
      </c>
      <c r="G305" s="23">
        <v>103436.31</v>
      </c>
      <c r="H305" s="23">
        <v>60866.05</v>
      </c>
    </row>
    <row r="306" spans="1:8" x14ac:dyDescent="0.35">
      <c r="A306">
        <v>2020</v>
      </c>
      <c r="B306" t="s">
        <v>210</v>
      </c>
      <c r="C306" t="s">
        <v>154</v>
      </c>
      <c r="D306" t="s">
        <v>158</v>
      </c>
      <c r="E306" s="23">
        <v>654385.30000000005</v>
      </c>
      <c r="F306" s="23">
        <v>573497.01</v>
      </c>
      <c r="G306" s="23">
        <v>0</v>
      </c>
      <c r="H306" s="23">
        <v>0</v>
      </c>
    </row>
    <row r="307" spans="1:8" x14ac:dyDescent="0.35">
      <c r="A307">
        <v>2020</v>
      </c>
      <c r="B307" t="s">
        <v>211</v>
      </c>
      <c r="C307" t="s">
        <v>154</v>
      </c>
      <c r="D307" t="s">
        <v>160</v>
      </c>
      <c r="E307" s="23">
        <v>0</v>
      </c>
      <c r="F307" s="23">
        <v>0</v>
      </c>
      <c r="G307" s="23">
        <v>2031.88</v>
      </c>
      <c r="H307" s="23">
        <v>0</v>
      </c>
    </row>
    <row r="308" spans="1:8" x14ac:dyDescent="0.35">
      <c r="A308">
        <v>2020</v>
      </c>
      <c r="B308" t="s">
        <v>212</v>
      </c>
      <c r="C308" t="s">
        <v>154</v>
      </c>
      <c r="D308" t="s">
        <v>160</v>
      </c>
      <c r="E308" s="23">
        <v>526361.43000000005</v>
      </c>
      <c r="F308" s="23">
        <v>1604179.11</v>
      </c>
      <c r="G308" s="23">
        <v>123550</v>
      </c>
      <c r="H308" s="23">
        <v>40608</v>
      </c>
    </row>
    <row r="309" spans="1:8" x14ac:dyDescent="0.35">
      <c r="A309">
        <v>2020</v>
      </c>
      <c r="B309" t="s">
        <v>213</v>
      </c>
      <c r="C309" t="s">
        <v>154</v>
      </c>
      <c r="D309" t="s">
        <v>155</v>
      </c>
      <c r="E309" s="23">
        <v>927874.6</v>
      </c>
      <c r="F309" s="23">
        <v>1486529.03</v>
      </c>
      <c r="G309" s="23">
        <v>283838.28000000003</v>
      </c>
      <c r="H309" s="23">
        <v>1250637.5</v>
      </c>
    </row>
    <row r="310" spans="1:8" x14ac:dyDescent="0.35">
      <c r="A310">
        <v>2020</v>
      </c>
      <c r="B310" t="s">
        <v>214</v>
      </c>
      <c r="C310" t="s">
        <v>154</v>
      </c>
      <c r="D310" t="s">
        <v>158</v>
      </c>
      <c r="E310" s="23">
        <v>3817344.94</v>
      </c>
      <c r="F310" s="23">
        <v>7806208.7000000002</v>
      </c>
      <c r="G310" s="23">
        <v>31453.3</v>
      </c>
      <c r="H310" s="23">
        <v>95546.7</v>
      </c>
    </row>
    <row r="311" spans="1:8" x14ac:dyDescent="0.35">
      <c r="A311">
        <v>2020</v>
      </c>
      <c r="B311" t="s">
        <v>215</v>
      </c>
      <c r="C311" t="s">
        <v>154</v>
      </c>
      <c r="D311" t="s">
        <v>160</v>
      </c>
      <c r="E311" s="23">
        <v>0</v>
      </c>
      <c r="F311" s="23">
        <v>0</v>
      </c>
      <c r="G311" s="23">
        <v>27014.74</v>
      </c>
      <c r="H311" s="23">
        <v>6681</v>
      </c>
    </row>
    <row r="312" spans="1:8" x14ac:dyDescent="0.35">
      <c r="A312">
        <v>2020</v>
      </c>
      <c r="B312" t="s">
        <v>216</v>
      </c>
      <c r="C312" t="s">
        <v>154</v>
      </c>
      <c r="D312" t="s">
        <v>155</v>
      </c>
      <c r="E312" s="23">
        <v>1004494.03</v>
      </c>
      <c r="F312" s="23">
        <v>185761.26</v>
      </c>
      <c r="G312" s="23">
        <v>203772.07</v>
      </c>
      <c r="H312" s="23">
        <v>0</v>
      </c>
    </row>
    <row r="313" spans="1:8" x14ac:dyDescent="0.35">
      <c r="A313">
        <v>2020</v>
      </c>
      <c r="B313" t="s">
        <v>217</v>
      </c>
      <c r="C313" t="s">
        <v>154</v>
      </c>
      <c r="D313" t="s">
        <v>160</v>
      </c>
      <c r="E313" s="23">
        <v>512106.44</v>
      </c>
      <c r="F313" s="23">
        <v>1272775.92</v>
      </c>
      <c r="G313" s="23">
        <v>0</v>
      </c>
      <c r="H313" s="23">
        <v>58547.7</v>
      </c>
    </row>
    <row r="314" spans="1:8" x14ac:dyDescent="0.35">
      <c r="A314">
        <v>2020</v>
      </c>
      <c r="B314" t="s">
        <v>218</v>
      </c>
      <c r="C314" t="s">
        <v>154</v>
      </c>
      <c r="D314" t="s">
        <v>158</v>
      </c>
      <c r="E314" s="23">
        <v>311312.78999999998</v>
      </c>
      <c r="F314" s="23">
        <v>448837.07</v>
      </c>
      <c r="G314" s="23">
        <v>18296.5</v>
      </c>
      <c r="H314" s="23">
        <v>226.33</v>
      </c>
    </row>
    <row r="315" spans="1:8" x14ac:dyDescent="0.35">
      <c r="A315">
        <v>2020</v>
      </c>
      <c r="B315" t="s">
        <v>219</v>
      </c>
      <c r="C315" t="s">
        <v>154</v>
      </c>
      <c r="D315" t="s">
        <v>160</v>
      </c>
      <c r="E315" s="23">
        <v>1658349.46</v>
      </c>
      <c r="F315" s="23">
        <v>2247669.33</v>
      </c>
      <c r="G315" s="23">
        <v>1069842.53</v>
      </c>
      <c r="H315" s="23">
        <v>1849795.96</v>
      </c>
    </row>
    <row r="316" spans="1:8" x14ac:dyDescent="0.35">
      <c r="A316">
        <v>2020</v>
      </c>
      <c r="B316" t="s">
        <v>220</v>
      </c>
      <c r="C316" t="s">
        <v>154</v>
      </c>
      <c r="D316" t="s">
        <v>158</v>
      </c>
      <c r="E316" s="23">
        <v>1444735.18</v>
      </c>
      <c r="F316" s="23">
        <v>3498718.86</v>
      </c>
      <c r="G316" s="23">
        <v>125626</v>
      </c>
      <c r="H316" s="23">
        <v>10968</v>
      </c>
    </row>
    <row r="317" spans="1:8" x14ac:dyDescent="0.35">
      <c r="A317">
        <v>2020</v>
      </c>
      <c r="B317" t="s">
        <v>221</v>
      </c>
      <c r="C317" t="s">
        <v>154</v>
      </c>
      <c r="D317" t="s">
        <v>165</v>
      </c>
      <c r="E317" s="23">
        <v>1743.8</v>
      </c>
      <c r="F317" s="23">
        <v>5226.03</v>
      </c>
      <c r="G317" s="23">
        <v>250.97</v>
      </c>
      <c r="H317" s="23">
        <v>5226.03</v>
      </c>
    </row>
    <row r="318" spans="1:8" x14ac:dyDescent="0.35">
      <c r="A318">
        <v>2020</v>
      </c>
      <c r="B318" t="s">
        <v>223</v>
      </c>
      <c r="C318" t="s">
        <v>163</v>
      </c>
      <c r="D318" t="s">
        <v>160</v>
      </c>
      <c r="E318" s="23">
        <v>101031.09</v>
      </c>
      <c r="F318" s="23">
        <v>0</v>
      </c>
      <c r="G318" s="23">
        <v>0</v>
      </c>
      <c r="H318" s="23">
        <v>0</v>
      </c>
    </row>
    <row r="319" spans="1:8" x14ac:dyDescent="0.35">
      <c r="A319">
        <v>2020</v>
      </c>
      <c r="B319" t="s">
        <v>224</v>
      </c>
      <c r="C319" t="s">
        <v>154</v>
      </c>
      <c r="D319" t="s">
        <v>158</v>
      </c>
      <c r="E319" s="23">
        <v>165580.72</v>
      </c>
      <c r="F319" s="23">
        <v>1805543.2</v>
      </c>
      <c r="G319" s="23">
        <v>0</v>
      </c>
      <c r="H319" s="23">
        <v>0</v>
      </c>
    </row>
    <row r="320" spans="1:8" x14ac:dyDescent="0.35">
      <c r="A320">
        <v>2020</v>
      </c>
      <c r="B320" t="s">
        <v>225</v>
      </c>
      <c r="C320" t="s">
        <v>154</v>
      </c>
      <c r="D320" t="s">
        <v>160</v>
      </c>
      <c r="E320" s="23">
        <v>0</v>
      </c>
      <c r="F320" s="23">
        <v>0</v>
      </c>
      <c r="G320" s="23">
        <v>78748.240000000005</v>
      </c>
      <c r="H320" s="23">
        <v>0</v>
      </c>
    </row>
    <row r="321" spans="1:8" x14ac:dyDescent="0.35">
      <c r="A321">
        <v>2020</v>
      </c>
      <c r="B321" t="s">
        <v>226</v>
      </c>
      <c r="C321" t="s">
        <v>154</v>
      </c>
      <c r="D321" t="s">
        <v>155</v>
      </c>
      <c r="E321" s="23">
        <v>0</v>
      </c>
      <c r="F321" s="23">
        <v>0</v>
      </c>
      <c r="G321" s="23">
        <v>858.06</v>
      </c>
      <c r="H321" s="23">
        <v>682.77</v>
      </c>
    </row>
    <row r="322" spans="1:8" x14ac:dyDescent="0.35">
      <c r="A322">
        <v>2020</v>
      </c>
      <c r="B322" t="s">
        <v>227</v>
      </c>
      <c r="C322" t="s">
        <v>154</v>
      </c>
      <c r="D322" t="s">
        <v>158</v>
      </c>
      <c r="E322" s="23">
        <v>0</v>
      </c>
      <c r="F322" s="23">
        <v>0</v>
      </c>
      <c r="G322" s="23">
        <v>1127.22</v>
      </c>
      <c r="H322" s="23">
        <v>0</v>
      </c>
    </row>
    <row r="323" spans="1:8" x14ac:dyDescent="0.35">
      <c r="A323">
        <v>2020</v>
      </c>
      <c r="B323" t="s">
        <v>228</v>
      </c>
      <c r="C323" t="s">
        <v>154</v>
      </c>
      <c r="D323" t="s">
        <v>160</v>
      </c>
      <c r="E323" s="23">
        <v>8874.48</v>
      </c>
      <c r="F323" s="23">
        <v>8068.07</v>
      </c>
      <c r="G323" s="23">
        <v>0</v>
      </c>
      <c r="H323" s="23">
        <v>8068.07</v>
      </c>
    </row>
    <row r="324" spans="1:8" x14ac:dyDescent="0.35">
      <c r="A324">
        <v>2020</v>
      </c>
      <c r="B324" t="s">
        <v>229</v>
      </c>
      <c r="C324" t="s">
        <v>154</v>
      </c>
      <c r="D324" t="s">
        <v>158</v>
      </c>
      <c r="E324" s="23">
        <v>3636137.32</v>
      </c>
      <c r="F324" s="23">
        <v>3881744.65</v>
      </c>
      <c r="G324" s="23">
        <v>131507.73000000001</v>
      </c>
      <c r="H324" s="23">
        <v>1201215.96</v>
      </c>
    </row>
    <row r="325" spans="1:8" x14ac:dyDescent="0.35">
      <c r="A325">
        <v>2020</v>
      </c>
      <c r="B325" t="s">
        <v>230</v>
      </c>
      <c r="C325" t="s">
        <v>154</v>
      </c>
      <c r="D325" t="s">
        <v>155</v>
      </c>
      <c r="E325" s="23">
        <v>539531.73</v>
      </c>
      <c r="F325" s="23">
        <v>155078.6</v>
      </c>
      <c r="G325" s="23">
        <v>98504.48</v>
      </c>
      <c r="H325" s="23">
        <v>133826.6</v>
      </c>
    </row>
    <row r="326" spans="1:8" x14ac:dyDescent="0.35">
      <c r="A326">
        <v>2020</v>
      </c>
      <c r="B326" t="s">
        <v>231</v>
      </c>
      <c r="C326" t="s">
        <v>154</v>
      </c>
      <c r="D326" t="s">
        <v>160</v>
      </c>
      <c r="E326" s="23">
        <v>827173.9</v>
      </c>
      <c r="F326" s="23">
        <v>620747.53</v>
      </c>
      <c r="G326" s="23">
        <v>36070.300000000003</v>
      </c>
      <c r="H326" s="23">
        <v>86622.720000000001</v>
      </c>
    </row>
    <row r="327" spans="1:8" x14ac:dyDescent="0.35">
      <c r="A327">
        <v>2020</v>
      </c>
      <c r="B327" t="s">
        <v>232</v>
      </c>
      <c r="C327" t="s">
        <v>154</v>
      </c>
      <c r="D327" t="s">
        <v>165</v>
      </c>
      <c r="E327" s="23">
        <v>305276.58</v>
      </c>
      <c r="F327" s="23">
        <v>191582.63</v>
      </c>
      <c r="G327" s="23">
        <v>117233.38</v>
      </c>
      <c r="H327" s="23">
        <v>80141.87</v>
      </c>
    </row>
    <row r="328" spans="1:8" x14ac:dyDescent="0.35">
      <c r="A328">
        <v>2020</v>
      </c>
      <c r="B328" t="s">
        <v>233</v>
      </c>
      <c r="C328" t="s">
        <v>154</v>
      </c>
      <c r="D328" t="s">
        <v>155</v>
      </c>
      <c r="E328" s="23">
        <v>1495424</v>
      </c>
      <c r="F328" s="23">
        <v>658209.75</v>
      </c>
      <c r="G328" s="23">
        <v>218768.04</v>
      </c>
      <c r="H328" s="23">
        <v>138245.19</v>
      </c>
    </row>
    <row r="329" spans="1:8" x14ac:dyDescent="0.35">
      <c r="A329">
        <v>2020</v>
      </c>
      <c r="B329" t="s">
        <v>234</v>
      </c>
      <c r="C329" t="s">
        <v>154</v>
      </c>
      <c r="D329" t="s">
        <v>160</v>
      </c>
      <c r="E329" s="23">
        <v>677417.49</v>
      </c>
      <c r="F329" s="23">
        <v>1483824.16</v>
      </c>
      <c r="G329" s="23">
        <v>4920.09</v>
      </c>
      <c r="H329" s="23">
        <v>2494</v>
      </c>
    </row>
    <row r="330" spans="1:8" x14ac:dyDescent="0.35">
      <c r="A330">
        <v>2020</v>
      </c>
      <c r="B330" t="s">
        <v>235</v>
      </c>
      <c r="C330" t="s">
        <v>154</v>
      </c>
      <c r="D330" t="s">
        <v>160</v>
      </c>
      <c r="E330" s="23">
        <v>20512.52</v>
      </c>
      <c r="F330" s="23">
        <v>1329.95</v>
      </c>
      <c r="G330" s="23">
        <v>6893.02</v>
      </c>
      <c r="H330" s="23">
        <v>1329.95</v>
      </c>
    </row>
    <row r="331" spans="1:8" x14ac:dyDescent="0.35">
      <c r="A331">
        <v>2020</v>
      </c>
      <c r="B331" t="s">
        <v>236</v>
      </c>
      <c r="C331" t="s">
        <v>154</v>
      </c>
      <c r="D331" t="s">
        <v>160</v>
      </c>
      <c r="E331" s="23">
        <v>394104.38</v>
      </c>
      <c r="F331" s="23">
        <v>180387.3</v>
      </c>
      <c r="G331" s="23">
        <v>270829.09999999998</v>
      </c>
      <c r="H331" s="23">
        <v>169908.55</v>
      </c>
    </row>
    <row r="332" spans="1:8" x14ac:dyDescent="0.35">
      <c r="A332">
        <v>2020</v>
      </c>
      <c r="B332" t="s">
        <v>237</v>
      </c>
      <c r="C332" t="s">
        <v>163</v>
      </c>
      <c r="D332" t="s">
        <v>158</v>
      </c>
      <c r="E332" s="23">
        <v>781033.18</v>
      </c>
      <c r="F332" s="23">
        <v>1764309.51</v>
      </c>
      <c r="G332" s="23">
        <v>56721.36</v>
      </c>
      <c r="H332" s="23">
        <v>195370.79</v>
      </c>
    </row>
    <row r="333" spans="1:8" x14ac:dyDescent="0.35">
      <c r="A333">
        <v>2020</v>
      </c>
      <c r="B333" t="s">
        <v>238</v>
      </c>
      <c r="C333" t="s">
        <v>154</v>
      </c>
      <c r="D333" t="s">
        <v>155</v>
      </c>
      <c r="E333" s="23">
        <v>0</v>
      </c>
      <c r="F333" s="23">
        <v>0</v>
      </c>
      <c r="G333" s="23">
        <v>34259.64</v>
      </c>
      <c r="H333" s="23">
        <v>16973.5</v>
      </c>
    </row>
    <row r="334" spans="1:8" x14ac:dyDescent="0.35">
      <c r="A334">
        <v>2020</v>
      </c>
      <c r="B334" t="s">
        <v>239</v>
      </c>
      <c r="C334" t="s">
        <v>154</v>
      </c>
      <c r="D334" t="s">
        <v>158</v>
      </c>
      <c r="E334" s="23">
        <v>181797.99</v>
      </c>
      <c r="F334" s="23">
        <v>38918</v>
      </c>
      <c r="G334" s="23">
        <v>582.72</v>
      </c>
      <c r="H334" s="23">
        <v>0</v>
      </c>
    </row>
    <row r="335" spans="1:8" x14ac:dyDescent="0.35">
      <c r="A335">
        <v>2020</v>
      </c>
      <c r="B335" t="s">
        <v>240</v>
      </c>
      <c r="C335" t="s">
        <v>154</v>
      </c>
      <c r="D335" t="s">
        <v>155</v>
      </c>
      <c r="E335" s="23">
        <v>215049.01</v>
      </c>
      <c r="F335" s="23">
        <v>65752.67</v>
      </c>
      <c r="G335" s="23">
        <v>7480</v>
      </c>
      <c r="H335" s="23">
        <v>13974.45</v>
      </c>
    </row>
    <row r="336" spans="1:8" x14ac:dyDescent="0.35">
      <c r="A336">
        <v>2020</v>
      </c>
      <c r="B336" t="s">
        <v>241</v>
      </c>
      <c r="C336" t="s">
        <v>154</v>
      </c>
      <c r="D336" t="s">
        <v>155</v>
      </c>
      <c r="E336" s="23">
        <v>553430.68000000005</v>
      </c>
      <c r="F336" s="23">
        <v>192374.59</v>
      </c>
      <c r="G336" s="23">
        <v>424181.98</v>
      </c>
      <c r="H336" s="23">
        <v>121545.18</v>
      </c>
    </row>
    <row r="337" spans="1:8" x14ac:dyDescent="0.35">
      <c r="A337">
        <v>2020</v>
      </c>
      <c r="B337" t="s">
        <v>242</v>
      </c>
      <c r="C337" t="s">
        <v>154</v>
      </c>
      <c r="D337" t="s">
        <v>160</v>
      </c>
      <c r="E337" s="23">
        <v>411600.65</v>
      </c>
      <c r="F337" s="23">
        <v>1481812.69</v>
      </c>
      <c r="G337" s="23">
        <v>347025.43</v>
      </c>
      <c r="H337" s="23">
        <v>960983.06</v>
      </c>
    </row>
    <row r="338" spans="1:8" x14ac:dyDescent="0.35">
      <c r="A338">
        <v>2020</v>
      </c>
      <c r="B338" t="s">
        <v>243</v>
      </c>
      <c r="C338" t="s">
        <v>154</v>
      </c>
      <c r="D338" t="s">
        <v>165</v>
      </c>
      <c r="E338" s="23">
        <v>220132.2</v>
      </c>
      <c r="F338" s="23">
        <v>597478.99</v>
      </c>
      <c r="G338" s="23">
        <v>0</v>
      </c>
      <c r="H338" s="23">
        <v>27609.08</v>
      </c>
    </row>
    <row r="339" spans="1:8" x14ac:dyDescent="0.35">
      <c r="A339">
        <v>2020</v>
      </c>
      <c r="B339" t="s">
        <v>245</v>
      </c>
      <c r="C339" t="s">
        <v>154</v>
      </c>
      <c r="D339" t="s">
        <v>155</v>
      </c>
      <c r="E339" s="23">
        <v>1282968.1000000001</v>
      </c>
      <c r="F339" s="23">
        <v>822343.23</v>
      </c>
      <c r="G339" s="23">
        <v>12223</v>
      </c>
      <c r="H339" s="23">
        <v>194087</v>
      </c>
    </row>
    <row r="340" spans="1:8" x14ac:dyDescent="0.35">
      <c r="A340">
        <v>2020</v>
      </c>
      <c r="B340" t="s">
        <v>246</v>
      </c>
      <c r="C340" t="s">
        <v>154</v>
      </c>
      <c r="D340" t="s">
        <v>155</v>
      </c>
      <c r="E340" s="23">
        <v>719910.86</v>
      </c>
      <c r="F340" s="23">
        <v>752852.62</v>
      </c>
      <c r="G340" s="23">
        <v>330135.15000000002</v>
      </c>
      <c r="H340" s="23">
        <v>690044.27</v>
      </c>
    </row>
    <row r="341" spans="1:8" x14ac:dyDescent="0.35">
      <c r="A341">
        <v>2020</v>
      </c>
      <c r="B341" t="s">
        <v>247</v>
      </c>
      <c r="C341" t="s">
        <v>154</v>
      </c>
      <c r="D341" t="s">
        <v>160</v>
      </c>
      <c r="E341" s="23">
        <v>833827.44</v>
      </c>
      <c r="F341" s="23">
        <v>2091984.32</v>
      </c>
      <c r="G341" s="23">
        <v>363243.18</v>
      </c>
      <c r="H341" s="23">
        <v>264051.94</v>
      </c>
    </row>
    <row r="342" spans="1:8" x14ac:dyDescent="0.35">
      <c r="A342">
        <v>2020</v>
      </c>
      <c r="B342" t="s">
        <v>248</v>
      </c>
      <c r="C342" t="s">
        <v>154</v>
      </c>
      <c r="D342" t="s">
        <v>160</v>
      </c>
      <c r="E342" s="23">
        <v>750188.2</v>
      </c>
      <c r="F342" s="23">
        <v>2458580.86</v>
      </c>
      <c r="G342" s="23">
        <v>245051.88</v>
      </c>
      <c r="H342" s="23">
        <v>999138.35</v>
      </c>
    </row>
    <row r="343" spans="1:8" x14ac:dyDescent="0.35">
      <c r="A343">
        <v>2020</v>
      </c>
      <c r="B343" t="s">
        <v>249</v>
      </c>
      <c r="C343" t="s">
        <v>154</v>
      </c>
      <c r="D343" t="s">
        <v>160</v>
      </c>
      <c r="E343" s="23">
        <v>2175682.61</v>
      </c>
      <c r="F343" s="23">
        <v>9147905.0800000001</v>
      </c>
      <c r="G343" s="23">
        <v>257578.34</v>
      </c>
      <c r="H343" s="23">
        <v>1270304.67</v>
      </c>
    </row>
    <row r="344" spans="1:8" x14ac:dyDescent="0.35">
      <c r="A344">
        <v>2020</v>
      </c>
      <c r="B344" t="s">
        <v>250</v>
      </c>
      <c r="C344" t="s">
        <v>154</v>
      </c>
      <c r="D344" t="s">
        <v>158</v>
      </c>
      <c r="E344" s="23">
        <v>1215423.77</v>
      </c>
      <c r="F344" s="23">
        <v>338142.64</v>
      </c>
      <c r="G344" s="23">
        <v>649398.49</v>
      </c>
      <c r="H344" s="23">
        <v>439.01</v>
      </c>
    </row>
    <row r="345" spans="1:8" x14ac:dyDescent="0.35">
      <c r="A345">
        <v>2020</v>
      </c>
      <c r="B345" t="s">
        <v>251</v>
      </c>
      <c r="C345" t="s">
        <v>163</v>
      </c>
      <c r="D345" t="s">
        <v>158</v>
      </c>
      <c r="E345" s="23">
        <v>1316474.6000000001</v>
      </c>
      <c r="F345" s="23">
        <v>3073419.72</v>
      </c>
      <c r="G345" s="23">
        <v>160209.88</v>
      </c>
      <c r="H345" s="23">
        <v>479603.17</v>
      </c>
    </row>
    <row r="346" spans="1:8" x14ac:dyDescent="0.35">
      <c r="A346">
        <v>2020</v>
      </c>
      <c r="B346" t="s">
        <v>252</v>
      </c>
      <c r="C346" t="s">
        <v>154</v>
      </c>
      <c r="D346" t="s">
        <v>160</v>
      </c>
      <c r="E346" s="23">
        <v>0</v>
      </c>
      <c r="F346" s="23">
        <v>0</v>
      </c>
      <c r="G346" s="23">
        <v>0</v>
      </c>
      <c r="H346" s="23">
        <v>0</v>
      </c>
    </row>
    <row r="347" spans="1:8" x14ac:dyDescent="0.35">
      <c r="A347">
        <v>2020</v>
      </c>
      <c r="B347" t="s">
        <v>253</v>
      </c>
      <c r="C347" t="s">
        <v>154</v>
      </c>
      <c r="D347" t="s">
        <v>160</v>
      </c>
      <c r="E347" s="23">
        <v>0</v>
      </c>
      <c r="F347" s="23">
        <v>0</v>
      </c>
      <c r="G347" s="23">
        <v>308631.05</v>
      </c>
      <c r="H347" s="23">
        <v>72951.03</v>
      </c>
    </row>
    <row r="348" spans="1:8" x14ac:dyDescent="0.35">
      <c r="A348">
        <v>2020</v>
      </c>
      <c r="B348" t="s">
        <v>254</v>
      </c>
      <c r="C348" t="s">
        <v>154</v>
      </c>
      <c r="D348" t="s">
        <v>155</v>
      </c>
      <c r="E348" s="23">
        <v>2565192.29</v>
      </c>
      <c r="F348" s="23">
        <v>2698474.07</v>
      </c>
      <c r="G348" s="23">
        <v>371765.07</v>
      </c>
      <c r="H348" s="23">
        <v>434501.64</v>
      </c>
    </row>
    <row r="349" spans="1:8" x14ac:dyDescent="0.35">
      <c r="A349">
        <v>2020</v>
      </c>
      <c r="B349" t="s">
        <v>255</v>
      </c>
      <c r="C349" t="s">
        <v>154</v>
      </c>
      <c r="D349" t="s">
        <v>160</v>
      </c>
      <c r="E349" s="23">
        <v>309605.11</v>
      </c>
      <c r="F349" s="23">
        <v>30740.75</v>
      </c>
      <c r="G349" s="23">
        <v>128884.03</v>
      </c>
      <c r="H349" s="23">
        <v>12255.75</v>
      </c>
    </row>
    <row r="350" spans="1:8" x14ac:dyDescent="0.35">
      <c r="A350">
        <v>2020</v>
      </c>
      <c r="B350" t="s">
        <v>256</v>
      </c>
      <c r="C350" t="s">
        <v>154</v>
      </c>
      <c r="D350" t="s">
        <v>158</v>
      </c>
      <c r="E350" s="23">
        <v>337757.6</v>
      </c>
      <c r="F350" s="23">
        <v>2865279.66</v>
      </c>
      <c r="G350" s="23">
        <v>13395.52</v>
      </c>
      <c r="H350" s="23">
        <v>140790.87</v>
      </c>
    </row>
    <row r="351" spans="1:8" x14ac:dyDescent="0.35">
      <c r="A351">
        <v>2020</v>
      </c>
      <c r="B351" t="s">
        <v>257</v>
      </c>
      <c r="C351" t="s">
        <v>154</v>
      </c>
      <c r="D351" t="s">
        <v>160</v>
      </c>
      <c r="E351" s="23">
        <v>328584.83</v>
      </c>
      <c r="F351" s="23">
        <v>0</v>
      </c>
      <c r="G351" s="23">
        <v>0</v>
      </c>
      <c r="H351" s="23">
        <v>0</v>
      </c>
    </row>
    <row r="352" spans="1:8" x14ac:dyDescent="0.35">
      <c r="A352">
        <v>2020</v>
      </c>
      <c r="B352" t="s">
        <v>258</v>
      </c>
      <c r="C352" t="s">
        <v>154</v>
      </c>
      <c r="D352" t="s">
        <v>160</v>
      </c>
      <c r="E352" s="23">
        <v>3861936.2</v>
      </c>
      <c r="F352" s="23">
        <v>3121743.55</v>
      </c>
      <c r="G352" s="23">
        <v>2777579.44</v>
      </c>
      <c r="H352" s="23">
        <v>1952470.6</v>
      </c>
    </row>
    <row r="353" spans="1:8" x14ac:dyDescent="0.35">
      <c r="A353">
        <v>2020</v>
      </c>
      <c r="B353" t="s">
        <v>259</v>
      </c>
      <c r="C353" t="s">
        <v>154</v>
      </c>
      <c r="D353" t="s">
        <v>165</v>
      </c>
      <c r="E353" s="23">
        <v>1898676.87</v>
      </c>
      <c r="F353" s="23">
        <v>1987983.48</v>
      </c>
      <c r="G353" s="23">
        <v>431388.99</v>
      </c>
      <c r="H353" s="23">
        <v>292549.78999999998</v>
      </c>
    </row>
    <row r="354" spans="1:8" x14ac:dyDescent="0.35">
      <c r="A354">
        <v>2020</v>
      </c>
      <c r="B354" t="s">
        <v>260</v>
      </c>
      <c r="C354" t="s">
        <v>154</v>
      </c>
      <c r="D354" t="s">
        <v>158</v>
      </c>
      <c r="E354" s="23">
        <v>351496.39</v>
      </c>
      <c r="F354" s="23">
        <v>4699.8500000000004</v>
      </c>
      <c r="G354" s="23">
        <v>341988.17</v>
      </c>
      <c r="H354" s="23">
        <v>4699.8500000000004</v>
      </c>
    </row>
    <row r="355" spans="1:8" x14ac:dyDescent="0.35">
      <c r="A355">
        <v>2020</v>
      </c>
      <c r="B355" t="s">
        <v>261</v>
      </c>
      <c r="C355" t="s">
        <v>154</v>
      </c>
      <c r="D355" t="s">
        <v>158</v>
      </c>
      <c r="E355" s="23">
        <v>110790.73</v>
      </c>
      <c r="F355" s="23">
        <v>40180.33</v>
      </c>
      <c r="G355" s="23">
        <v>0</v>
      </c>
      <c r="H355" s="23">
        <v>0</v>
      </c>
    </row>
    <row r="356" spans="1:8" x14ac:dyDescent="0.35">
      <c r="A356">
        <v>2020</v>
      </c>
      <c r="B356" t="s">
        <v>262</v>
      </c>
      <c r="C356" t="s">
        <v>154</v>
      </c>
      <c r="D356" t="s">
        <v>155</v>
      </c>
      <c r="E356" s="23">
        <v>20402.68</v>
      </c>
      <c r="F356" s="23">
        <v>70.97</v>
      </c>
      <c r="G356" s="23">
        <v>15636.88</v>
      </c>
      <c r="H356" s="23">
        <v>70.97</v>
      </c>
    </row>
    <row r="357" spans="1:8" x14ac:dyDescent="0.35">
      <c r="A357">
        <v>2020</v>
      </c>
      <c r="B357" t="s">
        <v>264</v>
      </c>
      <c r="C357" t="s">
        <v>154</v>
      </c>
      <c r="D357" t="s">
        <v>160</v>
      </c>
      <c r="E357" s="23">
        <v>281582.84000000003</v>
      </c>
      <c r="F357" s="23">
        <v>234417.16</v>
      </c>
      <c r="G357" s="23">
        <v>0</v>
      </c>
      <c r="H357" s="23">
        <v>0</v>
      </c>
    </row>
    <row r="358" spans="1:8" x14ac:dyDescent="0.35">
      <c r="A358">
        <v>2020</v>
      </c>
      <c r="B358" t="s">
        <v>265</v>
      </c>
      <c r="C358" t="s">
        <v>154</v>
      </c>
      <c r="D358" t="s">
        <v>158</v>
      </c>
      <c r="E358" s="23">
        <v>80342.86</v>
      </c>
      <c r="F358" s="23">
        <v>64466.7</v>
      </c>
      <c r="G358" s="23">
        <v>34983</v>
      </c>
      <c r="H358" s="23">
        <v>38269.56</v>
      </c>
    </row>
    <row r="359" spans="1:8" x14ac:dyDescent="0.35">
      <c r="A359">
        <v>2020</v>
      </c>
      <c r="B359" t="s">
        <v>266</v>
      </c>
      <c r="C359" t="s">
        <v>154</v>
      </c>
      <c r="D359" t="s">
        <v>158</v>
      </c>
      <c r="E359" s="23">
        <v>559109.80000000005</v>
      </c>
      <c r="F359" s="23">
        <v>287982.36</v>
      </c>
      <c r="G359" s="23">
        <v>337063.91</v>
      </c>
      <c r="H359" s="23">
        <v>286081.26</v>
      </c>
    </row>
    <row r="360" spans="1:8" x14ac:dyDescent="0.35">
      <c r="A360">
        <v>2020</v>
      </c>
      <c r="B360" t="s">
        <v>267</v>
      </c>
      <c r="C360" t="s">
        <v>154</v>
      </c>
      <c r="D360" t="s">
        <v>160</v>
      </c>
      <c r="E360" s="23">
        <v>246314.91</v>
      </c>
      <c r="F360" s="23">
        <v>92506.77</v>
      </c>
      <c r="G360" s="23">
        <v>5735</v>
      </c>
      <c r="H360" s="23">
        <v>380</v>
      </c>
    </row>
    <row r="361" spans="1:8" x14ac:dyDescent="0.35">
      <c r="A361">
        <v>2020</v>
      </c>
      <c r="B361" t="s">
        <v>268</v>
      </c>
      <c r="C361" t="s">
        <v>154</v>
      </c>
      <c r="D361" t="s">
        <v>160</v>
      </c>
      <c r="E361" s="23">
        <v>0</v>
      </c>
      <c r="F361" s="23">
        <v>0</v>
      </c>
      <c r="G361" s="23">
        <v>0</v>
      </c>
      <c r="H361" s="23">
        <v>2240.06</v>
      </c>
    </row>
    <row r="362" spans="1:8" x14ac:dyDescent="0.35">
      <c r="A362">
        <v>2020</v>
      </c>
      <c r="B362" t="s">
        <v>269</v>
      </c>
      <c r="C362" t="s">
        <v>154</v>
      </c>
      <c r="D362" t="s">
        <v>160</v>
      </c>
      <c r="E362" s="23">
        <v>927997.94</v>
      </c>
      <c r="F362" s="23">
        <v>996702.52</v>
      </c>
      <c r="G362" s="23">
        <v>18961.21</v>
      </c>
      <c r="H362" s="23">
        <v>2521.21</v>
      </c>
    </row>
    <row r="363" spans="1:8" x14ac:dyDescent="0.35">
      <c r="A363">
        <v>2020</v>
      </c>
      <c r="B363" t="s">
        <v>270</v>
      </c>
      <c r="C363" t="s">
        <v>154</v>
      </c>
      <c r="D363" t="s">
        <v>160</v>
      </c>
      <c r="E363" s="23">
        <v>2813801.22</v>
      </c>
      <c r="F363" s="23">
        <v>682832.84</v>
      </c>
      <c r="G363" s="23">
        <v>9661.9599999999991</v>
      </c>
      <c r="H363" s="23">
        <v>0</v>
      </c>
    </row>
    <row r="364" spans="1:8" x14ac:dyDescent="0.35">
      <c r="A364">
        <v>2020</v>
      </c>
      <c r="B364" t="s">
        <v>271</v>
      </c>
      <c r="C364" t="s">
        <v>154</v>
      </c>
      <c r="D364" t="s">
        <v>158</v>
      </c>
      <c r="E364" s="23">
        <v>290212.88</v>
      </c>
      <c r="F364" s="23">
        <v>2455023.6</v>
      </c>
      <c r="G364" s="23">
        <v>0</v>
      </c>
      <c r="H364" s="23">
        <v>719450</v>
      </c>
    </row>
    <row r="365" spans="1:8" x14ac:dyDescent="0.35">
      <c r="A365">
        <v>2020</v>
      </c>
      <c r="B365" t="s">
        <v>272</v>
      </c>
      <c r="C365" t="s">
        <v>154</v>
      </c>
      <c r="D365" t="s">
        <v>160</v>
      </c>
      <c r="E365" s="23">
        <v>1172550.8700000001</v>
      </c>
      <c r="F365" s="23">
        <v>1238088.81</v>
      </c>
      <c r="G365" s="23">
        <v>22411.919999999998</v>
      </c>
      <c r="H365" s="23">
        <v>112420</v>
      </c>
    </row>
    <row r="366" spans="1:8" x14ac:dyDescent="0.35">
      <c r="A366">
        <v>2020</v>
      </c>
      <c r="B366" t="s">
        <v>273</v>
      </c>
      <c r="C366" t="s">
        <v>154</v>
      </c>
      <c r="D366" t="s">
        <v>155</v>
      </c>
      <c r="E366" s="23">
        <v>531038.19999999995</v>
      </c>
      <c r="F366" s="23">
        <v>5468822.9000000004</v>
      </c>
      <c r="G366" s="23">
        <v>392169.44</v>
      </c>
      <c r="H366" s="23">
        <v>4331570.9000000004</v>
      </c>
    </row>
    <row r="367" spans="1:8" x14ac:dyDescent="0.35">
      <c r="A367">
        <v>2020</v>
      </c>
      <c r="B367" t="s">
        <v>274</v>
      </c>
      <c r="C367" t="s">
        <v>154</v>
      </c>
      <c r="D367" t="s">
        <v>160</v>
      </c>
      <c r="E367" s="23">
        <v>0</v>
      </c>
      <c r="F367" s="23">
        <v>0</v>
      </c>
      <c r="G367" s="23">
        <v>96584.58</v>
      </c>
      <c r="H367" s="23">
        <v>289899.21999999997</v>
      </c>
    </row>
    <row r="368" spans="1:8" x14ac:dyDescent="0.35">
      <c r="A368">
        <v>2020</v>
      </c>
      <c r="B368" t="s">
        <v>275</v>
      </c>
      <c r="C368" t="s">
        <v>154</v>
      </c>
      <c r="D368" t="s">
        <v>160</v>
      </c>
      <c r="E368" s="23">
        <v>0</v>
      </c>
      <c r="F368" s="23">
        <v>0</v>
      </c>
      <c r="G368" s="23">
        <v>0</v>
      </c>
      <c r="H368" s="23">
        <v>0</v>
      </c>
    </row>
    <row r="369" spans="1:8" x14ac:dyDescent="0.35">
      <c r="A369">
        <v>2020</v>
      </c>
      <c r="B369" t="s">
        <v>276</v>
      </c>
      <c r="C369" t="s">
        <v>154</v>
      </c>
      <c r="D369" t="s">
        <v>158</v>
      </c>
      <c r="E369" s="23">
        <v>300606.05</v>
      </c>
      <c r="F369" s="23">
        <v>156707.57</v>
      </c>
      <c r="G369" s="23">
        <v>6177.51</v>
      </c>
      <c r="H369" s="23">
        <v>117726.57</v>
      </c>
    </row>
    <row r="370" spans="1:8" x14ac:dyDescent="0.35">
      <c r="A370">
        <v>2020</v>
      </c>
      <c r="B370" t="s">
        <v>277</v>
      </c>
      <c r="C370" t="s">
        <v>154</v>
      </c>
      <c r="D370" t="s">
        <v>155</v>
      </c>
      <c r="E370" s="23">
        <v>101667.12</v>
      </c>
      <c r="F370" s="23">
        <v>117434.06</v>
      </c>
      <c r="G370" s="23">
        <v>23706.15</v>
      </c>
      <c r="H370" s="23">
        <v>59149.68</v>
      </c>
    </row>
    <row r="371" spans="1:8" x14ac:dyDescent="0.35">
      <c r="A371">
        <v>2020</v>
      </c>
      <c r="B371" t="s">
        <v>278</v>
      </c>
      <c r="C371" t="s">
        <v>154</v>
      </c>
      <c r="D371" t="s">
        <v>155</v>
      </c>
      <c r="E371" s="23">
        <v>123232.36</v>
      </c>
      <c r="F371" s="23">
        <v>12166.62</v>
      </c>
      <c r="G371" s="23">
        <v>0</v>
      </c>
      <c r="H371" s="23">
        <v>12166.62</v>
      </c>
    </row>
    <row r="372" spans="1:8" x14ac:dyDescent="0.35">
      <c r="A372">
        <v>2020</v>
      </c>
      <c r="B372" t="s">
        <v>279</v>
      </c>
      <c r="C372" t="s">
        <v>154</v>
      </c>
      <c r="D372" t="s">
        <v>155</v>
      </c>
      <c r="E372" s="23">
        <v>1406214.75</v>
      </c>
      <c r="F372" s="23">
        <v>1130905.3999999999</v>
      </c>
      <c r="G372" s="23">
        <v>211697.37</v>
      </c>
      <c r="H372" s="23">
        <v>37489.78</v>
      </c>
    </row>
    <row r="373" spans="1:8" x14ac:dyDescent="0.35">
      <c r="A373">
        <v>2020</v>
      </c>
      <c r="B373" t="s">
        <v>280</v>
      </c>
      <c r="C373" t="s">
        <v>154</v>
      </c>
      <c r="D373" t="s">
        <v>160</v>
      </c>
      <c r="E373" s="23">
        <v>370350.24</v>
      </c>
      <c r="F373" s="23">
        <v>1026398.4</v>
      </c>
      <c r="G373" s="23">
        <v>241290.23</v>
      </c>
      <c r="H373" s="23">
        <v>481328.53</v>
      </c>
    </row>
    <row r="374" spans="1:8" x14ac:dyDescent="0.35">
      <c r="A374">
        <v>2020</v>
      </c>
      <c r="B374" t="s">
        <v>281</v>
      </c>
      <c r="C374" t="s">
        <v>154</v>
      </c>
      <c r="D374" t="s">
        <v>158</v>
      </c>
      <c r="E374" s="23">
        <v>391034.98</v>
      </c>
      <c r="F374" s="23">
        <v>574379.75</v>
      </c>
      <c r="G374" s="23">
        <v>25000</v>
      </c>
      <c r="H374" s="23">
        <v>0</v>
      </c>
    </row>
    <row r="375" spans="1:8" x14ac:dyDescent="0.35">
      <c r="A375">
        <v>2020</v>
      </c>
      <c r="B375" t="s">
        <v>282</v>
      </c>
      <c r="C375" t="s">
        <v>154</v>
      </c>
      <c r="D375" t="s">
        <v>160</v>
      </c>
      <c r="E375" s="23">
        <v>1282421.8400000001</v>
      </c>
      <c r="F375" s="23">
        <v>2938946.27</v>
      </c>
      <c r="G375" s="23">
        <v>932169.57</v>
      </c>
      <c r="H375" s="23">
        <v>2648513.7000000002</v>
      </c>
    </row>
    <row r="376" spans="1:8" x14ac:dyDescent="0.35">
      <c r="A376">
        <v>2020</v>
      </c>
      <c r="B376" t="s">
        <v>283</v>
      </c>
      <c r="C376" t="s">
        <v>154</v>
      </c>
      <c r="D376" t="s">
        <v>155</v>
      </c>
      <c r="E376" s="23">
        <v>2227426.0699999998</v>
      </c>
      <c r="F376" s="23">
        <v>6234792.29</v>
      </c>
      <c r="G376" s="23">
        <v>901899.31</v>
      </c>
      <c r="H376" s="23">
        <v>1301065.76</v>
      </c>
    </row>
    <row r="377" spans="1:8" x14ac:dyDescent="0.35">
      <c r="A377">
        <v>2020</v>
      </c>
      <c r="B377" t="s">
        <v>284</v>
      </c>
      <c r="C377" t="s">
        <v>154</v>
      </c>
      <c r="D377" t="s">
        <v>158</v>
      </c>
      <c r="E377" s="23">
        <v>127524.77</v>
      </c>
      <c r="F377" s="23">
        <v>58743.42</v>
      </c>
      <c r="G377" s="23">
        <v>9204.48</v>
      </c>
      <c r="H377" s="23">
        <v>0</v>
      </c>
    </row>
    <row r="378" spans="1:8" x14ac:dyDescent="0.35">
      <c r="A378">
        <v>2020</v>
      </c>
      <c r="B378" t="s">
        <v>285</v>
      </c>
      <c r="C378" t="s">
        <v>154</v>
      </c>
      <c r="D378" t="s">
        <v>155</v>
      </c>
      <c r="E378" s="23">
        <v>233813.79</v>
      </c>
      <c r="F378" s="23">
        <v>4216</v>
      </c>
      <c r="G378" s="23">
        <v>0</v>
      </c>
      <c r="H378" s="23">
        <v>0</v>
      </c>
    </row>
    <row r="379" spans="1:8" x14ac:dyDescent="0.35">
      <c r="A379">
        <v>2020</v>
      </c>
      <c r="B379" t="s">
        <v>286</v>
      </c>
      <c r="C379" t="s">
        <v>163</v>
      </c>
      <c r="D379" t="s">
        <v>160</v>
      </c>
      <c r="E379" s="23">
        <v>28993.38</v>
      </c>
      <c r="F379" s="23">
        <v>24086.49</v>
      </c>
      <c r="G379" s="23">
        <v>22704</v>
      </c>
      <c r="H379" s="23">
        <v>24086.49</v>
      </c>
    </row>
    <row r="380" spans="1:8" x14ac:dyDescent="0.35">
      <c r="A380">
        <v>2020</v>
      </c>
      <c r="B380" t="s">
        <v>287</v>
      </c>
      <c r="C380" t="s">
        <v>154</v>
      </c>
      <c r="D380" t="s">
        <v>158</v>
      </c>
      <c r="E380" s="23">
        <v>547131.35</v>
      </c>
      <c r="F380" s="23">
        <v>921592.48</v>
      </c>
      <c r="G380" s="23">
        <v>106187.45</v>
      </c>
      <c r="H380" s="23">
        <v>474289.32</v>
      </c>
    </row>
    <row r="381" spans="1:8" x14ac:dyDescent="0.35">
      <c r="A381">
        <v>2020</v>
      </c>
      <c r="B381" t="s">
        <v>289</v>
      </c>
      <c r="C381" t="s">
        <v>154</v>
      </c>
      <c r="D381" t="s">
        <v>160</v>
      </c>
      <c r="E381" s="23">
        <v>1568417.09</v>
      </c>
      <c r="F381" s="23">
        <v>2547623.98</v>
      </c>
      <c r="G381" s="23">
        <v>0</v>
      </c>
      <c r="H381" s="23">
        <v>0</v>
      </c>
    </row>
    <row r="382" spans="1:8" x14ac:dyDescent="0.35">
      <c r="A382">
        <v>2020</v>
      </c>
      <c r="B382" t="s">
        <v>290</v>
      </c>
      <c r="C382" t="s">
        <v>154</v>
      </c>
      <c r="D382" t="s">
        <v>155</v>
      </c>
      <c r="E382" s="23">
        <v>217877.95</v>
      </c>
      <c r="F382" s="23">
        <v>931</v>
      </c>
      <c r="G382" s="23">
        <v>3429</v>
      </c>
      <c r="H382" s="23">
        <v>0</v>
      </c>
    </row>
    <row r="383" spans="1:8" x14ac:dyDescent="0.35">
      <c r="A383">
        <v>2020</v>
      </c>
      <c r="B383" t="s">
        <v>291</v>
      </c>
      <c r="C383" t="s">
        <v>154</v>
      </c>
      <c r="D383" t="s">
        <v>158</v>
      </c>
      <c r="E383" s="23">
        <v>564484.04</v>
      </c>
      <c r="F383" s="23">
        <v>51444.08</v>
      </c>
      <c r="G383" s="23">
        <v>193473.36</v>
      </c>
      <c r="H383" s="23">
        <v>32499.74</v>
      </c>
    </row>
    <row r="384" spans="1:8" x14ac:dyDescent="0.35">
      <c r="A384">
        <v>2020</v>
      </c>
      <c r="B384" t="s">
        <v>296</v>
      </c>
      <c r="C384" t="s">
        <v>154</v>
      </c>
      <c r="D384" t="s">
        <v>155</v>
      </c>
      <c r="E384" s="23">
        <v>5398.05</v>
      </c>
      <c r="F384" s="23">
        <v>270029.38</v>
      </c>
      <c r="G384" s="23">
        <v>5398.05</v>
      </c>
      <c r="H384" s="23">
        <v>231600.34</v>
      </c>
    </row>
    <row r="385" spans="1:8" x14ac:dyDescent="0.35">
      <c r="A385">
        <v>2020</v>
      </c>
      <c r="B385" t="s">
        <v>292</v>
      </c>
      <c r="C385" t="s">
        <v>154</v>
      </c>
      <c r="D385" t="s">
        <v>160</v>
      </c>
      <c r="E385" s="23">
        <v>51319.57</v>
      </c>
      <c r="F385" s="23">
        <v>31532.89</v>
      </c>
      <c r="G385" s="23">
        <v>2239.6999999999998</v>
      </c>
      <c r="H385" s="23">
        <v>1961.85</v>
      </c>
    </row>
    <row r="386" spans="1:8" x14ac:dyDescent="0.35">
      <c r="A386">
        <v>2020</v>
      </c>
      <c r="B386" t="s">
        <v>293</v>
      </c>
      <c r="C386" t="s">
        <v>154</v>
      </c>
      <c r="D386" t="s">
        <v>158</v>
      </c>
      <c r="E386" s="23">
        <v>605849.85</v>
      </c>
      <c r="F386" s="23">
        <v>13961.66</v>
      </c>
      <c r="G386" s="23">
        <v>0</v>
      </c>
      <c r="H386" s="23">
        <v>5000</v>
      </c>
    </row>
    <row r="387" spans="1:8" x14ac:dyDescent="0.35">
      <c r="A387">
        <v>2020</v>
      </c>
      <c r="B387" t="s">
        <v>294</v>
      </c>
      <c r="C387" t="s">
        <v>154</v>
      </c>
      <c r="D387" t="s">
        <v>155</v>
      </c>
      <c r="E387" s="23">
        <v>59725.34</v>
      </c>
      <c r="F387" s="23">
        <v>106522.97</v>
      </c>
      <c r="G387" s="23">
        <v>0</v>
      </c>
      <c r="H387" s="23">
        <v>0</v>
      </c>
    </row>
    <row r="388" spans="1:8" x14ac:dyDescent="0.35">
      <c r="A388">
        <v>2020</v>
      </c>
      <c r="B388" t="s">
        <v>295</v>
      </c>
      <c r="C388" t="s">
        <v>154</v>
      </c>
      <c r="D388" t="s">
        <v>158</v>
      </c>
      <c r="E388" s="23">
        <v>61277448.969999999</v>
      </c>
      <c r="F388" s="23">
        <v>77909965.545000002</v>
      </c>
      <c r="G388" s="23">
        <v>18971517.98</v>
      </c>
      <c r="H388" s="23">
        <v>363586.83</v>
      </c>
    </row>
    <row r="389" spans="1:8" x14ac:dyDescent="0.35">
      <c r="A389">
        <v>2019</v>
      </c>
      <c r="B389" t="s">
        <v>153</v>
      </c>
      <c r="C389" t="s">
        <v>154</v>
      </c>
      <c r="D389" t="s">
        <v>155</v>
      </c>
      <c r="E389" s="23">
        <v>1434098.0633</v>
      </c>
      <c r="F389" s="23">
        <v>1261415.5134000001</v>
      </c>
      <c r="G389" s="23">
        <v>759413.59</v>
      </c>
      <c r="H389" s="23">
        <v>223617.84</v>
      </c>
    </row>
    <row r="390" spans="1:8" x14ac:dyDescent="0.35">
      <c r="A390">
        <v>2019</v>
      </c>
      <c r="B390" t="s">
        <v>297</v>
      </c>
      <c r="C390" t="s">
        <v>154</v>
      </c>
      <c r="D390" t="s">
        <v>155</v>
      </c>
      <c r="E390" s="23">
        <v>699700.01</v>
      </c>
      <c r="F390" s="23">
        <v>456607.1</v>
      </c>
      <c r="G390" s="23">
        <v>699700.01</v>
      </c>
      <c r="H390" s="23">
        <v>456607.1</v>
      </c>
    </row>
    <row r="391" spans="1:8" x14ac:dyDescent="0.35">
      <c r="A391">
        <v>2019</v>
      </c>
      <c r="B391" t="s">
        <v>161</v>
      </c>
      <c r="C391" t="s">
        <v>154</v>
      </c>
      <c r="D391" t="s">
        <v>158</v>
      </c>
      <c r="E391" s="23">
        <v>633809.48</v>
      </c>
      <c r="F391" s="23">
        <v>1117342.42</v>
      </c>
      <c r="G391" s="23">
        <v>576206.69999999995</v>
      </c>
      <c r="H391" s="23">
        <v>1115830.58</v>
      </c>
    </row>
    <row r="392" spans="1:8" x14ac:dyDescent="0.35">
      <c r="A392">
        <v>2019</v>
      </c>
      <c r="B392" t="s">
        <v>162</v>
      </c>
      <c r="C392" t="s">
        <v>163</v>
      </c>
      <c r="D392" t="s">
        <v>158</v>
      </c>
      <c r="E392" s="23">
        <v>257901.13</v>
      </c>
      <c r="F392" s="23">
        <v>173284.19</v>
      </c>
      <c r="G392" s="23">
        <v>0</v>
      </c>
      <c r="H392" s="23">
        <v>0</v>
      </c>
    </row>
    <row r="393" spans="1:8" x14ac:dyDescent="0.35">
      <c r="A393">
        <v>2019</v>
      </c>
      <c r="B393" t="s">
        <v>164</v>
      </c>
      <c r="C393" t="s">
        <v>154</v>
      </c>
      <c r="D393" t="s">
        <v>165</v>
      </c>
      <c r="E393" s="23">
        <v>1374364.3363999999</v>
      </c>
      <c r="F393" s="23">
        <v>4799856.1467000004</v>
      </c>
      <c r="G393" s="23">
        <v>275159.75</v>
      </c>
      <c r="H393" s="23">
        <v>551399.03</v>
      </c>
    </row>
    <row r="394" spans="1:8" x14ac:dyDescent="0.35">
      <c r="A394">
        <v>2019</v>
      </c>
      <c r="B394" t="s">
        <v>167</v>
      </c>
      <c r="C394" t="s">
        <v>154</v>
      </c>
      <c r="D394" t="s">
        <v>155</v>
      </c>
      <c r="E394" s="23">
        <v>2404678.86</v>
      </c>
      <c r="F394" s="23">
        <v>25284093.809999999</v>
      </c>
      <c r="G394" s="23">
        <v>1288622.49</v>
      </c>
      <c r="H394" s="23">
        <v>12669697.949999999</v>
      </c>
    </row>
    <row r="395" spans="1:8" x14ac:dyDescent="0.35">
      <c r="A395">
        <v>2019</v>
      </c>
      <c r="B395" t="s">
        <v>168</v>
      </c>
      <c r="C395" t="s">
        <v>154</v>
      </c>
      <c r="D395" t="s">
        <v>158</v>
      </c>
      <c r="E395" s="23">
        <v>1838270.98</v>
      </c>
      <c r="F395" s="23">
        <v>2994457.53</v>
      </c>
      <c r="G395" s="23">
        <v>648107.49</v>
      </c>
      <c r="H395" s="23">
        <v>1942759.94</v>
      </c>
    </row>
    <row r="396" spans="1:8" x14ac:dyDescent="0.35">
      <c r="A396">
        <v>2019</v>
      </c>
      <c r="B396" t="s">
        <v>169</v>
      </c>
      <c r="C396" t="s">
        <v>154</v>
      </c>
      <c r="D396" t="s">
        <v>160</v>
      </c>
      <c r="E396" s="23">
        <v>16399.77</v>
      </c>
      <c r="F396" s="23">
        <v>13631.17</v>
      </c>
      <c r="G396" s="23">
        <v>0</v>
      </c>
      <c r="H396" s="23">
        <v>0</v>
      </c>
    </row>
    <row r="397" spans="1:8" x14ac:dyDescent="0.35">
      <c r="A397">
        <v>2019</v>
      </c>
      <c r="B397" t="s">
        <v>170</v>
      </c>
      <c r="C397" t="s">
        <v>154</v>
      </c>
      <c r="D397" t="s">
        <v>160</v>
      </c>
      <c r="E397" s="23">
        <v>498292.22330000001</v>
      </c>
      <c r="F397" s="23">
        <v>2656604.3566999999</v>
      </c>
      <c r="G397" s="23">
        <v>51035.91</v>
      </c>
      <c r="H397" s="23">
        <v>1709337.24</v>
      </c>
    </row>
    <row r="398" spans="1:8" x14ac:dyDescent="0.35">
      <c r="A398">
        <v>2019</v>
      </c>
      <c r="B398" t="s">
        <v>171</v>
      </c>
      <c r="C398" t="s">
        <v>154</v>
      </c>
      <c r="D398" t="s">
        <v>158</v>
      </c>
      <c r="E398" s="23">
        <v>-167088.89000000001</v>
      </c>
      <c r="F398" s="23">
        <v>7090.5</v>
      </c>
      <c r="G398" s="23">
        <v>-175551.29</v>
      </c>
      <c r="H398" s="23">
        <v>7090.5</v>
      </c>
    </row>
    <row r="399" spans="1:8" x14ac:dyDescent="0.35">
      <c r="A399">
        <v>2019</v>
      </c>
      <c r="B399" t="s">
        <v>172</v>
      </c>
      <c r="C399" t="s">
        <v>154</v>
      </c>
      <c r="D399" t="s">
        <v>155</v>
      </c>
      <c r="E399" s="23">
        <v>658137.03</v>
      </c>
      <c r="F399" s="23">
        <v>1713668.75</v>
      </c>
      <c r="G399" s="23">
        <v>187422.22</v>
      </c>
      <c r="H399" s="23">
        <v>991823.97</v>
      </c>
    </row>
    <row r="400" spans="1:8" x14ac:dyDescent="0.35">
      <c r="A400">
        <v>2019</v>
      </c>
      <c r="B400" t="s">
        <v>173</v>
      </c>
      <c r="C400" t="s">
        <v>154</v>
      </c>
      <c r="D400" t="s">
        <v>155</v>
      </c>
      <c r="E400" s="23">
        <v>637319.85</v>
      </c>
      <c r="F400" s="23">
        <v>2823311.23</v>
      </c>
      <c r="G400" s="23">
        <v>0</v>
      </c>
      <c r="H400" s="23">
        <v>0</v>
      </c>
    </row>
    <row r="401" spans="1:8" x14ac:dyDescent="0.35">
      <c r="A401">
        <v>2019</v>
      </c>
      <c r="B401" t="s">
        <v>174</v>
      </c>
      <c r="C401" t="s">
        <v>154</v>
      </c>
      <c r="D401" t="s">
        <v>160</v>
      </c>
      <c r="E401" s="23">
        <v>1113900.6200000001</v>
      </c>
      <c r="F401" s="23">
        <v>1051307.81</v>
      </c>
      <c r="G401" s="23">
        <v>148425</v>
      </c>
      <c r="H401" s="23">
        <v>0</v>
      </c>
    </row>
    <row r="402" spans="1:8" x14ac:dyDescent="0.35">
      <c r="A402">
        <v>2019</v>
      </c>
      <c r="B402" t="s">
        <v>175</v>
      </c>
      <c r="C402" t="s">
        <v>154</v>
      </c>
      <c r="D402" t="s">
        <v>158</v>
      </c>
      <c r="E402" s="23">
        <v>120503</v>
      </c>
      <c r="F402" s="23">
        <v>175500</v>
      </c>
      <c r="G402" s="23">
        <v>108048</v>
      </c>
      <c r="H402" s="23">
        <v>175500</v>
      </c>
    </row>
    <row r="403" spans="1:8" x14ac:dyDescent="0.35">
      <c r="A403">
        <v>2019</v>
      </c>
      <c r="B403" t="s">
        <v>176</v>
      </c>
      <c r="C403" t="s">
        <v>154</v>
      </c>
      <c r="D403" t="s">
        <v>160</v>
      </c>
      <c r="E403" s="23">
        <v>2273088</v>
      </c>
      <c r="F403" s="23">
        <v>2846210.04</v>
      </c>
      <c r="G403" s="23">
        <v>472260.2</v>
      </c>
      <c r="H403" s="23">
        <v>266215.28000000003</v>
      </c>
    </row>
    <row r="404" spans="1:8" x14ac:dyDescent="0.35">
      <c r="A404">
        <v>2019</v>
      </c>
      <c r="B404" t="s">
        <v>177</v>
      </c>
      <c r="C404" t="s">
        <v>154</v>
      </c>
      <c r="D404" t="s">
        <v>160</v>
      </c>
      <c r="E404" s="23">
        <v>1946139.36</v>
      </c>
      <c r="F404" s="23">
        <v>6831745.1500000004</v>
      </c>
      <c r="G404" s="23">
        <v>569354.63</v>
      </c>
      <c r="H404" s="23">
        <v>3952405.45</v>
      </c>
    </row>
    <row r="405" spans="1:8" x14ac:dyDescent="0.35">
      <c r="A405">
        <v>2019</v>
      </c>
      <c r="B405" t="s">
        <v>178</v>
      </c>
      <c r="C405" t="s">
        <v>154</v>
      </c>
      <c r="D405" t="s">
        <v>155</v>
      </c>
      <c r="E405" s="23">
        <v>251760.94</v>
      </c>
      <c r="F405" s="23">
        <v>469854.79</v>
      </c>
      <c r="G405" s="23">
        <v>105991.79</v>
      </c>
      <c r="H405" s="23">
        <v>412769.34</v>
      </c>
    </row>
    <row r="406" spans="1:8" x14ac:dyDescent="0.35">
      <c r="A406">
        <v>2019</v>
      </c>
      <c r="B406" t="s">
        <v>179</v>
      </c>
      <c r="C406" t="s">
        <v>154</v>
      </c>
      <c r="D406" t="s">
        <v>160</v>
      </c>
      <c r="E406" s="23">
        <v>118811.44</v>
      </c>
      <c r="F406" s="23">
        <v>24169.29</v>
      </c>
      <c r="G406" s="23">
        <v>18826.93</v>
      </c>
      <c r="H406" s="23">
        <v>572.61</v>
      </c>
    </row>
    <row r="407" spans="1:8" x14ac:dyDescent="0.35">
      <c r="A407">
        <v>2019</v>
      </c>
      <c r="B407" t="s">
        <v>180</v>
      </c>
      <c r="C407" t="s">
        <v>154</v>
      </c>
      <c r="D407" t="s">
        <v>160</v>
      </c>
      <c r="E407" s="23">
        <v>468946.99</v>
      </c>
      <c r="F407" s="23">
        <v>10150</v>
      </c>
      <c r="G407" s="23">
        <v>8545</v>
      </c>
      <c r="H407" s="23">
        <v>10150</v>
      </c>
    </row>
    <row r="408" spans="1:8" x14ac:dyDescent="0.35">
      <c r="A408">
        <v>2019</v>
      </c>
      <c r="B408" t="s">
        <v>181</v>
      </c>
      <c r="C408" t="s">
        <v>154</v>
      </c>
      <c r="D408" t="s">
        <v>155</v>
      </c>
      <c r="E408" s="23">
        <v>1080312.3700000001</v>
      </c>
      <c r="F408" s="23">
        <v>1340154.9099999999</v>
      </c>
      <c r="G408" s="23">
        <v>780720.69</v>
      </c>
      <c r="H408" s="23">
        <v>856357.41</v>
      </c>
    </row>
    <row r="409" spans="1:8" x14ac:dyDescent="0.35">
      <c r="A409">
        <v>2019</v>
      </c>
      <c r="B409" t="s">
        <v>182</v>
      </c>
      <c r="C409" t="s">
        <v>154</v>
      </c>
      <c r="D409" t="s">
        <v>158</v>
      </c>
      <c r="E409" s="23">
        <v>0</v>
      </c>
      <c r="F409" s="23">
        <v>0</v>
      </c>
      <c r="G409" s="23">
        <v>22488.23</v>
      </c>
      <c r="H409" s="23">
        <v>338437.06</v>
      </c>
    </row>
    <row r="410" spans="1:8" x14ac:dyDescent="0.35">
      <c r="A410">
        <v>2019</v>
      </c>
      <c r="B410" t="s">
        <v>183</v>
      </c>
      <c r="C410" t="s">
        <v>154</v>
      </c>
      <c r="D410" t="s">
        <v>155</v>
      </c>
      <c r="E410" s="23">
        <v>370163.68</v>
      </c>
      <c r="F410" s="23">
        <v>386916.8</v>
      </c>
      <c r="G410" s="23">
        <v>18970.75</v>
      </c>
      <c r="H410" s="23">
        <v>7395.77</v>
      </c>
    </row>
    <row r="411" spans="1:8" x14ac:dyDescent="0.35">
      <c r="A411">
        <v>2019</v>
      </c>
      <c r="B411" t="s">
        <v>184</v>
      </c>
      <c r="C411" t="s">
        <v>154</v>
      </c>
      <c r="D411" t="s">
        <v>155</v>
      </c>
      <c r="E411" s="23">
        <v>2325839.7200000002</v>
      </c>
      <c r="F411" s="23">
        <v>10189152.300000001</v>
      </c>
      <c r="G411" s="23">
        <v>303568.42</v>
      </c>
      <c r="H411" s="23">
        <v>2298663.02</v>
      </c>
    </row>
    <row r="412" spans="1:8" x14ac:dyDescent="0.35">
      <c r="A412">
        <v>2019</v>
      </c>
      <c r="B412" t="s">
        <v>186</v>
      </c>
      <c r="C412" t="s">
        <v>154</v>
      </c>
      <c r="D412" t="s">
        <v>158</v>
      </c>
      <c r="E412" s="23">
        <v>1644188.87</v>
      </c>
      <c r="F412" s="23">
        <v>4719064.05</v>
      </c>
      <c r="G412" s="23">
        <v>161698.60999999999</v>
      </c>
      <c r="H412" s="23">
        <v>167570.04999999999</v>
      </c>
    </row>
    <row r="413" spans="1:8" x14ac:dyDescent="0.35">
      <c r="A413">
        <v>2019</v>
      </c>
      <c r="B413" t="s">
        <v>187</v>
      </c>
      <c r="C413" t="s">
        <v>154</v>
      </c>
      <c r="D413" t="s">
        <v>158</v>
      </c>
      <c r="E413" s="23">
        <v>2390492.9479999999</v>
      </c>
      <c r="F413" s="23">
        <v>2091027.3119999999</v>
      </c>
      <c r="G413" s="23">
        <v>58135</v>
      </c>
      <c r="H413" s="23">
        <v>13129.7</v>
      </c>
    </row>
    <row r="414" spans="1:8" x14ac:dyDescent="0.35">
      <c r="A414">
        <v>2019</v>
      </c>
      <c r="B414" t="s">
        <v>188</v>
      </c>
      <c r="C414" t="s">
        <v>154</v>
      </c>
      <c r="D414" t="s">
        <v>155</v>
      </c>
      <c r="E414" s="23">
        <v>473447.96409999998</v>
      </c>
      <c r="F414" s="23">
        <v>2173325.9227999998</v>
      </c>
      <c r="G414" s="23">
        <v>426666.09759999998</v>
      </c>
      <c r="H414" s="23">
        <v>2173325.9227999998</v>
      </c>
    </row>
    <row r="415" spans="1:8" x14ac:dyDescent="0.35">
      <c r="A415">
        <v>2019</v>
      </c>
      <c r="B415" t="s">
        <v>189</v>
      </c>
      <c r="C415" t="s">
        <v>154</v>
      </c>
      <c r="D415" t="s">
        <v>158</v>
      </c>
      <c r="E415" s="23">
        <v>2251384.5</v>
      </c>
      <c r="F415" s="23">
        <v>2637874.23</v>
      </c>
      <c r="G415" s="23">
        <v>35092.5</v>
      </c>
      <c r="H415" s="23">
        <v>97172.5</v>
      </c>
    </row>
    <row r="416" spans="1:8" x14ac:dyDescent="0.35">
      <c r="A416">
        <v>2019</v>
      </c>
      <c r="B416" t="s">
        <v>190</v>
      </c>
      <c r="C416" t="s">
        <v>154</v>
      </c>
      <c r="D416" t="s">
        <v>155</v>
      </c>
      <c r="E416" s="23">
        <v>983783.53</v>
      </c>
      <c r="F416" s="23">
        <v>6424184.5800000001</v>
      </c>
      <c r="G416" s="23">
        <v>14370.42</v>
      </c>
      <c r="H416" s="23">
        <v>220283.18</v>
      </c>
    </row>
    <row r="417" spans="1:8" x14ac:dyDescent="0.35">
      <c r="A417">
        <v>2019</v>
      </c>
      <c r="B417" t="s">
        <v>192</v>
      </c>
      <c r="C417" t="s">
        <v>154</v>
      </c>
      <c r="D417" t="s">
        <v>160</v>
      </c>
      <c r="E417" s="23">
        <v>545982.85</v>
      </c>
      <c r="F417" s="23">
        <v>1944749.6</v>
      </c>
      <c r="G417" s="23">
        <v>320388.90999999997</v>
      </c>
      <c r="H417" s="23">
        <v>78991.210000000006</v>
      </c>
    </row>
    <row r="418" spans="1:8" x14ac:dyDescent="0.35">
      <c r="A418">
        <v>2019</v>
      </c>
      <c r="B418" t="s">
        <v>193</v>
      </c>
      <c r="C418" t="s">
        <v>154</v>
      </c>
      <c r="D418" t="s">
        <v>155</v>
      </c>
      <c r="E418" s="23">
        <v>488642.47</v>
      </c>
      <c r="F418" s="23">
        <v>747616.61</v>
      </c>
      <c r="G418" s="23">
        <v>0</v>
      </c>
      <c r="H418" s="23">
        <v>0</v>
      </c>
    </row>
    <row r="419" spans="1:8" x14ac:dyDescent="0.35">
      <c r="A419">
        <v>2019</v>
      </c>
      <c r="B419" t="s">
        <v>195</v>
      </c>
      <c r="C419" t="s">
        <v>154</v>
      </c>
      <c r="D419" t="s">
        <v>160</v>
      </c>
      <c r="E419" s="23">
        <v>500570.32</v>
      </c>
      <c r="F419" s="23">
        <v>95352.8</v>
      </c>
      <c r="G419" s="23">
        <v>138384.13</v>
      </c>
      <c r="H419" s="23">
        <v>7921.25</v>
      </c>
    </row>
    <row r="420" spans="1:8" x14ac:dyDescent="0.35">
      <c r="A420">
        <v>2019</v>
      </c>
      <c r="B420" t="s">
        <v>196</v>
      </c>
      <c r="C420" t="s">
        <v>154</v>
      </c>
      <c r="D420" t="s">
        <v>155</v>
      </c>
      <c r="E420" s="23">
        <v>1528547.73</v>
      </c>
      <c r="F420" s="23">
        <v>3211134.2</v>
      </c>
      <c r="G420" s="23">
        <v>1343601.7</v>
      </c>
      <c r="H420" s="23">
        <v>3211134.2</v>
      </c>
    </row>
    <row r="421" spans="1:8" x14ac:dyDescent="0.35">
      <c r="A421">
        <v>2019</v>
      </c>
      <c r="B421" t="s">
        <v>197</v>
      </c>
      <c r="C421" t="s">
        <v>154</v>
      </c>
      <c r="D421" t="s">
        <v>160</v>
      </c>
      <c r="E421" s="23">
        <v>20243.97</v>
      </c>
      <c r="F421" s="23">
        <v>3908.54</v>
      </c>
      <c r="G421" s="23">
        <v>0</v>
      </c>
      <c r="H421" s="23">
        <v>2264.54</v>
      </c>
    </row>
    <row r="422" spans="1:8" x14ac:dyDescent="0.35">
      <c r="A422">
        <v>2019</v>
      </c>
      <c r="B422" t="s">
        <v>198</v>
      </c>
      <c r="C422" t="s">
        <v>154</v>
      </c>
      <c r="D422" t="s">
        <v>160</v>
      </c>
      <c r="E422" s="23">
        <v>41245.517999999996</v>
      </c>
      <c r="F422" s="23">
        <v>420387.22200000001</v>
      </c>
      <c r="G422" s="23">
        <v>40202.43</v>
      </c>
      <c r="H422" s="23">
        <v>438080.43</v>
      </c>
    </row>
    <row r="423" spans="1:8" x14ac:dyDescent="0.35">
      <c r="A423">
        <v>2019</v>
      </c>
      <c r="B423" t="s">
        <v>199</v>
      </c>
      <c r="C423" t="s">
        <v>154</v>
      </c>
      <c r="D423" t="s">
        <v>160</v>
      </c>
      <c r="E423" s="23">
        <v>365941.03659999999</v>
      </c>
      <c r="F423" s="23">
        <v>448956.8</v>
      </c>
      <c r="G423" s="23">
        <v>36316.97</v>
      </c>
      <c r="H423" s="23">
        <v>324834.2</v>
      </c>
    </row>
    <row r="424" spans="1:8" x14ac:dyDescent="0.35">
      <c r="A424">
        <v>2019</v>
      </c>
      <c r="B424" t="s">
        <v>200</v>
      </c>
      <c r="C424" t="s">
        <v>154</v>
      </c>
      <c r="D424" t="s">
        <v>158</v>
      </c>
      <c r="E424" s="23">
        <v>764505.13329999999</v>
      </c>
      <c r="F424" s="23">
        <v>53122.5</v>
      </c>
      <c r="G424" s="23">
        <v>40660.199999999997</v>
      </c>
      <c r="H424" s="23">
        <v>45490.5</v>
      </c>
    </row>
    <row r="425" spans="1:8" x14ac:dyDescent="0.35">
      <c r="A425">
        <v>2019</v>
      </c>
      <c r="B425" t="s">
        <v>201</v>
      </c>
      <c r="C425" t="s">
        <v>154</v>
      </c>
      <c r="D425" t="s">
        <v>160</v>
      </c>
      <c r="E425" s="23">
        <v>0</v>
      </c>
      <c r="F425" s="23">
        <v>0</v>
      </c>
      <c r="G425" s="23">
        <v>714576.02</v>
      </c>
      <c r="H425" s="23">
        <v>191544.88</v>
      </c>
    </row>
    <row r="426" spans="1:8" x14ac:dyDescent="0.35">
      <c r="A426">
        <v>2019</v>
      </c>
      <c r="B426" t="s">
        <v>202</v>
      </c>
      <c r="C426" t="s">
        <v>154</v>
      </c>
      <c r="D426" t="s">
        <v>155</v>
      </c>
      <c r="E426" s="23">
        <v>1804522.8968</v>
      </c>
      <c r="F426" s="23">
        <v>2232714.4700000002</v>
      </c>
      <c r="G426" s="23">
        <v>287460.15999999997</v>
      </c>
      <c r="H426" s="23">
        <v>724120.63</v>
      </c>
    </row>
    <row r="427" spans="1:8" x14ac:dyDescent="0.35">
      <c r="A427">
        <v>2019</v>
      </c>
      <c r="B427" t="s">
        <v>203</v>
      </c>
      <c r="C427" t="s">
        <v>154</v>
      </c>
      <c r="D427" t="s">
        <v>160</v>
      </c>
      <c r="E427" s="23">
        <v>892442.86</v>
      </c>
      <c r="F427" s="23">
        <v>10346814.716700001</v>
      </c>
      <c r="G427" s="23">
        <v>38006.5</v>
      </c>
      <c r="H427" s="23">
        <v>148701.5</v>
      </c>
    </row>
    <row r="428" spans="1:8" x14ac:dyDescent="0.35">
      <c r="A428">
        <v>2019</v>
      </c>
      <c r="B428" t="s">
        <v>204</v>
      </c>
      <c r="C428" t="s">
        <v>154</v>
      </c>
      <c r="D428" t="s">
        <v>158</v>
      </c>
      <c r="E428" s="23">
        <v>1690131.47</v>
      </c>
      <c r="F428" s="23">
        <v>3424760.95</v>
      </c>
      <c r="G428" s="23">
        <v>164406.70000000001</v>
      </c>
      <c r="H428" s="23">
        <v>515883.69</v>
      </c>
    </row>
    <row r="429" spans="1:8" x14ac:dyDescent="0.35">
      <c r="A429">
        <v>2019</v>
      </c>
      <c r="B429" t="s">
        <v>205</v>
      </c>
      <c r="C429" t="s">
        <v>154</v>
      </c>
      <c r="D429" t="s">
        <v>160</v>
      </c>
      <c r="E429" s="23">
        <v>201049.80669999999</v>
      </c>
      <c r="F429" s="23">
        <v>61031.71</v>
      </c>
      <c r="G429" s="23">
        <v>31531.59</v>
      </c>
      <c r="H429" s="23">
        <v>28893.03</v>
      </c>
    </row>
    <row r="430" spans="1:8" x14ac:dyDescent="0.35">
      <c r="A430">
        <v>2019</v>
      </c>
      <c r="B430" t="s">
        <v>206</v>
      </c>
      <c r="C430" t="s">
        <v>154</v>
      </c>
      <c r="D430" t="s">
        <v>158</v>
      </c>
      <c r="E430" s="23">
        <v>1272391.3400000001</v>
      </c>
      <c r="F430" s="23">
        <v>4347390.24</v>
      </c>
      <c r="G430" s="23">
        <v>0</v>
      </c>
      <c r="H430" s="23">
        <v>0</v>
      </c>
    </row>
    <row r="431" spans="1:8" x14ac:dyDescent="0.35">
      <c r="A431">
        <v>2019</v>
      </c>
      <c r="B431" t="s">
        <v>209</v>
      </c>
      <c r="C431" t="s">
        <v>154</v>
      </c>
      <c r="D431" t="s">
        <v>158</v>
      </c>
      <c r="E431" s="23">
        <v>576860.74</v>
      </c>
      <c r="F431" s="23">
        <v>907263.98</v>
      </c>
      <c r="G431" s="23">
        <v>20290</v>
      </c>
      <c r="H431" s="23">
        <v>0</v>
      </c>
    </row>
    <row r="432" spans="1:8" x14ac:dyDescent="0.35">
      <c r="A432">
        <v>2019</v>
      </c>
      <c r="B432" t="s">
        <v>210</v>
      </c>
      <c r="C432" t="s">
        <v>154</v>
      </c>
      <c r="D432" t="s">
        <v>158</v>
      </c>
      <c r="E432" s="23">
        <v>1852468.0264000001</v>
      </c>
      <c r="F432" s="23">
        <v>3544944.03</v>
      </c>
      <c r="G432" s="23">
        <v>72832.78</v>
      </c>
      <c r="H432" s="23">
        <v>298611.25</v>
      </c>
    </row>
    <row r="433" spans="1:8" x14ac:dyDescent="0.35">
      <c r="A433">
        <v>2019</v>
      </c>
      <c r="B433" t="s">
        <v>211</v>
      </c>
      <c r="C433" t="s">
        <v>154</v>
      </c>
      <c r="D433" t="s">
        <v>160</v>
      </c>
      <c r="E433" s="23">
        <v>0</v>
      </c>
      <c r="F433" s="23">
        <v>0</v>
      </c>
      <c r="G433" s="23">
        <v>0</v>
      </c>
      <c r="H433" s="23">
        <v>0</v>
      </c>
    </row>
    <row r="434" spans="1:8" x14ac:dyDescent="0.35">
      <c r="A434">
        <v>2019</v>
      </c>
      <c r="B434" t="s">
        <v>212</v>
      </c>
      <c r="C434" t="s">
        <v>154</v>
      </c>
      <c r="D434" t="s">
        <v>160</v>
      </c>
      <c r="E434" s="23">
        <v>753004.51</v>
      </c>
      <c r="F434" s="23">
        <v>5426712.5599999996</v>
      </c>
      <c r="G434" s="23">
        <v>51212.95</v>
      </c>
      <c r="H434" s="23">
        <v>436704.59</v>
      </c>
    </row>
    <row r="435" spans="1:8" x14ac:dyDescent="0.35">
      <c r="A435">
        <v>2019</v>
      </c>
      <c r="B435" t="s">
        <v>213</v>
      </c>
      <c r="C435" t="s">
        <v>154</v>
      </c>
      <c r="D435" t="s">
        <v>155</v>
      </c>
      <c r="E435" s="23">
        <v>559118.27009999997</v>
      </c>
      <c r="F435" s="23">
        <v>1027905.5733</v>
      </c>
      <c r="G435" s="23">
        <v>120784.58</v>
      </c>
      <c r="H435" s="23">
        <v>508100.65</v>
      </c>
    </row>
    <row r="436" spans="1:8" x14ac:dyDescent="0.35">
      <c r="A436">
        <v>2019</v>
      </c>
      <c r="B436" t="s">
        <v>214</v>
      </c>
      <c r="C436" t="s">
        <v>154</v>
      </c>
      <c r="D436" t="s">
        <v>158</v>
      </c>
      <c r="E436" s="23">
        <v>2104975.2165999999</v>
      </c>
      <c r="F436" s="23">
        <v>26707059.34</v>
      </c>
      <c r="G436" s="23">
        <v>0</v>
      </c>
      <c r="H436" s="23">
        <v>0</v>
      </c>
    </row>
    <row r="437" spans="1:8" x14ac:dyDescent="0.35">
      <c r="A437">
        <v>2019</v>
      </c>
      <c r="B437" t="s">
        <v>215</v>
      </c>
      <c r="C437" t="s">
        <v>154</v>
      </c>
      <c r="D437" t="s">
        <v>160</v>
      </c>
      <c r="E437" s="23">
        <v>0</v>
      </c>
      <c r="F437" s="23">
        <v>0</v>
      </c>
      <c r="G437" s="23">
        <v>23645.51</v>
      </c>
      <c r="H437" s="23">
        <v>3720.17</v>
      </c>
    </row>
    <row r="438" spans="1:8" x14ac:dyDescent="0.35">
      <c r="A438">
        <v>2019</v>
      </c>
      <c r="B438" t="s">
        <v>216</v>
      </c>
      <c r="C438" t="s">
        <v>154</v>
      </c>
      <c r="D438" t="s">
        <v>155</v>
      </c>
      <c r="E438" s="23">
        <v>525095.81000000006</v>
      </c>
      <c r="F438" s="23">
        <v>424837</v>
      </c>
      <c r="G438" s="23">
        <v>245220.4</v>
      </c>
      <c r="H438" s="23">
        <v>0</v>
      </c>
    </row>
    <row r="439" spans="1:8" x14ac:dyDescent="0.35">
      <c r="A439">
        <v>2019</v>
      </c>
      <c r="B439" t="s">
        <v>217</v>
      </c>
      <c r="C439" t="s">
        <v>154</v>
      </c>
      <c r="D439" t="s">
        <v>160</v>
      </c>
      <c r="E439" s="23">
        <v>292273.93030000001</v>
      </c>
      <c r="F439" s="23">
        <v>679529.54</v>
      </c>
      <c r="G439" s="23">
        <v>75716.94</v>
      </c>
      <c r="H439" s="23">
        <v>20015.54</v>
      </c>
    </row>
    <row r="440" spans="1:8" x14ac:dyDescent="0.35">
      <c r="A440">
        <v>2019</v>
      </c>
      <c r="B440" t="s">
        <v>218</v>
      </c>
      <c r="C440" t="s">
        <v>154</v>
      </c>
      <c r="D440" t="s">
        <v>158</v>
      </c>
      <c r="E440" s="23">
        <v>2457906.4733000002</v>
      </c>
      <c r="F440" s="23">
        <v>2680079.83</v>
      </c>
      <c r="G440" s="23">
        <v>2211140.27</v>
      </c>
      <c r="H440" s="23">
        <v>1610391.03</v>
      </c>
    </row>
    <row r="441" spans="1:8" x14ac:dyDescent="0.35">
      <c r="A441">
        <v>2019</v>
      </c>
      <c r="B441" t="s">
        <v>219</v>
      </c>
      <c r="C441" t="s">
        <v>154</v>
      </c>
      <c r="D441" t="s">
        <v>160</v>
      </c>
      <c r="E441" s="23">
        <v>943691.50989999995</v>
      </c>
      <c r="F441" s="23">
        <v>1980212.92</v>
      </c>
      <c r="G441" s="23">
        <v>226329</v>
      </c>
      <c r="H441" s="23">
        <v>139192.07999999999</v>
      </c>
    </row>
    <row r="442" spans="1:8" x14ac:dyDescent="0.35">
      <c r="A442">
        <v>2019</v>
      </c>
      <c r="B442" t="s">
        <v>220</v>
      </c>
      <c r="C442" t="s">
        <v>154</v>
      </c>
      <c r="D442" t="s">
        <v>158</v>
      </c>
      <c r="E442" s="23">
        <v>1246089.28</v>
      </c>
      <c r="F442" s="23">
        <v>3307275.6</v>
      </c>
      <c r="G442" s="23">
        <v>442389.5</v>
      </c>
      <c r="H442" s="23">
        <v>2333837.12</v>
      </c>
    </row>
    <row r="443" spans="1:8" x14ac:dyDescent="0.35">
      <c r="A443">
        <v>2019</v>
      </c>
      <c r="B443" t="s">
        <v>221</v>
      </c>
      <c r="C443" t="s">
        <v>154</v>
      </c>
      <c r="D443" t="s">
        <v>165</v>
      </c>
      <c r="E443" s="23">
        <v>5623.27</v>
      </c>
      <c r="F443" s="23">
        <v>3805.54</v>
      </c>
      <c r="G443" s="23">
        <v>5623.27</v>
      </c>
      <c r="H443" s="23">
        <v>3805.54</v>
      </c>
    </row>
    <row r="444" spans="1:8" x14ac:dyDescent="0.35">
      <c r="A444">
        <v>2019</v>
      </c>
      <c r="B444" t="s">
        <v>223</v>
      </c>
      <c r="C444" t="s">
        <v>163</v>
      </c>
      <c r="D444" t="s">
        <v>160</v>
      </c>
      <c r="E444" s="23">
        <v>65564.45</v>
      </c>
      <c r="F444" s="23">
        <v>301097.75</v>
      </c>
      <c r="G444" s="23">
        <v>0</v>
      </c>
      <c r="H444" s="23">
        <v>0</v>
      </c>
    </row>
    <row r="445" spans="1:8" x14ac:dyDescent="0.35">
      <c r="A445">
        <v>2019</v>
      </c>
      <c r="B445" t="s">
        <v>224</v>
      </c>
      <c r="C445" t="s">
        <v>154</v>
      </c>
      <c r="D445" t="s">
        <v>158</v>
      </c>
      <c r="E445" s="23">
        <v>188189.91</v>
      </c>
      <c r="F445" s="23">
        <v>253761.63</v>
      </c>
      <c r="G445" s="23">
        <v>0</v>
      </c>
      <c r="H445" s="23">
        <v>0</v>
      </c>
    </row>
    <row r="446" spans="1:8" x14ac:dyDescent="0.35">
      <c r="A446">
        <v>2019</v>
      </c>
      <c r="B446" t="s">
        <v>225</v>
      </c>
      <c r="C446" t="s">
        <v>154</v>
      </c>
      <c r="D446" t="s">
        <v>160</v>
      </c>
      <c r="E446" s="23">
        <v>0</v>
      </c>
      <c r="F446" s="23">
        <v>0</v>
      </c>
      <c r="G446" s="23">
        <v>0</v>
      </c>
      <c r="H446" s="23">
        <v>133.5</v>
      </c>
    </row>
    <row r="447" spans="1:8" x14ac:dyDescent="0.35">
      <c r="A447">
        <v>2019</v>
      </c>
      <c r="B447" t="s">
        <v>226</v>
      </c>
      <c r="C447" t="s">
        <v>154</v>
      </c>
      <c r="D447" t="s">
        <v>155</v>
      </c>
      <c r="E447" s="23">
        <v>0</v>
      </c>
      <c r="F447" s="23">
        <v>0</v>
      </c>
      <c r="G447" s="23">
        <v>151.02000000000001</v>
      </c>
      <c r="H447" s="23">
        <v>745.44</v>
      </c>
    </row>
    <row r="448" spans="1:8" x14ac:dyDescent="0.35">
      <c r="A448">
        <v>2019</v>
      </c>
      <c r="B448" t="s">
        <v>227</v>
      </c>
      <c r="C448" t="s">
        <v>154</v>
      </c>
      <c r="D448" t="s">
        <v>158</v>
      </c>
      <c r="E448" s="23">
        <v>0</v>
      </c>
      <c r="F448" s="23">
        <v>0</v>
      </c>
      <c r="G448" s="23">
        <v>0</v>
      </c>
      <c r="H448" s="23">
        <v>0</v>
      </c>
    </row>
    <row r="449" spans="1:8" x14ac:dyDescent="0.35">
      <c r="A449">
        <v>2019</v>
      </c>
      <c r="B449" t="s">
        <v>228</v>
      </c>
      <c r="C449" t="s">
        <v>154</v>
      </c>
      <c r="D449" t="s">
        <v>160</v>
      </c>
      <c r="E449" s="23">
        <v>40561.160000000003</v>
      </c>
      <c r="F449" s="23">
        <v>89370.46</v>
      </c>
      <c r="G449" s="23">
        <v>15059.52</v>
      </c>
      <c r="H449" s="23">
        <v>89370.46</v>
      </c>
    </row>
    <row r="450" spans="1:8" x14ac:dyDescent="0.35">
      <c r="A450">
        <v>2019</v>
      </c>
      <c r="B450" t="s">
        <v>229</v>
      </c>
      <c r="C450" t="s">
        <v>154</v>
      </c>
      <c r="D450" t="s">
        <v>158</v>
      </c>
      <c r="E450" s="23">
        <v>714524.93629999994</v>
      </c>
      <c r="F450" s="23">
        <v>2572154.0044999998</v>
      </c>
      <c r="G450" s="23">
        <v>123606.09</v>
      </c>
      <c r="H450" s="23">
        <v>53359.67</v>
      </c>
    </row>
    <row r="451" spans="1:8" x14ac:dyDescent="0.35">
      <c r="A451">
        <v>2019</v>
      </c>
      <c r="B451" t="s">
        <v>230</v>
      </c>
      <c r="C451" t="s">
        <v>154</v>
      </c>
      <c r="D451" t="s">
        <v>155</v>
      </c>
      <c r="E451" s="23">
        <v>992619.27</v>
      </c>
      <c r="F451" s="23">
        <v>1983999.43</v>
      </c>
      <c r="G451" s="23">
        <v>143212.35</v>
      </c>
      <c r="H451" s="23">
        <v>962995.66</v>
      </c>
    </row>
    <row r="452" spans="1:8" x14ac:dyDescent="0.35">
      <c r="A452">
        <v>2019</v>
      </c>
      <c r="B452" t="s">
        <v>231</v>
      </c>
      <c r="C452" t="s">
        <v>154</v>
      </c>
      <c r="D452" t="s">
        <v>160</v>
      </c>
      <c r="E452" s="23">
        <v>286474.37</v>
      </c>
      <c r="F452" s="23">
        <v>124816.59</v>
      </c>
      <c r="G452" s="23">
        <v>25658.45</v>
      </c>
      <c r="H452" s="23">
        <v>67026.490000000005</v>
      </c>
    </row>
    <row r="453" spans="1:8" x14ac:dyDescent="0.35">
      <c r="A453">
        <v>2019</v>
      </c>
      <c r="B453" t="s">
        <v>232</v>
      </c>
      <c r="C453" t="s">
        <v>154</v>
      </c>
      <c r="D453" t="s">
        <v>165</v>
      </c>
      <c r="E453" s="23">
        <v>676743.05</v>
      </c>
      <c r="F453" s="23">
        <v>462238.38339999999</v>
      </c>
      <c r="G453" s="23">
        <v>266487.78000000003</v>
      </c>
      <c r="H453" s="23">
        <v>204696.55</v>
      </c>
    </row>
    <row r="454" spans="1:8" x14ac:dyDescent="0.35">
      <c r="A454">
        <v>2019</v>
      </c>
      <c r="B454" t="s">
        <v>233</v>
      </c>
      <c r="C454" t="s">
        <v>154</v>
      </c>
      <c r="D454" t="s">
        <v>155</v>
      </c>
      <c r="E454" s="23">
        <v>2156458.4700000002</v>
      </c>
      <c r="F454" s="23">
        <v>1800367.33</v>
      </c>
      <c r="G454" s="23">
        <v>576081.68999999994</v>
      </c>
      <c r="H454" s="23">
        <v>706676.87</v>
      </c>
    </row>
    <row r="455" spans="1:8" x14ac:dyDescent="0.35">
      <c r="A455">
        <v>2019</v>
      </c>
      <c r="B455" t="s">
        <v>234</v>
      </c>
      <c r="C455" t="s">
        <v>154</v>
      </c>
      <c r="D455" t="s">
        <v>160</v>
      </c>
      <c r="E455" s="23">
        <v>2682439.0287000001</v>
      </c>
      <c r="F455" s="23">
        <v>11761667.0063</v>
      </c>
      <c r="G455" s="23">
        <v>2003224.4347000001</v>
      </c>
      <c r="H455" s="23">
        <v>11002208.5703</v>
      </c>
    </row>
    <row r="456" spans="1:8" x14ac:dyDescent="0.35">
      <c r="A456">
        <v>2019</v>
      </c>
      <c r="B456" t="s">
        <v>235</v>
      </c>
      <c r="C456" t="s">
        <v>154</v>
      </c>
      <c r="D456" t="s">
        <v>160</v>
      </c>
      <c r="E456" s="23">
        <v>9261.4</v>
      </c>
      <c r="F456" s="23">
        <v>190.55</v>
      </c>
      <c r="G456" s="23">
        <v>3471.4</v>
      </c>
      <c r="H456" s="23">
        <v>190.55</v>
      </c>
    </row>
    <row r="457" spans="1:8" x14ac:dyDescent="0.35">
      <c r="A457">
        <v>2019</v>
      </c>
      <c r="B457" t="s">
        <v>236</v>
      </c>
      <c r="C457" t="s">
        <v>154</v>
      </c>
      <c r="D457" t="s">
        <v>160</v>
      </c>
      <c r="E457" s="23">
        <v>220741.1833</v>
      </c>
      <c r="F457" s="23">
        <v>1574204.02</v>
      </c>
      <c r="G457" s="23">
        <v>34854.769999999997</v>
      </c>
      <c r="H457" s="23">
        <v>20881.759999999998</v>
      </c>
    </row>
    <row r="458" spans="1:8" x14ac:dyDescent="0.35">
      <c r="A458">
        <v>2019</v>
      </c>
      <c r="B458" t="s">
        <v>237</v>
      </c>
      <c r="C458" t="s">
        <v>163</v>
      </c>
      <c r="D458" t="s">
        <v>158</v>
      </c>
      <c r="E458" s="23">
        <v>150872.82</v>
      </c>
      <c r="F458" s="23">
        <v>463517.96</v>
      </c>
      <c r="G458" s="23">
        <v>43774.5</v>
      </c>
      <c r="H458" s="23">
        <v>151905.95000000001</v>
      </c>
    </row>
    <row r="459" spans="1:8" x14ac:dyDescent="0.35">
      <c r="A459">
        <v>2019</v>
      </c>
      <c r="B459" t="s">
        <v>238</v>
      </c>
      <c r="C459" t="s">
        <v>154</v>
      </c>
      <c r="D459" t="s">
        <v>155</v>
      </c>
      <c r="E459" s="23">
        <v>0</v>
      </c>
      <c r="F459" s="23">
        <v>0</v>
      </c>
      <c r="G459" s="23">
        <v>92719.5</v>
      </c>
      <c r="H459" s="23">
        <v>0</v>
      </c>
    </row>
    <row r="460" spans="1:8" x14ac:dyDescent="0.35">
      <c r="A460">
        <v>2019</v>
      </c>
      <c r="B460" t="s">
        <v>239</v>
      </c>
      <c r="C460" t="s">
        <v>154</v>
      </c>
      <c r="D460" t="s">
        <v>158</v>
      </c>
      <c r="E460" s="23">
        <v>198578.98</v>
      </c>
      <c r="F460" s="23">
        <v>322507.69</v>
      </c>
      <c r="G460" s="23">
        <v>7066</v>
      </c>
      <c r="H460" s="23">
        <v>11553</v>
      </c>
    </row>
    <row r="461" spans="1:8" x14ac:dyDescent="0.35">
      <c r="A461">
        <v>2019</v>
      </c>
      <c r="B461" t="s">
        <v>240</v>
      </c>
      <c r="C461" t="s">
        <v>154</v>
      </c>
      <c r="D461" t="s">
        <v>155</v>
      </c>
      <c r="E461" s="23">
        <v>118399.26</v>
      </c>
      <c r="F461" s="23">
        <v>49005.61</v>
      </c>
      <c r="G461" s="23">
        <v>37696.5</v>
      </c>
      <c r="H461" s="23">
        <v>17146.61</v>
      </c>
    </row>
    <row r="462" spans="1:8" x14ac:dyDescent="0.35">
      <c r="A462">
        <v>2019</v>
      </c>
      <c r="B462" t="s">
        <v>241</v>
      </c>
      <c r="C462" t="s">
        <v>154</v>
      </c>
      <c r="D462" t="s">
        <v>155</v>
      </c>
      <c r="E462" s="23">
        <v>884311.19929999998</v>
      </c>
      <c r="F462" s="23">
        <v>3090197.77</v>
      </c>
      <c r="G462" s="23">
        <v>371202.22</v>
      </c>
      <c r="H462" s="23">
        <v>614817.05000000005</v>
      </c>
    </row>
    <row r="463" spans="1:8" x14ac:dyDescent="0.35">
      <c r="A463">
        <v>2019</v>
      </c>
      <c r="B463" t="s">
        <v>242</v>
      </c>
      <c r="C463" t="s">
        <v>154</v>
      </c>
      <c r="D463" t="s">
        <v>160</v>
      </c>
      <c r="E463" s="23">
        <v>208362.63</v>
      </c>
      <c r="F463" s="23">
        <v>157646.82999999999</v>
      </c>
      <c r="G463" s="23">
        <v>19860.3</v>
      </c>
      <c r="H463" s="23">
        <v>53151.01</v>
      </c>
    </row>
    <row r="464" spans="1:8" x14ac:dyDescent="0.35">
      <c r="A464">
        <v>2019</v>
      </c>
      <c r="B464" t="s">
        <v>243</v>
      </c>
      <c r="C464" t="s">
        <v>154</v>
      </c>
      <c r="D464" t="s">
        <v>165</v>
      </c>
      <c r="E464" s="23">
        <v>207770.47</v>
      </c>
      <c r="F464" s="23">
        <v>116646.58</v>
      </c>
      <c r="G464" s="23">
        <v>39201.019999999997</v>
      </c>
      <c r="H464" s="23">
        <v>46550.9</v>
      </c>
    </row>
    <row r="465" spans="1:8" x14ac:dyDescent="0.35">
      <c r="A465">
        <v>2019</v>
      </c>
      <c r="B465" t="s">
        <v>245</v>
      </c>
      <c r="C465" t="s">
        <v>154</v>
      </c>
      <c r="D465" t="s">
        <v>155</v>
      </c>
      <c r="E465" s="23">
        <v>1532752.4933</v>
      </c>
      <c r="F465" s="23">
        <v>3954133.5580000002</v>
      </c>
      <c r="G465" s="23">
        <v>313906.78000000003</v>
      </c>
      <c r="H465" s="23">
        <v>769367.89</v>
      </c>
    </row>
    <row r="466" spans="1:8" x14ac:dyDescent="0.35">
      <c r="A466">
        <v>2019</v>
      </c>
      <c r="B466" t="s">
        <v>246</v>
      </c>
      <c r="C466" t="s">
        <v>154</v>
      </c>
      <c r="D466" t="s">
        <v>155</v>
      </c>
      <c r="E466" s="23">
        <v>7277273.7300000004</v>
      </c>
      <c r="F466" s="23">
        <v>1315392.73</v>
      </c>
      <c r="G466" s="23">
        <v>6826310.5800000001</v>
      </c>
      <c r="H466" s="23">
        <v>163970.98000000001</v>
      </c>
    </row>
    <row r="467" spans="1:8" x14ac:dyDescent="0.35">
      <c r="A467">
        <v>2019</v>
      </c>
      <c r="B467" t="s">
        <v>247</v>
      </c>
      <c r="C467" t="s">
        <v>154</v>
      </c>
      <c r="D467" t="s">
        <v>160</v>
      </c>
      <c r="E467" s="23">
        <v>721180.42</v>
      </c>
      <c r="F467" s="23">
        <v>7786227.1900000004</v>
      </c>
      <c r="G467" s="23">
        <v>374231.31</v>
      </c>
      <c r="H467" s="23">
        <v>235159.39</v>
      </c>
    </row>
    <row r="468" spans="1:8" x14ac:dyDescent="0.35">
      <c r="A468">
        <v>2019</v>
      </c>
      <c r="B468" t="s">
        <v>248</v>
      </c>
      <c r="C468" t="s">
        <v>154</v>
      </c>
      <c r="D468" t="s">
        <v>160</v>
      </c>
      <c r="E468" s="23">
        <v>794745.84</v>
      </c>
      <c r="F468" s="23">
        <v>2937848.18</v>
      </c>
      <c r="G468" s="23">
        <v>307301.65999999997</v>
      </c>
      <c r="H468" s="23">
        <v>888475.67</v>
      </c>
    </row>
    <row r="469" spans="1:8" x14ac:dyDescent="0.35">
      <c r="A469">
        <v>2019</v>
      </c>
      <c r="B469" t="s">
        <v>249</v>
      </c>
      <c r="C469" t="s">
        <v>154</v>
      </c>
      <c r="D469" t="s">
        <v>160</v>
      </c>
      <c r="E469" s="23">
        <v>2475436.63</v>
      </c>
      <c r="F469" s="23">
        <v>7623486.9000000004</v>
      </c>
      <c r="G469" s="23">
        <v>254132.21</v>
      </c>
      <c r="H469" s="23">
        <v>913795.35</v>
      </c>
    </row>
    <row r="470" spans="1:8" x14ac:dyDescent="0.35">
      <c r="A470">
        <v>2019</v>
      </c>
      <c r="B470" t="s">
        <v>250</v>
      </c>
      <c r="C470" t="s">
        <v>154</v>
      </c>
      <c r="D470" t="s">
        <v>158</v>
      </c>
      <c r="E470" s="23">
        <v>1089020.04</v>
      </c>
      <c r="F470" s="23">
        <v>579459.51</v>
      </c>
      <c r="G470" s="23">
        <v>219167</v>
      </c>
      <c r="H470" s="23">
        <v>167199</v>
      </c>
    </row>
    <row r="471" spans="1:8" x14ac:dyDescent="0.35">
      <c r="A471">
        <v>2019</v>
      </c>
      <c r="B471" t="s">
        <v>251</v>
      </c>
      <c r="C471" t="s">
        <v>163</v>
      </c>
      <c r="D471" t="s">
        <v>158</v>
      </c>
      <c r="E471" s="23">
        <v>196440.91</v>
      </c>
      <c r="F471" s="23">
        <v>443909.35</v>
      </c>
      <c r="G471" s="23">
        <v>69920.960000000006</v>
      </c>
      <c r="H471" s="23">
        <v>394416.94</v>
      </c>
    </row>
    <row r="472" spans="1:8" x14ac:dyDescent="0.35">
      <c r="A472">
        <v>2019</v>
      </c>
      <c r="B472" t="s">
        <v>252</v>
      </c>
      <c r="C472" t="s">
        <v>154</v>
      </c>
      <c r="D472" t="s">
        <v>160</v>
      </c>
      <c r="E472" s="23">
        <v>0</v>
      </c>
      <c r="F472" s="23">
        <v>0</v>
      </c>
      <c r="G472" s="23">
        <v>14141</v>
      </c>
      <c r="H472" s="23">
        <v>40328</v>
      </c>
    </row>
    <row r="473" spans="1:8" x14ac:dyDescent="0.35">
      <c r="A473">
        <v>2019</v>
      </c>
      <c r="B473" t="s">
        <v>253</v>
      </c>
      <c r="C473" t="s">
        <v>154</v>
      </c>
      <c r="D473" t="s">
        <v>160</v>
      </c>
      <c r="E473" s="23">
        <v>0</v>
      </c>
      <c r="F473" s="23">
        <v>0</v>
      </c>
      <c r="G473" s="23">
        <v>270539.84000000003</v>
      </c>
      <c r="H473" s="23">
        <v>56718.7</v>
      </c>
    </row>
    <row r="474" spans="1:8" x14ac:dyDescent="0.35">
      <c r="A474">
        <v>2019</v>
      </c>
      <c r="B474" t="s">
        <v>254</v>
      </c>
      <c r="C474" t="s">
        <v>154</v>
      </c>
      <c r="D474" t="s">
        <v>155</v>
      </c>
      <c r="E474" s="23">
        <v>3347252.89</v>
      </c>
      <c r="F474" s="23">
        <v>5921823.9699999997</v>
      </c>
      <c r="G474" s="23">
        <v>561065.92000000004</v>
      </c>
      <c r="H474" s="23">
        <v>781398.35</v>
      </c>
    </row>
    <row r="475" spans="1:8" x14ac:dyDescent="0.35">
      <c r="A475">
        <v>2019</v>
      </c>
      <c r="B475" t="s">
        <v>255</v>
      </c>
      <c r="C475" t="s">
        <v>154</v>
      </c>
      <c r="D475" t="s">
        <v>160</v>
      </c>
      <c r="E475" s="23">
        <v>155849.23000000001</v>
      </c>
      <c r="F475" s="23">
        <v>14952.87</v>
      </c>
      <c r="G475" s="23">
        <v>96863.27</v>
      </c>
      <c r="H475" s="23">
        <v>9317.8700000000008</v>
      </c>
    </row>
    <row r="476" spans="1:8" x14ac:dyDescent="0.35">
      <c r="A476">
        <v>2019</v>
      </c>
      <c r="B476" t="s">
        <v>256</v>
      </c>
      <c r="C476" t="s">
        <v>154</v>
      </c>
      <c r="D476" t="s">
        <v>158</v>
      </c>
      <c r="E476" s="23">
        <v>380956.31640000001</v>
      </c>
      <c r="F476" s="23">
        <v>910739.61</v>
      </c>
      <c r="G476" s="23">
        <v>67242.63</v>
      </c>
      <c r="H476" s="23">
        <v>33450.18</v>
      </c>
    </row>
    <row r="477" spans="1:8" x14ac:dyDescent="0.35">
      <c r="A477">
        <v>2019</v>
      </c>
      <c r="B477" t="s">
        <v>257</v>
      </c>
      <c r="C477" t="s">
        <v>154</v>
      </c>
      <c r="D477" t="s">
        <v>160</v>
      </c>
      <c r="E477" s="23">
        <v>265823</v>
      </c>
      <c r="F477" s="23">
        <v>1848444.26</v>
      </c>
      <c r="G477" s="23">
        <v>168690</v>
      </c>
      <c r="H477" s="23">
        <v>609568.1</v>
      </c>
    </row>
    <row r="478" spans="1:8" x14ac:dyDescent="0.35">
      <c r="A478">
        <v>2019</v>
      </c>
      <c r="B478" t="s">
        <v>258</v>
      </c>
      <c r="C478" t="s">
        <v>154</v>
      </c>
      <c r="D478" t="s">
        <v>160</v>
      </c>
      <c r="E478" s="23">
        <v>1384633.93</v>
      </c>
      <c r="F478" s="23">
        <v>1110059.77</v>
      </c>
      <c r="G478" s="23">
        <v>1235577.17</v>
      </c>
      <c r="H478" s="23">
        <v>1040372.76</v>
      </c>
    </row>
    <row r="479" spans="1:8" x14ac:dyDescent="0.35">
      <c r="A479">
        <v>2019</v>
      </c>
      <c r="B479" t="s">
        <v>259</v>
      </c>
      <c r="C479" t="s">
        <v>154</v>
      </c>
      <c r="D479" t="s">
        <v>165</v>
      </c>
      <c r="E479" s="23">
        <v>1171938.6599999999</v>
      </c>
      <c r="F479" s="23">
        <v>176847.37</v>
      </c>
      <c r="G479" s="23">
        <v>459599.72</v>
      </c>
      <c r="H479" s="23">
        <v>17379.86</v>
      </c>
    </row>
    <row r="480" spans="1:8" x14ac:dyDescent="0.35">
      <c r="A480">
        <v>2019</v>
      </c>
      <c r="B480" t="s">
        <v>260</v>
      </c>
      <c r="C480" t="s">
        <v>154</v>
      </c>
      <c r="D480" t="s">
        <v>158</v>
      </c>
      <c r="E480" s="23">
        <v>438649.15</v>
      </c>
      <c r="F480" s="23">
        <v>1746831.13</v>
      </c>
      <c r="G480" s="23">
        <v>287031.52</v>
      </c>
      <c r="H480" s="23">
        <v>22048.42</v>
      </c>
    </row>
    <row r="481" spans="1:8" x14ac:dyDescent="0.35">
      <c r="A481">
        <v>2019</v>
      </c>
      <c r="B481" t="s">
        <v>261</v>
      </c>
      <c r="C481" t="s">
        <v>154</v>
      </c>
      <c r="D481" t="s">
        <v>158</v>
      </c>
      <c r="E481" s="23">
        <v>70209.88</v>
      </c>
      <c r="F481" s="23">
        <v>336389.73</v>
      </c>
      <c r="G481" s="23">
        <v>17127.419999999998</v>
      </c>
      <c r="H481" s="23">
        <v>235732.94</v>
      </c>
    </row>
    <row r="482" spans="1:8" x14ac:dyDescent="0.35">
      <c r="A482">
        <v>2019</v>
      </c>
      <c r="B482" t="s">
        <v>262</v>
      </c>
      <c r="C482" t="s">
        <v>154</v>
      </c>
      <c r="D482" t="s">
        <v>155</v>
      </c>
      <c r="E482" s="23">
        <v>41816.83</v>
      </c>
      <c r="F482" s="23">
        <v>0</v>
      </c>
      <c r="G482" s="23">
        <v>32507.53</v>
      </c>
      <c r="H482" s="23">
        <v>0</v>
      </c>
    </row>
    <row r="483" spans="1:8" x14ac:dyDescent="0.35">
      <c r="A483">
        <v>2019</v>
      </c>
      <c r="B483" t="s">
        <v>264</v>
      </c>
      <c r="C483" t="s">
        <v>154</v>
      </c>
      <c r="D483" t="s">
        <v>160</v>
      </c>
      <c r="E483" s="23">
        <v>720945</v>
      </c>
      <c r="F483" s="23">
        <v>1561034</v>
      </c>
      <c r="G483" s="23">
        <v>2979</v>
      </c>
      <c r="H483" s="23">
        <v>0</v>
      </c>
    </row>
    <row r="484" spans="1:8" x14ac:dyDescent="0.35">
      <c r="A484">
        <v>2019</v>
      </c>
      <c r="B484" t="s">
        <v>265</v>
      </c>
      <c r="C484" t="s">
        <v>154</v>
      </c>
      <c r="D484" t="s">
        <v>158</v>
      </c>
      <c r="E484" s="23">
        <v>410340.72</v>
      </c>
      <c r="F484" s="23">
        <v>376767.68</v>
      </c>
      <c r="G484" s="23">
        <v>214758.78</v>
      </c>
      <c r="H484" s="23">
        <v>8407.2199999999993</v>
      </c>
    </row>
    <row r="485" spans="1:8" x14ac:dyDescent="0.35">
      <c r="A485">
        <v>2019</v>
      </c>
      <c r="B485" t="s">
        <v>266</v>
      </c>
      <c r="C485" t="s">
        <v>154</v>
      </c>
      <c r="D485" t="s">
        <v>158</v>
      </c>
      <c r="E485" s="23">
        <v>4343934.3099999996</v>
      </c>
      <c r="F485" s="23">
        <v>980830.90899999999</v>
      </c>
      <c r="G485" s="23">
        <v>39874.85</v>
      </c>
      <c r="H485" s="23">
        <v>217680.33</v>
      </c>
    </row>
    <row r="486" spans="1:8" x14ac:dyDescent="0.35">
      <c r="A486">
        <v>2019</v>
      </c>
      <c r="B486" t="s">
        <v>267</v>
      </c>
      <c r="C486" t="s">
        <v>154</v>
      </c>
      <c r="D486" t="s">
        <v>160</v>
      </c>
      <c r="E486" s="23">
        <v>192749.51</v>
      </c>
      <c r="F486" s="23">
        <v>203282.36</v>
      </c>
      <c r="G486" s="23">
        <v>6115</v>
      </c>
      <c r="H486" s="23">
        <v>0</v>
      </c>
    </row>
    <row r="487" spans="1:8" x14ac:dyDescent="0.35">
      <c r="A487">
        <v>2019</v>
      </c>
      <c r="B487" t="s">
        <v>298</v>
      </c>
      <c r="C487" t="s">
        <v>154</v>
      </c>
      <c r="D487" t="s">
        <v>160</v>
      </c>
      <c r="E487" s="23">
        <v>341862.22</v>
      </c>
      <c r="F487" s="23">
        <v>1156072.52</v>
      </c>
      <c r="G487" s="23">
        <v>177201.22</v>
      </c>
      <c r="H487" s="23">
        <v>939858.52</v>
      </c>
    </row>
    <row r="488" spans="1:8" x14ac:dyDescent="0.35">
      <c r="A488">
        <v>2019</v>
      </c>
      <c r="B488" t="s">
        <v>268</v>
      </c>
      <c r="C488" t="s">
        <v>154</v>
      </c>
      <c r="D488" t="s">
        <v>160</v>
      </c>
      <c r="E488" s="23">
        <v>0</v>
      </c>
      <c r="F488" s="23">
        <v>0</v>
      </c>
      <c r="G488" s="23">
        <v>4336.68</v>
      </c>
      <c r="H488" s="23">
        <v>22544.1</v>
      </c>
    </row>
    <row r="489" spans="1:8" x14ac:dyDescent="0.35">
      <c r="A489">
        <v>2019</v>
      </c>
      <c r="B489" t="s">
        <v>269</v>
      </c>
      <c r="C489" t="s">
        <v>154</v>
      </c>
      <c r="D489" t="s">
        <v>160</v>
      </c>
      <c r="E489" s="23">
        <v>364809.5503</v>
      </c>
      <c r="F489" s="23">
        <v>1078602.1399999999</v>
      </c>
      <c r="G489" s="23">
        <v>22104.66</v>
      </c>
      <c r="H489" s="23">
        <v>27618.83</v>
      </c>
    </row>
    <row r="490" spans="1:8" x14ac:dyDescent="0.35">
      <c r="A490">
        <v>2019</v>
      </c>
      <c r="B490" t="s">
        <v>270</v>
      </c>
      <c r="C490" t="s">
        <v>154</v>
      </c>
      <c r="D490" t="s">
        <v>160</v>
      </c>
      <c r="E490" s="23">
        <v>538341.28</v>
      </c>
      <c r="F490" s="23">
        <v>0</v>
      </c>
      <c r="G490" s="23">
        <v>0</v>
      </c>
      <c r="H490" s="23">
        <v>0</v>
      </c>
    </row>
    <row r="491" spans="1:8" x14ac:dyDescent="0.35">
      <c r="A491">
        <v>2019</v>
      </c>
      <c r="B491" t="s">
        <v>271</v>
      </c>
      <c r="C491" t="s">
        <v>154</v>
      </c>
      <c r="D491" t="s">
        <v>158</v>
      </c>
      <c r="E491" s="23">
        <v>2504195.81</v>
      </c>
      <c r="F491" s="23">
        <v>1671467.8</v>
      </c>
      <c r="G491" s="23">
        <v>709703.9</v>
      </c>
      <c r="H491" s="23">
        <v>13420</v>
      </c>
    </row>
    <row r="492" spans="1:8" x14ac:dyDescent="0.35">
      <c r="A492">
        <v>2019</v>
      </c>
      <c r="B492" t="s">
        <v>272</v>
      </c>
      <c r="C492" t="s">
        <v>154</v>
      </c>
      <c r="D492" t="s">
        <v>160</v>
      </c>
      <c r="E492" s="23">
        <v>713828.9</v>
      </c>
      <c r="F492" s="23">
        <v>1278977.57</v>
      </c>
      <c r="G492" s="23">
        <v>239998.39</v>
      </c>
      <c r="H492" s="23">
        <v>587495.16</v>
      </c>
    </row>
    <row r="493" spans="1:8" x14ac:dyDescent="0.35">
      <c r="A493">
        <v>2019</v>
      </c>
      <c r="B493" t="s">
        <v>273</v>
      </c>
      <c r="C493" t="s">
        <v>154</v>
      </c>
      <c r="D493" t="s">
        <v>155</v>
      </c>
      <c r="E493" s="23">
        <v>1869568.19</v>
      </c>
      <c r="F493" s="23">
        <v>3634796.25</v>
      </c>
      <c r="G493" s="23">
        <v>1168389.42</v>
      </c>
      <c r="H493" s="23">
        <v>2637745.69</v>
      </c>
    </row>
    <row r="494" spans="1:8" x14ac:dyDescent="0.35">
      <c r="A494">
        <v>2019</v>
      </c>
      <c r="B494" t="s">
        <v>274</v>
      </c>
      <c r="C494" t="s">
        <v>154</v>
      </c>
      <c r="D494" t="s">
        <v>160</v>
      </c>
      <c r="E494" s="23">
        <v>0</v>
      </c>
      <c r="F494" s="23">
        <v>0</v>
      </c>
      <c r="G494" s="23">
        <v>492155.44</v>
      </c>
      <c r="H494" s="23">
        <v>2066543.25</v>
      </c>
    </row>
    <row r="495" spans="1:8" x14ac:dyDescent="0.35">
      <c r="A495">
        <v>2019</v>
      </c>
      <c r="B495" t="s">
        <v>275</v>
      </c>
      <c r="C495" t="s">
        <v>154</v>
      </c>
      <c r="D495" t="s">
        <v>160</v>
      </c>
      <c r="E495" s="23">
        <v>0</v>
      </c>
      <c r="F495" s="23">
        <v>0</v>
      </c>
      <c r="G495" s="23">
        <v>892.56</v>
      </c>
      <c r="H495" s="23">
        <v>0</v>
      </c>
    </row>
    <row r="496" spans="1:8" x14ac:dyDescent="0.35">
      <c r="A496">
        <v>2019</v>
      </c>
      <c r="B496" t="s">
        <v>276</v>
      </c>
      <c r="C496" t="s">
        <v>154</v>
      </c>
      <c r="D496" t="s">
        <v>158</v>
      </c>
      <c r="E496" s="23">
        <v>446445.57</v>
      </c>
      <c r="F496" s="23">
        <v>614514.9</v>
      </c>
      <c r="G496" s="23">
        <v>135228.42000000001</v>
      </c>
      <c r="H496" s="23">
        <v>562792.77</v>
      </c>
    </row>
    <row r="497" spans="1:8" x14ac:dyDescent="0.35">
      <c r="A497">
        <v>2019</v>
      </c>
      <c r="B497" t="s">
        <v>277</v>
      </c>
      <c r="C497" t="s">
        <v>154</v>
      </c>
      <c r="D497" t="s">
        <v>155</v>
      </c>
      <c r="E497" s="23">
        <v>434999.13</v>
      </c>
      <c r="F497" s="23">
        <v>436105.83</v>
      </c>
      <c r="G497" s="23">
        <v>326772.71999999997</v>
      </c>
      <c r="H497" s="23">
        <v>352447.17</v>
      </c>
    </row>
    <row r="498" spans="1:8" x14ac:dyDescent="0.35">
      <c r="A498">
        <v>2019</v>
      </c>
      <c r="B498" t="s">
        <v>278</v>
      </c>
      <c r="C498" t="s">
        <v>154</v>
      </c>
      <c r="D498" t="s">
        <v>155</v>
      </c>
      <c r="E498" s="23">
        <v>78775.28</v>
      </c>
      <c r="F498" s="23">
        <v>8440.1200000000008</v>
      </c>
      <c r="G498" s="23">
        <v>17813.14</v>
      </c>
      <c r="H498" s="23">
        <v>8440.1200000000008</v>
      </c>
    </row>
    <row r="499" spans="1:8" x14ac:dyDescent="0.35">
      <c r="A499">
        <v>2019</v>
      </c>
      <c r="B499" t="s">
        <v>279</v>
      </c>
      <c r="C499" t="s">
        <v>154</v>
      </c>
      <c r="D499" t="s">
        <v>155</v>
      </c>
      <c r="E499" s="23">
        <v>2870628.23</v>
      </c>
      <c r="F499" s="23">
        <v>126469.54</v>
      </c>
      <c r="G499" s="23">
        <v>119937.46</v>
      </c>
      <c r="H499" s="23">
        <v>19698.759999999998</v>
      </c>
    </row>
    <row r="500" spans="1:8" x14ac:dyDescent="0.35">
      <c r="A500">
        <v>2019</v>
      </c>
      <c r="B500" t="s">
        <v>280</v>
      </c>
      <c r="C500" t="s">
        <v>154</v>
      </c>
      <c r="D500" t="s">
        <v>160</v>
      </c>
      <c r="E500" s="23">
        <v>983536.27</v>
      </c>
      <c r="F500" s="23">
        <v>1911151.87</v>
      </c>
      <c r="G500" s="23">
        <v>210976.02</v>
      </c>
      <c r="H500" s="23">
        <v>508071.15</v>
      </c>
    </row>
    <row r="501" spans="1:8" x14ac:dyDescent="0.35">
      <c r="A501">
        <v>2019</v>
      </c>
      <c r="B501" t="s">
        <v>281</v>
      </c>
      <c r="C501" t="s">
        <v>154</v>
      </c>
      <c r="D501" t="s">
        <v>158</v>
      </c>
      <c r="E501" s="23">
        <v>1066997.6200000001</v>
      </c>
      <c r="F501" s="23">
        <v>9402182.4662999995</v>
      </c>
      <c r="G501" s="23">
        <v>0</v>
      </c>
      <c r="H501" s="23">
        <v>0</v>
      </c>
    </row>
    <row r="502" spans="1:8" x14ac:dyDescent="0.35">
      <c r="A502">
        <v>2019</v>
      </c>
      <c r="B502" t="s">
        <v>282</v>
      </c>
      <c r="C502" t="s">
        <v>154</v>
      </c>
      <c r="D502" t="s">
        <v>160</v>
      </c>
      <c r="E502" s="23">
        <v>1276364.9765999999</v>
      </c>
      <c r="F502" s="23">
        <v>594010.72</v>
      </c>
      <c r="G502" s="23">
        <v>402036.87</v>
      </c>
      <c r="H502" s="23">
        <v>54200.75</v>
      </c>
    </row>
    <row r="503" spans="1:8" x14ac:dyDescent="0.35">
      <c r="A503">
        <v>2019</v>
      </c>
      <c r="B503" t="s">
        <v>283</v>
      </c>
      <c r="C503" t="s">
        <v>154</v>
      </c>
      <c r="D503" t="s">
        <v>155</v>
      </c>
      <c r="E503" s="23">
        <v>2248049.5</v>
      </c>
      <c r="F503" s="23">
        <v>71283905.099999994</v>
      </c>
      <c r="G503" s="23">
        <v>94681.24</v>
      </c>
      <c r="H503" s="23">
        <v>687798.57</v>
      </c>
    </row>
    <row r="504" spans="1:8" x14ac:dyDescent="0.35">
      <c r="A504">
        <v>2019</v>
      </c>
      <c r="B504" t="s">
        <v>284</v>
      </c>
      <c r="C504" t="s">
        <v>154</v>
      </c>
      <c r="D504" t="s">
        <v>158</v>
      </c>
      <c r="E504" s="23">
        <v>345312.42330000002</v>
      </c>
      <c r="F504" s="23">
        <v>979546.56</v>
      </c>
      <c r="G504" s="23">
        <v>430</v>
      </c>
      <c r="H504" s="23">
        <v>30000</v>
      </c>
    </row>
    <row r="505" spans="1:8" x14ac:dyDescent="0.35">
      <c r="A505">
        <v>2019</v>
      </c>
      <c r="B505" t="s">
        <v>285</v>
      </c>
      <c r="C505" t="s">
        <v>154</v>
      </c>
      <c r="D505" t="s">
        <v>155</v>
      </c>
      <c r="E505" s="23">
        <v>235068.9</v>
      </c>
      <c r="F505" s="23">
        <v>68324.75</v>
      </c>
      <c r="G505" s="23">
        <v>0</v>
      </c>
      <c r="H505" s="23">
        <v>0</v>
      </c>
    </row>
    <row r="506" spans="1:8" x14ac:dyDescent="0.35">
      <c r="A506">
        <v>2019</v>
      </c>
      <c r="B506" t="s">
        <v>286</v>
      </c>
      <c r="C506" t="s">
        <v>163</v>
      </c>
      <c r="D506" t="s">
        <v>160</v>
      </c>
      <c r="E506" s="23">
        <v>113553.88</v>
      </c>
      <c r="F506" s="23">
        <v>0</v>
      </c>
      <c r="G506" s="23">
        <v>0</v>
      </c>
      <c r="H506" s="23">
        <v>0</v>
      </c>
    </row>
    <row r="507" spans="1:8" x14ac:dyDescent="0.35">
      <c r="A507">
        <v>2019</v>
      </c>
      <c r="B507" t="s">
        <v>287</v>
      </c>
      <c r="C507" t="s">
        <v>154</v>
      </c>
      <c r="D507" t="s">
        <v>158</v>
      </c>
      <c r="E507" s="23">
        <v>899583.08</v>
      </c>
      <c r="F507" s="23">
        <v>628377.93669999996</v>
      </c>
      <c r="G507" s="23">
        <v>150965.67000000001</v>
      </c>
      <c r="H507" s="23">
        <v>45261.33</v>
      </c>
    </row>
    <row r="508" spans="1:8" x14ac:dyDescent="0.35">
      <c r="A508">
        <v>2019</v>
      </c>
      <c r="B508" t="s">
        <v>289</v>
      </c>
      <c r="C508" t="s">
        <v>154</v>
      </c>
      <c r="D508" t="s">
        <v>160</v>
      </c>
      <c r="E508" s="23">
        <v>630259.75</v>
      </c>
      <c r="F508" s="23">
        <v>658085.06999999995</v>
      </c>
      <c r="G508" s="23">
        <v>0</v>
      </c>
      <c r="H508" s="23">
        <v>0</v>
      </c>
    </row>
    <row r="509" spans="1:8" x14ac:dyDescent="0.35">
      <c r="A509">
        <v>2019</v>
      </c>
      <c r="B509" t="s">
        <v>290</v>
      </c>
      <c r="C509" t="s">
        <v>154</v>
      </c>
      <c r="D509" t="s">
        <v>155</v>
      </c>
      <c r="E509" s="23">
        <v>796783.05</v>
      </c>
      <c r="F509" s="23">
        <v>734873.35</v>
      </c>
      <c r="G509" s="23">
        <v>0</v>
      </c>
      <c r="H509" s="23">
        <v>0</v>
      </c>
    </row>
    <row r="510" spans="1:8" x14ac:dyDescent="0.35">
      <c r="A510">
        <v>2019</v>
      </c>
      <c r="B510" t="s">
        <v>291</v>
      </c>
      <c r="C510" t="s">
        <v>154</v>
      </c>
      <c r="D510" t="s">
        <v>158</v>
      </c>
      <c r="E510" s="23">
        <v>512772.8</v>
      </c>
      <c r="F510" s="23">
        <v>579628.4</v>
      </c>
      <c r="G510" s="23">
        <v>176575.22</v>
      </c>
      <c r="H510" s="23">
        <v>62135.1</v>
      </c>
    </row>
    <row r="511" spans="1:8" x14ac:dyDescent="0.35">
      <c r="A511">
        <v>2019</v>
      </c>
      <c r="B511" t="s">
        <v>296</v>
      </c>
      <c r="C511" t="s">
        <v>154</v>
      </c>
      <c r="D511" t="s">
        <v>155</v>
      </c>
      <c r="E511" s="23">
        <v>4134659.48</v>
      </c>
      <c r="F511" s="23">
        <v>3375</v>
      </c>
      <c r="G511" s="23">
        <v>0</v>
      </c>
      <c r="H511" s="23">
        <v>3375</v>
      </c>
    </row>
    <row r="512" spans="1:8" x14ac:dyDescent="0.35">
      <c r="A512">
        <v>2019</v>
      </c>
      <c r="B512" t="s">
        <v>292</v>
      </c>
      <c r="C512" t="s">
        <v>154</v>
      </c>
      <c r="D512" t="s">
        <v>160</v>
      </c>
      <c r="E512" s="23">
        <v>21039.88</v>
      </c>
      <c r="F512" s="23">
        <v>71325.75</v>
      </c>
      <c r="G512" s="23">
        <v>0</v>
      </c>
      <c r="H512" s="23">
        <v>2573</v>
      </c>
    </row>
    <row r="513" spans="1:8" x14ac:dyDescent="0.35">
      <c r="A513">
        <v>2019</v>
      </c>
      <c r="B513" t="s">
        <v>293</v>
      </c>
      <c r="C513" t="s">
        <v>154</v>
      </c>
      <c r="D513" t="s">
        <v>158</v>
      </c>
      <c r="E513" s="23">
        <v>49435.199999999997</v>
      </c>
      <c r="F513" s="23">
        <v>71069.95</v>
      </c>
      <c r="G513" s="23">
        <v>14674.88</v>
      </c>
      <c r="H513" s="23">
        <v>51327.18</v>
      </c>
    </row>
    <row r="514" spans="1:8" x14ac:dyDescent="0.35">
      <c r="A514">
        <v>2019</v>
      </c>
      <c r="B514" t="s">
        <v>294</v>
      </c>
      <c r="C514" t="s">
        <v>154</v>
      </c>
      <c r="D514" t="s">
        <v>155</v>
      </c>
      <c r="E514" s="23">
        <v>52161.98</v>
      </c>
      <c r="F514" s="23">
        <v>58209.8</v>
      </c>
      <c r="G514" s="23">
        <v>0</v>
      </c>
      <c r="H514" s="23">
        <v>0</v>
      </c>
    </row>
    <row r="515" spans="1:8" x14ac:dyDescent="0.35">
      <c r="A515">
        <v>2019</v>
      </c>
      <c r="B515" t="s">
        <v>295</v>
      </c>
      <c r="C515" t="s">
        <v>154</v>
      </c>
      <c r="D515" t="s">
        <v>158</v>
      </c>
      <c r="E515" s="23">
        <v>54858185.166599996</v>
      </c>
      <c r="F515" s="23">
        <v>34233245.704300001</v>
      </c>
      <c r="G515" s="23">
        <v>6487445.7400000002</v>
      </c>
      <c r="H515" s="23">
        <v>2489413.7799999998</v>
      </c>
    </row>
    <row r="516" spans="1:8" x14ac:dyDescent="0.35">
      <c r="A516">
        <v>2018</v>
      </c>
      <c r="B516" t="s">
        <v>153</v>
      </c>
      <c r="C516" t="s">
        <v>154</v>
      </c>
      <c r="D516" t="s">
        <v>155</v>
      </c>
      <c r="E516" s="23">
        <v>1339038.25</v>
      </c>
      <c r="F516" s="23">
        <v>876.48</v>
      </c>
      <c r="G516" s="23">
        <v>1278168.74</v>
      </c>
      <c r="H516" s="23">
        <v>4.4800000000000004</v>
      </c>
    </row>
    <row r="517" spans="1:8" x14ac:dyDescent="0.35">
      <c r="A517">
        <v>2018</v>
      </c>
      <c r="B517" t="s">
        <v>297</v>
      </c>
      <c r="C517" t="s">
        <v>154</v>
      </c>
      <c r="D517" t="s">
        <v>155</v>
      </c>
      <c r="E517" s="23">
        <v>131857.67000000001</v>
      </c>
      <c r="F517" s="23">
        <v>284963.01</v>
      </c>
      <c r="G517" s="23">
        <v>131857.67000000001</v>
      </c>
      <c r="H517" s="23">
        <v>284963.01</v>
      </c>
    </row>
    <row r="518" spans="1:8" x14ac:dyDescent="0.35">
      <c r="A518">
        <v>2018</v>
      </c>
      <c r="B518" t="s">
        <v>161</v>
      </c>
      <c r="C518" t="s">
        <v>154</v>
      </c>
      <c r="D518" t="s">
        <v>158</v>
      </c>
      <c r="E518" s="23">
        <v>571955.09</v>
      </c>
      <c r="F518" s="23">
        <v>4307613.1900000004</v>
      </c>
      <c r="G518" s="23">
        <v>463157.17</v>
      </c>
      <c r="H518" s="23">
        <v>3855104.22</v>
      </c>
    </row>
    <row r="519" spans="1:8" x14ac:dyDescent="0.35">
      <c r="A519">
        <v>2018</v>
      </c>
      <c r="B519" t="s">
        <v>162</v>
      </c>
      <c r="C519" t="s">
        <v>163</v>
      </c>
      <c r="D519" t="s">
        <v>158</v>
      </c>
      <c r="E519" s="23">
        <v>213968.76</v>
      </c>
      <c r="F519" s="23">
        <v>276357.90000000002</v>
      </c>
      <c r="G519" s="23">
        <v>0</v>
      </c>
      <c r="H519" s="23">
        <v>0</v>
      </c>
    </row>
    <row r="520" spans="1:8" x14ac:dyDescent="0.35">
      <c r="A520">
        <v>2018</v>
      </c>
      <c r="B520" t="s">
        <v>164</v>
      </c>
      <c r="C520" t="s">
        <v>154</v>
      </c>
      <c r="D520" t="s">
        <v>165</v>
      </c>
      <c r="E520" s="23">
        <v>1817690.96</v>
      </c>
      <c r="F520" s="23">
        <v>3957936.61</v>
      </c>
      <c r="G520" s="23">
        <v>553319.75</v>
      </c>
      <c r="H520" s="23">
        <v>1680059.81</v>
      </c>
    </row>
    <row r="521" spans="1:8" x14ac:dyDescent="0.35">
      <c r="A521">
        <v>2018</v>
      </c>
      <c r="B521" t="s">
        <v>167</v>
      </c>
      <c r="C521" t="s">
        <v>154</v>
      </c>
      <c r="D521" t="s">
        <v>155</v>
      </c>
      <c r="E521" s="23">
        <v>878300.15</v>
      </c>
      <c r="F521" s="23">
        <v>210322.38</v>
      </c>
      <c r="G521" s="23">
        <v>678698.79</v>
      </c>
      <c r="H521" s="23">
        <v>193382.38</v>
      </c>
    </row>
    <row r="522" spans="1:8" x14ac:dyDescent="0.35">
      <c r="A522">
        <v>2018</v>
      </c>
      <c r="B522" t="s">
        <v>168</v>
      </c>
      <c r="C522" t="s">
        <v>154</v>
      </c>
      <c r="D522" t="s">
        <v>158</v>
      </c>
      <c r="E522" s="23">
        <v>1082732</v>
      </c>
      <c r="F522" s="23">
        <v>31547687.629999999</v>
      </c>
      <c r="G522" s="23">
        <v>329074.17</v>
      </c>
      <c r="H522" s="23">
        <v>578472.02</v>
      </c>
    </row>
    <row r="523" spans="1:8" x14ac:dyDescent="0.35">
      <c r="A523">
        <v>2018</v>
      </c>
      <c r="B523" t="s">
        <v>169</v>
      </c>
      <c r="C523" t="s">
        <v>154</v>
      </c>
      <c r="D523" t="s">
        <v>160</v>
      </c>
      <c r="E523" s="23">
        <v>50163.1</v>
      </c>
      <c r="F523" s="23">
        <v>171590.71</v>
      </c>
      <c r="G523" s="23">
        <v>0</v>
      </c>
      <c r="H523" s="23">
        <v>8333.2999999999993</v>
      </c>
    </row>
    <row r="524" spans="1:8" x14ac:dyDescent="0.35">
      <c r="A524">
        <v>2018</v>
      </c>
      <c r="B524" t="s">
        <v>170</v>
      </c>
      <c r="C524" t="s">
        <v>154</v>
      </c>
      <c r="D524" t="s">
        <v>160</v>
      </c>
      <c r="E524" s="23">
        <v>959656.22</v>
      </c>
      <c r="F524" s="23">
        <v>1986196.54</v>
      </c>
      <c r="G524" s="23">
        <v>469497.7</v>
      </c>
      <c r="H524" s="23">
        <v>447849.43</v>
      </c>
    </row>
    <row r="525" spans="1:8" x14ac:dyDescent="0.35">
      <c r="A525">
        <v>2018</v>
      </c>
      <c r="B525" t="s">
        <v>171</v>
      </c>
      <c r="C525" t="s">
        <v>154</v>
      </c>
      <c r="D525" t="s">
        <v>158</v>
      </c>
      <c r="E525" s="23">
        <v>765853.78</v>
      </c>
      <c r="F525" s="23">
        <v>16211.6</v>
      </c>
      <c r="G525" s="23">
        <v>760377.48</v>
      </c>
      <c r="H525" s="23">
        <v>16211.6</v>
      </c>
    </row>
    <row r="526" spans="1:8" x14ac:dyDescent="0.35">
      <c r="A526">
        <v>2018</v>
      </c>
      <c r="B526" t="s">
        <v>172</v>
      </c>
      <c r="C526" t="s">
        <v>154</v>
      </c>
      <c r="D526" t="s">
        <v>155</v>
      </c>
      <c r="E526" s="23">
        <v>8775813.8200000003</v>
      </c>
      <c r="F526" s="23">
        <v>16604228.93</v>
      </c>
      <c r="G526" s="23">
        <v>949431.16</v>
      </c>
      <c r="H526" s="23">
        <v>1150772.05</v>
      </c>
    </row>
    <row r="527" spans="1:8" x14ac:dyDescent="0.35">
      <c r="A527">
        <v>2018</v>
      </c>
      <c r="B527" t="s">
        <v>173</v>
      </c>
      <c r="C527" t="s">
        <v>154</v>
      </c>
      <c r="D527" t="s">
        <v>155</v>
      </c>
      <c r="E527" s="23">
        <v>262330.89</v>
      </c>
      <c r="F527" s="23">
        <v>594522.89</v>
      </c>
      <c r="G527" s="23">
        <v>0</v>
      </c>
      <c r="H527" s="23">
        <v>0</v>
      </c>
    </row>
    <row r="528" spans="1:8" x14ac:dyDescent="0.35">
      <c r="A528">
        <v>2018</v>
      </c>
      <c r="B528" t="s">
        <v>174</v>
      </c>
      <c r="C528" t="s">
        <v>154</v>
      </c>
      <c r="D528" t="s">
        <v>160</v>
      </c>
      <c r="E528" s="23">
        <v>4706567.21</v>
      </c>
      <c r="F528" s="23">
        <v>19442117.93</v>
      </c>
      <c r="G528" s="23">
        <v>0</v>
      </c>
      <c r="H528" s="23">
        <v>0</v>
      </c>
    </row>
    <row r="529" spans="1:8" x14ac:dyDescent="0.35">
      <c r="A529">
        <v>2018</v>
      </c>
      <c r="B529" t="s">
        <v>175</v>
      </c>
      <c r="C529" t="s">
        <v>154</v>
      </c>
      <c r="D529" t="s">
        <v>158</v>
      </c>
      <c r="E529" s="23">
        <v>299136.3</v>
      </c>
      <c r="F529" s="23">
        <v>363162.68</v>
      </c>
      <c r="G529" s="23">
        <v>276646.3</v>
      </c>
      <c r="H529" s="23">
        <v>363162.68</v>
      </c>
    </row>
    <row r="530" spans="1:8" x14ac:dyDescent="0.35">
      <c r="A530">
        <v>2018</v>
      </c>
      <c r="B530" t="s">
        <v>176</v>
      </c>
      <c r="C530" t="s">
        <v>154</v>
      </c>
      <c r="D530" t="s">
        <v>160</v>
      </c>
      <c r="E530" s="23">
        <v>1160484.4099999999</v>
      </c>
      <c r="F530" s="23">
        <v>2858753.42</v>
      </c>
      <c r="G530" s="23">
        <v>653596.51</v>
      </c>
      <c r="H530" s="23">
        <v>47311.62</v>
      </c>
    </row>
    <row r="531" spans="1:8" x14ac:dyDescent="0.35">
      <c r="A531">
        <v>2018</v>
      </c>
      <c r="B531" t="s">
        <v>177</v>
      </c>
      <c r="C531" t="s">
        <v>154</v>
      </c>
      <c r="D531" t="s">
        <v>160</v>
      </c>
      <c r="E531" s="23">
        <v>1351097.95</v>
      </c>
      <c r="F531" s="23">
        <v>5643554.4400000004</v>
      </c>
      <c r="G531" s="23">
        <v>43910</v>
      </c>
      <c r="H531" s="23">
        <v>111239</v>
      </c>
    </row>
    <row r="532" spans="1:8" x14ac:dyDescent="0.35">
      <c r="A532">
        <v>2018</v>
      </c>
      <c r="B532" t="s">
        <v>178</v>
      </c>
      <c r="C532" t="s">
        <v>154</v>
      </c>
      <c r="D532" t="s">
        <v>155</v>
      </c>
      <c r="E532" s="23">
        <v>189145.06</v>
      </c>
      <c r="F532" s="23">
        <v>260576.29</v>
      </c>
      <c r="G532" s="23">
        <v>43709.56</v>
      </c>
      <c r="H532" s="23">
        <v>80559.88</v>
      </c>
    </row>
    <row r="533" spans="1:8" x14ac:dyDescent="0.35">
      <c r="A533">
        <v>2018</v>
      </c>
      <c r="B533" t="s">
        <v>179</v>
      </c>
      <c r="C533" t="s">
        <v>154</v>
      </c>
      <c r="D533" t="s">
        <v>160</v>
      </c>
      <c r="E533" s="23">
        <v>549950.92000000004</v>
      </c>
      <c r="F533" s="23">
        <v>24762.240000000002</v>
      </c>
      <c r="G533" s="23">
        <v>505706.9</v>
      </c>
      <c r="H533" s="23">
        <v>11740.45</v>
      </c>
    </row>
    <row r="534" spans="1:8" x14ac:dyDescent="0.35">
      <c r="A534">
        <v>2018</v>
      </c>
      <c r="B534" t="s">
        <v>180</v>
      </c>
      <c r="C534" t="s">
        <v>154</v>
      </c>
      <c r="D534" t="s">
        <v>160</v>
      </c>
      <c r="E534" s="23">
        <v>772481.2</v>
      </c>
      <c r="F534" s="23">
        <v>2854400.61</v>
      </c>
      <c r="G534" s="23">
        <v>69695</v>
      </c>
      <c r="H534" s="23">
        <v>54000</v>
      </c>
    </row>
    <row r="535" spans="1:8" x14ac:dyDescent="0.35">
      <c r="A535">
        <v>2018</v>
      </c>
      <c r="B535" t="s">
        <v>181</v>
      </c>
      <c r="C535" t="s">
        <v>154</v>
      </c>
      <c r="D535" t="s">
        <v>155</v>
      </c>
      <c r="E535" s="23">
        <v>1412243.25</v>
      </c>
      <c r="F535" s="23">
        <v>5133822.3600000003</v>
      </c>
      <c r="G535" s="23">
        <v>626609.77</v>
      </c>
      <c r="H535" s="23">
        <v>4289232.41</v>
      </c>
    </row>
    <row r="536" spans="1:8" x14ac:dyDescent="0.35">
      <c r="A536">
        <v>2018</v>
      </c>
      <c r="B536" t="s">
        <v>182</v>
      </c>
      <c r="C536" t="s">
        <v>154</v>
      </c>
      <c r="D536" t="s">
        <v>158</v>
      </c>
      <c r="E536" s="23">
        <v>0</v>
      </c>
      <c r="F536" s="23">
        <v>0</v>
      </c>
      <c r="G536" s="23">
        <v>11272.8</v>
      </c>
      <c r="H536" s="23">
        <v>25749.200000000001</v>
      </c>
    </row>
    <row r="537" spans="1:8" x14ac:dyDescent="0.35">
      <c r="A537">
        <v>2018</v>
      </c>
      <c r="B537" t="s">
        <v>183</v>
      </c>
      <c r="C537" t="s">
        <v>154</v>
      </c>
      <c r="D537" t="s">
        <v>155</v>
      </c>
      <c r="E537" s="23">
        <v>19450.3</v>
      </c>
      <c r="F537" s="23">
        <v>9903.17</v>
      </c>
      <c r="G537" s="23">
        <v>19450.3</v>
      </c>
      <c r="H537" s="23">
        <v>9903.17</v>
      </c>
    </row>
    <row r="538" spans="1:8" x14ac:dyDescent="0.35">
      <c r="A538">
        <v>2018</v>
      </c>
      <c r="B538" t="s">
        <v>184</v>
      </c>
      <c r="C538" t="s">
        <v>154</v>
      </c>
      <c r="D538" t="s">
        <v>155</v>
      </c>
      <c r="E538" s="23">
        <v>2421823.5099999998</v>
      </c>
      <c r="F538" s="23">
        <v>6456144.5800000001</v>
      </c>
      <c r="G538" s="23">
        <v>1268942.8700000001</v>
      </c>
      <c r="H538" s="23">
        <v>2538284.13</v>
      </c>
    </row>
    <row r="539" spans="1:8" x14ac:dyDescent="0.35">
      <c r="A539">
        <v>2018</v>
      </c>
      <c r="B539" t="s">
        <v>186</v>
      </c>
      <c r="C539" t="s">
        <v>154</v>
      </c>
      <c r="D539" t="s">
        <v>158</v>
      </c>
      <c r="E539" s="23">
        <v>1928784.01</v>
      </c>
      <c r="F539" s="23">
        <v>721353.28</v>
      </c>
      <c r="G539" s="23">
        <v>357041.25</v>
      </c>
      <c r="H539" s="23">
        <v>384224.05</v>
      </c>
    </row>
    <row r="540" spans="1:8" x14ac:dyDescent="0.35">
      <c r="A540">
        <v>2018</v>
      </c>
      <c r="B540" t="s">
        <v>187</v>
      </c>
      <c r="C540" t="s">
        <v>154</v>
      </c>
      <c r="D540" t="s">
        <v>158</v>
      </c>
      <c r="E540" s="23">
        <v>800925.98</v>
      </c>
      <c r="F540" s="23">
        <v>1417228.15</v>
      </c>
      <c r="G540" s="23">
        <v>12644.97</v>
      </c>
      <c r="H540" s="23">
        <v>13855.01</v>
      </c>
    </row>
    <row r="541" spans="1:8" x14ac:dyDescent="0.35">
      <c r="A541">
        <v>2018</v>
      </c>
      <c r="B541" t="s">
        <v>188</v>
      </c>
      <c r="C541" t="s">
        <v>154</v>
      </c>
      <c r="D541" t="s">
        <v>155</v>
      </c>
      <c r="E541" s="23">
        <v>3830.4</v>
      </c>
      <c r="F541" s="23">
        <v>561858.37</v>
      </c>
      <c r="G541" s="23">
        <v>0</v>
      </c>
      <c r="H541" s="23">
        <v>0</v>
      </c>
    </row>
    <row r="542" spans="1:8" x14ac:dyDescent="0.35">
      <c r="A542">
        <v>2018</v>
      </c>
      <c r="B542" t="s">
        <v>189</v>
      </c>
      <c r="C542" t="s">
        <v>154</v>
      </c>
      <c r="D542" t="s">
        <v>158</v>
      </c>
      <c r="E542" s="23">
        <v>1365405.38</v>
      </c>
      <c r="F542" s="23">
        <v>2186350.5699999998</v>
      </c>
      <c r="G542" s="23">
        <v>30076.2</v>
      </c>
      <c r="H542" s="23">
        <v>68622.13</v>
      </c>
    </row>
    <row r="543" spans="1:8" x14ac:dyDescent="0.35">
      <c r="A543">
        <v>2018</v>
      </c>
      <c r="B543" t="s">
        <v>190</v>
      </c>
      <c r="C543" t="s">
        <v>154</v>
      </c>
      <c r="D543" t="s">
        <v>155</v>
      </c>
      <c r="E543" s="23">
        <v>102519.06</v>
      </c>
      <c r="F543" s="23">
        <v>702084.37</v>
      </c>
      <c r="G543" s="23">
        <v>0</v>
      </c>
      <c r="H543" s="23">
        <v>0</v>
      </c>
    </row>
    <row r="544" spans="1:8" x14ac:dyDescent="0.35">
      <c r="A544">
        <v>2018</v>
      </c>
      <c r="B544" t="s">
        <v>192</v>
      </c>
      <c r="C544" t="s">
        <v>154</v>
      </c>
      <c r="D544" t="s">
        <v>160</v>
      </c>
      <c r="E544" s="23">
        <v>566020.16</v>
      </c>
      <c r="F544" s="23">
        <v>2194803.7400000002</v>
      </c>
      <c r="G544" s="23">
        <v>402159.22</v>
      </c>
      <c r="H544" s="23">
        <v>711765.76</v>
      </c>
    </row>
    <row r="545" spans="1:8" x14ac:dyDescent="0.35">
      <c r="A545">
        <v>2018</v>
      </c>
      <c r="B545" t="s">
        <v>193</v>
      </c>
      <c r="C545" t="s">
        <v>154</v>
      </c>
      <c r="D545" t="s">
        <v>155</v>
      </c>
      <c r="E545" s="23">
        <v>122792.58</v>
      </c>
      <c r="F545" s="23">
        <v>207046.12</v>
      </c>
      <c r="G545" s="23">
        <v>0</v>
      </c>
      <c r="H545" s="23">
        <v>0</v>
      </c>
    </row>
    <row r="546" spans="1:8" x14ac:dyDescent="0.35">
      <c r="A546">
        <v>2018</v>
      </c>
      <c r="B546" t="s">
        <v>195</v>
      </c>
      <c r="C546" t="s">
        <v>154</v>
      </c>
      <c r="D546" t="s">
        <v>160</v>
      </c>
      <c r="E546" s="23">
        <v>247696.97</v>
      </c>
      <c r="F546" s="23">
        <v>20562.22</v>
      </c>
      <c r="G546" s="23">
        <v>115096.01</v>
      </c>
      <c r="H546" s="23">
        <v>14451.22</v>
      </c>
    </row>
    <row r="547" spans="1:8" x14ac:dyDescent="0.35">
      <c r="A547">
        <v>2018</v>
      </c>
      <c r="B547" t="s">
        <v>196</v>
      </c>
      <c r="C547" t="s">
        <v>154</v>
      </c>
      <c r="D547" t="s">
        <v>155</v>
      </c>
      <c r="E547" s="23">
        <v>1528783.75</v>
      </c>
      <c r="F547" s="23">
        <v>2450149.02</v>
      </c>
      <c r="G547" s="23">
        <v>1116027.6000000001</v>
      </c>
      <c r="H547" s="23">
        <v>2444149.02</v>
      </c>
    </row>
    <row r="548" spans="1:8" x14ac:dyDescent="0.35">
      <c r="A548">
        <v>2018</v>
      </c>
      <c r="B548" t="s">
        <v>197</v>
      </c>
      <c r="C548" t="s">
        <v>154</v>
      </c>
      <c r="D548" t="s">
        <v>160</v>
      </c>
      <c r="E548" s="23">
        <v>60113.03</v>
      </c>
      <c r="F548" s="23">
        <v>57173.279999999999</v>
      </c>
      <c r="G548" s="23">
        <v>9353.25</v>
      </c>
      <c r="H548" s="23">
        <v>24052.11</v>
      </c>
    </row>
    <row r="549" spans="1:8" x14ac:dyDescent="0.35">
      <c r="A549">
        <v>2018</v>
      </c>
      <c r="B549" t="s">
        <v>198</v>
      </c>
      <c r="C549" t="s">
        <v>154</v>
      </c>
      <c r="D549" t="s">
        <v>160</v>
      </c>
      <c r="E549" s="23">
        <v>13523.06</v>
      </c>
      <c r="F549" s="23">
        <v>51276.56</v>
      </c>
      <c r="G549" s="23">
        <v>5620.96</v>
      </c>
      <c r="H549" s="23">
        <v>1276.56</v>
      </c>
    </row>
    <row r="550" spans="1:8" x14ac:dyDescent="0.35">
      <c r="A550">
        <v>2018</v>
      </c>
      <c r="B550" t="s">
        <v>199</v>
      </c>
      <c r="C550" t="s">
        <v>154</v>
      </c>
      <c r="D550" t="s">
        <v>160</v>
      </c>
      <c r="E550" s="23">
        <v>389582.05</v>
      </c>
      <c r="F550" s="23">
        <v>1042818.8</v>
      </c>
      <c r="G550" s="23">
        <v>15074</v>
      </c>
      <c r="H550" s="23">
        <v>54000</v>
      </c>
    </row>
    <row r="551" spans="1:8" x14ac:dyDescent="0.35">
      <c r="A551">
        <v>2018</v>
      </c>
      <c r="B551" t="s">
        <v>200</v>
      </c>
      <c r="C551" t="s">
        <v>154</v>
      </c>
      <c r="D551" t="s">
        <v>158</v>
      </c>
      <c r="E551" s="23">
        <v>1163553.8999999999</v>
      </c>
      <c r="F551" s="23">
        <v>90326.1</v>
      </c>
      <c r="G551" s="23">
        <v>31496.400000000001</v>
      </c>
      <c r="H551" s="23">
        <v>90326.1</v>
      </c>
    </row>
    <row r="552" spans="1:8" x14ac:dyDescent="0.35">
      <c r="A552">
        <v>2018</v>
      </c>
      <c r="B552" t="s">
        <v>201</v>
      </c>
      <c r="C552" t="s">
        <v>154</v>
      </c>
      <c r="D552" t="s">
        <v>160</v>
      </c>
      <c r="E552" s="23">
        <v>0</v>
      </c>
      <c r="F552" s="23">
        <v>0</v>
      </c>
      <c r="G552" s="23">
        <v>1564214.49</v>
      </c>
      <c r="H552" s="23">
        <v>820419.96</v>
      </c>
    </row>
    <row r="553" spans="1:8" x14ac:dyDescent="0.35">
      <c r="A553">
        <v>2018</v>
      </c>
      <c r="B553" t="s">
        <v>202</v>
      </c>
      <c r="C553" t="s">
        <v>154</v>
      </c>
      <c r="D553" t="s">
        <v>155</v>
      </c>
      <c r="E553" s="23">
        <v>4240218.13</v>
      </c>
      <c r="F553" s="23">
        <v>3437522.56</v>
      </c>
      <c r="G553" s="23">
        <v>94702.25</v>
      </c>
      <c r="H553" s="23">
        <v>209281.75</v>
      </c>
    </row>
    <row r="554" spans="1:8" x14ac:dyDescent="0.35">
      <c r="A554">
        <v>2018</v>
      </c>
      <c r="B554" t="s">
        <v>203</v>
      </c>
      <c r="C554" t="s">
        <v>154</v>
      </c>
      <c r="D554" t="s">
        <v>160</v>
      </c>
      <c r="E554" s="23">
        <v>866654.66</v>
      </c>
      <c r="F554" s="23">
        <v>7108549.0099999998</v>
      </c>
      <c r="G554" s="23">
        <v>179098.5</v>
      </c>
      <c r="H554" s="23">
        <v>2204991.2599999998</v>
      </c>
    </row>
    <row r="555" spans="1:8" x14ac:dyDescent="0.35">
      <c r="A555">
        <v>2018</v>
      </c>
      <c r="B555" t="s">
        <v>204</v>
      </c>
      <c r="C555" t="s">
        <v>154</v>
      </c>
      <c r="D555" t="s">
        <v>158</v>
      </c>
      <c r="E555" s="23">
        <v>1046013.08</v>
      </c>
      <c r="F555" s="23">
        <v>1461462.89</v>
      </c>
      <c r="G555" s="23">
        <v>242801</v>
      </c>
      <c r="H555" s="23">
        <v>24464.25</v>
      </c>
    </row>
    <row r="556" spans="1:8" x14ac:dyDescent="0.35">
      <c r="A556">
        <v>2018</v>
      </c>
      <c r="B556" t="s">
        <v>205</v>
      </c>
      <c r="C556" t="s">
        <v>154</v>
      </c>
      <c r="D556" t="s">
        <v>160</v>
      </c>
      <c r="E556" s="23">
        <v>173788.05</v>
      </c>
      <c r="F556" s="23">
        <v>380166.93</v>
      </c>
      <c r="G556" s="23">
        <v>97022.25</v>
      </c>
      <c r="H556" s="23">
        <v>308119.83</v>
      </c>
    </row>
    <row r="557" spans="1:8" x14ac:dyDescent="0.35">
      <c r="A557">
        <v>2018</v>
      </c>
      <c r="B557" t="s">
        <v>206</v>
      </c>
      <c r="C557" t="s">
        <v>154</v>
      </c>
      <c r="D557" t="s">
        <v>158</v>
      </c>
      <c r="E557" s="23">
        <v>1102342.92</v>
      </c>
      <c r="F557" s="23">
        <v>3699419.74</v>
      </c>
      <c r="G557" s="23">
        <v>514090.6</v>
      </c>
      <c r="H557" s="23">
        <v>1397977.34</v>
      </c>
    </row>
    <row r="558" spans="1:8" x14ac:dyDescent="0.35">
      <c r="A558">
        <v>2018</v>
      </c>
      <c r="B558" t="s">
        <v>209</v>
      </c>
      <c r="C558" t="s">
        <v>154</v>
      </c>
      <c r="D558" t="s">
        <v>158</v>
      </c>
      <c r="E558" s="23">
        <v>1533143.06</v>
      </c>
      <c r="F558" s="23">
        <v>1036463.28</v>
      </c>
      <c r="G558" s="23">
        <v>15000</v>
      </c>
      <c r="H558" s="23">
        <v>27844.35</v>
      </c>
    </row>
    <row r="559" spans="1:8" x14ac:dyDescent="0.35">
      <c r="A559">
        <v>2018</v>
      </c>
      <c r="B559" t="s">
        <v>210</v>
      </c>
      <c r="C559" t="s">
        <v>154</v>
      </c>
      <c r="D559" t="s">
        <v>158</v>
      </c>
      <c r="E559" s="23">
        <v>906816.61</v>
      </c>
      <c r="F559" s="23">
        <v>1726422.16</v>
      </c>
      <c r="G559" s="23">
        <v>195894.18</v>
      </c>
      <c r="H559" s="23">
        <v>406615.34</v>
      </c>
    </row>
    <row r="560" spans="1:8" x14ac:dyDescent="0.35">
      <c r="A560">
        <v>2018</v>
      </c>
      <c r="B560" t="s">
        <v>211</v>
      </c>
      <c r="C560" t="s">
        <v>154</v>
      </c>
      <c r="D560" t="s">
        <v>160</v>
      </c>
      <c r="E560" s="23">
        <v>0</v>
      </c>
      <c r="F560" s="23">
        <v>0</v>
      </c>
      <c r="G560" s="23">
        <v>0</v>
      </c>
      <c r="H560" s="23">
        <v>0</v>
      </c>
    </row>
    <row r="561" spans="1:8" x14ac:dyDescent="0.35">
      <c r="A561">
        <v>2018</v>
      </c>
      <c r="B561" t="s">
        <v>212</v>
      </c>
      <c r="C561" t="s">
        <v>154</v>
      </c>
      <c r="D561" t="s">
        <v>160</v>
      </c>
      <c r="E561" s="23">
        <v>838929.01</v>
      </c>
      <c r="F561" s="23">
        <v>1143794.06</v>
      </c>
      <c r="G561" s="23">
        <v>69608.17</v>
      </c>
      <c r="H561" s="23">
        <v>375085.54</v>
      </c>
    </row>
    <row r="562" spans="1:8" x14ac:dyDescent="0.35">
      <c r="A562">
        <v>2018</v>
      </c>
      <c r="B562" t="s">
        <v>213</v>
      </c>
      <c r="C562" t="s">
        <v>154</v>
      </c>
      <c r="D562" t="s">
        <v>155</v>
      </c>
      <c r="E562" s="23">
        <v>331608.82</v>
      </c>
      <c r="F562" s="23">
        <v>122938.41</v>
      </c>
      <c r="G562" s="23">
        <v>35480</v>
      </c>
      <c r="H562" s="23">
        <v>17363</v>
      </c>
    </row>
    <row r="563" spans="1:8" x14ac:dyDescent="0.35">
      <c r="A563">
        <v>2018</v>
      </c>
      <c r="B563" t="s">
        <v>214</v>
      </c>
      <c r="C563" t="s">
        <v>154</v>
      </c>
      <c r="D563" t="s">
        <v>158</v>
      </c>
      <c r="E563" s="23">
        <v>2278398.39</v>
      </c>
      <c r="F563" s="23">
        <v>5576018.6900000004</v>
      </c>
      <c r="G563" s="23">
        <v>1310324.9099999999</v>
      </c>
      <c r="H563" s="23">
        <v>1264458.0900000001</v>
      </c>
    </row>
    <row r="564" spans="1:8" x14ac:dyDescent="0.35">
      <c r="A564">
        <v>2018</v>
      </c>
      <c r="B564" t="s">
        <v>215</v>
      </c>
      <c r="C564" t="s">
        <v>154</v>
      </c>
      <c r="D564" t="s">
        <v>160</v>
      </c>
      <c r="E564" s="23">
        <v>0</v>
      </c>
      <c r="F564" s="23">
        <v>0</v>
      </c>
      <c r="G564" s="23">
        <v>43957.279999999999</v>
      </c>
      <c r="H564" s="23">
        <v>248050.85</v>
      </c>
    </row>
    <row r="565" spans="1:8" x14ac:dyDescent="0.35">
      <c r="A565">
        <v>2018</v>
      </c>
      <c r="B565" t="s">
        <v>216</v>
      </c>
      <c r="C565" t="s">
        <v>154</v>
      </c>
      <c r="D565" t="s">
        <v>155</v>
      </c>
      <c r="E565" s="23">
        <v>764507.41</v>
      </c>
      <c r="F565" s="23">
        <v>259390.09</v>
      </c>
      <c r="G565" s="23">
        <v>140674.22</v>
      </c>
      <c r="H565" s="23">
        <v>0</v>
      </c>
    </row>
    <row r="566" spans="1:8" x14ac:dyDescent="0.35">
      <c r="A566">
        <v>2018</v>
      </c>
      <c r="B566" t="s">
        <v>217</v>
      </c>
      <c r="C566" t="s">
        <v>154</v>
      </c>
      <c r="D566" t="s">
        <v>160</v>
      </c>
      <c r="E566" s="23">
        <v>244245.1</v>
      </c>
      <c r="F566" s="23">
        <v>1099039.01</v>
      </c>
      <c r="G566" s="23">
        <v>117230.94</v>
      </c>
      <c r="H566" s="23">
        <v>469295.72</v>
      </c>
    </row>
    <row r="567" spans="1:8" x14ac:dyDescent="0.35">
      <c r="A567">
        <v>2018</v>
      </c>
      <c r="B567" t="s">
        <v>218</v>
      </c>
      <c r="C567" t="s">
        <v>154</v>
      </c>
      <c r="D567" t="s">
        <v>158</v>
      </c>
      <c r="E567" s="23">
        <v>681981.16</v>
      </c>
      <c r="F567" s="23">
        <v>8018734.3099999996</v>
      </c>
      <c r="G567" s="23">
        <v>30914.99</v>
      </c>
      <c r="H567" s="23">
        <v>263500.99</v>
      </c>
    </row>
    <row r="568" spans="1:8" x14ac:dyDescent="0.35">
      <c r="A568">
        <v>2018</v>
      </c>
      <c r="B568" t="s">
        <v>219</v>
      </c>
      <c r="C568" t="s">
        <v>154</v>
      </c>
      <c r="D568" t="s">
        <v>160</v>
      </c>
      <c r="E568" s="23">
        <v>1617866.79</v>
      </c>
      <c r="F568" s="23">
        <v>7760613.0899999999</v>
      </c>
      <c r="G568" s="23">
        <v>738990.21</v>
      </c>
      <c r="H568" s="23">
        <v>2427041.4500000002</v>
      </c>
    </row>
    <row r="569" spans="1:8" x14ac:dyDescent="0.35">
      <c r="A569">
        <v>2018</v>
      </c>
      <c r="B569" t="s">
        <v>220</v>
      </c>
      <c r="C569" t="s">
        <v>154</v>
      </c>
      <c r="D569" t="s">
        <v>158</v>
      </c>
      <c r="E569" s="23">
        <v>1255826.82</v>
      </c>
      <c r="F569" s="23">
        <v>2554173.1800000002</v>
      </c>
      <c r="G569" s="23">
        <v>38914</v>
      </c>
      <c r="H569" s="23">
        <v>111772</v>
      </c>
    </row>
    <row r="570" spans="1:8" x14ac:dyDescent="0.35">
      <c r="A570">
        <v>2018</v>
      </c>
      <c r="B570" t="s">
        <v>221</v>
      </c>
      <c r="C570" t="s">
        <v>154</v>
      </c>
      <c r="D570" t="s">
        <v>165</v>
      </c>
      <c r="E570" s="23">
        <v>12649.83</v>
      </c>
      <c r="F570" s="23">
        <v>35802.69</v>
      </c>
      <c r="G570" s="23">
        <v>11627.75</v>
      </c>
      <c r="H570" s="23">
        <v>2456.69</v>
      </c>
    </row>
    <row r="571" spans="1:8" x14ac:dyDescent="0.35">
      <c r="A571">
        <v>2018</v>
      </c>
      <c r="B571" t="s">
        <v>223</v>
      </c>
      <c r="C571" t="s">
        <v>163</v>
      </c>
      <c r="D571" t="s">
        <v>160</v>
      </c>
      <c r="E571" s="23">
        <v>83787.94</v>
      </c>
      <c r="F571" s="23">
        <v>0</v>
      </c>
      <c r="G571" s="23">
        <v>0</v>
      </c>
      <c r="H571" s="23">
        <v>0</v>
      </c>
    </row>
    <row r="572" spans="1:8" x14ac:dyDescent="0.35">
      <c r="A572">
        <v>2018</v>
      </c>
      <c r="B572" t="s">
        <v>224</v>
      </c>
      <c r="C572" t="s">
        <v>154</v>
      </c>
      <c r="D572" t="s">
        <v>158</v>
      </c>
      <c r="E572" s="23">
        <v>390906</v>
      </c>
      <c r="F572" s="23">
        <v>500291.95</v>
      </c>
      <c r="G572" s="23">
        <v>0</v>
      </c>
      <c r="H572" s="23">
        <v>0</v>
      </c>
    </row>
    <row r="573" spans="1:8" x14ac:dyDescent="0.35">
      <c r="A573">
        <v>2018</v>
      </c>
      <c r="B573" t="s">
        <v>225</v>
      </c>
      <c r="C573" t="s">
        <v>154</v>
      </c>
      <c r="D573" t="s">
        <v>160</v>
      </c>
      <c r="E573" s="23">
        <v>0</v>
      </c>
      <c r="F573" s="23">
        <v>0</v>
      </c>
      <c r="G573" s="23">
        <v>8507.94</v>
      </c>
      <c r="H573" s="23">
        <v>17699.740000000002</v>
      </c>
    </row>
    <row r="574" spans="1:8" x14ac:dyDescent="0.35">
      <c r="A574">
        <v>2018</v>
      </c>
      <c r="B574" t="s">
        <v>226</v>
      </c>
      <c r="C574" t="s">
        <v>154</v>
      </c>
      <c r="D574" t="s">
        <v>155</v>
      </c>
      <c r="E574" s="23">
        <v>0</v>
      </c>
      <c r="F574" s="23">
        <v>0</v>
      </c>
      <c r="G574" s="23">
        <v>359.49</v>
      </c>
      <c r="H574" s="23">
        <v>307.5</v>
      </c>
    </row>
    <row r="575" spans="1:8" x14ac:dyDescent="0.35">
      <c r="A575">
        <v>2018</v>
      </c>
      <c r="B575" t="s">
        <v>227</v>
      </c>
      <c r="C575" t="s">
        <v>154</v>
      </c>
      <c r="D575" t="s">
        <v>158</v>
      </c>
      <c r="E575" s="23">
        <v>0</v>
      </c>
      <c r="F575" s="23">
        <v>0</v>
      </c>
      <c r="G575" s="23">
        <v>0</v>
      </c>
      <c r="H575" s="23">
        <v>0</v>
      </c>
    </row>
    <row r="576" spans="1:8" x14ac:dyDescent="0.35">
      <c r="A576">
        <v>2018</v>
      </c>
      <c r="B576" t="s">
        <v>228</v>
      </c>
      <c r="C576" t="s">
        <v>154</v>
      </c>
      <c r="D576" t="s">
        <v>160</v>
      </c>
      <c r="E576" s="23">
        <v>4643.09</v>
      </c>
      <c r="F576" s="23">
        <v>5497.95</v>
      </c>
      <c r="G576" s="23">
        <v>609.96</v>
      </c>
      <c r="H576" s="23">
        <v>3500</v>
      </c>
    </row>
    <row r="577" spans="1:8" x14ac:dyDescent="0.35">
      <c r="A577">
        <v>2018</v>
      </c>
      <c r="B577" t="s">
        <v>229</v>
      </c>
      <c r="C577" t="s">
        <v>154</v>
      </c>
      <c r="D577" t="s">
        <v>158</v>
      </c>
      <c r="E577" s="23">
        <v>1019606.82</v>
      </c>
      <c r="F577" s="23">
        <v>7377281.8899999997</v>
      </c>
      <c r="G577" s="23">
        <v>593905.41</v>
      </c>
      <c r="H577" s="23">
        <v>6450928.5999999996</v>
      </c>
    </row>
    <row r="578" spans="1:8" x14ac:dyDescent="0.35">
      <c r="A578">
        <v>2018</v>
      </c>
      <c r="B578" t="s">
        <v>230</v>
      </c>
      <c r="C578" t="s">
        <v>154</v>
      </c>
      <c r="D578" t="s">
        <v>155</v>
      </c>
      <c r="E578" s="23">
        <v>335426.84999999998</v>
      </c>
      <c r="F578" s="23">
        <v>973271.09</v>
      </c>
      <c r="G578" s="23">
        <v>295226.48</v>
      </c>
      <c r="H578" s="23">
        <v>839874.3</v>
      </c>
    </row>
    <row r="579" spans="1:8" x14ac:dyDescent="0.35">
      <c r="A579">
        <v>2018</v>
      </c>
      <c r="B579" t="s">
        <v>231</v>
      </c>
      <c r="C579" t="s">
        <v>154</v>
      </c>
      <c r="D579" t="s">
        <v>160</v>
      </c>
      <c r="E579" s="23">
        <v>381377.18</v>
      </c>
      <c r="F579" s="23">
        <v>293196.69</v>
      </c>
      <c r="G579" s="23">
        <v>70205.38</v>
      </c>
      <c r="H579" s="23">
        <v>86337.4</v>
      </c>
    </row>
    <row r="580" spans="1:8" x14ac:dyDescent="0.35">
      <c r="A580">
        <v>2018</v>
      </c>
      <c r="B580" t="s">
        <v>232</v>
      </c>
      <c r="C580" t="s">
        <v>154</v>
      </c>
      <c r="D580" t="s">
        <v>165</v>
      </c>
      <c r="E580" s="23">
        <v>656844.66</v>
      </c>
      <c r="F580" s="23">
        <v>495629.79</v>
      </c>
      <c r="G580" s="23">
        <v>567323.61</v>
      </c>
      <c r="H580" s="23">
        <v>308203.33</v>
      </c>
    </row>
    <row r="581" spans="1:8" x14ac:dyDescent="0.35">
      <c r="A581">
        <v>2018</v>
      </c>
      <c r="B581" t="s">
        <v>233</v>
      </c>
      <c r="C581" t="s">
        <v>154</v>
      </c>
      <c r="D581" t="s">
        <v>155</v>
      </c>
      <c r="E581" s="23">
        <v>3195273.48</v>
      </c>
      <c r="F581" s="23">
        <v>1610803.2</v>
      </c>
      <c r="G581" s="23">
        <v>924292</v>
      </c>
      <c r="H581" s="23">
        <v>1178812.47</v>
      </c>
    </row>
    <row r="582" spans="1:8" x14ac:dyDescent="0.35">
      <c r="A582">
        <v>2018</v>
      </c>
      <c r="B582" t="s">
        <v>234</v>
      </c>
      <c r="C582" t="s">
        <v>154</v>
      </c>
      <c r="D582" t="s">
        <v>160</v>
      </c>
      <c r="E582" s="23">
        <v>2430455.5099999998</v>
      </c>
      <c r="F582" s="23">
        <v>4590189.45</v>
      </c>
      <c r="G582" s="23">
        <v>686666.16</v>
      </c>
      <c r="H582" s="23">
        <v>1966734.7</v>
      </c>
    </row>
    <row r="583" spans="1:8" x14ac:dyDescent="0.35">
      <c r="A583">
        <v>2018</v>
      </c>
      <c r="B583" t="s">
        <v>235</v>
      </c>
      <c r="C583" t="s">
        <v>154</v>
      </c>
      <c r="D583" t="s">
        <v>160</v>
      </c>
      <c r="E583" s="23">
        <v>11385.49</v>
      </c>
      <c r="F583" s="23">
        <v>485.27</v>
      </c>
      <c r="G583" s="23">
        <v>8373.73</v>
      </c>
      <c r="H583" s="23">
        <v>485.27</v>
      </c>
    </row>
    <row r="584" spans="1:8" x14ac:dyDescent="0.35">
      <c r="A584">
        <v>2018</v>
      </c>
      <c r="B584" t="s">
        <v>236</v>
      </c>
      <c r="C584" t="s">
        <v>154</v>
      </c>
      <c r="D584" t="s">
        <v>160</v>
      </c>
      <c r="E584" s="23">
        <v>411658.77</v>
      </c>
      <c r="F584" s="23">
        <v>480956.64</v>
      </c>
      <c r="G584" s="23">
        <v>111836.33</v>
      </c>
      <c r="H584" s="23">
        <v>121045.72</v>
      </c>
    </row>
    <row r="585" spans="1:8" x14ac:dyDescent="0.35">
      <c r="A585">
        <v>2018</v>
      </c>
      <c r="B585" t="s">
        <v>238</v>
      </c>
      <c r="C585" t="s">
        <v>154</v>
      </c>
      <c r="D585" t="s">
        <v>155</v>
      </c>
      <c r="E585" s="23">
        <v>0</v>
      </c>
      <c r="F585" s="23">
        <v>0</v>
      </c>
      <c r="G585" s="23">
        <v>466150.99</v>
      </c>
      <c r="H585" s="23">
        <v>65228</v>
      </c>
    </row>
    <row r="586" spans="1:8" x14ac:dyDescent="0.35">
      <c r="A586">
        <v>2018</v>
      </c>
      <c r="B586" t="s">
        <v>239</v>
      </c>
      <c r="C586" t="s">
        <v>154</v>
      </c>
      <c r="D586" t="s">
        <v>158</v>
      </c>
      <c r="E586" s="23">
        <v>1490136.9</v>
      </c>
      <c r="F586" s="23">
        <v>438885.43</v>
      </c>
      <c r="G586" s="23">
        <v>81569</v>
      </c>
      <c r="H586" s="23">
        <v>427728.71</v>
      </c>
    </row>
    <row r="587" spans="1:8" x14ac:dyDescent="0.35">
      <c r="A587">
        <v>2018</v>
      </c>
      <c r="B587" t="s">
        <v>240</v>
      </c>
      <c r="C587" t="s">
        <v>154</v>
      </c>
      <c r="D587" t="s">
        <v>155</v>
      </c>
      <c r="E587" s="23">
        <v>567893.89</v>
      </c>
      <c r="F587" s="23">
        <v>2926430.76</v>
      </c>
      <c r="G587" s="23">
        <v>388353.53</v>
      </c>
      <c r="H587" s="23">
        <v>1848213.34</v>
      </c>
    </row>
    <row r="588" spans="1:8" x14ac:dyDescent="0.35">
      <c r="A588">
        <v>2018</v>
      </c>
      <c r="B588" t="s">
        <v>241</v>
      </c>
      <c r="C588" t="s">
        <v>154</v>
      </c>
      <c r="D588" t="s">
        <v>155</v>
      </c>
      <c r="E588" s="23">
        <v>1401371.09</v>
      </c>
      <c r="F588" s="23">
        <v>1849891.85</v>
      </c>
      <c r="G588" s="23">
        <v>942512.14</v>
      </c>
      <c r="H588" s="23">
        <v>1668375.98</v>
      </c>
    </row>
    <row r="589" spans="1:8" x14ac:dyDescent="0.35">
      <c r="A589">
        <v>2018</v>
      </c>
      <c r="B589" t="s">
        <v>242</v>
      </c>
      <c r="C589" t="s">
        <v>154</v>
      </c>
      <c r="D589" t="s">
        <v>160</v>
      </c>
      <c r="E589" s="23">
        <v>548329.81999999995</v>
      </c>
      <c r="F589" s="23">
        <v>909837.22</v>
      </c>
      <c r="G589" s="23">
        <v>300926.28999999998</v>
      </c>
      <c r="H589" s="23">
        <v>497546.78</v>
      </c>
    </row>
    <row r="590" spans="1:8" x14ac:dyDescent="0.35">
      <c r="A590">
        <v>2018</v>
      </c>
      <c r="B590" t="s">
        <v>243</v>
      </c>
      <c r="C590" t="s">
        <v>154</v>
      </c>
      <c r="D590" t="s">
        <v>165</v>
      </c>
      <c r="E590" s="23">
        <v>658675.30000000005</v>
      </c>
      <c r="F590" s="23">
        <v>2019729.58</v>
      </c>
      <c r="G590" s="23">
        <v>464454.98</v>
      </c>
      <c r="H590" s="23">
        <v>1640950.51</v>
      </c>
    </row>
    <row r="591" spans="1:8" x14ac:dyDescent="0.35">
      <c r="A591">
        <v>2018</v>
      </c>
      <c r="B591" t="s">
        <v>245</v>
      </c>
      <c r="C591" t="s">
        <v>154</v>
      </c>
      <c r="D591" t="s">
        <v>155</v>
      </c>
      <c r="E591" s="23">
        <v>1191592.21</v>
      </c>
      <c r="F591" s="23">
        <v>2371005.0499999998</v>
      </c>
      <c r="G591" s="23">
        <v>62386.25</v>
      </c>
      <c r="H591" s="23">
        <v>1537324.16</v>
      </c>
    </row>
    <row r="592" spans="1:8" x14ac:dyDescent="0.35">
      <c r="A592">
        <v>2018</v>
      </c>
      <c r="B592" t="s">
        <v>246</v>
      </c>
      <c r="C592" t="s">
        <v>154</v>
      </c>
      <c r="D592" t="s">
        <v>155</v>
      </c>
      <c r="E592" s="23">
        <v>1711594.14</v>
      </c>
      <c r="F592" s="23">
        <v>1978614.8089999999</v>
      </c>
      <c r="G592" s="23">
        <v>94978.87</v>
      </c>
      <c r="H592" s="23">
        <v>110393.69</v>
      </c>
    </row>
    <row r="593" spans="1:8" x14ac:dyDescent="0.35">
      <c r="A593">
        <v>2018</v>
      </c>
      <c r="B593" t="s">
        <v>247</v>
      </c>
      <c r="C593" t="s">
        <v>154</v>
      </c>
      <c r="D593" t="s">
        <v>160</v>
      </c>
      <c r="E593" s="23">
        <v>2325830.14</v>
      </c>
      <c r="F593" s="23">
        <v>21843818.333999999</v>
      </c>
      <c r="G593" s="23">
        <v>771206.16</v>
      </c>
      <c r="H593" s="23">
        <v>166946.57999999999</v>
      </c>
    </row>
    <row r="594" spans="1:8" x14ac:dyDescent="0.35">
      <c r="A594">
        <v>2018</v>
      </c>
      <c r="B594" t="s">
        <v>248</v>
      </c>
      <c r="C594" t="s">
        <v>154</v>
      </c>
      <c r="D594" t="s">
        <v>160</v>
      </c>
      <c r="E594" s="23">
        <v>1377662.21</v>
      </c>
      <c r="F594" s="23">
        <v>3678117.15</v>
      </c>
      <c r="G594" s="23">
        <v>197375.35999999999</v>
      </c>
      <c r="H594" s="23">
        <v>1645186.39</v>
      </c>
    </row>
    <row r="595" spans="1:8" x14ac:dyDescent="0.35">
      <c r="A595">
        <v>2018</v>
      </c>
      <c r="B595" t="s">
        <v>249</v>
      </c>
      <c r="C595" t="s">
        <v>154</v>
      </c>
      <c r="D595" t="s">
        <v>160</v>
      </c>
      <c r="E595" s="23">
        <v>4244165.0999999996</v>
      </c>
      <c r="F595" s="23">
        <v>27135583.760000002</v>
      </c>
      <c r="G595" s="23">
        <v>566174.23</v>
      </c>
      <c r="H595" s="23">
        <v>1437073.21</v>
      </c>
    </row>
    <row r="596" spans="1:8" x14ac:dyDescent="0.35">
      <c r="A596">
        <v>2018</v>
      </c>
      <c r="B596" t="s">
        <v>250</v>
      </c>
      <c r="C596" t="s">
        <v>154</v>
      </c>
      <c r="D596" t="s">
        <v>158</v>
      </c>
      <c r="E596" s="23">
        <v>507562.09</v>
      </c>
      <c r="F596" s="23">
        <v>2063655.53</v>
      </c>
      <c r="G596" s="23">
        <v>152916.5</v>
      </c>
      <c r="H596" s="23">
        <v>215608.5</v>
      </c>
    </row>
    <row r="597" spans="1:8" x14ac:dyDescent="0.35">
      <c r="A597">
        <v>2018</v>
      </c>
      <c r="B597" t="s">
        <v>252</v>
      </c>
      <c r="C597" t="s">
        <v>154</v>
      </c>
      <c r="D597" t="s">
        <v>160</v>
      </c>
      <c r="E597" s="23">
        <v>0</v>
      </c>
      <c r="F597" s="23">
        <v>0</v>
      </c>
      <c r="G597" s="23">
        <v>480626.64</v>
      </c>
      <c r="H597" s="23">
        <v>768037.77</v>
      </c>
    </row>
    <row r="598" spans="1:8" x14ac:dyDescent="0.35">
      <c r="A598">
        <v>2018</v>
      </c>
      <c r="B598" t="s">
        <v>253</v>
      </c>
      <c r="C598" t="s">
        <v>154</v>
      </c>
      <c r="D598" t="s">
        <v>160</v>
      </c>
      <c r="E598" s="23">
        <v>0</v>
      </c>
      <c r="F598" s="23">
        <v>0</v>
      </c>
      <c r="G598" s="23">
        <v>369062.24</v>
      </c>
      <c r="H598" s="23">
        <v>135564.28</v>
      </c>
    </row>
    <row r="599" spans="1:8" x14ac:dyDescent="0.35">
      <c r="A599">
        <v>2018</v>
      </c>
      <c r="B599" t="s">
        <v>254</v>
      </c>
      <c r="C599" t="s">
        <v>154</v>
      </c>
      <c r="D599" t="s">
        <v>155</v>
      </c>
      <c r="E599" s="23">
        <v>3314886.02</v>
      </c>
      <c r="F599" s="23">
        <v>7438273.5700000003</v>
      </c>
      <c r="G599" s="23">
        <v>578844.51</v>
      </c>
      <c r="H599" s="23">
        <v>1124550.7</v>
      </c>
    </row>
    <row r="600" spans="1:8" x14ac:dyDescent="0.35">
      <c r="A600">
        <v>2018</v>
      </c>
      <c r="B600" t="s">
        <v>255</v>
      </c>
      <c r="C600" t="s">
        <v>154</v>
      </c>
      <c r="D600" t="s">
        <v>160</v>
      </c>
      <c r="E600" s="23">
        <v>187919.97</v>
      </c>
      <c r="F600" s="23">
        <v>72596.06</v>
      </c>
      <c r="G600" s="23">
        <v>87258.87</v>
      </c>
      <c r="H600" s="23">
        <v>4554.74</v>
      </c>
    </row>
    <row r="601" spans="1:8" x14ac:dyDescent="0.35">
      <c r="A601">
        <v>2018</v>
      </c>
      <c r="B601" t="s">
        <v>257</v>
      </c>
      <c r="C601" t="s">
        <v>154</v>
      </c>
      <c r="D601" t="s">
        <v>160</v>
      </c>
      <c r="E601" s="23">
        <v>2014020</v>
      </c>
      <c r="F601" s="23">
        <v>59580</v>
      </c>
      <c r="G601" s="23">
        <v>0</v>
      </c>
      <c r="H601" s="23">
        <v>0</v>
      </c>
    </row>
    <row r="602" spans="1:8" x14ac:dyDescent="0.35">
      <c r="A602">
        <v>2018</v>
      </c>
      <c r="B602" t="s">
        <v>258</v>
      </c>
      <c r="C602" t="s">
        <v>154</v>
      </c>
      <c r="D602" t="s">
        <v>160</v>
      </c>
      <c r="E602" s="23">
        <v>4466978.51</v>
      </c>
      <c r="F602" s="23">
        <v>3126202.25</v>
      </c>
      <c r="G602" s="23">
        <v>3671198.51</v>
      </c>
      <c r="H602" s="23">
        <v>2107557.25</v>
      </c>
    </row>
    <row r="603" spans="1:8" x14ac:dyDescent="0.35">
      <c r="A603">
        <v>2018</v>
      </c>
      <c r="B603" t="s">
        <v>259</v>
      </c>
      <c r="C603" t="s">
        <v>154</v>
      </c>
      <c r="D603" t="s">
        <v>165</v>
      </c>
      <c r="E603" s="23">
        <v>1144016.5</v>
      </c>
      <c r="F603" s="23">
        <v>1171564.55</v>
      </c>
      <c r="G603" s="23">
        <v>287895.53999999998</v>
      </c>
      <c r="H603" s="23">
        <v>453377.18</v>
      </c>
    </row>
    <row r="604" spans="1:8" x14ac:dyDescent="0.35">
      <c r="A604">
        <v>2018</v>
      </c>
      <c r="B604" t="s">
        <v>260</v>
      </c>
      <c r="C604" t="s">
        <v>154</v>
      </c>
      <c r="D604" t="s">
        <v>158</v>
      </c>
      <c r="E604" s="23">
        <v>9545643.0600000005</v>
      </c>
      <c r="F604" s="23">
        <v>10691914.960000001</v>
      </c>
      <c r="G604" s="23">
        <v>1136616.03</v>
      </c>
      <c r="H604" s="23">
        <v>704826.71</v>
      </c>
    </row>
    <row r="605" spans="1:8" x14ac:dyDescent="0.35">
      <c r="A605">
        <v>2018</v>
      </c>
      <c r="B605" t="s">
        <v>261</v>
      </c>
      <c r="C605" t="s">
        <v>154</v>
      </c>
      <c r="D605" t="s">
        <v>158</v>
      </c>
      <c r="E605" s="23">
        <v>311406.08000000002</v>
      </c>
      <c r="F605" s="23">
        <v>792268.97</v>
      </c>
      <c r="G605" s="23">
        <v>216223.69</v>
      </c>
      <c r="H605" s="23">
        <v>155997.37</v>
      </c>
    </row>
    <row r="606" spans="1:8" x14ac:dyDescent="0.35">
      <c r="A606">
        <v>2018</v>
      </c>
      <c r="B606" t="s">
        <v>262</v>
      </c>
      <c r="C606" t="s">
        <v>154</v>
      </c>
      <c r="D606" t="s">
        <v>155</v>
      </c>
      <c r="E606" s="23">
        <v>5833.1</v>
      </c>
      <c r="F606" s="23">
        <v>0</v>
      </c>
      <c r="G606" s="23">
        <v>5743.6</v>
      </c>
      <c r="H606" s="23">
        <v>0</v>
      </c>
    </row>
    <row r="607" spans="1:8" x14ac:dyDescent="0.35">
      <c r="A607">
        <v>2018</v>
      </c>
      <c r="B607" t="s">
        <v>264</v>
      </c>
      <c r="C607" t="s">
        <v>154</v>
      </c>
      <c r="D607" t="s">
        <v>160</v>
      </c>
      <c r="E607" s="23">
        <v>2027842</v>
      </c>
      <c r="F607" s="23">
        <v>1998062</v>
      </c>
      <c r="G607" s="23">
        <v>1110838</v>
      </c>
      <c r="H607" s="23">
        <v>906662</v>
      </c>
    </row>
    <row r="608" spans="1:8" x14ac:dyDescent="0.35">
      <c r="A608">
        <v>2018</v>
      </c>
      <c r="B608" t="s">
        <v>265</v>
      </c>
      <c r="C608" t="s">
        <v>154</v>
      </c>
      <c r="D608" t="s">
        <v>158</v>
      </c>
      <c r="E608" s="23">
        <v>599371.51</v>
      </c>
      <c r="F608" s="23">
        <v>1132179.804</v>
      </c>
      <c r="G608" s="23">
        <v>103903.85</v>
      </c>
      <c r="H608" s="23">
        <v>336176.75</v>
      </c>
    </row>
    <row r="609" spans="1:8" x14ac:dyDescent="0.35">
      <c r="A609">
        <v>2018</v>
      </c>
      <c r="B609" t="s">
        <v>266</v>
      </c>
      <c r="C609" t="s">
        <v>154</v>
      </c>
      <c r="D609" t="s">
        <v>158</v>
      </c>
      <c r="E609" s="23">
        <v>1503414.67</v>
      </c>
      <c r="F609" s="23">
        <v>241654.05</v>
      </c>
      <c r="G609" s="23">
        <v>74653.62</v>
      </c>
      <c r="H609" s="23">
        <v>0</v>
      </c>
    </row>
    <row r="610" spans="1:8" x14ac:dyDescent="0.35">
      <c r="A610">
        <v>2018</v>
      </c>
      <c r="B610" t="s">
        <v>267</v>
      </c>
      <c r="C610" t="s">
        <v>154</v>
      </c>
      <c r="D610" t="s">
        <v>160</v>
      </c>
      <c r="E610" s="23">
        <v>498098.38</v>
      </c>
      <c r="F610" s="23">
        <v>348063.53</v>
      </c>
      <c r="G610" s="23">
        <v>0</v>
      </c>
      <c r="H610" s="23">
        <v>0</v>
      </c>
    </row>
    <row r="611" spans="1:8" x14ac:dyDescent="0.35">
      <c r="A611">
        <v>2018</v>
      </c>
      <c r="B611" t="s">
        <v>298</v>
      </c>
      <c r="C611" t="s">
        <v>154</v>
      </c>
      <c r="D611" t="s">
        <v>160</v>
      </c>
      <c r="E611" s="23">
        <v>50604.959999999999</v>
      </c>
      <c r="F611" s="23">
        <v>495657.14</v>
      </c>
      <c r="G611" s="23">
        <v>0</v>
      </c>
      <c r="H611" s="23">
        <v>0</v>
      </c>
    </row>
    <row r="612" spans="1:8" x14ac:dyDescent="0.35">
      <c r="A612">
        <v>2018</v>
      </c>
      <c r="B612" t="s">
        <v>268</v>
      </c>
      <c r="C612" t="s">
        <v>154</v>
      </c>
      <c r="D612" t="s">
        <v>160</v>
      </c>
      <c r="E612" s="23">
        <v>0</v>
      </c>
      <c r="F612" s="23">
        <v>0</v>
      </c>
      <c r="G612" s="23">
        <v>0</v>
      </c>
      <c r="H612" s="23">
        <v>0</v>
      </c>
    </row>
    <row r="613" spans="1:8" x14ac:dyDescent="0.35">
      <c r="A613">
        <v>2018</v>
      </c>
      <c r="B613" t="s">
        <v>269</v>
      </c>
      <c r="C613" t="s">
        <v>154</v>
      </c>
      <c r="D613" t="s">
        <v>160</v>
      </c>
      <c r="E613" s="23">
        <v>896604.84</v>
      </c>
      <c r="F613" s="23">
        <v>2256887.48</v>
      </c>
      <c r="G613" s="23">
        <v>18275.79</v>
      </c>
      <c r="H613" s="23">
        <v>85407.12</v>
      </c>
    </row>
    <row r="614" spans="1:8" x14ac:dyDescent="0.35">
      <c r="A614">
        <v>2018</v>
      </c>
      <c r="B614" t="s">
        <v>271</v>
      </c>
      <c r="C614" t="s">
        <v>154</v>
      </c>
      <c r="D614" t="s">
        <v>158</v>
      </c>
      <c r="E614" s="23">
        <v>1048344.29</v>
      </c>
      <c r="F614" s="23">
        <v>2819886.94</v>
      </c>
      <c r="G614" s="23">
        <v>40846.26</v>
      </c>
      <c r="H614" s="23">
        <v>0</v>
      </c>
    </row>
    <row r="615" spans="1:8" x14ac:dyDescent="0.35">
      <c r="A615">
        <v>2018</v>
      </c>
      <c r="B615" t="s">
        <v>272</v>
      </c>
      <c r="C615" t="s">
        <v>154</v>
      </c>
      <c r="D615" t="s">
        <v>160</v>
      </c>
      <c r="E615" s="23">
        <v>1101031.6399999999</v>
      </c>
      <c r="F615" s="23">
        <v>1784168.74</v>
      </c>
      <c r="G615" s="23">
        <v>58800.19</v>
      </c>
      <c r="H615" s="23">
        <v>147493.06</v>
      </c>
    </row>
    <row r="616" spans="1:8" x14ac:dyDescent="0.35">
      <c r="A616">
        <v>2018</v>
      </c>
      <c r="B616" t="s">
        <v>273</v>
      </c>
      <c r="C616" t="s">
        <v>154</v>
      </c>
      <c r="D616" t="s">
        <v>155</v>
      </c>
      <c r="E616" s="23">
        <v>636269.97</v>
      </c>
      <c r="F616" s="23">
        <v>202980.02</v>
      </c>
      <c r="G616" s="23">
        <v>315440.59000000003</v>
      </c>
      <c r="H616" s="23">
        <v>116815.02</v>
      </c>
    </row>
    <row r="617" spans="1:8" x14ac:dyDescent="0.35">
      <c r="A617">
        <v>2018</v>
      </c>
      <c r="B617" t="s">
        <v>274</v>
      </c>
      <c r="C617" t="s">
        <v>154</v>
      </c>
      <c r="D617" t="s">
        <v>160</v>
      </c>
      <c r="E617" s="23">
        <v>0</v>
      </c>
      <c r="F617" s="23">
        <v>0</v>
      </c>
      <c r="G617" s="23">
        <v>494704.14</v>
      </c>
      <c r="H617" s="23">
        <v>1872521.45</v>
      </c>
    </row>
    <row r="618" spans="1:8" x14ac:dyDescent="0.35">
      <c r="A618">
        <v>2018</v>
      </c>
      <c r="B618" t="s">
        <v>275</v>
      </c>
      <c r="C618" t="s">
        <v>154</v>
      </c>
      <c r="D618" t="s">
        <v>160</v>
      </c>
      <c r="E618" s="23">
        <v>0</v>
      </c>
      <c r="F618" s="23">
        <v>0</v>
      </c>
      <c r="G618" s="23">
        <v>0</v>
      </c>
      <c r="H618" s="23">
        <v>0</v>
      </c>
    </row>
    <row r="619" spans="1:8" x14ac:dyDescent="0.35">
      <c r="A619">
        <v>2018</v>
      </c>
      <c r="B619" t="s">
        <v>276</v>
      </c>
      <c r="C619" t="s">
        <v>154</v>
      </c>
      <c r="D619" t="s">
        <v>158</v>
      </c>
      <c r="E619" s="23">
        <v>4968433.46</v>
      </c>
      <c r="F619" s="23">
        <v>2113001.71</v>
      </c>
      <c r="G619" s="23">
        <v>1503380.32</v>
      </c>
      <c r="H619" s="23">
        <v>2066911.71</v>
      </c>
    </row>
    <row r="620" spans="1:8" x14ac:dyDescent="0.35">
      <c r="A620">
        <v>2018</v>
      </c>
      <c r="B620" t="s">
        <v>277</v>
      </c>
      <c r="C620" t="s">
        <v>154</v>
      </c>
      <c r="D620" t="s">
        <v>155</v>
      </c>
      <c r="E620" s="23">
        <v>382885.36</v>
      </c>
      <c r="F620" s="23">
        <v>659928.84</v>
      </c>
      <c r="G620" s="23">
        <v>329496.42</v>
      </c>
      <c r="H620" s="23">
        <v>646101.1</v>
      </c>
    </row>
    <row r="621" spans="1:8" x14ac:dyDescent="0.35">
      <c r="A621">
        <v>2018</v>
      </c>
      <c r="B621" t="s">
        <v>278</v>
      </c>
      <c r="C621" t="s">
        <v>154</v>
      </c>
      <c r="D621" t="s">
        <v>155</v>
      </c>
      <c r="E621" s="23">
        <v>10131</v>
      </c>
      <c r="F621" s="23">
        <v>154391.67000000001</v>
      </c>
      <c r="G621" s="23">
        <v>0</v>
      </c>
      <c r="H621" s="23">
        <v>6031.67</v>
      </c>
    </row>
    <row r="622" spans="1:8" x14ac:dyDescent="0.35">
      <c r="A622">
        <v>2018</v>
      </c>
      <c r="B622" t="s">
        <v>279</v>
      </c>
      <c r="C622" t="s">
        <v>154</v>
      </c>
      <c r="D622" t="s">
        <v>155</v>
      </c>
      <c r="E622" s="23">
        <v>1672989.74</v>
      </c>
      <c r="F622" s="23">
        <v>3399695.95</v>
      </c>
      <c r="G622" s="23">
        <v>122183.91</v>
      </c>
      <c r="H622" s="23">
        <v>446154.85</v>
      </c>
    </row>
    <row r="623" spans="1:8" x14ac:dyDescent="0.35">
      <c r="A623">
        <v>2018</v>
      </c>
      <c r="B623" t="s">
        <v>280</v>
      </c>
      <c r="C623" t="s">
        <v>154</v>
      </c>
      <c r="D623" t="s">
        <v>160</v>
      </c>
      <c r="E623" s="23">
        <v>422033.77</v>
      </c>
      <c r="F623" s="23">
        <v>1253303.1299999999</v>
      </c>
      <c r="G623" s="23">
        <v>232917.6</v>
      </c>
      <c r="H623" s="23">
        <v>946995.4</v>
      </c>
    </row>
    <row r="624" spans="1:8" x14ac:dyDescent="0.35">
      <c r="A624">
        <v>2018</v>
      </c>
      <c r="B624" t="s">
        <v>281</v>
      </c>
      <c r="C624" t="s">
        <v>154</v>
      </c>
      <c r="D624" t="s">
        <v>158</v>
      </c>
      <c r="E624" s="23">
        <v>256182.52</v>
      </c>
      <c r="F624" s="23">
        <v>1469926.52</v>
      </c>
      <c r="G624" s="23">
        <v>99401.98</v>
      </c>
      <c r="H624" s="23">
        <v>666842.81000000006</v>
      </c>
    </row>
    <row r="625" spans="1:8" x14ac:dyDescent="0.35">
      <c r="A625">
        <v>2018</v>
      </c>
      <c r="B625" t="s">
        <v>282</v>
      </c>
      <c r="C625" t="s">
        <v>154</v>
      </c>
      <c r="D625" t="s">
        <v>160</v>
      </c>
      <c r="E625" s="23">
        <v>2210065.14</v>
      </c>
      <c r="F625" s="23">
        <v>1063972.8</v>
      </c>
      <c r="G625" s="23">
        <v>833891.11</v>
      </c>
      <c r="H625" s="23">
        <v>691302.74</v>
      </c>
    </row>
    <row r="626" spans="1:8" x14ac:dyDescent="0.35">
      <c r="A626">
        <v>2018</v>
      </c>
      <c r="B626" t="s">
        <v>283</v>
      </c>
      <c r="C626" t="s">
        <v>154</v>
      </c>
      <c r="D626" t="s">
        <v>155</v>
      </c>
      <c r="E626" s="23">
        <v>1267618.18</v>
      </c>
      <c r="F626" s="23">
        <v>3572154.59</v>
      </c>
      <c r="G626" s="23">
        <v>553698.80000000005</v>
      </c>
      <c r="H626" s="23">
        <v>1823095.03</v>
      </c>
    </row>
    <row r="627" spans="1:8" x14ac:dyDescent="0.35">
      <c r="A627">
        <v>2018</v>
      </c>
      <c r="B627" t="s">
        <v>284</v>
      </c>
      <c r="C627" t="s">
        <v>154</v>
      </c>
      <c r="D627" t="s">
        <v>158</v>
      </c>
      <c r="E627" s="23">
        <v>432131.44</v>
      </c>
      <c r="F627" s="23">
        <v>971925.79</v>
      </c>
      <c r="G627" s="23">
        <v>99528</v>
      </c>
      <c r="H627" s="23">
        <v>303061.86</v>
      </c>
    </row>
    <row r="628" spans="1:8" x14ac:dyDescent="0.35">
      <c r="A628">
        <v>2018</v>
      </c>
      <c r="B628" t="s">
        <v>285</v>
      </c>
      <c r="C628" t="s">
        <v>154</v>
      </c>
      <c r="D628" t="s">
        <v>155</v>
      </c>
      <c r="E628" s="23">
        <v>402025.94</v>
      </c>
      <c r="F628" s="23">
        <v>1902473.32</v>
      </c>
      <c r="G628" s="23">
        <v>0</v>
      </c>
      <c r="H628" s="23">
        <v>0</v>
      </c>
    </row>
    <row r="629" spans="1:8" x14ac:dyDescent="0.35">
      <c r="A629">
        <v>2018</v>
      </c>
      <c r="B629" t="s">
        <v>287</v>
      </c>
      <c r="C629" t="s">
        <v>154</v>
      </c>
      <c r="D629" t="s">
        <v>158</v>
      </c>
      <c r="E629" s="23">
        <v>1094769.3</v>
      </c>
      <c r="F629" s="23">
        <v>2659851.1800000002</v>
      </c>
      <c r="G629" s="23">
        <v>339137.6</v>
      </c>
      <c r="H629" s="23">
        <v>299767.62</v>
      </c>
    </row>
    <row r="630" spans="1:8" x14ac:dyDescent="0.35">
      <c r="A630">
        <v>2018</v>
      </c>
      <c r="B630" t="s">
        <v>289</v>
      </c>
      <c r="C630" t="s">
        <v>154</v>
      </c>
      <c r="D630" t="s">
        <v>160</v>
      </c>
      <c r="E630" s="23">
        <v>340956.58</v>
      </c>
      <c r="F630" s="23">
        <v>164389.99</v>
      </c>
      <c r="G630" s="23">
        <v>0</v>
      </c>
      <c r="H630" s="23">
        <v>0</v>
      </c>
    </row>
    <row r="631" spans="1:8" x14ac:dyDescent="0.35">
      <c r="A631">
        <v>2018</v>
      </c>
      <c r="B631" t="s">
        <v>290</v>
      </c>
      <c r="C631" t="s">
        <v>154</v>
      </c>
      <c r="D631" t="s">
        <v>155</v>
      </c>
      <c r="E631" s="23">
        <v>126720.4</v>
      </c>
      <c r="F631" s="23">
        <v>36000</v>
      </c>
      <c r="G631" s="23">
        <v>0</v>
      </c>
      <c r="H631" s="23">
        <v>0</v>
      </c>
    </row>
    <row r="632" spans="1:8" x14ac:dyDescent="0.35">
      <c r="A632">
        <v>2018</v>
      </c>
      <c r="B632" t="s">
        <v>291</v>
      </c>
      <c r="C632" t="s">
        <v>154</v>
      </c>
      <c r="D632" t="s">
        <v>158</v>
      </c>
      <c r="E632" s="23">
        <v>332215.36</v>
      </c>
      <c r="F632" s="23">
        <v>858712.91</v>
      </c>
      <c r="G632" s="23">
        <v>143220.49</v>
      </c>
      <c r="H632" s="23">
        <v>21172.61</v>
      </c>
    </row>
    <row r="633" spans="1:8" x14ac:dyDescent="0.35">
      <c r="A633">
        <v>2018</v>
      </c>
      <c r="B633" t="s">
        <v>296</v>
      </c>
      <c r="C633" t="s">
        <v>154</v>
      </c>
      <c r="D633" t="s">
        <v>155</v>
      </c>
      <c r="E633" s="23">
        <v>1353641.5</v>
      </c>
      <c r="F633" s="23">
        <v>62673.21</v>
      </c>
      <c r="G633" s="23">
        <v>52662.16</v>
      </c>
      <c r="H633" s="23">
        <v>47673.21</v>
      </c>
    </row>
    <row r="634" spans="1:8" x14ac:dyDescent="0.35">
      <c r="A634">
        <v>2018</v>
      </c>
      <c r="B634" t="s">
        <v>292</v>
      </c>
      <c r="C634" t="s">
        <v>154</v>
      </c>
      <c r="D634" t="s">
        <v>160</v>
      </c>
      <c r="E634" s="23">
        <v>229684.01</v>
      </c>
      <c r="F634" s="23">
        <v>427531.82</v>
      </c>
      <c r="G634" s="23">
        <v>1792.01</v>
      </c>
      <c r="H634" s="23">
        <v>0</v>
      </c>
    </row>
    <row r="635" spans="1:8" x14ac:dyDescent="0.35">
      <c r="A635">
        <v>2018</v>
      </c>
      <c r="B635" t="s">
        <v>293</v>
      </c>
      <c r="C635" t="s">
        <v>154</v>
      </c>
      <c r="D635" t="s">
        <v>158</v>
      </c>
      <c r="E635" s="23">
        <v>188813.73</v>
      </c>
      <c r="F635" s="23">
        <v>407048.62</v>
      </c>
      <c r="G635" s="23">
        <v>70347.69</v>
      </c>
      <c r="H635" s="23">
        <v>238394.02</v>
      </c>
    </row>
    <row r="636" spans="1:8" x14ac:dyDescent="0.35">
      <c r="A636">
        <v>2018</v>
      </c>
      <c r="B636" t="s">
        <v>294</v>
      </c>
      <c r="C636" t="s">
        <v>154</v>
      </c>
      <c r="D636" t="s">
        <v>155</v>
      </c>
      <c r="E636" s="23">
        <v>64024.73</v>
      </c>
      <c r="F636" s="23">
        <v>41689.57</v>
      </c>
      <c r="G636" s="23">
        <v>0</v>
      </c>
      <c r="H636" s="23">
        <v>0</v>
      </c>
    </row>
    <row r="637" spans="1:8" x14ac:dyDescent="0.35">
      <c r="A637">
        <v>2018</v>
      </c>
      <c r="B637" t="s">
        <v>295</v>
      </c>
      <c r="C637" t="s">
        <v>154</v>
      </c>
      <c r="D637" t="s">
        <v>158</v>
      </c>
      <c r="E637" s="23">
        <v>22545483.390000001</v>
      </c>
      <c r="F637" s="23">
        <v>22467519.7744</v>
      </c>
      <c r="G637" s="23">
        <v>3976814.93</v>
      </c>
      <c r="H637" s="23">
        <v>466085.06</v>
      </c>
    </row>
    <row r="638" spans="1:8" x14ac:dyDescent="0.35">
      <c r="A638">
        <v>2017</v>
      </c>
      <c r="B638" t="s">
        <v>153</v>
      </c>
      <c r="C638" t="s">
        <v>154</v>
      </c>
      <c r="D638" t="s">
        <v>155</v>
      </c>
      <c r="E638" s="23">
        <v>851928.29</v>
      </c>
      <c r="F638" s="23">
        <v>1492814.38</v>
      </c>
      <c r="G638" s="23">
        <v>518034.3</v>
      </c>
      <c r="H638" s="23">
        <v>1206088.23</v>
      </c>
    </row>
    <row r="639" spans="1:8" x14ac:dyDescent="0.35">
      <c r="A639">
        <v>2017</v>
      </c>
      <c r="B639" t="s">
        <v>297</v>
      </c>
      <c r="C639" t="s">
        <v>154</v>
      </c>
      <c r="D639" t="s">
        <v>155</v>
      </c>
      <c r="E639" s="23">
        <v>1083900.2</v>
      </c>
      <c r="F639" s="23">
        <v>2407433.0699999998</v>
      </c>
      <c r="G639" s="23">
        <v>1083900.2</v>
      </c>
      <c r="H639" s="23">
        <v>2407433.0699999998</v>
      </c>
    </row>
    <row r="640" spans="1:8" x14ac:dyDescent="0.35">
      <c r="A640">
        <v>2017</v>
      </c>
      <c r="B640" t="s">
        <v>161</v>
      </c>
      <c r="C640" t="s">
        <v>154</v>
      </c>
      <c r="D640" t="s">
        <v>158</v>
      </c>
      <c r="E640" s="23">
        <v>43983.06</v>
      </c>
      <c r="F640" s="23">
        <v>5247.94</v>
      </c>
      <c r="G640" s="23">
        <v>11704</v>
      </c>
      <c r="H640" s="23">
        <v>3505</v>
      </c>
    </row>
    <row r="641" spans="1:8" x14ac:dyDescent="0.35">
      <c r="A641">
        <v>2017</v>
      </c>
      <c r="B641" t="s">
        <v>162</v>
      </c>
      <c r="C641" t="s">
        <v>163</v>
      </c>
      <c r="D641" t="s">
        <v>158</v>
      </c>
      <c r="E641" s="23">
        <v>207477.75</v>
      </c>
      <c r="F641" s="23">
        <v>659310.51</v>
      </c>
      <c r="G641" s="23">
        <v>0</v>
      </c>
      <c r="H641" s="23">
        <v>0</v>
      </c>
    </row>
    <row r="642" spans="1:8" x14ac:dyDescent="0.35">
      <c r="A642">
        <v>2017</v>
      </c>
      <c r="B642" t="s">
        <v>164</v>
      </c>
      <c r="C642" t="s">
        <v>154</v>
      </c>
      <c r="D642" t="s">
        <v>165</v>
      </c>
      <c r="E642" s="23">
        <v>1087429.42</v>
      </c>
      <c r="F642" s="23">
        <v>755808.64</v>
      </c>
      <c r="G642" s="23">
        <v>378113.56</v>
      </c>
      <c r="H642" s="23">
        <v>234766.53</v>
      </c>
    </row>
    <row r="643" spans="1:8" x14ac:dyDescent="0.35">
      <c r="A643">
        <v>2017</v>
      </c>
      <c r="B643" t="s">
        <v>167</v>
      </c>
      <c r="C643" t="s">
        <v>154</v>
      </c>
      <c r="D643" t="s">
        <v>155</v>
      </c>
      <c r="E643" s="23">
        <v>616536.28</v>
      </c>
      <c r="F643" s="23">
        <v>5541844.4699999997</v>
      </c>
      <c r="G643" s="23">
        <v>135424.92000000001</v>
      </c>
      <c r="H643" s="23">
        <v>5540779.2000000002</v>
      </c>
    </row>
    <row r="644" spans="1:8" x14ac:dyDescent="0.35">
      <c r="A644">
        <v>2017</v>
      </c>
      <c r="B644" t="s">
        <v>168</v>
      </c>
      <c r="C644" t="s">
        <v>154</v>
      </c>
      <c r="D644" t="s">
        <v>158</v>
      </c>
      <c r="E644" s="23">
        <v>1149041.6399999999</v>
      </c>
      <c r="F644" s="23">
        <v>3762907.04</v>
      </c>
      <c r="G644" s="23">
        <v>325034.76</v>
      </c>
      <c r="H644" s="23">
        <v>467726.58</v>
      </c>
    </row>
    <row r="645" spans="1:8" x14ac:dyDescent="0.35">
      <c r="A645">
        <v>2017</v>
      </c>
      <c r="B645" t="s">
        <v>169</v>
      </c>
      <c r="C645" t="s">
        <v>154</v>
      </c>
      <c r="D645" t="s">
        <v>160</v>
      </c>
      <c r="E645" s="23">
        <v>79978.33</v>
      </c>
      <c r="F645" s="23">
        <v>157193.98000000001</v>
      </c>
      <c r="G645" s="23">
        <v>15943.97</v>
      </c>
      <c r="H645" s="23">
        <v>40</v>
      </c>
    </row>
    <row r="646" spans="1:8" x14ac:dyDescent="0.35">
      <c r="A646">
        <v>2017</v>
      </c>
      <c r="B646" t="s">
        <v>170</v>
      </c>
      <c r="C646" t="s">
        <v>154</v>
      </c>
      <c r="D646" t="s">
        <v>160</v>
      </c>
      <c r="E646" s="23">
        <v>1676403.32</v>
      </c>
      <c r="F646" s="23">
        <v>1460541.99</v>
      </c>
      <c r="G646" s="23">
        <v>1176999.3500000001</v>
      </c>
      <c r="H646" s="23">
        <v>1359490.68</v>
      </c>
    </row>
    <row r="647" spans="1:8" x14ac:dyDescent="0.35">
      <c r="A647">
        <v>2017</v>
      </c>
      <c r="B647" t="s">
        <v>171</v>
      </c>
      <c r="C647" t="s">
        <v>154</v>
      </c>
      <c r="D647" t="s">
        <v>158</v>
      </c>
      <c r="E647" s="23">
        <v>24807.03</v>
      </c>
      <c r="F647" s="23">
        <v>192.97</v>
      </c>
      <c r="G647" s="23">
        <v>24807.03</v>
      </c>
      <c r="H647" s="23">
        <v>192.97</v>
      </c>
    </row>
    <row r="648" spans="1:8" x14ac:dyDescent="0.35">
      <c r="A648">
        <v>2017</v>
      </c>
      <c r="B648" t="s">
        <v>172</v>
      </c>
      <c r="C648" t="s">
        <v>154</v>
      </c>
      <c r="D648" t="s">
        <v>155</v>
      </c>
      <c r="E648" s="23">
        <v>225575.54</v>
      </c>
      <c r="F648" s="23">
        <v>3004195.54</v>
      </c>
      <c r="G648" s="23">
        <v>74115.509999999995</v>
      </c>
      <c r="H648" s="23">
        <v>18501.240000000002</v>
      </c>
    </row>
    <row r="649" spans="1:8" x14ac:dyDescent="0.35">
      <c r="A649">
        <v>2017</v>
      </c>
      <c r="B649" t="s">
        <v>173</v>
      </c>
      <c r="C649" t="s">
        <v>154</v>
      </c>
      <c r="D649" t="s">
        <v>155</v>
      </c>
      <c r="E649" s="23">
        <v>370288.3</v>
      </c>
      <c r="F649" s="23">
        <v>391557.43</v>
      </c>
      <c r="G649" s="23">
        <v>0</v>
      </c>
      <c r="H649" s="23">
        <v>0</v>
      </c>
    </row>
    <row r="650" spans="1:8" x14ac:dyDescent="0.35">
      <c r="A650">
        <v>2017</v>
      </c>
      <c r="B650" t="s">
        <v>299</v>
      </c>
      <c r="C650" t="s">
        <v>154</v>
      </c>
      <c r="D650" t="s">
        <v>158</v>
      </c>
      <c r="E650" s="23">
        <v>0</v>
      </c>
      <c r="F650" s="23">
        <v>0</v>
      </c>
      <c r="G650" s="23">
        <v>0</v>
      </c>
      <c r="H650" s="23">
        <v>0</v>
      </c>
    </row>
    <row r="651" spans="1:8" x14ac:dyDescent="0.35">
      <c r="A651">
        <v>2017</v>
      </c>
      <c r="B651" t="s">
        <v>174</v>
      </c>
      <c r="C651" t="s">
        <v>154</v>
      </c>
      <c r="D651" t="s">
        <v>160</v>
      </c>
      <c r="E651" s="23">
        <v>674088</v>
      </c>
      <c r="F651" s="23">
        <v>5188623.87</v>
      </c>
      <c r="G651" s="23">
        <v>0</v>
      </c>
      <c r="H651" s="23">
        <v>0</v>
      </c>
    </row>
    <row r="652" spans="1:8" x14ac:dyDescent="0.35">
      <c r="A652">
        <v>2017</v>
      </c>
      <c r="B652" t="s">
        <v>175</v>
      </c>
      <c r="C652" t="s">
        <v>154</v>
      </c>
      <c r="D652" t="s">
        <v>158</v>
      </c>
      <c r="E652" s="23">
        <v>21919.439999999999</v>
      </c>
      <c r="F652" s="23">
        <v>256551.45</v>
      </c>
      <c r="G652" s="23">
        <v>21919.439999999999</v>
      </c>
      <c r="H652" s="23">
        <v>256551.45</v>
      </c>
    </row>
    <row r="653" spans="1:8" x14ac:dyDescent="0.35">
      <c r="A653">
        <v>2017</v>
      </c>
      <c r="B653" t="s">
        <v>177</v>
      </c>
      <c r="C653" t="s">
        <v>154</v>
      </c>
      <c r="D653" t="s">
        <v>160</v>
      </c>
      <c r="E653" s="23">
        <v>2713014.81</v>
      </c>
      <c r="F653" s="23">
        <v>11167431.73</v>
      </c>
      <c r="G653" s="23">
        <v>782342.16</v>
      </c>
      <c r="H653" s="23">
        <v>1893158.84</v>
      </c>
    </row>
    <row r="654" spans="1:8" x14ac:dyDescent="0.35">
      <c r="A654">
        <v>2017</v>
      </c>
      <c r="B654" t="s">
        <v>178</v>
      </c>
      <c r="C654" t="s">
        <v>154</v>
      </c>
      <c r="D654" t="s">
        <v>155</v>
      </c>
      <c r="E654" s="23">
        <v>321881.59000000003</v>
      </c>
      <c r="F654" s="23">
        <v>370591.65</v>
      </c>
      <c r="G654" s="23">
        <v>4713.45</v>
      </c>
      <c r="H654" s="23">
        <v>62990.81</v>
      </c>
    </row>
    <row r="655" spans="1:8" x14ac:dyDescent="0.35">
      <c r="A655">
        <v>2017</v>
      </c>
      <c r="B655" t="s">
        <v>179</v>
      </c>
      <c r="C655" t="s">
        <v>154</v>
      </c>
      <c r="D655" t="s">
        <v>160</v>
      </c>
      <c r="E655" s="23">
        <v>95050.7</v>
      </c>
      <c r="F655" s="23">
        <v>35106.839999999997</v>
      </c>
      <c r="G655" s="23">
        <v>69933.11</v>
      </c>
      <c r="H655" s="23">
        <v>28795.95</v>
      </c>
    </row>
    <row r="656" spans="1:8" x14ac:dyDescent="0.35">
      <c r="A656">
        <v>2017</v>
      </c>
      <c r="B656" t="s">
        <v>180</v>
      </c>
      <c r="C656" t="s">
        <v>154</v>
      </c>
      <c r="D656" t="s">
        <v>160</v>
      </c>
      <c r="E656" s="23">
        <v>429476.47</v>
      </c>
      <c r="F656" s="23">
        <v>1623899.66</v>
      </c>
      <c r="G656" s="23">
        <v>178328.5</v>
      </c>
      <c r="H656" s="23">
        <v>1336471.57</v>
      </c>
    </row>
    <row r="657" spans="1:8" x14ac:dyDescent="0.35">
      <c r="A657">
        <v>2017</v>
      </c>
      <c r="B657" t="s">
        <v>181</v>
      </c>
      <c r="C657" t="s">
        <v>154</v>
      </c>
      <c r="D657" t="s">
        <v>155</v>
      </c>
      <c r="E657" s="23">
        <v>3014835.86</v>
      </c>
      <c r="F657" s="23">
        <v>3275487.15</v>
      </c>
      <c r="G657" s="23">
        <v>2224255.92</v>
      </c>
      <c r="H657" s="23">
        <v>1998133.08</v>
      </c>
    </row>
    <row r="658" spans="1:8" x14ac:dyDescent="0.35">
      <c r="A658">
        <v>2017</v>
      </c>
      <c r="B658" t="s">
        <v>182</v>
      </c>
      <c r="C658" t="s">
        <v>154</v>
      </c>
      <c r="D658" t="s">
        <v>158</v>
      </c>
      <c r="E658" s="23">
        <v>0</v>
      </c>
      <c r="F658" s="23">
        <v>0</v>
      </c>
      <c r="G658" s="23">
        <v>32122.86</v>
      </c>
      <c r="H658" s="23">
        <v>0</v>
      </c>
    </row>
    <row r="659" spans="1:8" x14ac:dyDescent="0.35">
      <c r="A659">
        <v>2017</v>
      </c>
      <c r="B659" t="s">
        <v>183</v>
      </c>
      <c r="C659" t="s">
        <v>154</v>
      </c>
      <c r="D659" t="s">
        <v>155</v>
      </c>
      <c r="E659" s="23">
        <v>39212.33</v>
      </c>
      <c r="F659" s="23">
        <v>11424.67</v>
      </c>
      <c r="G659" s="23">
        <v>25493.83</v>
      </c>
      <c r="H659" s="23">
        <v>11424.67</v>
      </c>
    </row>
    <row r="660" spans="1:8" x14ac:dyDescent="0.35">
      <c r="A660">
        <v>2017</v>
      </c>
      <c r="B660" t="s">
        <v>184</v>
      </c>
      <c r="C660" t="s">
        <v>154</v>
      </c>
      <c r="D660" t="s">
        <v>155</v>
      </c>
      <c r="E660" s="23">
        <v>1520889.15</v>
      </c>
      <c r="F660" s="23">
        <v>9809938.1099999994</v>
      </c>
      <c r="G660" s="23">
        <v>352042.55</v>
      </c>
      <c r="H660" s="23">
        <v>2084884.31</v>
      </c>
    </row>
    <row r="661" spans="1:8" x14ac:dyDescent="0.35">
      <c r="A661">
        <v>2017</v>
      </c>
      <c r="B661" t="s">
        <v>186</v>
      </c>
      <c r="C661" t="s">
        <v>154</v>
      </c>
      <c r="D661" t="s">
        <v>158</v>
      </c>
      <c r="E661" s="23">
        <v>2052047.7</v>
      </c>
      <c r="F661" s="23">
        <v>2042697.81</v>
      </c>
      <c r="G661" s="23">
        <v>1564843.78</v>
      </c>
      <c r="H661" s="23">
        <v>695722</v>
      </c>
    </row>
    <row r="662" spans="1:8" x14ac:dyDescent="0.35">
      <c r="A662">
        <v>2017</v>
      </c>
      <c r="B662" t="s">
        <v>187</v>
      </c>
      <c r="C662" t="s">
        <v>154</v>
      </c>
      <c r="D662" t="s">
        <v>158</v>
      </c>
      <c r="E662" s="23">
        <v>274226.52</v>
      </c>
      <c r="F662" s="23">
        <v>62431.16</v>
      </c>
      <c r="G662" s="23">
        <v>106520</v>
      </c>
      <c r="H662" s="23">
        <v>9694</v>
      </c>
    </row>
    <row r="663" spans="1:8" x14ac:dyDescent="0.35">
      <c r="A663">
        <v>2017</v>
      </c>
      <c r="B663" t="s">
        <v>188</v>
      </c>
      <c r="C663" t="s">
        <v>154</v>
      </c>
      <c r="D663" t="s">
        <v>155</v>
      </c>
      <c r="E663" s="23">
        <v>7631.2</v>
      </c>
      <c r="F663" s="23">
        <v>492368.8</v>
      </c>
      <c r="G663" s="23">
        <v>0</v>
      </c>
      <c r="H663" s="23">
        <v>0</v>
      </c>
    </row>
    <row r="664" spans="1:8" x14ac:dyDescent="0.35">
      <c r="A664">
        <v>2017</v>
      </c>
      <c r="B664" t="s">
        <v>189</v>
      </c>
      <c r="C664" t="s">
        <v>154</v>
      </c>
      <c r="D664" t="s">
        <v>158</v>
      </c>
      <c r="E664" s="23">
        <v>1608639.63</v>
      </c>
      <c r="F664" s="23">
        <v>1932087.84</v>
      </c>
      <c r="G664" s="23">
        <v>404368.99</v>
      </c>
      <c r="H664" s="23">
        <v>54.2</v>
      </c>
    </row>
    <row r="665" spans="1:8" x14ac:dyDescent="0.35">
      <c r="A665">
        <v>2017</v>
      </c>
      <c r="B665" t="s">
        <v>190</v>
      </c>
      <c r="C665" t="s">
        <v>154</v>
      </c>
      <c r="D665" t="s">
        <v>155</v>
      </c>
      <c r="E665" s="23">
        <v>238162.29</v>
      </c>
      <c r="F665" s="23">
        <v>218254.37</v>
      </c>
      <c r="G665" s="23">
        <v>0</v>
      </c>
      <c r="H665" s="23">
        <v>4000</v>
      </c>
    </row>
    <row r="666" spans="1:8" x14ac:dyDescent="0.35">
      <c r="A666">
        <v>2017</v>
      </c>
      <c r="B666" t="s">
        <v>192</v>
      </c>
      <c r="C666" t="s">
        <v>154</v>
      </c>
      <c r="D666" t="s">
        <v>160</v>
      </c>
      <c r="E666" s="23">
        <v>834210.53</v>
      </c>
      <c r="F666" s="23">
        <v>677299.08</v>
      </c>
      <c r="G666" s="23">
        <v>487251.47</v>
      </c>
      <c r="H666" s="23">
        <v>95998.66</v>
      </c>
    </row>
    <row r="667" spans="1:8" x14ac:dyDescent="0.35">
      <c r="A667">
        <v>2017</v>
      </c>
      <c r="B667" t="s">
        <v>193</v>
      </c>
      <c r="C667" t="s">
        <v>154</v>
      </c>
      <c r="D667" t="s">
        <v>155</v>
      </c>
      <c r="E667" s="23">
        <v>41833.120000000003</v>
      </c>
      <c r="F667" s="23">
        <v>19210</v>
      </c>
      <c r="G667" s="23">
        <v>0</v>
      </c>
      <c r="H667" s="23">
        <v>0</v>
      </c>
    </row>
    <row r="668" spans="1:8" x14ac:dyDescent="0.35">
      <c r="A668">
        <v>2017</v>
      </c>
      <c r="B668" t="s">
        <v>195</v>
      </c>
      <c r="C668" t="s">
        <v>154</v>
      </c>
      <c r="D668" t="s">
        <v>160</v>
      </c>
      <c r="E668" s="23">
        <v>323187.42</v>
      </c>
      <c r="F668" s="23">
        <v>295135.46999999997</v>
      </c>
      <c r="G668" s="23">
        <v>64470.14</v>
      </c>
      <c r="H668" s="23">
        <v>42572.38</v>
      </c>
    </row>
    <row r="669" spans="1:8" x14ac:dyDescent="0.35">
      <c r="A669">
        <v>2017</v>
      </c>
      <c r="B669" t="s">
        <v>196</v>
      </c>
      <c r="C669" t="s">
        <v>154</v>
      </c>
      <c r="D669" t="s">
        <v>155</v>
      </c>
      <c r="E669" s="23">
        <v>1996224.24</v>
      </c>
      <c r="F669" s="23">
        <v>3030815.41</v>
      </c>
      <c r="G669" s="23">
        <v>1122811.06</v>
      </c>
      <c r="H669" s="23">
        <v>2425763.7599999998</v>
      </c>
    </row>
    <row r="670" spans="1:8" x14ac:dyDescent="0.35">
      <c r="A670">
        <v>2017</v>
      </c>
      <c r="B670" t="s">
        <v>197</v>
      </c>
      <c r="C670" t="s">
        <v>154</v>
      </c>
      <c r="D670" t="s">
        <v>160</v>
      </c>
      <c r="E670" s="23">
        <v>33973.870000000003</v>
      </c>
      <c r="F670" s="23">
        <v>78479.95</v>
      </c>
      <c r="G670" s="23">
        <v>9799.25</v>
      </c>
      <c r="H670" s="23">
        <v>50047.96</v>
      </c>
    </row>
    <row r="671" spans="1:8" x14ac:dyDescent="0.35">
      <c r="A671">
        <v>2017</v>
      </c>
      <c r="B671" t="s">
        <v>198</v>
      </c>
      <c r="C671" t="s">
        <v>154</v>
      </c>
      <c r="D671" t="s">
        <v>160</v>
      </c>
      <c r="E671" s="23">
        <v>595385.55799999996</v>
      </c>
      <c r="F671" s="23">
        <v>1644253.632</v>
      </c>
      <c r="G671" s="23">
        <v>133813.54999999999</v>
      </c>
      <c r="H671" s="23">
        <v>62186.45</v>
      </c>
    </row>
    <row r="672" spans="1:8" x14ac:dyDescent="0.35">
      <c r="A672">
        <v>2017</v>
      </c>
      <c r="B672" t="s">
        <v>199</v>
      </c>
      <c r="C672" t="s">
        <v>154</v>
      </c>
      <c r="D672" t="s">
        <v>160</v>
      </c>
      <c r="E672" s="23">
        <v>531347.79</v>
      </c>
      <c r="F672" s="23">
        <v>1405436.95</v>
      </c>
      <c r="G672" s="23">
        <v>82757.72</v>
      </c>
      <c r="H672" s="23">
        <v>165891.57999999999</v>
      </c>
    </row>
    <row r="673" spans="1:8" x14ac:dyDescent="0.35">
      <c r="A673">
        <v>2017</v>
      </c>
      <c r="B673" t="s">
        <v>200</v>
      </c>
      <c r="C673" t="s">
        <v>154</v>
      </c>
      <c r="D673" t="s">
        <v>158</v>
      </c>
      <c r="E673" s="23">
        <v>570363.65</v>
      </c>
      <c r="F673" s="23">
        <v>38428.699999999997</v>
      </c>
      <c r="G673" s="23">
        <v>49163.7</v>
      </c>
      <c r="H673" s="23">
        <v>29099.7</v>
      </c>
    </row>
    <row r="674" spans="1:8" x14ac:dyDescent="0.35">
      <c r="A674">
        <v>2017</v>
      </c>
      <c r="B674" t="s">
        <v>201</v>
      </c>
      <c r="C674" t="s">
        <v>154</v>
      </c>
      <c r="D674" t="s">
        <v>160</v>
      </c>
      <c r="E674" s="23">
        <v>0</v>
      </c>
      <c r="F674" s="23">
        <v>0</v>
      </c>
      <c r="G674" s="23">
        <v>7092123.9500000002</v>
      </c>
      <c r="H674" s="23">
        <v>30336302.120000001</v>
      </c>
    </row>
    <row r="675" spans="1:8" x14ac:dyDescent="0.35">
      <c r="A675">
        <v>2017</v>
      </c>
      <c r="B675" t="s">
        <v>202</v>
      </c>
      <c r="C675" t="s">
        <v>154</v>
      </c>
      <c r="D675" t="s">
        <v>155</v>
      </c>
      <c r="E675" s="23">
        <v>1738278.77</v>
      </c>
      <c r="F675" s="23">
        <v>1055744.02</v>
      </c>
      <c r="G675" s="23">
        <v>148761.26</v>
      </c>
      <c r="H675" s="23">
        <v>134438.16</v>
      </c>
    </row>
    <row r="676" spans="1:8" x14ac:dyDescent="0.35">
      <c r="A676">
        <v>2017</v>
      </c>
      <c r="B676" t="s">
        <v>203</v>
      </c>
      <c r="C676" t="s">
        <v>154</v>
      </c>
      <c r="D676" t="s">
        <v>160</v>
      </c>
      <c r="E676" s="23">
        <v>1186165.1399999999</v>
      </c>
      <c r="F676" s="23">
        <v>2697960.57</v>
      </c>
      <c r="G676" s="23">
        <v>408279.75</v>
      </c>
      <c r="H676" s="23">
        <v>187661.84</v>
      </c>
    </row>
    <row r="677" spans="1:8" x14ac:dyDescent="0.35">
      <c r="A677">
        <v>2017</v>
      </c>
      <c r="B677" t="s">
        <v>204</v>
      </c>
      <c r="C677" t="s">
        <v>154</v>
      </c>
      <c r="D677" t="s">
        <v>158</v>
      </c>
      <c r="E677" s="23">
        <v>1748720.04</v>
      </c>
      <c r="F677" s="23">
        <v>1797652.22</v>
      </c>
      <c r="G677" s="23">
        <v>138590.10999999999</v>
      </c>
      <c r="H677" s="23">
        <v>32083.98</v>
      </c>
    </row>
    <row r="678" spans="1:8" x14ac:dyDescent="0.35">
      <c r="A678">
        <v>2017</v>
      </c>
      <c r="B678" t="s">
        <v>205</v>
      </c>
      <c r="C678" t="s">
        <v>154</v>
      </c>
      <c r="D678" t="s">
        <v>160</v>
      </c>
      <c r="E678" s="23">
        <v>228964.87</v>
      </c>
      <c r="F678" s="23">
        <v>236843.73</v>
      </c>
      <c r="G678" s="23">
        <v>77971.7</v>
      </c>
      <c r="H678" s="23">
        <v>219019.44</v>
      </c>
    </row>
    <row r="679" spans="1:8" x14ac:dyDescent="0.35">
      <c r="A679">
        <v>2017</v>
      </c>
      <c r="B679" t="s">
        <v>206</v>
      </c>
      <c r="C679" t="s">
        <v>154</v>
      </c>
      <c r="D679" t="s">
        <v>158</v>
      </c>
      <c r="E679" s="23">
        <v>565505.48</v>
      </c>
      <c r="F679" s="23">
        <v>408675.03</v>
      </c>
      <c r="G679" s="23">
        <v>18667.29</v>
      </c>
      <c r="H679" s="23">
        <v>2968.75</v>
      </c>
    </row>
    <row r="680" spans="1:8" x14ac:dyDescent="0.35">
      <c r="A680">
        <v>2017</v>
      </c>
      <c r="B680" t="s">
        <v>209</v>
      </c>
      <c r="C680" t="s">
        <v>154</v>
      </c>
      <c r="D680" t="s">
        <v>158</v>
      </c>
      <c r="E680" s="23">
        <v>1100547.18</v>
      </c>
      <c r="F680" s="23">
        <v>1740800.04</v>
      </c>
      <c r="G680" s="23">
        <v>279633.88</v>
      </c>
      <c r="H680" s="23">
        <v>772776.11</v>
      </c>
    </row>
    <row r="681" spans="1:8" x14ac:dyDescent="0.35">
      <c r="A681">
        <v>2017</v>
      </c>
      <c r="B681" t="s">
        <v>210</v>
      </c>
      <c r="C681" t="s">
        <v>154</v>
      </c>
      <c r="D681" t="s">
        <v>158</v>
      </c>
      <c r="E681" s="23">
        <v>684664.21</v>
      </c>
      <c r="F681" s="23">
        <v>428620.51</v>
      </c>
      <c r="G681" s="23">
        <v>34160</v>
      </c>
      <c r="H681" s="23">
        <v>172483.86</v>
      </c>
    </row>
    <row r="682" spans="1:8" x14ac:dyDescent="0.35">
      <c r="A682">
        <v>2017</v>
      </c>
      <c r="B682" t="s">
        <v>212</v>
      </c>
      <c r="C682" t="s">
        <v>154</v>
      </c>
      <c r="D682" t="s">
        <v>160</v>
      </c>
      <c r="E682" s="23">
        <v>1183833.02</v>
      </c>
      <c r="F682" s="23">
        <v>1960494.81</v>
      </c>
      <c r="G682" s="23">
        <v>565749.28</v>
      </c>
      <c r="H682" s="23">
        <v>610514.34</v>
      </c>
    </row>
    <row r="683" spans="1:8" x14ac:dyDescent="0.35">
      <c r="A683">
        <v>2017</v>
      </c>
      <c r="B683" t="s">
        <v>213</v>
      </c>
      <c r="C683" t="s">
        <v>154</v>
      </c>
      <c r="D683" t="s">
        <v>155</v>
      </c>
      <c r="E683" s="23">
        <v>1024520.89</v>
      </c>
      <c r="F683" s="23">
        <v>3347128.95</v>
      </c>
      <c r="G683" s="23">
        <v>358210</v>
      </c>
      <c r="H683" s="23">
        <v>1784435.99</v>
      </c>
    </row>
    <row r="684" spans="1:8" x14ac:dyDescent="0.35">
      <c r="A684">
        <v>2017</v>
      </c>
      <c r="B684" t="s">
        <v>214</v>
      </c>
      <c r="C684" t="s">
        <v>154</v>
      </c>
      <c r="D684" t="s">
        <v>158</v>
      </c>
      <c r="E684" s="23">
        <v>2187777.11</v>
      </c>
      <c r="F684" s="23">
        <v>8240763.1500000004</v>
      </c>
      <c r="G684" s="23">
        <v>0</v>
      </c>
      <c r="H684" s="23">
        <v>0</v>
      </c>
    </row>
    <row r="685" spans="1:8" x14ac:dyDescent="0.35">
      <c r="A685">
        <v>2017</v>
      </c>
      <c r="B685" t="s">
        <v>215</v>
      </c>
      <c r="C685" t="s">
        <v>154</v>
      </c>
      <c r="D685" t="s">
        <v>160</v>
      </c>
      <c r="E685" s="23">
        <v>0</v>
      </c>
      <c r="F685" s="23">
        <v>0</v>
      </c>
      <c r="G685" s="23">
        <v>11431.5</v>
      </c>
      <c r="H685" s="23">
        <v>5904.11</v>
      </c>
    </row>
    <row r="686" spans="1:8" x14ac:dyDescent="0.35">
      <c r="A686">
        <v>2017</v>
      </c>
      <c r="B686" t="s">
        <v>216</v>
      </c>
      <c r="C686" t="s">
        <v>154</v>
      </c>
      <c r="D686" t="s">
        <v>155</v>
      </c>
      <c r="E686" s="23">
        <v>114445.57</v>
      </c>
      <c r="F686" s="23">
        <v>388962</v>
      </c>
      <c r="G686" s="23">
        <v>42126.31</v>
      </c>
      <c r="H686" s="23">
        <v>110896.46</v>
      </c>
    </row>
    <row r="687" spans="1:8" x14ac:dyDescent="0.35">
      <c r="A687">
        <v>2017</v>
      </c>
      <c r="B687" t="s">
        <v>217</v>
      </c>
      <c r="C687" t="s">
        <v>154</v>
      </c>
      <c r="D687" t="s">
        <v>160</v>
      </c>
      <c r="E687" s="23">
        <v>199658.71</v>
      </c>
      <c r="F687" s="23">
        <v>198220.07</v>
      </c>
      <c r="G687" s="23">
        <v>67692.77</v>
      </c>
      <c r="H687" s="23">
        <v>136037.39000000001</v>
      </c>
    </row>
    <row r="688" spans="1:8" x14ac:dyDescent="0.35">
      <c r="A688">
        <v>2017</v>
      </c>
      <c r="B688" t="s">
        <v>218</v>
      </c>
      <c r="C688" t="s">
        <v>154</v>
      </c>
      <c r="D688" t="s">
        <v>158</v>
      </c>
      <c r="E688" s="23">
        <v>212717.47</v>
      </c>
      <c r="F688" s="23">
        <v>776616.95999999996</v>
      </c>
      <c r="G688" s="23">
        <v>20024.38</v>
      </c>
      <c r="H688" s="23">
        <v>585852.29</v>
      </c>
    </row>
    <row r="689" spans="1:8" x14ac:dyDescent="0.35">
      <c r="A689">
        <v>2017</v>
      </c>
      <c r="B689" t="s">
        <v>219</v>
      </c>
      <c r="C689" t="s">
        <v>154</v>
      </c>
      <c r="D689" t="s">
        <v>160</v>
      </c>
      <c r="E689" s="23">
        <v>975837.62</v>
      </c>
      <c r="F689" s="23">
        <v>9379724.4000000004</v>
      </c>
      <c r="G689" s="23">
        <v>107375</v>
      </c>
      <c r="H689" s="23">
        <v>44875</v>
      </c>
    </row>
    <row r="690" spans="1:8" x14ac:dyDescent="0.35">
      <c r="A690">
        <v>2017</v>
      </c>
      <c r="B690" t="s">
        <v>220</v>
      </c>
      <c r="C690" t="s">
        <v>154</v>
      </c>
      <c r="D690" t="s">
        <v>158</v>
      </c>
      <c r="E690" s="23">
        <v>446724.68</v>
      </c>
      <c r="F690" s="23">
        <v>599878.71</v>
      </c>
      <c r="G690" s="23">
        <v>150686</v>
      </c>
      <c r="H690" s="23">
        <v>0</v>
      </c>
    </row>
    <row r="691" spans="1:8" x14ac:dyDescent="0.35">
      <c r="A691">
        <v>2017</v>
      </c>
      <c r="B691" t="s">
        <v>221</v>
      </c>
      <c r="C691" t="s">
        <v>154</v>
      </c>
      <c r="D691" t="s">
        <v>165</v>
      </c>
      <c r="E691" s="23">
        <v>52584.14</v>
      </c>
      <c r="F691" s="23">
        <v>72622.490000000005</v>
      </c>
      <c r="G691" s="23">
        <v>25837.01</v>
      </c>
      <c r="H691" s="23">
        <v>3375.24</v>
      </c>
    </row>
    <row r="692" spans="1:8" x14ac:dyDescent="0.35">
      <c r="A692">
        <v>2017</v>
      </c>
      <c r="B692" t="s">
        <v>223</v>
      </c>
      <c r="C692" t="s">
        <v>163</v>
      </c>
      <c r="D692" t="s">
        <v>160</v>
      </c>
      <c r="E692" s="23">
        <v>80962.8</v>
      </c>
      <c r="F692" s="23">
        <v>299060.49</v>
      </c>
      <c r="G692" s="23">
        <v>74569.5</v>
      </c>
      <c r="H692" s="23">
        <v>254772.86</v>
      </c>
    </row>
    <row r="693" spans="1:8" x14ac:dyDescent="0.35">
      <c r="A693">
        <v>2017</v>
      </c>
      <c r="B693" t="s">
        <v>224</v>
      </c>
      <c r="C693" t="s">
        <v>154</v>
      </c>
      <c r="D693" t="s">
        <v>158</v>
      </c>
      <c r="E693" s="23">
        <v>758521.49</v>
      </c>
      <c r="F693" s="23">
        <v>402232.26</v>
      </c>
      <c r="G693" s="23">
        <v>0</v>
      </c>
      <c r="H693" s="23">
        <v>0</v>
      </c>
    </row>
    <row r="694" spans="1:8" x14ac:dyDescent="0.35">
      <c r="A694">
        <v>2017</v>
      </c>
      <c r="B694" t="s">
        <v>225</v>
      </c>
      <c r="C694" t="s">
        <v>154</v>
      </c>
      <c r="D694" t="s">
        <v>160</v>
      </c>
      <c r="E694" s="23">
        <v>0</v>
      </c>
      <c r="F694" s="23">
        <v>0</v>
      </c>
      <c r="G694" s="23">
        <v>13262.29</v>
      </c>
      <c r="H694" s="23">
        <v>10008.299999999999</v>
      </c>
    </row>
    <row r="695" spans="1:8" x14ac:dyDescent="0.35">
      <c r="A695">
        <v>2017</v>
      </c>
      <c r="B695" t="s">
        <v>226</v>
      </c>
      <c r="C695" t="s">
        <v>154</v>
      </c>
      <c r="D695" t="s">
        <v>155</v>
      </c>
      <c r="E695" s="23">
        <v>0</v>
      </c>
      <c r="F695" s="23">
        <v>0</v>
      </c>
      <c r="G695" s="23">
        <v>7467.2</v>
      </c>
      <c r="H695" s="23">
        <v>517.32000000000005</v>
      </c>
    </row>
    <row r="696" spans="1:8" x14ac:dyDescent="0.35">
      <c r="A696">
        <v>2017</v>
      </c>
      <c r="B696" t="s">
        <v>227</v>
      </c>
      <c r="C696" t="s">
        <v>154</v>
      </c>
      <c r="D696" t="s">
        <v>158</v>
      </c>
      <c r="E696" s="23">
        <v>0</v>
      </c>
      <c r="F696" s="23">
        <v>0</v>
      </c>
      <c r="G696" s="23">
        <v>0</v>
      </c>
      <c r="H696" s="23">
        <v>0</v>
      </c>
    </row>
    <row r="697" spans="1:8" x14ac:dyDescent="0.35">
      <c r="A697">
        <v>2017</v>
      </c>
      <c r="B697" t="s">
        <v>228</v>
      </c>
      <c r="C697" t="s">
        <v>154</v>
      </c>
      <c r="D697" t="s">
        <v>160</v>
      </c>
      <c r="E697" s="23">
        <v>7675.14</v>
      </c>
      <c r="F697" s="23">
        <v>28058.7</v>
      </c>
      <c r="G697" s="23">
        <v>2452.0500000000002</v>
      </c>
      <c r="H697" s="23">
        <v>956.5</v>
      </c>
    </row>
    <row r="698" spans="1:8" x14ac:dyDescent="0.35">
      <c r="A698">
        <v>2017</v>
      </c>
      <c r="B698" t="s">
        <v>229</v>
      </c>
      <c r="C698" t="s">
        <v>154</v>
      </c>
      <c r="D698" t="s">
        <v>158</v>
      </c>
      <c r="E698" s="23">
        <v>1104844.97</v>
      </c>
      <c r="F698" s="23">
        <v>7938484.1347000003</v>
      </c>
      <c r="G698" s="23">
        <v>155739.84</v>
      </c>
      <c r="H698" s="23">
        <v>313498.99</v>
      </c>
    </row>
    <row r="699" spans="1:8" x14ac:dyDescent="0.35">
      <c r="A699">
        <v>2017</v>
      </c>
      <c r="B699" t="s">
        <v>230</v>
      </c>
      <c r="C699" t="s">
        <v>154</v>
      </c>
      <c r="D699" t="s">
        <v>155</v>
      </c>
      <c r="E699" s="23">
        <v>8752901.6699999999</v>
      </c>
      <c r="F699" s="23">
        <v>23440468.66</v>
      </c>
      <c r="G699" s="23">
        <v>8536197.0600000005</v>
      </c>
      <c r="H699" s="23">
        <v>22968391.829999998</v>
      </c>
    </row>
    <row r="700" spans="1:8" x14ac:dyDescent="0.35">
      <c r="A700">
        <v>2017</v>
      </c>
      <c r="B700" t="s">
        <v>231</v>
      </c>
      <c r="C700" t="s">
        <v>154</v>
      </c>
      <c r="D700" t="s">
        <v>160</v>
      </c>
      <c r="E700" s="23">
        <v>372946.73</v>
      </c>
      <c r="F700" s="23">
        <v>574777.68999999994</v>
      </c>
      <c r="G700" s="23">
        <v>74883.520000000004</v>
      </c>
      <c r="H700" s="23">
        <v>6140.67</v>
      </c>
    </row>
    <row r="701" spans="1:8" x14ac:dyDescent="0.35">
      <c r="A701">
        <v>2017</v>
      </c>
      <c r="B701" t="s">
        <v>232</v>
      </c>
      <c r="C701" t="s">
        <v>154</v>
      </c>
      <c r="D701" t="s">
        <v>165</v>
      </c>
      <c r="E701" s="23">
        <v>1361829.28</v>
      </c>
      <c r="F701" s="23">
        <v>1064111.8</v>
      </c>
      <c r="G701" s="23">
        <v>890173.98</v>
      </c>
      <c r="H701" s="23">
        <v>822747.44</v>
      </c>
    </row>
    <row r="702" spans="1:8" x14ac:dyDescent="0.35">
      <c r="A702">
        <v>2017</v>
      </c>
      <c r="B702" t="s">
        <v>233</v>
      </c>
      <c r="C702" t="s">
        <v>154</v>
      </c>
      <c r="D702" t="s">
        <v>155</v>
      </c>
      <c r="E702" s="23">
        <v>954597.13</v>
      </c>
      <c r="F702" s="23">
        <v>485640.55</v>
      </c>
      <c r="G702" s="23">
        <v>67237.919999999998</v>
      </c>
      <c r="H702" s="23">
        <v>21536.9</v>
      </c>
    </row>
    <row r="703" spans="1:8" x14ac:dyDescent="0.35">
      <c r="A703">
        <v>2017</v>
      </c>
      <c r="B703" t="s">
        <v>234</v>
      </c>
      <c r="C703" t="s">
        <v>154</v>
      </c>
      <c r="D703" t="s">
        <v>160</v>
      </c>
      <c r="E703" s="23">
        <v>685046.10199999996</v>
      </c>
      <c r="F703" s="23">
        <v>1216864.2198000001</v>
      </c>
      <c r="G703" s="23">
        <v>265573.69</v>
      </c>
      <c r="H703" s="23">
        <v>628545.78</v>
      </c>
    </row>
    <row r="704" spans="1:8" x14ac:dyDescent="0.35">
      <c r="A704">
        <v>2017</v>
      </c>
      <c r="B704" t="s">
        <v>235</v>
      </c>
      <c r="C704" t="s">
        <v>154</v>
      </c>
      <c r="D704" t="s">
        <v>160</v>
      </c>
      <c r="E704" s="23">
        <v>222515.37</v>
      </c>
      <c r="F704" s="23">
        <v>1560767.28</v>
      </c>
      <c r="G704" s="23">
        <v>1784.12</v>
      </c>
      <c r="H704" s="23">
        <v>205.93</v>
      </c>
    </row>
    <row r="705" spans="1:8" x14ac:dyDescent="0.35">
      <c r="A705">
        <v>2017</v>
      </c>
      <c r="B705" t="s">
        <v>236</v>
      </c>
      <c r="C705" t="s">
        <v>154</v>
      </c>
      <c r="D705" t="s">
        <v>160</v>
      </c>
      <c r="E705" s="23">
        <v>588144.32999999996</v>
      </c>
      <c r="F705" s="23">
        <v>877630.29</v>
      </c>
      <c r="G705" s="23">
        <v>349861.6</v>
      </c>
      <c r="H705" s="23">
        <v>82194.009999999995</v>
      </c>
    </row>
    <row r="706" spans="1:8" x14ac:dyDescent="0.35">
      <c r="A706">
        <v>2017</v>
      </c>
      <c r="B706" t="s">
        <v>238</v>
      </c>
      <c r="C706" t="s">
        <v>154</v>
      </c>
      <c r="D706" t="s">
        <v>155</v>
      </c>
      <c r="E706" s="23">
        <v>0</v>
      </c>
      <c r="F706" s="23">
        <v>0</v>
      </c>
      <c r="G706" s="23">
        <v>290258.96999999997</v>
      </c>
      <c r="H706" s="23">
        <v>2303264.6</v>
      </c>
    </row>
    <row r="707" spans="1:8" x14ac:dyDescent="0.35">
      <c r="A707">
        <v>2017</v>
      </c>
      <c r="B707" t="s">
        <v>239</v>
      </c>
      <c r="C707" t="s">
        <v>154</v>
      </c>
      <c r="D707" t="s">
        <v>158</v>
      </c>
      <c r="E707" s="23">
        <v>458906.99</v>
      </c>
      <c r="F707" s="23">
        <v>1572679.43</v>
      </c>
      <c r="G707" s="23">
        <v>11167</v>
      </c>
      <c r="H707" s="23">
        <v>35931.370000000003</v>
      </c>
    </row>
    <row r="708" spans="1:8" x14ac:dyDescent="0.35">
      <c r="A708">
        <v>2017</v>
      </c>
      <c r="B708" t="s">
        <v>240</v>
      </c>
      <c r="C708" t="s">
        <v>154</v>
      </c>
      <c r="D708" t="s">
        <v>155</v>
      </c>
      <c r="E708" s="23">
        <v>170243.68</v>
      </c>
      <c r="F708" s="23">
        <v>417233.99</v>
      </c>
      <c r="G708" s="23">
        <v>3477.5</v>
      </c>
      <c r="H708" s="23">
        <v>60655.5</v>
      </c>
    </row>
    <row r="709" spans="1:8" x14ac:dyDescent="0.35">
      <c r="A709">
        <v>2017</v>
      </c>
      <c r="B709" t="s">
        <v>241</v>
      </c>
      <c r="C709" t="s">
        <v>154</v>
      </c>
      <c r="D709" t="s">
        <v>155</v>
      </c>
      <c r="E709" s="23">
        <v>1183526.8</v>
      </c>
      <c r="F709" s="23">
        <v>4646824.3499999996</v>
      </c>
      <c r="G709" s="23">
        <v>1007339.42</v>
      </c>
      <c r="H709" s="23">
        <v>4636615.5999999996</v>
      </c>
    </row>
    <row r="710" spans="1:8" x14ac:dyDescent="0.35">
      <c r="A710">
        <v>2017</v>
      </c>
      <c r="B710" t="s">
        <v>242</v>
      </c>
      <c r="C710" t="s">
        <v>154</v>
      </c>
      <c r="D710" t="s">
        <v>160</v>
      </c>
      <c r="E710" s="23">
        <v>521110.22</v>
      </c>
      <c r="F710" s="23">
        <v>614652.34</v>
      </c>
      <c r="G710" s="23">
        <v>132201.16</v>
      </c>
      <c r="H710" s="23">
        <v>167188.75</v>
      </c>
    </row>
    <row r="711" spans="1:8" x14ac:dyDescent="0.35">
      <c r="A711">
        <v>2017</v>
      </c>
      <c r="B711" t="s">
        <v>243</v>
      </c>
      <c r="C711" t="s">
        <v>154</v>
      </c>
      <c r="D711" t="s">
        <v>165</v>
      </c>
      <c r="E711" s="23">
        <v>138933.99</v>
      </c>
      <c r="F711" s="23">
        <v>91058.79</v>
      </c>
      <c r="G711" s="23">
        <v>29682.94</v>
      </c>
      <c r="H711" s="23">
        <v>20075.060000000001</v>
      </c>
    </row>
    <row r="712" spans="1:8" x14ac:dyDescent="0.35">
      <c r="A712">
        <v>2017</v>
      </c>
      <c r="B712" t="s">
        <v>245</v>
      </c>
      <c r="C712" t="s">
        <v>154</v>
      </c>
      <c r="D712" t="s">
        <v>155</v>
      </c>
      <c r="E712" s="23">
        <v>1762596.12</v>
      </c>
      <c r="F712" s="23">
        <v>4000060.04</v>
      </c>
      <c r="G712" s="23">
        <v>92498.79</v>
      </c>
      <c r="H712" s="23">
        <v>339876.19</v>
      </c>
    </row>
    <row r="713" spans="1:8" x14ac:dyDescent="0.35">
      <c r="A713">
        <v>2017</v>
      </c>
      <c r="B713" t="s">
        <v>246</v>
      </c>
      <c r="C713" t="s">
        <v>154</v>
      </c>
      <c r="D713" t="s">
        <v>155</v>
      </c>
      <c r="E713" s="23">
        <v>1747967.94</v>
      </c>
      <c r="F713" s="23">
        <v>3189642.0484000002</v>
      </c>
      <c r="G713" s="23">
        <v>279919.38</v>
      </c>
      <c r="H713" s="23">
        <v>664788.93999999994</v>
      </c>
    </row>
    <row r="714" spans="1:8" x14ac:dyDescent="0.35">
      <c r="A714">
        <v>2017</v>
      </c>
      <c r="B714" t="s">
        <v>247</v>
      </c>
      <c r="C714" t="s">
        <v>154</v>
      </c>
      <c r="D714" t="s">
        <v>160</v>
      </c>
      <c r="E714" s="23">
        <v>6235061.6399999997</v>
      </c>
      <c r="F714" s="23">
        <v>20282437.7544</v>
      </c>
      <c r="G714" s="23">
        <v>3056755.51</v>
      </c>
      <c r="H714" s="23">
        <v>11158134.59</v>
      </c>
    </row>
    <row r="715" spans="1:8" x14ac:dyDescent="0.35">
      <c r="A715">
        <v>2017</v>
      </c>
      <c r="B715" t="s">
        <v>248</v>
      </c>
      <c r="C715" t="s">
        <v>154</v>
      </c>
      <c r="D715" t="s">
        <v>160</v>
      </c>
      <c r="E715" s="23">
        <v>2736760.68</v>
      </c>
      <c r="F715" s="23">
        <v>5204182.49</v>
      </c>
      <c r="G715" s="23">
        <v>220261.58</v>
      </c>
      <c r="H715" s="23">
        <v>2723947.5</v>
      </c>
    </row>
    <row r="716" spans="1:8" x14ac:dyDescent="0.35">
      <c r="A716">
        <v>2017</v>
      </c>
      <c r="B716" t="s">
        <v>249</v>
      </c>
      <c r="C716" t="s">
        <v>154</v>
      </c>
      <c r="D716" t="s">
        <v>160</v>
      </c>
      <c r="E716" s="23">
        <v>6741311.0899999999</v>
      </c>
      <c r="F716" s="23">
        <v>40398138.950000003</v>
      </c>
      <c r="G716" s="23">
        <v>737209.52</v>
      </c>
      <c r="H716" s="23">
        <v>15620051.779999999</v>
      </c>
    </row>
    <row r="717" spans="1:8" x14ac:dyDescent="0.35">
      <c r="A717">
        <v>2017</v>
      </c>
      <c r="B717" t="s">
        <v>250</v>
      </c>
      <c r="C717" t="s">
        <v>154</v>
      </c>
      <c r="D717" t="s">
        <v>158</v>
      </c>
      <c r="E717" s="23">
        <v>549906.16</v>
      </c>
      <c r="F717" s="23">
        <v>508037.56</v>
      </c>
      <c r="G717" s="23">
        <v>149705</v>
      </c>
      <c r="H717" s="23">
        <v>47520</v>
      </c>
    </row>
    <row r="718" spans="1:8" x14ac:dyDescent="0.35">
      <c r="A718">
        <v>2017</v>
      </c>
      <c r="B718" t="s">
        <v>252</v>
      </c>
      <c r="C718" t="s">
        <v>154</v>
      </c>
      <c r="D718" t="s">
        <v>160</v>
      </c>
      <c r="E718" s="23">
        <v>0</v>
      </c>
      <c r="F718" s="23">
        <v>0</v>
      </c>
      <c r="G718" s="23">
        <v>307510.2</v>
      </c>
      <c r="H718" s="23">
        <v>29236.93</v>
      </c>
    </row>
    <row r="719" spans="1:8" x14ac:dyDescent="0.35">
      <c r="A719">
        <v>2017</v>
      </c>
      <c r="B719" t="s">
        <v>253</v>
      </c>
      <c r="C719" t="s">
        <v>154</v>
      </c>
      <c r="D719" t="s">
        <v>160</v>
      </c>
      <c r="E719" s="23">
        <v>0</v>
      </c>
      <c r="F719" s="23">
        <v>0</v>
      </c>
      <c r="G719" s="23">
        <v>552537.17000000004</v>
      </c>
      <c r="H719" s="23">
        <v>64298.04</v>
      </c>
    </row>
    <row r="720" spans="1:8" x14ac:dyDescent="0.35">
      <c r="A720">
        <v>2017</v>
      </c>
      <c r="B720" t="s">
        <v>254</v>
      </c>
      <c r="C720" t="s">
        <v>154</v>
      </c>
      <c r="D720" t="s">
        <v>155</v>
      </c>
      <c r="E720" s="23">
        <v>5664464.4000000004</v>
      </c>
      <c r="F720" s="23">
        <v>5581888.4400000004</v>
      </c>
      <c r="G720" s="23">
        <v>495038.38</v>
      </c>
      <c r="H720" s="23">
        <v>422134.46</v>
      </c>
    </row>
    <row r="721" spans="1:8" x14ac:dyDescent="0.35">
      <c r="A721">
        <v>2017</v>
      </c>
      <c r="B721" t="s">
        <v>255</v>
      </c>
      <c r="C721" t="s">
        <v>154</v>
      </c>
      <c r="D721" t="s">
        <v>160</v>
      </c>
      <c r="E721" s="23">
        <v>264272.46000000002</v>
      </c>
      <c r="F721" s="23">
        <v>67622.47</v>
      </c>
      <c r="G721" s="23">
        <v>88691.85</v>
      </c>
      <c r="H721" s="23">
        <v>3171.53</v>
      </c>
    </row>
    <row r="722" spans="1:8" x14ac:dyDescent="0.35">
      <c r="A722">
        <v>2017</v>
      </c>
      <c r="B722" t="s">
        <v>257</v>
      </c>
      <c r="C722" t="s">
        <v>154</v>
      </c>
      <c r="D722" t="s">
        <v>160</v>
      </c>
      <c r="E722" s="23">
        <v>94540.93</v>
      </c>
      <c r="F722" s="23">
        <v>605711.86</v>
      </c>
      <c r="G722" s="23">
        <v>39151.54</v>
      </c>
      <c r="H722" s="23">
        <v>8238.9500000000007</v>
      </c>
    </row>
    <row r="723" spans="1:8" x14ac:dyDescent="0.35">
      <c r="A723">
        <v>2017</v>
      </c>
      <c r="B723" t="s">
        <v>258</v>
      </c>
      <c r="C723" t="s">
        <v>154</v>
      </c>
      <c r="D723" t="s">
        <v>160</v>
      </c>
      <c r="E723" s="23">
        <v>2186552.59</v>
      </c>
      <c r="F723" s="23">
        <v>1122545.8700000001</v>
      </c>
      <c r="G723" s="23">
        <v>2016526.82</v>
      </c>
      <c r="H723" s="23">
        <v>1099991.1399999999</v>
      </c>
    </row>
    <row r="724" spans="1:8" x14ac:dyDescent="0.35">
      <c r="A724">
        <v>2017</v>
      </c>
      <c r="B724" t="s">
        <v>259</v>
      </c>
      <c r="C724" t="s">
        <v>154</v>
      </c>
      <c r="D724" t="s">
        <v>165</v>
      </c>
      <c r="E724" s="23">
        <v>729639.95</v>
      </c>
      <c r="F724" s="23">
        <v>1140501.1000000001</v>
      </c>
      <c r="G724" s="23">
        <v>275678.45</v>
      </c>
      <c r="H724" s="23">
        <v>790095.94</v>
      </c>
    </row>
    <row r="725" spans="1:8" x14ac:dyDescent="0.35">
      <c r="A725">
        <v>2017</v>
      </c>
      <c r="B725" t="s">
        <v>260</v>
      </c>
      <c r="C725" t="s">
        <v>154</v>
      </c>
      <c r="D725" t="s">
        <v>158</v>
      </c>
      <c r="E725" s="23">
        <v>6384036.3899999997</v>
      </c>
      <c r="F725" s="23">
        <v>62623212.530000001</v>
      </c>
      <c r="G725" s="23">
        <v>317916.43</v>
      </c>
      <c r="H725" s="23">
        <v>8995.18</v>
      </c>
    </row>
    <row r="726" spans="1:8" x14ac:dyDescent="0.35">
      <c r="A726">
        <v>2017</v>
      </c>
      <c r="B726" t="s">
        <v>261</v>
      </c>
      <c r="C726" t="s">
        <v>154</v>
      </c>
      <c r="D726" t="s">
        <v>158</v>
      </c>
      <c r="E726" s="23">
        <v>65054.8</v>
      </c>
      <c r="F726" s="23">
        <v>75050.73</v>
      </c>
      <c r="G726" s="23">
        <v>47775.68</v>
      </c>
      <c r="H726" s="23">
        <v>75050.73</v>
      </c>
    </row>
    <row r="727" spans="1:8" x14ac:dyDescent="0.35">
      <c r="A727">
        <v>2017</v>
      </c>
      <c r="B727" t="s">
        <v>262</v>
      </c>
      <c r="C727" t="s">
        <v>154</v>
      </c>
      <c r="D727" t="s">
        <v>155</v>
      </c>
      <c r="E727" s="23">
        <v>8315.02</v>
      </c>
      <c r="F727" s="23">
        <v>0</v>
      </c>
      <c r="G727" s="23">
        <v>6424</v>
      </c>
      <c r="H727" s="23">
        <v>0</v>
      </c>
    </row>
    <row r="728" spans="1:8" x14ac:dyDescent="0.35">
      <c r="A728">
        <v>2017</v>
      </c>
      <c r="B728" t="s">
        <v>264</v>
      </c>
      <c r="C728" t="s">
        <v>154</v>
      </c>
      <c r="D728" t="s">
        <v>160</v>
      </c>
      <c r="E728" s="23">
        <v>1119110.26</v>
      </c>
      <c r="F728" s="23">
        <v>2270909.8199999998</v>
      </c>
      <c r="G728" s="23">
        <v>1073720.26</v>
      </c>
      <c r="H728" s="23">
        <v>2030277.31</v>
      </c>
    </row>
    <row r="729" spans="1:8" x14ac:dyDescent="0.35">
      <c r="A729">
        <v>2017</v>
      </c>
      <c r="B729" t="s">
        <v>265</v>
      </c>
      <c r="C729" t="s">
        <v>154</v>
      </c>
      <c r="D729" t="s">
        <v>158</v>
      </c>
      <c r="E729" s="23">
        <v>503353.96</v>
      </c>
      <c r="F729" s="23">
        <v>1997525.3740000001</v>
      </c>
      <c r="G729" s="23">
        <v>200147.05</v>
      </c>
      <c r="H729" s="23">
        <v>163366.1</v>
      </c>
    </row>
    <row r="730" spans="1:8" x14ac:dyDescent="0.35">
      <c r="A730">
        <v>2017</v>
      </c>
      <c r="B730" t="s">
        <v>266</v>
      </c>
      <c r="C730" t="s">
        <v>154</v>
      </c>
      <c r="D730" t="s">
        <v>158</v>
      </c>
      <c r="E730" s="23">
        <v>1157609.83</v>
      </c>
      <c r="F730" s="23">
        <v>1630898.89</v>
      </c>
      <c r="G730" s="23">
        <v>37218.18</v>
      </c>
      <c r="H730" s="23">
        <v>0</v>
      </c>
    </row>
    <row r="731" spans="1:8" x14ac:dyDescent="0.35">
      <c r="A731">
        <v>2017</v>
      </c>
      <c r="B731" t="s">
        <v>267</v>
      </c>
      <c r="C731" t="s">
        <v>154</v>
      </c>
      <c r="D731" t="s">
        <v>160</v>
      </c>
      <c r="E731" s="23">
        <v>333977.45</v>
      </c>
      <c r="F731" s="23">
        <v>231218.97</v>
      </c>
      <c r="G731" s="23">
        <v>0</v>
      </c>
      <c r="H731" s="23">
        <v>4709.6000000000004</v>
      </c>
    </row>
    <row r="732" spans="1:8" x14ac:dyDescent="0.35">
      <c r="A732">
        <v>2017</v>
      </c>
      <c r="B732" t="s">
        <v>298</v>
      </c>
      <c r="C732" t="s">
        <v>154</v>
      </c>
      <c r="D732" t="s">
        <v>160</v>
      </c>
      <c r="E732" s="23">
        <v>21993.87</v>
      </c>
      <c r="F732" s="23">
        <v>58803.71</v>
      </c>
      <c r="G732" s="23">
        <v>9512.27</v>
      </c>
      <c r="H732" s="23">
        <v>48421.21</v>
      </c>
    </row>
    <row r="733" spans="1:8" x14ac:dyDescent="0.35">
      <c r="A733">
        <v>2017</v>
      </c>
      <c r="B733" t="s">
        <v>268</v>
      </c>
      <c r="C733" t="s">
        <v>154</v>
      </c>
      <c r="D733" t="s">
        <v>160</v>
      </c>
      <c r="E733" s="23">
        <v>0</v>
      </c>
      <c r="F733" s="23">
        <v>0</v>
      </c>
      <c r="G733" s="23">
        <v>1110</v>
      </c>
      <c r="H733" s="23">
        <v>25927.94</v>
      </c>
    </row>
    <row r="734" spans="1:8" x14ac:dyDescent="0.35">
      <c r="A734">
        <v>2017</v>
      </c>
      <c r="B734" t="s">
        <v>269</v>
      </c>
      <c r="C734" t="s">
        <v>154</v>
      </c>
      <c r="D734" t="s">
        <v>160</v>
      </c>
      <c r="E734" s="23">
        <v>109776.43</v>
      </c>
      <c r="F734" s="23">
        <v>56433.34</v>
      </c>
      <c r="G734" s="23">
        <v>28285.11</v>
      </c>
      <c r="H734" s="23">
        <v>55015.79</v>
      </c>
    </row>
    <row r="735" spans="1:8" x14ac:dyDescent="0.35">
      <c r="A735">
        <v>2017</v>
      </c>
      <c r="B735" t="s">
        <v>271</v>
      </c>
      <c r="C735" t="s">
        <v>154</v>
      </c>
      <c r="D735" t="s">
        <v>158</v>
      </c>
      <c r="E735" s="23">
        <v>1585442.5</v>
      </c>
      <c r="F735" s="23">
        <v>11386551.369999999</v>
      </c>
      <c r="G735" s="23">
        <v>0</v>
      </c>
      <c r="H735" s="23">
        <v>0</v>
      </c>
    </row>
    <row r="736" spans="1:8" x14ac:dyDescent="0.35">
      <c r="A736">
        <v>2017</v>
      </c>
      <c r="B736" t="s">
        <v>272</v>
      </c>
      <c r="C736" t="s">
        <v>154</v>
      </c>
      <c r="D736" t="s">
        <v>160</v>
      </c>
      <c r="E736" s="23">
        <v>784430.06</v>
      </c>
      <c r="F736" s="23">
        <v>898802.16</v>
      </c>
      <c r="G736" s="23">
        <v>126725.37</v>
      </c>
      <c r="H736" s="23">
        <v>96865.4</v>
      </c>
    </row>
    <row r="737" spans="1:8" x14ac:dyDescent="0.35">
      <c r="A737">
        <v>2017</v>
      </c>
      <c r="B737" t="s">
        <v>273</v>
      </c>
      <c r="C737" t="s">
        <v>154</v>
      </c>
      <c r="D737" t="s">
        <v>155</v>
      </c>
      <c r="E737" s="23">
        <v>1251107.83</v>
      </c>
      <c r="F737" s="23">
        <v>3382916.33</v>
      </c>
      <c r="G737" s="23">
        <v>272794.89</v>
      </c>
      <c r="H737" s="23">
        <v>121433.89</v>
      </c>
    </row>
    <row r="738" spans="1:8" x14ac:dyDescent="0.35">
      <c r="A738">
        <v>2017</v>
      </c>
      <c r="B738" t="s">
        <v>275</v>
      </c>
      <c r="C738" t="s">
        <v>154</v>
      </c>
      <c r="D738" t="s">
        <v>160</v>
      </c>
      <c r="E738" s="23">
        <v>0</v>
      </c>
      <c r="F738" s="23">
        <v>0</v>
      </c>
      <c r="G738" s="23">
        <v>0</v>
      </c>
      <c r="H738" s="23">
        <v>0</v>
      </c>
    </row>
    <row r="739" spans="1:8" x14ac:dyDescent="0.35">
      <c r="A739">
        <v>2017</v>
      </c>
      <c r="B739" t="s">
        <v>276</v>
      </c>
      <c r="C739" t="s">
        <v>154</v>
      </c>
      <c r="D739" t="s">
        <v>158</v>
      </c>
      <c r="E739" s="23">
        <v>1667920.52</v>
      </c>
      <c r="F739" s="23">
        <v>1594389.2</v>
      </c>
      <c r="G739" s="23">
        <v>877133.35</v>
      </c>
      <c r="H739" s="23">
        <v>1243841.69</v>
      </c>
    </row>
    <row r="740" spans="1:8" x14ac:dyDescent="0.35">
      <c r="A740">
        <v>2017</v>
      </c>
      <c r="B740" t="s">
        <v>277</v>
      </c>
      <c r="C740" t="s">
        <v>154</v>
      </c>
      <c r="D740" t="s">
        <v>155</v>
      </c>
      <c r="E740" s="23">
        <v>380600.4</v>
      </c>
      <c r="F740" s="23">
        <v>518673.93</v>
      </c>
      <c r="G740" s="23">
        <v>352119.26</v>
      </c>
      <c r="H740" s="23">
        <v>464931.1</v>
      </c>
    </row>
    <row r="741" spans="1:8" x14ac:dyDescent="0.35">
      <c r="A741">
        <v>2017</v>
      </c>
      <c r="B741" t="s">
        <v>278</v>
      </c>
      <c r="C741" t="s">
        <v>154</v>
      </c>
      <c r="D741" t="s">
        <v>155</v>
      </c>
      <c r="E741" s="23">
        <v>144091.84</v>
      </c>
      <c r="F741" s="23">
        <v>55038.94</v>
      </c>
      <c r="G741" s="23">
        <v>51147.16</v>
      </c>
      <c r="H741" s="23">
        <v>54884.54</v>
      </c>
    </row>
    <row r="742" spans="1:8" x14ac:dyDescent="0.35">
      <c r="A742">
        <v>2017</v>
      </c>
      <c r="B742" t="s">
        <v>279</v>
      </c>
      <c r="C742" t="s">
        <v>154</v>
      </c>
      <c r="D742" t="s">
        <v>155</v>
      </c>
      <c r="E742" s="23">
        <v>1712611.14</v>
      </c>
      <c r="F742" s="23">
        <v>1534171.12</v>
      </c>
      <c r="G742" s="23">
        <v>271025.91999999998</v>
      </c>
      <c r="H742" s="23">
        <v>82277.490000000005</v>
      </c>
    </row>
    <row r="743" spans="1:8" x14ac:dyDescent="0.35">
      <c r="A743">
        <v>2017</v>
      </c>
      <c r="B743" t="s">
        <v>280</v>
      </c>
      <c r="C743" t="s">
        <v>154</v>
      </c>
      <c r="D743" t="s">
        <v>160</v>
      </c>
      <c r="E743" s="23">
        <v>77337.2</v>
      </c>
      <c r="F743" s="23">
        <v>704317.75</v>
      </c>
      <c r="G743" s="23">
        <v>0</v>
      </c>
      <c r="H743" s="23">
        <v>3150</v>
      </c>
    </row>
    <row r="744" spans="1:8" x14ac:dyDescent="0.35">
      <c r="A744">
        <v>2017</v>
      </c>
      <c r="B744" t="s">
        <v>281</v>
      </c>
      <c r="C744" t="s">
        <v>154</v>
      </c>
      <c r="D744" t="s">
        <v>158</v>
      </c>
      <c r="E744" s="23">
        <v>573493.81000000006</v>
      </c>
      <c r="F744" s="23">
        <v>775280.47</v>
      </c>
      <c r="G744" s="23">
        <v>960</v>
      </c>
      <c r="H744" s="23">
        <v>0</v>
      </c>
    </row>
    <row r="745" spans="1:8" x14ac:dyDescent="0.35">
      <c r="A745">
        <v>2017</v>
      </c>
      <c r="B745" t="s">
        <v>282</v>
      </c>
      <c r="C745" t="s">
        <v>154</v>
      </c>
      <c r="D745" t="s">
        <v>160</v>
      </c>
      <c r="E745" s="23">
        <v>1560428.02</v>
      </c>
      <c r="F745" s="23">
        <v>1801689.31</v>
      </c>
      <c r="G745" s="23">
        <v>490172.02</v>
      </c>
      <c r="H745" s="23">
        <v>158874.87</v>
      </c>
    </row>
    <row r="746" spans="1:8" x14ac:dyDescent="0.35">
      <c r="A746">
        <v>2017</v>
      </c>
      <c r="B746" t="s">
        <v>283</v>
      </c>
      <c r="C746" t="s">
        <v>154</v>
      </c>
      <c r="D746" t="s">
        <v>155</v>
      </c>
      <c r="E746" s="23">
        <v>1433747.14</v>
      </c>
      <c r="F746" s="23">
        <v>7328095.3799999999</v>
      </c>
      <c r="G746" s="23">
        <v>716757.27</v>
      </c>
      <c r="H746" s="23">
        <v>599023.5</v>
      </c>
    </row>
    <row r="747" spans="1:8" x14ac:dyDescent="0.35">
      <c r="A747">
        <v>2017</v>
      </c>
      <c r="B747" t="s">
        <v>284</v>
      </c>
      <c r="C747" t="s">
        <v>154</v>
      </c>
      <c r="D747" t="s">
        <v>158</v>
      </c>
      <c r="E747" s="23">
        <v>586005.16</v>
      </c>
      <c r="F747" s="23">
        <v>776691.73</v>
      </c>
      <c r="G747" s="23">
        <v>9304.6299999999992</v>
      </c>
      <c r="H747" s="23">
        <v>13825.42</v>
      </c>
    </row>
    <row r="748" spans="1:8" x14ac:dyDescent="0.35">
      <c r="A748">
        <v>2017</v>
      </c>
      <c r="B748" t="s">
        <v>285</v>
      </c>
      <c r="C748" t="s">
        <v>154</v>
      </c>
      <c r="D748" t="s">
        <v>155</v>
      </c>
      <c r="E748" s="23">
        <v>1760442.26</v>
      </c>
      <c r="F748" s="23">
        <v>198225.12</v>
      </c>
      <c r="G748" s="23">
        <v>240384</v>
      </c>
      <c r="H748" s="23">
        <v>195753</v>
      </c>
    </row>
    <row r="749" spans="1:8" x14ac:dyDescent="0.35">
      <c r="A749">
        <v>2017</v>
      </c>
      <c r="B749" t="s">
        <v>287</v>
      </c>
      <c r="C749" t="s">
        <v>154</v>
      </c>
      <c r="D749" t="s">
        <v>158</v>
      </c>
      <c r="E749" s="23">
        <v>902252.77</v>
      </c>
      <c r="F749" s="23">
        <v>1321763.8799999999</v>
      </c>
      <c r="G749" s="23">
        <v>268356.94</v>
      </c>
      <c r="H749" s="23">
        <v>335177.78000000003</v>
      </c>
    </row>
    <row r="750" spans="1:8" x14ac:dyDescent="0.35">
      <c r="A750">
        <v>2017</v>
      </c>
      <c r="B750" t="s">
        <v>289</v>
      </c>
      <c r="C750" t="s">
        <v>154</v>
      </c>
      <c r="D750" t="s">
        <v>160</v>
      </c>
      <c r="E750" s="23">
        <v>357394.98</v>
      </c>
      <c r="F750" s="23">
        <v>2795</v>
      </c>
      <c r="G750" s="23">
        <v>0</v>
      </c>
      <c r="H750" s="23">
        <v>0</v>
      </c>
    </row>
    <row r="751" spans="1:8" x14ac:dyDescent="0.35">
      <c r="A751">
        <v>2017</v>
      </c>
      <c r="B751" t="s">
        <v>290</v>
      </c>
      <c r="C751" t="s">
        <v>154</v>
      </c>
      <c r="D751" t="s">
        <v>155</v>
      </c>
      <c r="E751" s="23">
        <v>403884.1</v>
      </c>
      <c r="F751" s="23">
        <v>154376</v>
      </c>
      <c r="G751" s="23">
        <v>-843</v>
      </c>
      <c r="H751" s="23">
        <v>0</v>
      </c>
    </row>
    <row r="752" spans="1:8" x14ac:dyDescent="0.35">
      <c r="A752">
        <v>2017</v>
      </c>
      <c r="B752" t="s">
        <v>291</v>
      </c>
      <c r="C752" t="s">
        <v>154</v>
      </c>
      <c r="D752" t="s">
        <v>158</v>
      </c>
      <c r="E752" s="23">
        <v>1552809.5</v>
      </c>
      <c r="F752" s="23">
        <v>13026077.248199999</v>
      </c>
      <c r="G752" s="23">
        <v>130413.15</v>
      </c>
      <c r="H752" s="23">
        <v>26514.71</v>
      </c>
    </row>
    <row r="753" spans="1:8" x14ac:dyDescent="0.35">
      <c r="A753">
        <v>2017</v>
      </c>
      <c r="B753" t="s">
        <v>296</v>
      </c>
      <c r="C753" t="s">
        <v>154</v>
      </c>
      <c r="D753" t="s">
        <v>155</v>
      </c>
      <c r="E753" s="23">
        <v>11836884.27</v>
      </c>
      <c r="F753" s="23">
        <v>21574639.300000001</v>
      </c>
      <c r="G753" s="23">
        <v>71857.960000000006</v>
      </c>
      <c r="H753" s="23">
        <v>182932</v>
      </c>
    </row>
    <row r="754" spans="1:8" x14ac:dyDescent="0.35">
      <c r="A754">
        <v>2017</v>
      </c>
      <c r="B754" t="s">
        <v>292</v>
      </c>
      <c r="C754" t="s">
        <v>154</v>
      </c>
      <c r="D754" t="s">
        <v>160</v>
      </c>
      <c r="E754" s="23">
        <v>139563.1</v>
      </c>
      <c r="F754" s="23">
        <v>150226.93</v>
      </c>
      <c r="G754" s="23">
        <v>0</v>
      </c>
      <c r="H754" s="23">
        <v>144.69</v>
      </c>
    </row>
    <row r="755" spans="1:8" x14ac:dyDescent="0.35">
      <c r="A755">
        <v>2017</v>
      </c>
      <c r="B755" t="s">
        <v>293</v>
      </c>
      <c r="C755" t="s">
        <v>154</v>
      </c>
      <c r="D755" t="s">
        <v>158</v>
      </c>
      <c r="E755" s="23">
        <v>39002.370000000003</v>
      </c>
      <c r="F755" s="23">
        <v>117534.86</v>
      </c>
      <c r="G755" s="23">
        <v>0</v>
      </c>
      <c r="H755" s="23">
        <v>0</v>
      </c>
    </row>
    <row r="756" spans="1:8" x14ac:dyDescent="0.35">
      <c r="A756">
        <v>2017</v>
      </c>
      <c r="B756" t="s">
        <v>294</v>
      </c>
      <c r="C756" t="s">
        <v>154</v>
      </c>
      <c r="D756" t="s">
        <v>155</v>
      </c>
      <c r="E756" s="23">
        <v>141370.4</v>
      </c>
      <c r="F756" s="23">
        <v>191680.29</v>
      </c>
      <c r="G756" s="23">
        <v>0</v>
      </c>
      <c r="H756" s="23">
        <v>0</v>
      </c>
    </row>
    <row r="757" spans="1:8" x14ac:dyDescent="0.35">
      <c r="A757">
        <v>2017</v>
      </c>
      <c r="B757" t="s">
        <v>295</v>
      </c>
      <c r="C757" t="s">
        <v>154</v>
      </c>
      <c r="D757" t="s">
        <v>158</v>
      </c>
      <c r="E757" s="23">
        <v>33074890.510000002</v>
      </c>
      <c r="F757" s="23">
        <v>52799224.659999996</v>
      </c>
      <c r="G757" s="23">
        <v>2174104.1800000002</v>
      </c>
      <c r="H757" s="23">
        <v>71300.92</v>
      </c>
    </row>
    <row r="758" spans="1:8" x14ac:dyDescent="0.35">
      <c r="A758">
        <v>2016</v>
      </c>
      <c r="B758" t="s">
        <v>153</v>
      </c>
      <c r="C758" t="s">
        <v>154</v>
      </c>
      <c r="D758" t="s">
        <v>155</v>
      </c>
      <c r="E758" s="23">
        <v>805463.72</v>
      </c>
      <c r="F758" s="23">
        <v>6863815.0700000003</v>
      </c>
      <c r="G758" s="23">
        <v>404609.84</v>
      </c>
      <c r="H758" s="23">
        <v>1287612.53</v>
      </c>
    </row>
    <row r="759" spans="1:8" x14ac:dyDescent="0.35">
      <c r="A759">
        <v>2016</v>
      </c>
      <c r="B759" t="s">
        <v>297</v>
      </c>
      <c r="C759" t="s">
        <v>154</v>
      </c>
      <c r="D759" t="s">
        <v>155</v>
      </c>
      <c r="E759" s="23">
        <v>162068.35</v>
      </c>
      <c r="F759" s="23">
        <v>1152460</v>
      </c>
      <c r="G759" s="23">
        <v>162068.35</v>
      </c>
      <c r="H759" s="23">
        <v>1152460</v>
      </c>
    </row>
    <row r="760" spans="1:8" x14ac:dyDescent="0.35">
      <c r="A760">
        <v>2016</v>
      </c>
      <c r="B760" t="s">
        <v>162</v>
      </c>
      <c r="C760" t="s">
        <v>163</v>
      </c>
      <c r="D760" t="s">
        <v>158</v>
      </c>
      <c r="E760" s="23">
        <v>296740.49</v>
      </c>
      <c r="F760" s="23">
        <v>249458.24</v>
      </c>
      <c r="G760" s="23">
        <v>0</v>
      </c>
      <c r="H760" s="23">
        <v>0</v>
      </c>
    </row>
    <row r="761" spans="1:8" x14ac:dyDescent="0.35">
      <c r="A761">
        <v>2016</v>
      </c>
      <c r="B761" t="s">
        <v>164</v>
      </c>
      <c r="C761" t="s">
        <v>154</v>
      </c>
      <c r="D761" t="s">
        <v>165</v>
      </c>
      <c r="E761" s="23">
        <v>1347801.79</v>
      </c>
      <c r="F761" s="23">
        <v>1731429.03</v>
      </c>
      <c r="G761" s="23">
        <v>338432.76</v>
      </c>
      <c r="H761" s="23">
        <v>177029.15</v>
      </c>
    </row>
    <row r="762" spans="1:8" x14ac:dyDescent="0.35">
      <c r="A762">
        <v>2016</v>
      </c>
      <c r="B762" t="s">
        <v>167</v>
      </c>
      <c r="C762" t="s">
        <v>154</v>
      </c>
      <c r="D762" t="s">
        <v>155</v>
      </c>
      <c r="E762" s="23">
        <v>651034.23</v>
      </c>
      <c r="F762" s="23">
        <v>1769896.16</v>
      </c>
      <c r="G762" s="23">
        <v>489906.15</v>
      </c>
      <c r="H762" s="23">
        <v>1745838.64</v>
      </c>
    </row>
    <row r="763" spans="1:8" x14ac:dyDescent="0.35">
      <c r="A763">
        <v>2016</v>
      </c>
      <c r="B763" t="s">
        <v>168</v>
      </c>
      <c r="C763" t="s">
        <v>154</v>
      </c>
      <c r="D763" t="s">
        <v>158</v>
      </c>
      <c r="E763" s="23">
        <v>4462016.24</v>
      </c>
      <c r="F763" s="23">
        <v>6812585.2400000002</v>
      </c>
      <c r="G763" s="23">
        <v>1174040.82</v>
      </c>
      <c r="H763" s="23">
        <v>3336581.02</v>
      </c>
    </row>
    <row r="764" spans="1:8" x14ac:dyDescent="0.35">
      <c r="A764">
        <v>2016</v>
      </c>
      <c r="B764" t="s">
        <v>169</v>
      </c>
      <c r="C764" t="s">
        <v>154</v>
      </c>
      <c r="D764" t="s">
        <v>160</v>
      </c>
      <c r="E764" s="23">
        <v>58930.43</v>
      </c>
      <c r="F764" s="23">
        <v>164350.32999999999</v>
      </c>
      <c r="G764" s="23">
        <v>19581.52</v>
      </c>
      <c r="H764" s="23">
        <v>126079.86</v>
      </c>
    </row>
    <row r="765" spans="1:8" x14ac:dyDescent="0.35">
      <c r="A765">
        <v>2016</v>
      </c>
      <c r="B765" t="s">
        <v>170</v>
      </c>
      <c r="C765" t="s">
        <v>154</v>
      </c>
      <c r="D765" t="s">
        <v>160</v>
      </c>
      <c r="E765" s="23">
        <v>1262456.49</v>
      </c>
      <c r="F765" s="23">
        <v>203806.52</v>
      </c>
      <c r="G765" s="23">
        <v>869622.02</v>
      </c>
      <c r="H765" s="23">
        <v>132432.29999999999</v>
      </c>
    </row>
    <row r="766" spans="1:8" x14ac:dyDescent="0.35">
      <c r="A766">
        <v>2016</v>
      </c>
      <c r="B766" t="s">
        <v>171</v>
      </c>
      <c r="C766" t="s">
        <v>154</v>
      </c>
      <c r="D766" t="s">
        <v>158</v>
      </c>
      <c r="E766" s="23">
        <v>0</v>
      </c>
      <c r="F766" s="23">
        <v>0</v>
      </c>
      <c r="G766" s="23">
        <v>0</v>
      </c>
      <c r="H766" s="23">
        <v>0</v>
      </c>
    </row>
    <row r="767" spans="1:8" x14ac:dyDescent="0.35">
      <c r="A767">
        <v>2016</v>
      </c>
      <c r="B767" t="s">
        <v>172</v>
      </c>
      <c r="C767" t="s">
        <v>154</v>
      </c>
      <c r="D767" t="s">
        <v>155</v>
      </c>
      <c r="E767" s="23">
        <v>252572.66</v>
      </c>
      <c r="F767" s="23">
        <v>369928.16</v>
      </c>
      <c r="G767" s="23">
        <v>72237.740000000005</v>
      </c>
      <c r="H767" s="23">
        <v>27520.99</v>
      </c>
    </row>
    <row r="768" spans="1:8" x14ac:dyDescent="0.35">
      <c r="A768">
        <v>2016</v>
      </c>
      <c r="B768" t="s">
        <v>173</v>
      </c>
      <c r="C768" t="s">
        <v>154</v>
      </c>
      <c r="D768" t="s">
        <v>155</v>
      </c>
      <c r="E768" s="23">
        <v>667894.65</v>
      </c>
      <c r="F768" s="23">
        <v>1487973.98</v>
      </c>
      <c r="G768" s="23">
        <v>9310</v>
      </c>
      <c r="H768" s="23">
        <v>95930.75</v>
      </c>
    </row>
    <row r="769" spans="1:8" x14ac:dyDescent="0.35">
      <c r="A769">
        <v>2016</v>
      </c>
      <c r="B769" t="s">
        <v>174</v>
      </c>
      <c r="C769" t="s">
        <v>154</v>
      </c>
      <c r="D769" t="s">
        <v>160</v>
      </c>
      <c r="E769" s="23">
        <v>2711613.79</v>
      </c>
      <c r="F769" s="23">
        <v>6177137.7999999998</v>
      </c>
      <c r="G769" s="23">
        <v>35430</v>
      </c>
      <c r="H769" s="23">
        <v>0</v>
      </c>
    </row>
    <row r="770" spans="1:8" x14ac:dyDescent="0.35">
      <c r="A770">
        <v>2016</v>
      </c>
      <c r="B770" t="s">
        <v>175</v>
      </c>
      <c r="C770" t="s">
        <v>154</v>
      </c>
      <c r="D770" t="s">
        <v>158</v>
      </c>
      <c r="E770" s="23">
        <v>1142244.8700000001</v>
      </c>
      <c r="F770" s="23">
        <v>583855.26</v>
      </c>
      <c r="G770" s="23">
        <v>551497.82999999996</v>
      </c>
      <c r="H770" s="23">
        <v>583855.26</v>
      </c>
    </row>
    <row r="771" spans="1:8" x14ac:dyDescent="0.35">
      <c r="A771">
        <v>2016</v>
      </c>
      <c r="B771" t="s">
        <v>177</v>
      </c>
      <c r="C771" t="s">
        <v>154</v>
      </c>
      <c r="D771" t="s">
        <v>160</v>
      </c>
      <c r="E771" s="23">
        <v>2333941.33</v>
      </c>
      <c r="F771" s="23">
        <v>7939699.0899999999</v>
      </c>
      <c r="G771" s="23">
        <v>117479.92</v>
      </c>
      <c r="H771" s="23">
        <v>117032</v>
      </c>
    </row>
    <row r="772" spans="1:8" x14ac:dyDescent="0.35">
      <c r="A772">
        <v>2016</v>
      </c>
      <c r="B772" t="s">
        <v>178</v>
      </c>
      <c r="C772" t="s">
        <v>154</v>
      </c>
      <c r="D772" t="s">
        <v>155</v>
      </c>
      <c r="E772" s="23">
        <v>429637.16</v>
      </c>
      <c r="F772" s="23">
        <v>871789.15</v>
      </c>
      <c r="G772" s="23">
        <v>60356.45</v>
      </c>
      <c r="H772" s="23">
        <v>498119.34</v>
      </c>
    </row>
    <row r="773" spans="1:8" x14ac:dyDescent="0.35">
      <c r="A773">
        <v>2016</v>
      </c>
      <c r="B773" t="s">
        <v>179</v>
      </c>
      <c r="C773" t="s">
        <v>154</v>
      </c>
      <c r="D773" t="s">
        <v>160</v>
      </c>
      <c r="E773" s="23">
        <v>83061.149999999994</v>
      </c>
      <c r="F773" s="23">
        <v>32822.19</v>
      </c>
      <c r="G773" s="23">
        <v>47780.33</v>
      </c>
      <c r="H773" s="23">
        <v>34532.67</v>
      </c>
    </row>
    <row r="774" spans="1:8" x14ac:dyDescent="0.35">
      <c r="A774">
        <v>2016</v>
      </c>
      <c r="B774" t="s">
        <v>180</v>
      </c>
      <c r="C774" t="s">
        <v>154</v>
      </c>
      <c r="D774" t="s">
        <v>160</v>
      </c>
      <c r="E774" s="23">
        <v>599118.56000000006</v>
      </c>
      <c r="F774" s="23">
        <v>794328.72</v>
      </c>
      <c r="G774" s="23">
        <v>4727.1099999999997</v>
      </c>
      <c r="H774" s="23">
        <v>275313.55</v>
      </c>
    </row>
    <row r="775" spans="1:8" x14ac:dyDescent="0.35">
      <c r="A775">
        <v>2016</v>
      </c>
      <c r="B775" t="s">
        <v>181</v>
      </c>
      <c r="C775" t="s">
        <v>154</v>
      </c>
      <c r="D775" t="s">
        <v>155</v>
      </c>
      <c r="E775" s="23">
        <v>1390225.85</v>
      </c>
      <c r="F775" s="23">
        <v>2763238.54</v>
      </c>
      <c r="G775" s="23">
        <v>1023240.75</v>
      </c>
      <c r="H775" s="23">
        <v>2369638.6800000002</v>
      </c>
    </row>
    <row r="776" spans="1:8" x14ac:dyDescent="0.35">
      <c r="A776">
        <v>2016</v>
      </c>
      <c r="B776" t="s">
        <v>182</v>
      </c>
      <c r="C776" t="s">
        <v>154</v>
      </c>
      <c r="D776" t="s">
        <v>158</v>
      </c>
      <c r="E776" s="23">
        <v>0</v>
      </c>
      <c r="F776" s="23">
        <v>0</v>
      </c>
      <c r="G776" s="23">
        <v>67977.09</v>
      </c>
      <c r="H776" s="23">
        <v>37059.5</v>
      </c>
    </row>
    <row r="777" spans="1:8" x14ac:dyDescent="0.35">
      <c r="A777">
        <v>2016</v>
      </c>
      <c r="B777" t="s">
        <v>183</v>
      </c>
      <c r="C777" t="s">
        <v>154</v>
      </c>
      <c r="D777" t="s">
        <v>155</v>
      </c>
      <c r="E777" s="23">
        <v>122615.5</v>
      </c>
      <c r="F777" s="23">
        <v>274553.96000000002</v>
      </c>
      <c r="G777" s="23">
        <v>12915.61</v>
      </c>
      <c r="H777" s="23">
        <v>21166.85</v>
      </c>
    </row>
    <row r="778" spans="1:8" x14ac:dyDescent="0.35">
      <c r="A778">
        <v>2016</v>
      </c>
      <c r="B778" t="s">
        <v>184</v>
      </c>
      <c r="C778" t="s">
        <v>154</v>
      </c>
      <c r="D778" t="s">
        <v>155</v>
      </c>
      <c r="E778" s="23">
        <v>7089570.8200000003</v>
      </c>
      <c r="F778" s="23">
        <v>19310134.84</v>
      </c>
      <c r="G778" s="23">
        <v>386374.24</v>
      </c>
      <c r="H778" s="23">
        <v>6524664.3899999997</v>
      </c>
    </row>
    <row r="779" spans="1:8" x14ac:dyDescent="0.35">
      <c r="A779">
        <v>2016</v>
      </c>
      <c r="B779" t="s">
        <v>186</v>
      </c>
      <c r="C779" t="s">
        <v>154</v>
      </c>
      <c r="D779" t="s">
        <v>158</v>
      </c>
      <c r="E779" s="23">
        <v>1650386.34</v>
      </c>
      <c r="F779" s="23">
        <v>1538357.56</v>
      </c>
      <c r="G779" s="23">
        <v>510497.71</v>
      </c>
      <c r="H779" s="23">
        <v>127736.3</v>
      </c>
    </row>
    <row r="780" spans="1:8" x14ac:dyDescent="0.35">
      <c r="A780">
        <v>2016</v>
      </c>
      <c r="B780" t="s">
        <v>187</v>
      </c>
      <c r="C780" t="s">
        <v>154</v>
      </c>
      <c r="D780" t="s">
        <v>158</v>
      </c>
      <c r="E780" s="23">
        <v>91539.75</v>
      </c>
      <c r="F780" s="23">
        <v>488316.13</v>
      </c>
      <c r="G780" s="23">
        <v>4361</v>
      </c>
      <c r="H780" s="23">
        <v>0</v>
      </c>
    </row>
    <row r="781" spans="1:8" x14ac:dyDescent="0.35">
      <c r="A781">
        <v>2016</v>
      </c>
      <c r="B781" t="s">
        <v>188</v>
      </c>
      <c r="C781" t="s">
        <v>154</v>
      </c>
      <c r="D781" t="s">
        <v>155</v>
      </c>
      <c r="E781" s="23">
        <v>24118.06</v>
      </c>
      <c r="F781" s="23">
        <v>2025881.94</v>
      </c>
      <c r="G781" s="23">
        <v>0</v>
      </c>
      <c r="H781" s="23">
        <v>0</v>
      </c>
    </row>
    <row r="782" spans="1:8" x14ac:dyDescent="0.35">
      <c r="A782">
        <v>2016</v>
      </c>
      <c r="B782" t="s">
        <v>189</v>
      </c>
      <c r="C782" t="s">
        <v>154</v>
      </c>
      <c r="D782" t="s">
        <v>158</v>
      </c>
      <c r="E782" s="23">
        <v>1820030.48</v>
      </c>
      <c r="F782" s="23">
        <v>6910347.0899999999</v>
      </c>
      <c r="G782" s="23">
        <v>570.53</v>
      </c>
      <c r="H782" s="23">
        <v>84769.279999999999</v>
      </c>
    </row>
    <row r="783" spans="1:8" x14ac:dyDescent="0.35">
      <c r="A783">
        <v>2016</v>
      </c>
      <c r="B783" t="s">
        <v>190</v>
      </c>
      <c r="C783" t="s">
        <v>154</v>
      </c>
      <c r="D783" t="s">
        <v>155</v>
      </c>
      <c r="E783" s="23">
        <v>1122560.9099999999</v>
      </c>
      <c r="F783" s="23">
        <v>6913534.6200000001</v>
      </c>
      <c r="G783" s="23">
        <v>376406.79</v>
      </c>
      <c r="H783" s="23">
        <v>2013526.45</v>
      </c>
    </row>
    <row r="784" spans="1:8" x14ac:dyDescent="0.35">
      <c r="A784">
        <v>2016</v>
      </c>
      <c r="B784" t="s">
        <v>300</v>
      </c>
      <c r="C784" t="s">
        <v>154</v>
      </c>
      <c r="D784" t="s">
        <v>158</v>
      </c>
      <c r="E784" s="23">
        <v>20133.419999999998</v>
      </c>
      <c r="F784" s="23">
        <v>9519.57</v>
      </c>
      <c r="G784" s="23">
        <v>0</v>
      </c>
      <c r="H784" s="23">
        <v>0</v>
      </c>
    </row>
    <row r="785" spans="1:8" x14ac:dyDescent="0.35">
      <c r="A785">
        <v>2016</v>
      </c>
      <c r="B785" t="s">
        <v>192</v>
      </c>
      <c r="C785" t="s">
        <v>154</v>
      </c>
      <c r="D785" t="s">
        <v>160</v>
      </c>
      <c r="E785" s="23">
        <v>377798.16</v>
      </c>
      <c r="F785" s="23">
        <v>1242403.76</v>
      </c>
      <c r="G785" s="23">
        <v>165488.35999999999</v>
      </c>
      <c r="H785" s="23">
        <v>64539.06</v>
      </c>
    </row>
    <row r="786" spans="1:8" x14ac:dyDescent="0.35">
      <c r="A786">
        <v>2016</v>
      </c>
      <c r="B786" t="s">
        <v>193</v>
      </c>
      <c r="C786" t="s">
        <v>154</v>
      </c>
      <c r="D786" t="s">
        <v>155</v>
      </c>
      <c r="E786" s="23">
        <v>48803.65</v>
      </c>
      <c r="F786" s="23">
        <v>122001.32</v>
      </c>
      <c r="G786" s="23">
        <v>0</v>
      </c>
      <c r="H786" s="23">
        <v>0</v>
      </c>
    </row>
    <row r="787" spans="1:8" x14ac:dyDescent="0.35">
      <c r="A787">
        <v>2016</v>
      </c>
      <c r="B787" t="s">
        <v>195</v>
      </c>
      <c r="C787" t="s">
        <v>154</v>
      </c>
      <c r="D787" t="s">
        <v>160</v>
      </c>
      <c r="E787" s="23">
        <v>1123157.77</v>
      </c>
      <c r="F787" s="23">
        <v>41958.53</v>
      </c>
      <c r="G787" s="23">
        <v>130250.39</v>
      </c>
      <c r="H787" s="23">
        <v>20396.830000000002</v>
      </c>
    </row>
    <row r="788" spans="1:8" x14ac:dyDescent="0.35">
      <c r="A788">
        <v>2016</v>
      </c>
      <c r="B788" t="s">
        <v>196</v>
      </c>
      <c r="C788" t="s">
        <v>154</v>
      </c>
      <c r="D788" t="s">
        <v>155</v>
      </c>
      <c r="E788" s="23">
        <v>1314485.92</v>
      </c>
      <c r="F788" s="23">
        <v>253737.41</v>
      </c>
      <c r="G788" s="23">
        <v>344071.22</v>
      </c>
      <c r="H788" s="23">
        <v>130288.42</v>
      </c>
    </row>
    <row r="789" spans="1:8" x14ac:dyDescent="0.35">
      <c r="A789">
        <v>2016</v>
      </c>
      <c r="B789" t="s">
        <v>197</v>
      </c>
      <c r="C789" t="s">
        <v>154</v>
      </c>
      <c r="D789" t="s">
        <v>160</v>
      </c>
      <c r="E789" s="23">
        <v>73343.06</v>
      </c>
      <c r="F789" s="23">
        <v>32419.63</v>
      </c>
      <c r="G789" s="23">
        <v>32895</v>
      </c>
      <c r="H789" s="23">
        <v>22105</v>
      </c>
    </row>
    <row r="790" spans="1:8" x14ac:dyDescent="0.35">
      <c r="A790">
        <v>2016</v>
      </c>
      <c r="B790" t="s">
        <v>198</v>
      </c>
      <c r="C790" t="s">
        <v>154</v>
      </c>
      <c r="D790" t="s">
        <v>160</v>
      </c>
      <c r="E790" s="23">
        <v>87302.96</v>
      </c>
      <c r="F790" s="23">
        <v>51280.29</v>
      </c>
      <c r="G790" s="23">
        <v>3339.96</v>
      </c>
      <c r="H790" s="23">
        <v>4115.84</v>
      </c>
    </row>
    <row r="791" spans="1:8" x14ac:dyDescent="0.35">
      <c r="A791">
        <v>2016</v>
      </c>
      <c r="B791" t="s">
        <v>199</v>
      </c>
      <c r="C791" t="s">
        <v>154</v>
      </c>
      <c r="D791" t="s">
        <v>160</v>
      </c>
      <c r="E791" s="23">
        <v>528968.09</v>
      </c>
      <c r="F791" s="23">
        <v>1666527.75</v>
      </c>
      <c r="G791" s="23">
        <v>20167.38</v>
      </c>
      <c r="H791" s="23">
        <v>302593.93</v>
      </c>
    </row>
    <row r="792" spans="1:8" x14ac:dyDescent="0.35">
      <c r="A792">
        <v>2016</v>
      </c>
      <c r="B792" t="s">
        <v>200</v>
      </c>
      <c r="C792" t="s">
        <v>154</v>
      </c>
      <c r="D792" t="s">
        <v>158</v>
      </c>
      <c r="E792" s="23">
        <v>319688.84000000003</v>
      </c>
      <c r="F792" s="23">
        <v>225121.99</v>
      </c>
      <c r="G792" s="23">
        <v>0</v>
      </c>
      <c r="H792" s="23">
        <v>0</v>
      </c>
    </row>
    <row r="793" spans="1:8" x14ac:dyDescent="0.35">
      <c r="A793">
        <v>2016</v>
      </c>
      <c r="B793" t="s">
        <v>201</v>
      </c>
      <c r="C793" t="s">
        <v>154</v>
      </c>
      <c r="D793" t="s">
        <v>160</v>
      </c>
      <c r="E793" s="23">
        <v>0</v>
      </c>
      <c r="F793" s="23">
        <v>0</v>
      </c>
      <c r="G793" s="23">
        <v>91288.31</v>
      </c>
      <c r="H793" s="23">
        <v>36604.11</v>
      </c>
    </row>
    <row r="794" spans="1:8" x14ac:dyDescent="0.35">
      <c r="A794">
        <v>2016</v>
      </c>
      <c r="B794" t="s">
        <v>202</v>
      </c>
      <c r="C794" t="s">
        <v>154</v>
      </c>
      <c r="D794" t="s">
        <v>155</v>
      </c>
      <c r="E794" s="23">
        <v>1023305.88</v>
      </c>
      <c r="F794" s="23">
        <v>1117637.46</v>
      </c>
      <c r="G794" s="23">
        <v>114787.12</v>
      </c>
      <c r="H794" s="23">
        <v>73688.429999999993</v>
      </c>
    </row>
    <row r="795" spans="1:8" x14ac:dyDescent="0.35">
      <c r="A795">
        <v>2016</v>
      </c>
      <c r="B795" t="s">
        <v>203</v>
      </c>
      <c r="C795" t="s">
        <v>154</v>
      </c>
      <c r="D795" t="s">
        <v>160</v>
      </c>
      <c r="E795" s="23">
        <v>1872583.64</v>
      </c>
      <c r="F795" s="23">
        <v>366492.07</v>
      </c>
      <c r="G795" s="23">
        <v>48773.75</v>
      </c>
      <c r="H795" s="23">
        <v>291920.58</v>
      </c>
    </row>
    <row r="796" spans="1:8" x14ac:dyDescent="0.35">
      <c r="A796">
        <v>2016</v>
      </c>
      <c r="B796" t="s">
        <v>204</v>
      </c>
      <c r="C796" t="s">
        <v>154</v>
      </c>
      <c r="D796" t="s">
        <v>158</v>
      </c>
      <c r="E796" s="23">
        <v>1942208.47</v>
      </c>
      <c r="F796" s="23">
        <v>653547.88</v>
      </c>
      <c r="G796" s="23">
        <v>29485.91</v>
      </c>
      <c r="H796" s="23">
        <v>16230.14</v>
      </c>
    </row>
    <row r="797" spans="1:8" x14ac:dyDescent="0.35">
      <c r="A797">
        <v>2016</v>
      </c>
      <c r="B797" t="s">
        <v>205</v>
      </c>
      <c r="C797" t="s">
        <v>154</v>
      </c>
      <c r="D797" t="s">
        <v>160</v>
      </c>
      <c r="E797" s="23">
        <v>200222.63</v>
      </c>
      <c r="F797" s="23">
        <v>73634.240000000005</v>
      </c>
      <c r="G797" s="23">
        <v>48352.5</v>
      </c>
      <c r="H797" s="23">
        <v>41457.449999999997</v>
      </c>
    </row>
    <row r="798" spans="1:8" x14ac:dyDescent="0.35">
      <c r="A798">
        <v>2016</v>
      </c>
      <c r="B798" t="s">
        <v>206</v>
      </c>
      <c r="C798" t="s">
        <v>154</v>
      </c>
      <c r="D798" t="s">
        <v>158</v>
      </c>
      <c r="E798" s="23">
        <v>529831.73</v>
      </c>
      <c r="F798" s="23">
        <v>276406.65999999997</v>
      </c>
      <c r="G798" s="23">
        <v>120968.13</v>
      </c>
      <c r="H798" s="23">
        <v>88018.82</v>
      </c>
    </row>
    <row r="799" spans="1:8" x14ac:dyDescent="0.35">
      <c r="A799">
        <v>2016</v>
      </c>
      <c r="B799" t="s">
        <v>209</v>
      </c>
      <c r="C799" t="s">
        <v>154</v>
      </c>
      <c r="D799" t="s">
        <v>158</v>
      </c>
      <c r="E799" s="23">
        <v>1024592.04</v>
      </c>
      <c r="F799" s="23">
        <v>510495.46</v>
      </c>
      <c r="G799" s="23">
        <v>2096</v>
      </c>
      <c r="H799" s="23">
        <v>255709.87</v>
      </c>
    </row>
    <row r="800" spans="1:8" x14ac:dyDescent="0.35">
      <c r="A800">
        <v>2016</v>
      </c>
      <c r="B800" t="s">
        <v>210</v>
      </c>
      <c r="C800" t="s">
        <v>154</v>
      </c>
      <c r="D800" t="s">
        <v>158</v>
      </c>
      <c r="E800" s="23">
        <v>1387947.77</v>
      </c>
      <c r="F800" s="23">
        <v>3277930.05</v>
      </c>
      <c r="G800" s="23">
        <v>45000</v>
      </c>
      <c r="H800" s="23">
        <v>0</v>
      </c>
    </row>
    <row r="801" spans="1:8" x14ac:dyDescent="0.35">
      <c r="A801">
        <v>2016</v>
      </c>
      <c r="B801" t="s">
        <v>212</v>
      </c>
      <c r="C801" t="s">
        <v>154</v>
      </c>
      <c r="D801" t="s">
        <v>160</v>
      </c>
      <c r="E801" s="23">
        <v>987889.64</v>
      </c>
      <c r="F801" s="23">
        <v>4634220.16</v>
      </c>
      <c r="G801" s="23">
        <v>69600.5</v>
      </c>
      <c r="H801" s="23">
        <v>38558</v>
      </c>
    </row>
    <row r="802" spans="1:8" x14ac:dyDescent="0.35">
      <c r="A802">
        <v>2016</v>
      </c>
      <c r="B802" t="s">
        <v>213</v>
      </c>
      <c r="C802" t="s">
        <v>154</v>
      </c>
      <c r="D802" t="s">
        <v>155</v>
      </c>
      <c r="E802" s="23">
        <v>285363.38</v>
      </c>
      <c r="F802" s="23">
        <v>64641.42</v>
      </c>
      <c r="G802" s="23">
        <v>75360.72</v>
      </c>
      <c r="H802" s="23">
        <v>4724.28</v>
      </c>
    </row>
    <row r="803" spans="1:8" x14ac:dyDescent="0.35">
      <c r="A803">
        <v>2016</v>
      </c>
      <c r="B803" t="s">
        <v>214</v>
      </c>
      <c r="C803" t="s">
        <v>154</v>
      </c>
      <c r="D803" t="s">
        <v>158</v>
      </c>
      <c r="E803" s="23">
        <v>605988.63</v>
      </c>
      <c r="F803" s="23">
        <v>176531.19</v>
      </c>
      <c r="G803" s="23">
        <v>0</v>
      </c>
      <c r="H803" s="23">
        <v>0</v>
      </c>
    </row>
    <row r="804" spans="1:8" x14ac:dyDescent="0.35">
      <c r="A804">
        <v>2016</v>
      </c>
      <c r="B804" t="s">
        <v>215</v>
      </c>
      <c r="C804" t="s">
        <v>154</v>
      </c>
      <c r="D804" t="s">
        <v>160</v>
      </c>
      <c r="E804" s="23">
        <v>0</v>
      </c>
      <c r="F804" s="23">
        <v>0</v>
      </c>
      <c r="G804" s="23">
        <v>27916.47</v>
      </c>
      <c r="H804" s="23">
        <v>22585.93</v>
      </c>
    </row>
    <row r="805" spans="1:8" x14ac:dyDescent="0.35">
      <c r="A805">
        <v>2016</v>
      </c>
      <c r="B805" t="s">
        <v>216</v>
      </c>
      <c r="C805" t="s">
        <v>154</v>
      </c>
      <c r="D805" t="s">
        <v>155</v>
      </c>
      <c r="E805" s="23">
        <v>89615.03</v>
      </c>
      <c r="F805" s="23">
        <v>38311.440000000002</v>
      </c>
      <c r="G805" s="23">
        <v>350.04</v>
      </c>
      <c r="H805" s="23">
        <v>0</v>
      </c>
    </row>
    <row r="806" spans="1:8" x14ac:dyDescent="0.35">
      <c r="A806">
        <v>2016</v>
      </c>
      <c r="B806" t="s">
        <v>217</v>
      </c>
      <c r="C806" t="s">
        <v>154</v>
      </c>
      <c r="D806" t="s">
        <v>160</v>
      </c>
      <c r="E806" s="23">
        <v>107294.18</v>
      </c>
      <c r="F806" s="23">
        <v>27089.18</v>
      </c>
      <c r="G806" s="23">
        <v>51573.78</v>
      </c>
      <c r="H806" s="23">
        <v>12152.57</v>
      </c>
    </row>
    <row r="807" spans="1:8" x14ac:dyDescent="0.35">
      <c r="A807">
        <v>2016</v>
      </c>
      <c r="B807" t="s">
        <v>218</v>
      </c>
      <c r="C807" t="s">
        <v>154</v>
      </c>
      <c r="D807" t="s">
        <v>158</v>
      </c>
      <c r="E807" s="23">
        <v>513385.89</v>
      </c>
      <c r="F807" s="23">
        <v>1849863.99</v>
      </c>
      <c r="G807" s="23">
        <v>0</v>
      </c>
      <c r="H807" s="23">
        <v>0</v>
      </c>
    </row>
    <row r="808" spans="1:8" x14ac:dyDescent="0.35">
      <c r="A808">
        <v>2016</v>
      </c>
      <c r="B808" t="s">
        <v>219</v>
      </c>
      <c r="C808" t="s">
        <v>154</v>
      </c>
      <c r="D808" t="s">
        <v>160</v>
      </c>
      <c r="E808" s="23">
        <v>1610202.26</v>
      </c>
      <c r="F808" s="23">
        <v>2836055.34</v>
      </c>
      <c r="G808" s="23">
        <v>864080.46</v>
      </c>
      <c r="H808" s="23">
        <v>1329290.06</v>
      </c>
    </row>
    <row r="809" spans="1:8" x14ac:dyDescent="0.35">
      <c r="A809">
        <v>2016</v>
      </c>
      <c r="B809" t="s">
        <v>220</v>
      </c>
      <c r="C809" t="s">
        <v>154</v>
      </c>
      <c r="D809" t="s">
        <v>158</v>
      </c>
      <c r="E809" s="23">
        <v>601558.62</v>
      </c>
      <c r="F809" s="23">
        <v>1143194.04</v>
      </c>
      <c r="G809" s="23">
        <v>18057.2</v>
      </c>
      <c r="H809" s="23">
        <v>0</v>
      </c>
    </row>
    <row r="810" spans="1:8" x14ac:dyDescent="0.35">
      <c r="A810">
        <v>2016</v>
      </c>
      <c r="B810" t="s">
        <v>221</v>
      </c>
      <c r="C810" t="s">
        <v>154</v>
      </c>
      <c r="D810" t="s">
        <v>165</v>
      </c>
      <c r="E810" s="23">
        <v>1087644.78</v>
      </c>
      <c r="F810" s="23">
        <v>3635373.21</v>
      </c>
      <c r="G810" s="23">
        <v>84694.63</v>
      </c>
      <c r="H810" s="23">
        <v>4817.87</v>
      </c>
    </row>
    <row r="811" spans="1:8" x14ac:dyDescent="0.35">
      <c r="A811">
        <v>2016</v>
      </c>
      <c r="B811" t="s">
        <v>223</v>
      </c>
      <c r="C811" t="s">
        <v>163</v>
      </c>
      <c r="D811" t="s">
        <v>160</v>
      </c>
      <c r="E811" s="23">
        <v>72709.929999999993</v>
      </c>
      <c r="F811" s="23">
        <v>140662.19</v>
      </c>
      <c r="G811" s="23">
        <v>0</v>
      </c>
      <c r="H811" s="23">
        <v>0</v>
      </c>
    </row>
    <row r="812" spans="1:8" x14ac:dyDescent="0.35">
      <c r="A812">
        <v>2016</v>
      </c>
      <c r="B812" t="s">
        <v>224</v>
      </c>
      <c r="C812" t="s">
        <v>154</v>
      </c>
      <c r="D812" t="s">
        <v>158</v>
      </c>
      <c r="E812" s="23">
        <v>531889.24</v>
      </c>
      <c r="F812" s="23">
        <v>727819.11</v>
      </c>
      <c r="G812" s="23">
        <v>0</v>
      </c>
      <c r="H812" s="23">
        <v>0</v>
      </c>
    </row>
    <row r="813" spans="1:8" x14ac:dyDescent="0.35">
      <c r="A813">
        <v>2016</v>
      </c>
      <c r="B813" t="s">
        <v>225</v>
      </c>
      <c r="C813" t="s">
        <v>154</v>
      </c>
      <c r="D813" t="s">
        <v>160</v>
      </c>
      <c r="E813" s="23">
        <v>0</v>
      </c>
      <c r="F813" s="23">
        <v>0</v>
      </c>
      <c r="G813" s="23">
        <v>25271.51</v>
      </c>
      <c r="H813" s="23">
        <v>0</v>
      </c>
    </row>
    <row r="814" spans="1:8" x14ac:dyDescent="0.35">
      <c r="A814">
        <v>2016</v>
      </c>
      <c r="B814" t="s">
        <v>226</v>
      </c>
      <c r="C814" t="s">
        <v>154</v>
      </c>
      <c r="D814" t="s">
        <v>155</v>
      </c>
      <c r="E814" s="23">
        <v>0</v>
      </c>
      <c r="F814" s="23">
        <v>0</v>
      </c>
      <c r="G814" s="23">
        <v>0</v>
      </c>
      <c r="H814" s="23">
        <v>370.42</v>
      </c>
    </row>
    <row r="815" spans="1:8" x14ac:dyDescent="0.35">
      <c r="A815">
        <v>2016</v>
      </c>
      <c r="B815" t="s">
        <v>227</v>
      </c>
      <c r="C815" t="s">
        <v>154</v>
      </c>
      <c r="D815" t="s">
        <v>158</v>
      </c>
      <c r="E815" s="23">
        <v>0</v>
      </c>
      <c r="F815" s="23">
        <v>0</v>
      </c>
      <c r="G815" s="23">
        <v>0</v>
      </c>
      <c r="H815" s="23">
        <v>0</v>
      </c>
    </row>
    <row r="816" spans="1:8" x14ac:dyDescent="0.35">
      <c r="A816">
        <v>2016</v>
      </c>
      <c r="B816" t="s">
        <v>228</v>
      </c>
      <c r="C816" t="s">
        <v>154</v>
      </c>
      <c r="D816" t="s">
        <v>160</v>
      </c>
      <c r="E816" s="23">
        <v>24711.3</v>
      </c>
      <c r="F816" s="23">
        <v>74474.22</v>
      </c>
      <c r="G816" s="23">
        <v>14096.75</v>
      </c>
      <c r="H816" s="23">
        <v>3171.75</v>
      </c>
    </row>
    <row r="817" spans="1:8" x14ac:dyDescent="0.35">
      <c r="A817">
        <v>2016</v>
      </c>
      <c r="B817" t="s">
        <v>229</v>
      </c>
      <c r="C817" t="s">
        <v>154</v>
      </c>
      <c r="D817" t="s">
        <v>158</v>
      </c>
      <c r="E817" s="23">
        <v>1957394.86</v>
      </c>
      <c r="F817" s="23">
        <v>10260928.73</v>
      </c>
      <c r="G817" s="23">
        <v>190579.38</v>
      </c>
      <c r="H817" s="23">
        <v>182317.04</v>
      </c>
    </row>
    <row r="818" spans="1:8" x14ac:dyDescent="0.35">
      <c r="A818">
        <v>2016</v>
      </c>
      <c r="B818" t="s">
        <v>230</v>
      </c>
      <c r="C818" t="s">
        <v>154</v>
      </c>
      <c r="D818" t="s">
        <v>155</v>
      </c>
      <c r="E818" s="23">
        <v>854647.29</v>
      </c>
      <c r="F818" s="23">
        <v>1170759.4099999999</v>
      </c>
      <c r="G818" s="23">
        <v>544619.59</v>
      </c>
      <c r="H818" s="23">
        <v>739928.08</v>
      </c>
    </row>
    <row r="819" spans="1:8" x14ac:dyDescent="0.35">
      <c r="A819">
        <v>2016</v>
      </c>
      <c r="B819" t="s">
        <v>231</v>
      </c>
      <c r="C819" t="s">
        <v>154</v>
      </c>
      <c r="D819" t="s">
        <v>160</v>
      </c>
      <c r="E819" s="23">
        <v>234279.33</v>
      </c>
      <c r="F819" s="23">
        <v>289018.08</v>
      </c>
      <c r="G819" s="23">
        <v>23483.33</v>
      </c>
      <c r="H819" s="23">
        <v>17616.7</v>
      </c>
    </row>
    <row r="820" spans="1:8" x14ac:dyDescent="0.35">
      <c r="A820">
        <v>2016</v>
      </c>
      <c r="B820" t="s">
        <v>232</v>
      </c>
      <c r="C820" t="s">
        <v>154</v>
      </c>
      <c r="D820" t="s">
        <v>165</v>
      </c>
      <c r="E820" s="23">
        <v>1568847.05</v>
      </c>
      <c r="F820" s="23">
        <v>967655.39</v>
      </c>
      <c r="G820" s="23">
        <v>780436.15</v>
      </c>
      <c r="H820" s="23">
        <v>555522</v>
      </c>
    </row>
    <row r="821" spans="1:8" x14ac:dyDescent="0.35">
      <c r="A821">
        <v>2016</v>
      </c>
      <c r="B821" t="s">
        <v>233</v>
      </c>
      <c r="C821" t="s">
        <v>154</v>
      </c>
      <c r="D821" t="s">
        <v>155</v>
      </c>
      <c r="E821" s="23">
        <v>1260659.6299999999</v>
      </c>
      <c r="F821" s="23">
        <v>1348015.83</v>
      </c>
      <c r="G821" s="23">
        <v>98005.54</v>
      </c>
      <c r="H821" s="23">
        <v>64256.77</v>
      </c>
    </row>
    <row r="822" spans="1:8" x14ac:dyDescent="0.35">
      <c r="A822">
        <v>2016</v>
      </c>
      <c r="B822" t="s">
        <v>234</v>
      </c>
      <c r="C822" t="s">
        <v>154</v>
      </c>
      <c r="D822" t="s">
        <v>160</v>
      </c>
      <c r="E822" s="23">
        <v>2866706.09</v>
      </c>
      <c r="F822" s="23">
        <v>2277558.67</v>
      </c>
      <c r="G822" s="23">
        <v>1916788.36</v>
      </c>
      <c r="H822" s="23">
        <v>905225.74</v>
      </c>
    </row>
    <row r="823" spans="1:8" x14ac:dyDescent="0.35">
      <c r="A823">
        <v>2016</v>
      </c>
      <c r="B823" t="s">
        <v>235</v>
      </c>
      <c r="C823" t="s">
        <v>154</v>
      </c>
      <c r="D823" t="s">
        <v>160</v>
      </c>
      <c r="E823" s="23">
        <v>51742.04</v>
      </c>
      <c r="F823" s="23">
        <v>326466.39</v>
      </c>
      <c r="G823" s="23">
        <v>2451.2800000000002</v>
      </c>
      <c r="H823" s="23">
        <v>95834.8</v>
      </c>
    </row>
    <row r="824" spans="1:8" x14ac:dyDescent="0.35">
      <c r="A824">
        <v>2016</v>
      </c>
      <c r="B824" t="s">
        <v>236</v>
      </c>
      <c r="C824" t="s">
        <v>154</v>
      </c>
      <c r="D824" t="s">
        <v>160</v>
      </c>
      <c r="E824" s="23">
        <v>802154.3</v>
      </c>
      <c r="F824" s="23">
        <v>3332256.66</v>
      </c>
      <c r="G824" s="23">
        <v>383607.85</v>
      </c>
      <c r="H824" s="23">
        <v>2200249.98</v>
      </c>
    </row>
    <row r="825" spans="1:8" x14ac:dyDescent="0.35">
      <c r="A825">
        <v>2016</v>
      </c>
      <c r="B825" t="s">
        <v>238</v>
      </c>
      <c r="C825" t="s">
        <v>154</v>
      </c>
      <c r="D825" t="s">
        <v>155</v>
      </c>
      <c r="E825" s="23">
        <v>0</v>
      </c>
      <c r="F825" s="23">
        <v>0</v>
      </c>
      <c r="G825" s="23">
        <v>166077.51</v>
      </c>
      <c r="H825" s="23">
        <v>192108</v>
      </c>
    </row>
    <row r="826" spans="1:8" x14ac:dyDescent="0.35">
      <c r="A826">
        <v>2016</v>
      </c>
      <c r="B826" t="s">
        <v>239</v>
      </c>
      <c r="C826" t="s">
        <v>154</v>
      </c>
      <c r="D826" t="s">
        <v>158</v>
      </c>
      <c r="E826" s="23">
        <v>650188.18999999994</v>
      </c>
      <c r="F826" s="23">
        <v>2648947.3199999998</v>
      </c>
      <c r="G826" s="23">
        <v>0</v>
      </c>
      <c r="H826" s="23">
        <v>0</v>
      </c>
    </row>
    <row r="827" spans="1:8" x14ac:dyDescent="0.35">
      <c r="A827">
        <v>2016</v>
      </c>
      <c r="B827" t="s">
        <v>240</v>
      </c>
      <c r="C827" t="s">
        <v>154</v>
      </c>
      <c r="D827" t="s">
        <v>155</v>
      </c>
      <c r="E827" s="23">
        <v>355379.08</v>
      </c>
      <c r="F827" s="23">
        <v>2507176.14</v>
      </c>
      <c r="G827" s="23">
        <v>46057.5</v>
      </c>
      <c r="H827" s="23">
        <v>10781.5</v>
      </c>
    </row>
    <row r="828" spans="1:8" x14ac:dyDescent="0.35">
      <c r="A828">
        <v>2016</v>
      </c>
      <c r="B828" t="s">
        <v>241</v>
      </c>
      <c r="C828" t="s">
        <v>154</v>
      </c>
      <c r="D828" t="s">
        <v>155</v>
      </c>
      <c r="E828" s="23">
        <v>1218.52</v>
      </c>
      <c r="F828" s="23">
        <v>0</v>
      </c>
      <c r="G828" s="23">
        <v>0</v>
      </c>
      <c r="H828" s="23">
        <v>0</v>
      </c>
    </row>
    <row r="829" spans="1:8" x14ac:dyDescent="0.35">
      <c r="A829">
        <v>2016</v>
      </c>
      <c r="B829" t="s">
        <v>242</v>
      </c>
      <c r="C829" t="s">
        <v>154</v>
      </c>
      <c r="D829" t="s">
        <v>160</v>
      </c>
      <c r="E829" s="23">
        <v>62386.5</v>
      </c>
      <c r="F829" s="23">
        <v>0</v>
      </c>
      <c r="G829" s="23">
        <v>59081.25</v>
      </c>
      <c r="H829" s="23">
        <v>0</v>
      </c>
    </row>
    <row r="830" spans="1:8" x14ac:dyDescent="0.35">
      <c r="A830">
        <v>2016</v>
      </c>
      <c r="B830" t="s">
        <v>243</v>
      </c>
      <c r="C830" t="s">
        <v>154</v>
      </c>
      <c r="D830" t="s">
        <v>165</v>
      </c>
      <c r="E830" s="23">
        <v>308092.36</v>
      </c>
      <c r="F830" s="23">
        <v>1102073.56</v>
      </c>
      <c r="G830" s="23">
        <v>90786.65</v>
      </c>
      <c r="H830" s="23">
        <v>773387.99</v>
      </c>
    </row>
    <row r="831" spans="1:8" x14ac:dyDescent="0.35">
      <c r="A831">
        <v>2016</v>
      </c>
      <c r="B831" t="s">
        <v>245</v>
      </c>
      <c r="C831" t="s">
        <v>154</v>
      </c>
      <c r="D831" t="s">
        <v>155</v>
      </c>
      <c r="E831" s="23">
        <v>1348147.63</v>
      </c>
      <c r="F831" s="23">
        <v>4247954.3099999996</v>
      </c>
      <c r="G831" s="23">
        <v>350777.57</v>
      </c>
      <c r="H831" s="23">
        <v>306562.18</v>
      </c>
    </row>
    <row r="832" spans="1:8" x14ac:dyDescent="0.35">
      <c r="A832">
        <v>2016</v>
      </c>
      <c r="B832" t="s">
        <v>246</v>
      </c>
      <c r="C832" t="s">
        <v>154</v>
      </c>
      <c r="D832" t="s">
        <v>155</v>
      </c>
      <c r="E832" s="23">
        <v>1081559.83</v>
      </c>
      <c r="F832" s="23">
        <v>814714.44</v>
      </c>
      <c r="G832" s="23">
        <v>60296.78</v>
      </c>
      <c r="H832" s="23">
        <v>90790.8</v>
      </c>
    </row>
    <row r="833" spans="1:8" x14ac:dyDescent="0.35">
      <c r="A833">
        <v>2016</v>
      </c>
      <c r="B833" t="s">
        <v>247</v>
      </c>
      <c r="C833" t="s">
        <v>154</v>
      </c>
      <c r="D833" t="s">
        <v>160</v>
      </c>
      <c r="E833" s="23">
        <v>3639287.94</v>
      </c>
      <c r="F833" s="23">
        <v>8363587.6299999999</v>
      </c>
      <c r="G833" s="23">
        <v>218595.76</v>
      </c>
      <c r="H833" s="23">
        <v>170263.28</v>
      </c>
    </row>
    <row r="834" spans="1:8" x14ac:dyDescent="0.35">
      <c r="A834">
        <v>2016</v>
      </c>
      <c r="B834" t="s">
        <v>248</v>
      </c>
      <c r="C834" t="s">
        <v>154</v>
      </c>
      <c r="D834" t="s">
        <v>160</v>
      </c>
      <c r="E834" s="23">
        <v>566438</v>
      </c>
      <c r="F834" s="23">
        <v>2042488.5</v>
      </c>
      <c r="G834" s="23">
        <v>159366.67000000001</v>
      </c>
      <c r="H834" s="23">
        <v>476956.48</v>
      </c>
    </row>
    <row r="835" spans="1:8" x14ac:dyDescent="0.35">
      <c r="A835">
        <v>2016</v>
      </c>
      <c r="B835" t="s">
        <v>249</v>
      </c>
      <c r="C835" t="s">
        <v>154</v>
      </c>
      <c r="D835" t="s">
        <v>160</v>
      </c>
      <c r="E835" s="23">
        <v>4631804.5199999996</v>
      </c>
      <c r="F835" s="23">
        <v>8472401.8499999996</v>
      </c>
      <c r="G835" s="23">
        <v>1188237.83</v>
      </c>
      <c r="H835" s="23">
        <v>2656985.59</v>
      </c>
    </row>
    <row r="836" spans="1:8" x14ac:dyDescent="0.35">
      <c r="A836">
        <v>2016</v>
      </c>
      <c r="B836" t="s">
        <v>250</v>
      </c>
      <c r="C836" t="s">
        <v>154</v>
      </c>
      <c r="D836" t="s">
        <v>158</v>
      </c>
      <c r="E836" s="23">
        <v>1132120.1499999999</v>
      </c>
      <c r="F836" s="23">
        <v>3023005.85</v>
      </c>
      <c r="G836" s="23">
        <v>117225</v>
      </c>
      <c r="H836" s="23">
        <v>4905</v>
      </c>
    </row>
    <row r="837" spans="1:8" x14ac:dyDescent="0.35">
      <c r="A837">
        <v>2016</v>
      </c>
      <c r="B837" t="s">
        <v>252</v>
      </c>
      <c r="C837" t="s">
        <v>154</v>
      </c>
      <c r="D837" t="s">
        <v>160</v>
      </c>
      <c r="E837" s="23">
        <v>0</v>
      </c>
      <c r="F837" s="23">
        <v>0</v>
      </c>
      <c r="G837" s="23">
        <v>122740.01</v>
      </c>
      <c r="H837" s="23">
        <v>39997.83</v>
      </c>
    </row>
    <row r="838" spans="1:8" x14ac:dyDescent="0.35">
      <c r="A838">
        <v>2016</v>
      </c>
      <c r="B838" t="s">
        <v>253</v>
      </c>
      <c r="C838" t="s">
        <v>154</v>
      </c>
      <c r="D838" t="s">
        <v>160</v>
      </c>
      <c r="E838" s="23">
        <v>0</v>
      </c>
      <c r="F838" s="23">
        <v>0</v>
      </c>
      <c r="G838" s="23">
        <v>443069.09</v>
      </c>
      <c r="H838" s="23">
        <v>278320.56</v>
      </c>
    </row>
    <row r="839" spans="1:8" x14ac:dyDescent="0.35">
      <c r="A839">
        <v>2016</v>
      </c>
      <c r="B839" t="s">
        <v>254</v>
      </c>
      <c r="C839" t="s">
        <v>154</v>
      </c>
      <c r="D839" t="s">
        <v>155</v>
      </c>
      <c r="E839" s="23">
        <v>2575122.2000000002</v>
      </c>
      <c r="F839" s="23">
        <v>4281474.8899999997</v>
      </c>
      <c r="G839" s="23">
        <v>167717.5</v>
      </c>
      <c r="H839" s="23">
        <v>137748.54</v>
      </c>
    </row>
    <row r="840" spans="1:8" x14ac:dyDescent="0.35">
      <c r="A840">
        <v>2016</v>
      </c>
      <c r="B840" t="s">
        <v>255</v>
      </c>
      <c r="C840" t="s">
        <v>154</v>
      </c>
      <c r="D840" t="s">
        <v>160</v>
      </c>
      <c r="E840" s="23">
        <v>801129.43</v>
      </c>
      <c r="F840" s="23">
        <v>1160375.6100000001</v>
      </c>
      <c r="G840" s="23">
        <v>100751.28</v>
      </c>
      <c r="H840" s="23">
        <v>8823.07</v>
      </c>
    </row>
    <row r="841" spans="1:8" x14ac:dyDescent="0.35">
      <c r="A841">
        <v>2016</v>
      </c>
      <c r="B841" t="s">
        <v>257</v>
      </c>
      <c r="C841" t="s">
        <v>154</v>
      </c>
      <c r="D841" t="s">
        <v>160</v>
      </c>
      <c r="E841" s="23">
        <v>606686.74</v>
      </c>
      <c r="F841" s="23">
        <v>299697.86</v>
      </c>
      <c r="G841" s="23">
        <v>9482.19</v>
      </c>
      <c r="H841" s="23">
        <v>0</v>
      </c>
    </row>
    <row r="842" spans="1:8" x14ac:dyDescent="0.35">
      <c r="A842">
        <v>2016</v>
      </c>
      <c r="B842" t="s">
        <v>258</v>
      </c>
      <c r="C842" t="s">
        <v>154</v>
      </c>
      <c r="D842" t="s">
        <v>160</v>
      </c>
      <c r="E842" s="23">
        <v>744303.05</v>
      </c>
      <c r="F842" s="23">
        <v>820605.2</v>
      </c>
      <c r="G842" s="23">
        <v>406608.25</v>
      </c>
      <c r="H842" s="23">
        <v>255916.72</v>
      </c>
    </row>
    <row r="843" spans="1:8" x14ac:dyDescent="0.35">
      <c r="A843">
        <v>2016</v>
      </c>
      <c r="B843" t="s">
        <v>259</v>
      </c>
      <c r="C843" t="s">
        <v>154</v>
      </c>
      <c r="D843" t="s">
        <v>165</v>
      </c>
      <c r="E843" s="23">
        <v>16942</v>
      </c>
      <c r="F843" s="23">
        <v>0</v>
      </c>
      <c r="G843" s="23">
        <v>0</v>
      </c>
      <c r="H843" s="23">
        <v>0</v>
      </c>
    </row>
    <row r="844" spans="1:8" x14ac:dyDescent="0.35">
      <c r="A844">
        <v>2016</v>
      </c>
      <c r="B844" t="s">
        <v>260</v>
      </c>
      <c r="C844" t="s">
        <v>154</v>
      </c>
      <c r="D844" t="s">
        <v>158</v>
      </c>
      <c r="E844" s="23">
        <v>16600340.5</v>
      </c>
      <c r="F844" s="23">
        <v>10090449.74</v>
      </c>
      <c r="G844" s="23">
        <v>489566.23</v>
      </c>
      <c r="H844" s="23">
        <v>25950.76</v>
      </c>
    </row>
    <row r="845" spans="1:8" x14ac:dyDescent="0.35">
      <c r="A845">
        <v>2016</v>
      </c>
      <c r="B845" t="s">
        <v>261</v>
      </c>
      <c r="C845" t="s">
        <v>154</v>
      </c>
      <c r="D845" t="s">
        <v>158</v>
      </c>
      <c r="E845" s="23">
        <v>93788.03</v>
      </c>
      <c r="F845" s="23">
        <v>85310.399999999994</v>
      </c>
      <c r="G845" s="23">
        <v>44155.44</v>
      </c>
      <c r="H845" s="23">
        <v>57261.04</v>
      </c>
    </row>
    <row r="846" spans="1:8" x14ac:dyDescent="0.35">
      <c r="A846">
        <v>2016</v>
      </c>
      <c r="B846" t="s">
        <v>262</v>
      </c>
      <c r="C846" t="s">
        <v>154</v>
      </c>
      <c r="D846" t="s">
        <v>155</v>
      </c>
      <c r="E846" s="23">
        <v>3413.63</v>
      </c>
      <c r="F846" s="23">
        <v>0</v>
      </c>
      <c r="G846" s="23">
        <v>2323.5500000000002</v>
      </c>
      <c r="H846" s="23">
        <v>0</v>
      </c>
    </row>
    <row r="847" spans="1:8" x14ac:dyDescent="0.35">
      <c r="A847">
        <v>2016</v>
      </c>
      <c r="B847" t="s">
        <v>264</v>
      </c>
      <c r="C847" t="s">
        <v>154</v>
      </c>
      <c r="D847" t="s">
        <v>160</v>
      </c>
      <c r="E847" s="23">
        <v>660877.81999999995</v>
      </c>
      <c r="F847" s="23">
        <v>1198661.72</v>
      </c>
      <c r="G847" s="23">
        <v>369941.38</v>
      </c>
      <c r="H847" s="23">
        <v>913375.56</v>
      </c>
    </row>
    <row r="848" spans="1:8" x14ac:dyDescent="0.35">
      <c r="A848">
        <v>2016</v>
      </c>
      <c r="B848" t="s">
        <v>265</v>
      </c>
      <c r="C848" t="s">
        <v>154</v>
      </c>
      <c r="D848" t="s">
        <v>158</v>
      </c>
      <c r="E848" s="23">
        <v>460500.73</v>
      </c>
      <c r="F848" s="23">
        <v>2637724.34</v>
      </c>
      <c r="G848" s="23">
        <v>83848.95</v>
      </c>
      <c r="H848" s="23">
        <v>8728.5</v>
      </c>
    </row>
    <row r="849" spans="1:8" x14ac:dyDescent="0.35">
      <c r="A849">
        <v>2016</v>
      </c>
      <c r="B849" t="s">
        <v>266</v>
      </c>
      <c r="C849" t="s">
        <v>154</v>
      </c>
      <c r="D849" t="s">
        <v>158</v>
      </c>
      <c r="E849" s="23">
        <v>534645.04</v>
      </c>
      <c r="F849" s="23">
        <v>591371.68999999994</v>
      </c>
      <c r="G849" s="23">
        <v>116021.15</v>
      </c>
      <c r="H849" s="23">
        <v>283515.21000000002</v>
      </c>
    </row>
    <row r="850" spans="1:8" x14ac:dyDescent="0.35">
      <c r="A850">
        <v>2016</v>
      </c>
      <c r="B850" t="s">
        <v>267</v>
      </c>
      <c r="C850" t="s">
        <v>154</v>
      </c>
      <c r="D850" t="s">
        <v>160</v>
      </c>
      <c r="E850" s="23">
        <v>355643.19</v>
      </c>
      <c r="F850" s="23">
        <v>391036.46</v>
      </c>
      <c r="G850" s="23">
        <v>0</v>
      </c>
      <c r="H850" s="23">
        <v>0</v>
      </c>
    </row>
    <row r="851" spans="1:8" x14ac:dyDescent="0.35">
      <c r="A851">
        <v>2016</v>
      </c>
      <c r="B851" t="s">
        <v>298</v>
      </c>
      <c r="C851" t="s">
        <v>154</v>
      </c>
      <c r="D851" t="s">
        <v>160</v>
      </c>
      <c r="E851" s="23">
        <v>39020</v>
      </c>
      <c r="F851" s="23">
        <v>1048552.64</v>
      </c>
      <c r="G851" s="23">
        <v>0</v>
      </c>
      <c r="H851" s="23">
        <v>0</v>
      </c>
    </row>
    <row r="852" spans="1:8" x14ac:dyDescent="0.35">
      <c r="A852">
        <v>2016</v>
      </c>
      <c r="B852" t="s">
        <v>268</v>
      </c>
      <c r="C852" t="s">
        <v>154</v>
      </c>
      <c r="D852" t="s">
        <v>160</v>
      </c>
      <c r="E852" s="23">
        <v>0</v>
      </c>
      <c r="F852" s="23">
        <v>0</v>
      </c>
      <c r="G852" s="23">
        <v>1273.33</v>
      </c>
      <c r="H852" s="23">
        <v>52887.5</v>
      </c>
    </row>
    <row r="853" spans="1:8" x14ac:dyDescent="0.35">
      <c r="A853">
        <v>2016</v>
      </c>
      <c r="B853" t="s">
        <v>271</v>
      </c>
      <c r="C853" t="s">
        <v>154</v>
      </c>
      <c r="D853" t="s">
        <v>158</v>
      </c>
      <c r="E853" s="23">
        <v>1156686.83</v>
      </c>
      <c r="F853" s="23">
        <v>3082181.49</v>
      </c>
      <c r="G853" s="23">
        <v>67417.7</v>
      </c>
      <c r="H853" s="23">
        <v>14736.3</v>
      </c>
    </row>
    <row r="854" spans="1:8" x14ac:dyDescent="0.35">
      <c r="A854">
        <v>2016</v>
      </c>
      <c r="B854" t="s">
        <v>272</v>
      </c>
      <c r="C854" t="s">
        <v>154</v>
      </c>
      <c r="D854" t="s">
        <v>160</v>
      </c>
      <c r="E854" s="23">
        <v>388666.74</v>
      </c>
      <c r="F854" s="23">
        <v>525085.6</v>
      </c>
      <c r="G854" s="23">
        <v>84485.72</v>
      </c>
      <c r="H854" s="23">
        <v>81895.899999999994</v>
      </c>
    </row>
    <row r="855" spans="1:8" x14ac:dyDescent="0.35">
      <c r="A855">
        <v>2016</v>
      </c>
      <c r="B855" t="s">
        <v>273</v>
      </c>
      <c r="C855" t="s">
        <v>154</v>
      </c>
      <c r="D855" t="s">
        <v>155</v>
      </c>
      <c r="E855" s="23">
        <v>1559953.47</v>
      </c>
      <c r="F855" s="23">
        <v>1919099.59</v>
      </c>
      <c r="G855" s="23">
        <v>423623.36</v>
      </c>
      <c r="H855" s="23">
        <v>785027.95</v>
      </c>
    </row>
    <row r="856" spans="1:8" x14ac:dyDescent="0.35">
      <c r="A856">
        <v>2016</v>
      </c>
      <c r="B856" t="s">
        <v>275</v>
      </c>
      <c r="C856" t="s">
        <v>154</v>
      </c>
      <c r="D856" t="s">
        <v>160</v>
      </c>
      <c r="E856" s="23">
        <v>0</v>
      </c>
      <c r="F856" s="23">
        <v>0</v>
      </c>
      <c r="G856" s="23">
        <v>0</v>
      </c>
      <c r="H856" s="23">
        <v>0</v>
      </c>
    </row>
    <row r="857" spans="1:8" x14ac:dyDescent="0.35">
      <c r="A857">
        <v>2016</v>
      </c>
      <c r="B857" t="s">
        <v>276</v>
      </c>
      <c r="C857" t="s">
        <v>154</v>
      </c>
      <c r="D857" t="s">
        <v>158</v>
      </c>
      <c r="E857" s="23">
        <v>4338246.8099999996</v>
      </c>
      <c r="F857" s="23">
        <v>8139419.96</v>
      </c>
      <c r="G857" s="23">
        <v>1605451.91</v>
      </c>
      <c r="H857" s="23">
        <v>3541240.39</v>
      </c>
    </row>
    <row r="858" spans="1:8" x14ac:dyDescent="0.35">
      <c r="A858">
        <v>2016</v>
      </c>
      <c r="B858" t="s">
        <v>277</v>
      </c>
      <c r="C858" t="s">
        <v>154</v>
      </c>
      <c r="D858" t="s">
        <v>155</v>
      </c>
      <c r="E858" s="23">
        <v>267434.28999999998</v>
      </c>
      <c r="F858" s="23">
        <v>291658.98</v>
      </c>
      <c r="G858" s="23">
        <v>255163.9</v>
      </c>
      <c r="H858" s="23">
        <v>284391.74</v>
      </c>
    </row>
    <row r="859" spans="1:8" x14ac:dyDescent="0.35">
      <c r="A859">
        <v>2016</v>
      </c>
      <c r="B859" t="s">
        <v>278</v>
      </c>
      <c r="C859" t="s">
        <v>154</v>
      </c>
      <c r="D859" t="s">
        <v>155</v>
      </c>
      <c r="E859" s="23">
        <v>27032.34</v>
      </c>
      <c r="F859" s="23">
        <v>51282.02</v>
      </c>
      <c r="G859" s="23">
        <v>0</v>
      </c>
      <c r="H859" s="23">
        <v>13000.02</v>
      </c>
    </row>
    <row r="860" spans="1:8" x14ac:dyDescent="0.35">
      <c r="A860">
        <v>2016</v>
      </c>
      <c r="B860" t="s">
        <v>279</v>
      </c>
      <c r="C860" t="s">
        <v>154</v>
      </c>
      <c r="D860" t="s">
        <v>155</v>
      </c>
      <c r="E860" s="23">
        <v>1263112.3600000001</v>
      </c>
      <c r="F860" s="23">
        <v>1118899.77</v>
      </c>
      <c r="G860" s="23">
        <v>210322.31</v>
      </c>
      <c r="H860" s="23">
        <v>106181.59</v>
      </c>
    </row>
    <row r="861" spans="1:8" x14ac:dyDescent="0.35">
      <c r="A861">
        <v>2016</v>
      </c>
      <c r="B861" t="s">
        <v>280</v>
      </c>
      <c r="C861" t="s">
        <v>154</v>
      </c>
      <c r="D861" t="s">
        <v>160</v>
      </c>
      <c r="E861" s="23">
        <v>194895.91</v>
      </c>
      <c r="F861" s="23">
        <v>135074.69</v>
      </c>
      <c r="G861" s="23">
        <v>9455.2000000000007</v>
      </c>
      <c r="H861" s="23">
        <v>64011.59</v>
      </c>
    </row>
    <row r="862" spans="1:8" x14ac:dyDescent="0.35">
      <c r="A862">
        <v>2016</v>
      </c>
      <c r="B862" t="s">
        <v>281</v>
      </c>
      <c r="C862" t="s">
        <v>154</v>
      </c>
      <c r="D862" t="s">
        <v>158</v>
      </c>
      <c r="E862" s="23">
        <v>193444.6</v>
      </c>
      <c r="F862" s="23">
        <v>372352.06</v>
      </c>
      <c r="G862" s="23">
        <v>0</v>
      </c>
      <c r="H862" s="23">
        <v>0</v>
      </c>
    </row>
    <row r="863" spans="1:8" x14ac:dyDescent="0.35">
      <c r="A863">
        <v>2016</v>
      </c>
      <c r="B863" t="s">
        <v>282</v>
      </c>
      <c r="C863" t="s">
        <v>154</v>
      </c>
      <c r="D863" t="s">
        <v>160</v>
      </c>
      <c r="E863" s="23">
        <v>1130123.8500000001</v>
      </c>
      <c r="F863" s="23">
        <v>177249.9</v>
      </c>
      <c r="G863" s="23">
        <v>650504.47</v>
      </c>
      <c r="H863" s="23">
        <v>74996.639999999999</v>
      </c>
    </row>
    <row r="864" spans="1:8" x14ac:dyDescent="0.35">
      <c r="A864">
        <v>2016</v>
      </c>
      <c r="B864" t="s">
        <v>283</v>
      </c>
      <c r="C864" t="s">
        <v>154</v>
      </c>
      <c r="D864" t="s">
        <v>155</v>
      </c>
      <c r="E864" s="23">
        <v>3341045.9</v>
      </c>
      <c r="F864" s="23">
        <v>15441289.9</v>
      </c>
      <c r="G864" s="23">
        <v>712830.05</v>
      </c>
      <c r="H864" s="23">
        <v>2173887.88</v>
      </c>
    </row>
    <row r="865" spans="1:8" x14ac:dyDescent="0.35">
      <c r="A865">
        <v>2016</v>
      </c>
      <c r="B865" t="s">
        <v>284</v>
      </c>
      <c r="C865" t="s">
        <v>154</v>
      </c>
      <c r="D865" t="s">
        <v>158</v>
      </c>
      <c r="E865" s="23">
        <v>273722.74</v>
      </c>
      <c r="F865" s="23">
        <v>541452.97</v>
      </c>
      <c r="G865" s="23">
        <v>999.96</v>
      </c>
      <c r="H865" s="23">
        <v>0</v>
      </c>
    </row>
    <row r="866" spans="1:8" x14ac:dyDescent="0.35">
      <c r="A866">
        <v>2016</v>
      </c>
      <c r="B866" t="s">
        <v>285</v>
      </c>
      <c r="C866" t="s">
        <v>154</v>
      </c>
      <c r="D866" t="s">
        <v>155</v>
      </c>
      <c r="E866" s="23">
        <v>902270.88</v>
      </c>
      <c r="F866" s="23">
        <v>10690982.630000001</v>
      </c>
      <c r="G866" s="23">
        <v>476769</v>
      </c>
      <c r="H866" s="23">
        <v>0</v>
      </c>
    </row>
    <row r="867" spans="1:8" x14ac:dyDescent="0.35">
      <c r="A867">
        <v>2016</v>
      </c>
      <c r="B867" t="s">
        <v>287</v>
      </c>
      <c r="C867" t="s">
        <v>154</v>
      </c>
      <c r="D867" t="s">
        <v>158</v>
      </c>
      <c r="E867" s="23">
        <v>507439.47</v>
      </c>
      <c r="F867" s="23">
        <v>2176446.21</v>
      </c>
      <c r="G867" s="23">
        <v>222491.64</v>
      </c>
      <c r="H867" s="23">
        <v>758389.21</v>
      </c>
    </row>
    <row r="868" spans="1:8" x14ac:dyDescent="0.35">
      <c r="A868">
        <v>2016</v>
      </c>
      <c r="B868" t="s">
        <v>289</v>
      </c>
      <c r="C868" t="s">
        <v>154</v>
      </c>
      <c r="D868" t="s">
        <v>160</v>
      </c>
      <c r="E868" s="23">
        <v>31115.42</v>
      </c>
      <c r="F868" s="23">
        <v>41602.07</v>
      </c>
      <c r="G868" s="23">
        <v>0</v>
      </c>
      <c r="H868" s="23">
        <v>0</v>
      </c>
    </row>
    <row r="869" spans="1:8" x14ac:dyDescent="0.35">
      <c r="A869">
        <v>2016</v>
      </c>
      <c r="B869" t="s">
        <v>290</v>
      </c>
      <c r="C869" t="s">
        <v>154</v>
      </c>
      <c r="D869" t="s">
        <v>155</v>
      </c>
      <c r="E869" s="23">
        <v>280543.71000000002</v>
      </c>
      <c r="F869" s="23">
        <v>830265.17</v>
      </c>
      <c r="G869" s="23">
        <v>3638.71</v>
      </c>
      <c r="H869" s="23">
        <v>1704.29</v>
      </c>
    </row>
    <row r="870" spans="1:8" x14ac:dyDescent="0.35">
      <c r="A870">
        <v>2016</v>
      </c>
      <c r="B870" t="s">
        <v>291</v>
      </c>
      <c r="C870" t="s">
        <v>154</v>
      </c>
      <c r="D870" t="s">
        <v>158</v>
      </c>
      <c r="E870" s="23">
        <v>167275.21</v>
      </c>
      <c r="F870" s="23">
        <v>784771.28</v>
      </c>
      <c r="G870" s="23">
        <v>121613.29</v>
      </c>
      <c r="H870" s="23">
        <v>108852</v>
      </c>
    </row>
    <row r="871" spans="1:8" x14ac:dyDescent="0.35">
      <c r="A871">
        <v>2016</v>
      </c>
      <c r="B871" t="s">
        <v>296</v>
      </c>
      <c r="C871" t="s">
        <v>154</v>
      </c>
      <c r="D871" t="s">
        <v>155</v>
      </c>
      <c r="E871" s="23">
        <v>1267857.78</v>
      </c>
      <c r="F871" s="23">
        <v>1582290.61</v>
      </c>
      <c r="G871" s="23">
        <v>21312.52</v>
      </c>
      <c r="H871" s="23">
        <v>3687.48</v>
      </c>
    </row>
    <row r="872" spans="1:8" x14ac:dyDescent="0.35">
      <c r="A872">
        <v>2016</v>
      </c>
      <c r="B872" t="s">
        <v>292</v>
      </c>
      <c r="C872" t="s">
        <v>154</v>
      </c>
      <c r="D872" t="s">
        <v>160</v>
      </c>
      <c r="E872" s="23">
        <v>83729.600000000006</v>
      </c>
      <c r="F872" s="23">
        <v>54169.34</v>
      </c>
      <c r="G872" s="23">
        <v>5178.76</v>
      </c>
      <c r="H872" s="23">
        <v>11706.13</v>
      </c>
    </row>
    <row r="873" spans="1:8" x14ac:dyDescent="0.35">
      <c r="A873">
        <v>2016</v>
      </c>
      <c r="B873" t="s">
        <v>293</v>
      </c>
      <c r="C873" t="s">
        <v>154</v>
      </c>
      <c r="D873" t="s">
        <v>158</v>
      </c>
      <c r="E873" s="23">
        <v>16755.009999999998</v>
      </c>
      <c r="F873" s="23">
        <v>6063.12</v>
      </c>
      <c r="G873" s="23">
        <v>379</v>
      </c>
      <c r="H873" s="23">
        <v>0</v>
      </c>
    </row>
    <row r="874" spans="1:8" x14ac:dyDescent="0.35">
      <c r="A874">
        <v>2016</v>
      </c>
      <c r="B874" t="s">
        <v>294</v>
      </c>
      <c r="C874" t="s">
        <v>154</v>
      </c>
      <c r="D874" t="s">
        <v>155</v>
      </c>
      <c r="E874" s="23">
        <v>257717.06</v>
      </c>
      <c r="F874" s="23">
        <v>432642.5</v>
      </c>
      <c r="G874" s="23">
        <v>0</v>
      </c>
      <c r="H874" s="23">
        <v>0</v>
      </c>
    </row>
    <row r="875" spans="1:8" x14ac:dyDescent="0.35">
      <c r="A875">
        <v>2016</v>
      </c>
      <c r="B875" t="s">
        <v>295</v>
      </c>
      <c r="C875" t="s">
        <v>154</v>
      </c>
      <c r="D875" t="s">
        <v>158</v>
      </c>
      <c r="E875" s="23">
        <v>47831430.079999998</v>
      </c>
      <c r="F875" s="23">
        <v>42208058.549999997</v>
      </c>
      <c r="G875" s="23">
        <v>6676283</v>
      </c>
      <c r="H875" s="23">
        <v>74727.41</v>
      </c>
    </row>
    <row r="876" spans="1:8" x14ac:dyDescent="0.35">
      <c r="A876">
        <v>2015</v>
      </c>
      <c r="B876" t="s">
        <v>153</v>
      </c>
      <c r="C876" t="s">
        <v>154</v>
      </c>
      <c r="D876" t="s">
        <v>155</v>
      </c>
      <c r="E876" s="23">
        <v>1029556.98</v>
      </c>
      <c r="F876" s="23">
        <v>8292875.3600000003</v>
      </c>
      <c r="G876" s="23">
        <v>106250.28</v>
      </c>
      <c r="H876" s="23">
        <v>290951.71999999997</v>
      </c>
    </row>
    <row r="877" spans="1:8" x14ac:dyDescent="0.35">
      <c r="A877">
        <v>2015</v>
      </c>
      <c r="B877" t="s">
        <v>162</v>
      </c>
      <c r="C877" t="s">
        <v>163</v>
      </c>
      <c r="D877" t="s">
        <v>158</v>
      </c>
      <c r="E877" s="23">
        <v>187307.41</v>
      </c>
      <c r="F877" s="23">
        <v>478988.88</v>
      </c>
      <c r="G877" s="23">
        <v>0</v>
      </c>
      <c r="H877" s="23">
        <v>0</v>
      </c>
    </row>
    <row r="878" spans="1:8" x14ac:dyDescent="0.35">
      <c r="A878">
        <v>2015</v>
      </c>
      <c r="B878" t="s">
        <v>164</v>
      </c>
      <c r="C878" t="s">
        <v>154</v>
      </c>
      <c r="D878" t="s">
        <v>165</v>
      </c>
      <c r="E878" s="23">
        <v>1828717.43</v>
      </c>
      <c r="F878" s="23">
        <v>3529627.37</v>
      </c>
      <c r="G878" s="23">
        <v>1200935.17</v>
      </c>
      <c r="H878" s="23">
        <v>3301014.25</v>
      </c>
    </row>
    <row r="879" spans="1:8" x14ac:dyDescent="0.35">
      <c r="A879">
        <v>2015</v>
      </c>
      <c r="B879" t="s">
        <v>167</v>
      </c>
      <c r="C879" t="s">
        <v>154</v>
      </c>
      <c r="D879" t="s">
        <v>155</v>
      </c>
      <c r="E879" s="23">
        <v>1555746.4</v>
      </c>
      <c r="F879" s="23">
        <v>2948309.31</v>
      </c>
      <c r="G879" s="23">
        <v>1037218.39</v>
      </c>
      <c r="H879" s="23">
        <v>2103484.4</v>
      </c>
    </row>
    <row r="880" spans="1:8" x14ac:dyDescent="0.35">
      <c r="A880">
        <v>2015</v>
      </c>
      <c r="B880" t="s">
        <v>168</v>
      </c>
      <c r="C880" t="s">
        <v>154</v>
      </c>
      <c r="D880" t="s">
        <v>158</v>
      </c>
      <c r="E880" s="23">
        <v>1602191.15</v>
      </c>
      <c r="F880" s="23">
        <v>8297005.2999999998</v>
      </c>
      <c r="G880" s="23">
        <v>1247976.6499999999</v>
      </c>
      <c r="H880" s="23">
        <v>7380766.9000000004</v>
      </c>
    </row>
    <row r="881" spans="1:8" x14ac:dyDescent="0.35">
      <c r="A881">
        <v>2015</v>
      </c>
      <c r="B881" t="s">
        <v>169</v>
      </c>
      <c r="C881" t="s">
        <v>154</v>
      </c>
      <c r="D881" t="s">
        <v>160</v>
      </c>
      <c r="E881" s="23">
        <v>181737.69</v>
      </c>
      <c r="F881" s="23">
        <v>146888.20000000001</v>
      </c>
      <c r="G881" s="23">
        <v>128989.72</v>
      </c>
      <c r="H881" s="23">
        <v>41441.879999999997</v>
      </c>
    </row>
    <row r="882" spans="1:8" x14ac:dyDescent="0.35">
      <c r="A882">
        <v>2015</v>
      </c>
      <c r="B882" t="s">
        <v>170</v>
      </c>
      <c r="C882" t="s">
        <v>154</v>
      </c>
      <c r="D882" t="s">
        <v>160</v>
      </c>
      <c r="E882" s="23">
        <v>1600898.12</v>
      </c>
      <c r="F882" s="23">
        <v>2042857.46</v>
      </c>
      <c r="G882" s="23">
        <v>380330.71</v>
      </c>
      <c r="H882" s="23">
        <v>85724.99</v>
      </c>
    </row>
    <row r="883" spans="1:8" x14ac:dyDescent="0.35">
      <c r="A883">
        <v>2015</v>
      </c>
      <c r="B883" t="s">
        <v>171</v>
      </c>
      <c r="C883" t="s">
        <v>154</v>
      </c>
      <c r="D883" t="s">
        <v>158</v>
      </c>
      <c r="E883" s="23">
        <v>113644.3</v>
      </c>
      <c r="F883" s="23">
        <v>145443.71</v>
      </c>
      <c r="G883" s="23">
        <v>93056.3</v>
      </c>
      <c r="H883" s="23">
        <v>145443.71</v>
      </c>
    </row>
    <row r="884" spans="1:8" x14ac:dyDescent="0.35">
      <c r="A884">
        <v>2015</v>
      </c>
      <c r="B884" t="s">
        <v>172</v>
      </c>
      <c r="C884" t="s">
        <v>154</v>
      </c>
      <c r="D884" t="s">
        <v>155</v>
      </c>
      <c r="E884" s="23">
        <v>206207.43</v>
      </c>
      <c r="F884" s="23">
        <v>733205.03</v>
      </c>
      <c r="G884" s="23">
        <v>96557.37</v>
      </c>
      <c r="H884" s="23">
        <v>348167.78</v>
      </c>
    </row>
    <row r="885" spans="1:8" x14ac:dyDescent="0.35">
      <c r="A885">
        <v>2015</v>
      </c>
      <c r="B885" t="s">
        <v>173</v>
      </c>
      <c r="C885" t="s">
        <v>154</v>
      </c>
      <c r="D885" t="s">
        <v>155</v>
      </c>
      <c r="E885" s="23">
        <v>1417464.53</v>
      </c>
      <c r="F885" s="23">
        <v>1732212.31</v>
      </c>
      <c r="G885" s="23">
        <v>89405</v>
      </c>
      <c r="H885" s="23">
        <v>61775</v>
      </c>
    </row>
    <row r="886" spans="1:8" x14ac:dyDescent="0.35">
      <c r="A886">
        <v>2015</v>
      </c>
      <c r="B886" t="s">
        <v>174</v>
      </c>
      <c r="C886" t="s">
        <v>154</v>
      </c>
      <c r="D886" t="s">
        <v>160</v>
      </c>
      <c r="E886" s="23">
        <v>4420073.26</v>
      </c>
      <c r="F886" s="23">
        <v>11512055.35</v>
      </c>
      <c r="G886" s="23">
        <v>1396440.36</v>
      </c>
      <c r="H886" s="23">
        <v>717569.26</v>
      </c>
    </row>
    <row r="887" spans="1:8" x14ac:dyDescent="0.35">
      <c r="A887">
        <v>2015</v>
      </c>
      <c r="B887" t="s">
        <v>175</v>
      </c>
      <c r="C887" t="s">
        <v>154</v>
      </c>
      <c r="D887" t="s">
        <v>158</v>
      </c>
      <c r="E887" s="23">
        <v>1709813.41</v>
      </c>
      <c r="F887" s="23">
        <v>11908423.33</v>
      </c>
      <c r="G887" s="23">
        <v>447824.39</v>
      </c>
      <c r="H887" s="23">
        <v>1584314.73</v>
      </c>
    </row>
    <row r="888" spans="1:8" x14ac:dyDescent="0.35">
      <c r="A888">
        <v>2015</v>
      </c>
      <c r="B888" t="s">
        <v>177</v>
      </c>
      <c r="C888" t="s">
        <v>154</v>
      </c>
      <c r="D888" t="s">
        <v>160</v>
      </c>
      <c r="E888" s="23">
        <v>4285769.7300000004</v>
      </c>
      <c r="F888" s="23">
        <v>5623782.5700000003</v>
      </c>
      <c r="G888" s="23">
        <v>28642.12</v>
      </c>
      <c r="H888" s="23">
        <v>327125.18</v>
      </c>
    </row>
    <row r="889" spans="1:8" x14ac:dyDescent="0.35">
      <c r="A889">
        <v>2015</v>
      </c>
      <c r="B889" t="s">
        <v>178</v>
      </c>
      <c r="C889" t="s">
        <v>154</v>
      </c>
      <c r="D889" t="s">
        <v>155</v>
      </c>
      <c r="E889" s="23">
        <v>368389.9</v>
      </c>
      <c r="F889" s="23">
        <v>838711.79</v>
      </c>
      <c r="G889" s="23">
        <v>85026.04</v>
      </c>
      <c r="H889" s="23">
        <v>431500.25</v>
      </c>
    </row>
    <row r="890" spans="1:8" x14ac:dyDescent="0.35">
      <c r="A890">
        <v>2015</v>
      </c>
      <c r="B890" t="s">
        <v>179</v>
      </c>
      <c r="C890" t="s">
        <v>154</v>
      </c>
      <c r="D890" t="s">
        <v>160</v>
      </c>
      <c r="E890" s="23">
        <v>392796.24</v>
      </c>
      <c r="F890" s="23">
        <v>119426.4</v>
      </c>
      <c r="G890" s="23">
        <v>271166.83</v>
      </c>
      <c r="H890" s="23">
        <v>96597.58</v>
      </c>
    </row>
    <row r="891" spans="1:8" x14ac:dyDescent="0.35">
      <c r="A891">
        <v>2015</v>
      </c>
      <c r="B891" t="s">
        <v>180</v>
      </c>
      <c r="C891" t="s">
        <v>154</v>
      </c>
      <c r="D891" t="s">
        <v>160</v>
      </c>
      <c r="E891" s="23">
        <v>953480.78</v>
      </c>
      <c r="F891" s="23">
        <v>1090410.18</v>
      </c>
      <c r="G891" s="23">
        <v>27000</v>
      </c>
      <c r="H891" s="23">
        <v>212986</v>
      </c>
    </row>
    <row r="892" spans="1:8" x14ac:dyDescent="0.35">
      <c r="A892">
        <v>2015</v>
      </c>
      <c r="B892" t="s">
        <v>181</v>
      </c>
      <c r="C892" t="s">
        <v>154</v>
      </c>
      <c r="D892" t="s">
        <v>155</v>
      </c>
      <c r="E892" s="23">
        <v>1644732.1</v>
      </c>
      <c r="F892" s="23">
        <v>16960444.57</v>
      </c>
      <c r="G892" s="23">
        <v>-684155</v>
      </c>
      <c r="H892" s="23">
        <v>4886451.42</v>
      </c>
    </row>
    <row r="893" spans="1:8" x14ac:dyDescent="0.35">
      <c r="A893">
        <v>2015</v>
      </c>
      <c r="B893" t="s">
        <v>182</v>
      </c>
      <c r="C893" t="s">
        <v>154</v>
      </c>
      <c r="D893" t="s">
        <v>158</v>
      </c>
      <c r="E893" s="23">
        <v>0</v>
      </c>
      <c r="F893" s="23">
        <v>0</v>
      </c>
      <c r="G893" s="23">
        <v>50806.59</v>
      </c>
      <c r="H893" s="23">
        <v>176809.4</v>
      </c>
    </row>
    <row r="894" spans="1:8" x14ac:dyDescent="0.35">
      <c r="A894">
        <v>2015</v>
      </c>
      <c r="B894" t="s">
        <v>183</v>
      </c>
      <c r="C894" t="s">
        <v>154</v>
      </c>
      <c r="D894" t="s">
        <v>155</v>
      </c>
      <c r="E894" s="23">
        <v>430894.8358</v>
      </c>
      <c r="F894" s="23">
        <v>937466.23979999998</v>
      </c>
      <c r="G894" s="23">
        <v>361128.94579999999</v>
      </c>
      <c r="H894" s="23">
        <v>237413.42980000001</v>
      </c>
    </row>
    <row r="895" spans="1:8" x14ac:dyDescent="0.35">
      <c r="A895">
        <v>2015</v>
      </c>
      <c r="B895" t="s">
        <v>184</v>
      </c>
      <c r="C895" t="s">
        <v>154</v>
      </c>
      <c r="D895" t="s">
        <v>155</v>
      </c>
      <c r="E895" s="23">
        <v>10547860.776000001</v>
      </c>
      <c r="F895" s="23">
        <v>23131754.959600002</v>
      </c>
      <c r="G895" s="23">
        <v>5447823.7659999998</v>
      </c>
      <c r="H895" s="23">
        <v>19871897.6096</v>
      </c>
    </row>
    <row r="896" spans="1:8" x14ac:dyDescent="0.35">
      <c r="A896">
        <v>2015</v>
      </c>
      <c r="B896" t="s">
        <v>186</v>
      </c>
      <c r="C896" t="s">
        <v>154</v>
      </c>
      <c r="D896" t="s">
        <v>158</v>
      </c>
      <c r="E896" s="23">
        <v>1740869.69</v>
      </c>
      <c r="F896" s="23">
        <v>6044630.6600000001</v>
      </c>
      <c r="G896" s="23">
        <v>421012.37</v>
      </c>
      <c r="H896" s="23">
        <v>2580591.7000000002</v>
      </c>
    </row>
    <row r="897" spans="1:8" x14ac:dyDescent="0.35">
      <c r="A897">
        <v>2015</v>
      </c>
      <c r="B897" t="s">
        <v>187</v>
      </c>
      <c r="C897" t="s">
        <v>154</v>
      </c>
      <c r="D897" t="s">
        <v>158</v>
      </c>
      <c r="E897" s="23">
        <v>583320</v>
      </c>
      <c r="F897" s="23">
        <v>590485.47</v>
      </c>
      <c r="G897" s="23">
        <v>216334</v>
      </c>
      <c r="H897" s="23">
        <v>169506.6</v>
      </c>
    </row>
    <row r="898" spans="1:8" x14ac:dyDescent="0.35">
      <c r="A898">
        <v>2015</v>
      </c>
      <c r="B898" t="s">
        <v>189</v>
      </c>
      <c r="C898" t="s">
        <v>154</v>
      </c>
      <c r="D898" t="s">
        <v>158</v>
      </c>
      <c r="E898" s="23">
        <v>3362609.96</v>
      </c>
      <c r="F898" s="23">
        <v>4979213.6900000004</v>
      </c>
      <c r="G898" s="23">
        <v>152887.66</v>
      </c>
      <c r="H898" s="23">
        <v>130966.67</v>
      </c>
    </row>
    <row r="899" spans="1:8" x14ac:dyDescent="0.35">
      <c r="A899">
        <v>2015</v>
      </c>
      <c r="B899" t="s">
        <v>190</v>
      </c>
      <c r="C899" t="s">
        <v>154</v>
      </c>
      <c r="D899" t="s">
        <v>155</v>
      </c>
      <c r="E899" s="23">
        <v>477060.79</v>
      </c>
      <c r="F899" s="23">
        <v>1518160.8</v>
      </c>
      <c r="G899" s="23">
        <v>420995.29</v>
      </c>
      <c r="H899" s="23">
        <v>1484909.15</v>
      </c>
    </row>
    <row r="900" spans="1:8" x14ac:dyDescent="0.35">
      <c r="A900">
        <v>2015</v>
      </c>
      <c r="B900" t="s">
        <v>300</v>
      </c>
      <c r="C900" t="s">
        <v>154</v>
      </c>
      <c r="D900" t="s">
        <v>158</v>
      </c>
      <c r="E900" s="23">
        <v>17228</v>
      </c>
      <c r="F900" s="23">
        <v>0</v>
      </c>
      <c r="G900" s="23">
        <v>0</v>
      </c>
      <c r="H900" s="23">
        <v>0</v>
      </c>
    </row>
    <row r="901" spans="1:8" x14ac:dyDescent="0.35">
      <c r="A901">
        <v>2015</v>
      </c>
      <c r="B901" t="s">
        <v>192</v>
      </c>
      <c r="C901" t="s">
        <v>154</v>
      </c>
      <c r="D901" t="s">
        <v>160</v>
      </c>
      <c r="E901" s="23">
        <v>872445.8</v>
      </c>
      <c r="F901" s="23">
        <v>480136.88</v>
      </c>
      <c r="G901" s="23">
        <v>640694.36</v>
      </c>
      <c r="H901" s="23">
        <v>75813.62</v>
      </c>
    </row>
    <row r="902" spans="1:8" x14ac:dyDescent="0.35">
      <c r="A902">
        <v>2015</v>
      </c>
      <c r="B902" t="s">
        <v>195</v>
      </c>
      <c r="C902" t="s">
        <v>154</v>
      </c>
      <c r="D902" t="s">
        <v>160</v>
      </c>
      <c r="E902" s="23">
        <v>1809881.73</v>
      </c>
      <c r="F902" s="23">
        <v>46651.98</v>
      </c>
      <c r="G902" s="23">
        <v>1535922.79</v>
      </c>
      <c r="H902" s="23">
        <v>32395.98</v>
      </c>
    </row>
    <row r="903" spans="1:8" x14ac:dyDescent="0.35">
      <c r="A903">
        <v>2015</v>
      </c>
      <c r="B903" t="s">
        <v>196</v>
      </c>
      <c r="C903" t="s">
        <v>154</v>
      </c>
      <c r="D903" t="s">
        <v>155</v>
      </c>
      <c r="E903" s="23">
        <v>1485981.92</v>
      </c>
      <c r="F903" s="23">
        <v>49847</v>
      </c>
      <c r="G903" s="23">
        <v>23208.959999999999</v>
      </c>
      <c r="H903" s="23">
        <v>27232</v>
      </c>
    </row>
    <row r="904" spans="1:8" x14ac:dyDescent="0.35">
      <c r="A904">
        <v>2015</v>
      </c>
      <c r="B904" t="s">
        <v>197</v>
      </c>
      <c r="C904" t="s">
        <v>154</v>
      </c>
      <c r="D904" t="s">
        <v>160</v>
      </c>
      <c r="E904" s="23">
        <v>102866.22</v>
      </c>
      <c r="F904" s="23">
        <v>98244.82</v>
      </c>
      <c r="G904" s="23">
        <v>7800</v>
      </c>
      <c r="H904" s="23">
        <v>8000</v>
      </c>
    </row>
    <row r="905" spans="1:8" x14ac:dyDescent="0.35">
      <c r="A905">
        <v>2015</v>
      </c>
      <c r="B905" t="s">
        <v>198</v>
      </c>
      <c r="C905" t="s">
        <v>154</v>
      </c>
      <c r="D905" t="s">
        <v>160</v>
      </c>
      <c r="E905" s="23">
        <v>653424.52</v>
      </c>
      <c r="F905" s="23">
        <v>1931955.53</v>
      </c>
      <c r="G905" s="23">
        <v>64302.559999999998</v>
      </c>
      <c r="H905" s="23">
        <v>132670.10999999999</v>
      </c>
    </row>
    <row r="906" spans="1:8" x14ac:dyDescent="0.35">
      <c r="A906">
        <v>2015</v>
      </c>
      <c r="B906" t="s">
        <v>199</v>
      </c>
      <c r="C906" t="s">
        <v>154</v>
      </c>
      <c r="D906" t="s">
        <v>160</v>
      </c>
      <c r="E906" s="23">
        <v>304092.94</v>
      </c>
      <c r="F906" s="23">
        <v>916518.21</v>
      </c>
      <c r="G906" s="23">
        <v>36603.11</v>
      </c>
      <c r="H906" s="23">
        <v>265334.65000000002</v>
      </c>
    </row>
    <row r="907" spans="1:8" x14ac:dyDescent="0.35">
      <c r="A907">
        <v>2015</v>
      </c>
      <c r="B907" t="s">
        <v>200</v>
      </c>
      <c r="C907" t="s">
        <v>154</v>
      </c>
      <c r="D907" t="s">
        <v>158</v>
      </c>
      <c r="E907" s="23">
        <v>223320.16</v>
      </c>
      <c r="F907" s="23">
        <v>125600</v>
      </c>
      <c r="G907" s="23">
        <v>0</v>
      </c>
      <c r="H907" s="23">
        <v>0</v>
      </c>
    </row>
    <row r="908" spans="1:8" x14ac:dyDescent="0.35">
      <c r="A908">
        <v>2015</v>
      </c>
      <c r="B908" t="s">
        <v>201</v>
      </c>
      <c r="C908" t="s">
        <v>154</v>
      </c>
      <c r="D908" t="s">
        <v>160</v>
      </c>
      <c r="E908" s="23">
        <v>0</v>
      </c>
      <c r="F908" s="23">
        <v>0</v>
      </c>
      <c r="G908" s="23">
        <v>632914.73</v>
      </c>
      <c r="H908" s="23">
        <v>15993.04</v>
      </c>
    </row>
    <row r="909" spans="1:8" x14ac:dyDescent="0.35">
      <c r="A909">
        <v>2015</v>
      </c>
      <c r="B909" t="s">
        <v>202</v>
      </c>
      <c r="C909" t="s">
        <v>154</v>
      </c>
      <c r="D909" t="s">
        <v>155</v>
      </c>
      <c r="E909" s="23">
        <v>1142553.28</v>
      </c>
      <c r="F909" s="23">
        <v>263402.12</v>
      </c>
      <c r="G909" s="23">
        <v>240699.54</v>
      </c>
      <c r="H909" s="23">
        <v>58293.85</v>
      </c>
    </row>
    <row r="910" spans="1:8" x14ac:dyDescent="0.35">
      <c r="A910">
        <v>2015</v>
      </c>
      <c r="B910" t="s">
        <v>203</v>
      </c>
      <c r="C910" t="s">
        <v>154</v>
      </c>
      <c r="D910" t="s">
        <v>160</v>
      </c>
      <c r="E910" s="23">
        <v>2093276</v>
      </c>
      <c r="F910" s="23">
        <v>3068171.72</v>
      </c>
      <c r="G910" s="23">
        <v>320953.5</v>
      </c>
      <c r="H910" s="23">
        <v>0</v>
      </c>
    </row>
    <row r="911" spans="1:8" x14ac:dyDescent="0.35">
      <c r="A911">
        <v>2015</v>
      </c>
      <c r="B911" t="s">
        <v>204</v>
      </c>
      <c r="C911" t="s">
        <v>154</v>
      </c>
      <c r="D911" t="s">
        <v>158</v>
      </c>
      <c r="E911" s="23">
        <v>692889.74569999997</v>
      </c>
      <c r="F911" s="23">
        <v>1212482.6409</v>
      </c>
      <c r="G911" s="23">
        <v>230585.76569999999</v>
      </c>
      <c r="H911" s="23">
        <v>337626.13089999999</v>
      </c>
    </row>
    <row r="912" spans="1:8" x14ac:dyDescent="0.35">
      <c r="A912">
        <v>2015</v>
      </c>
      <c r="B912" t="s">
        <v>205</v>
      </c>
      <c r="C912" t="s">
        <v>154</v>
      </c>
      <c r="D912" t="s">
        <v>160</v>
      </c>
      <c r="E912" s="23">
        <v>354610.11</v>
      </c>
      <c r="F912" s="23">
        <v>357515.23</v>
      </c>
      <c r="G912" s="23">
        <v>183568.54</v>
      </c>
      <c r="H912" s="23">
        <v>89364.57</v>
      </c>
    </row>
    <row r="913" spans="1:8" x14ac:dyDescent="0.35">
      <c r="A913">
        <v>2015</v>
      </c>
      <c r="B913" t="s">
        <v>206</v>
      </c>
      <c r="C913" t="s">
        <v>154</v>
      </c>
      <c r="D913" t="s">
        <v>158</v>
      </c>
      <c r="E913" s="23">
        <v>1100460.96</v>
      </c>
      <c r="F913" s="23">
        <v>612067.39</v>
      </c>
      <c r="G913" s="23">
        <v>468413.97</v>
      </c>
      <c r="H913" s="23">
        <v>505469.39</v>
      </c>
    </row>
    <row r="914" spans="1:8" x14ac:dyDescent="0.35">
      <c r="A914">
        <v>2015</v>
      </c>
      <c r="B914" t="s">
        <v>209</v>
      </c>
      <c r="C914" t="s">
        <v>154</v>
      </c>
      <c r="D914" t="s">
        <v>158</v>
      </c>
      <c r="E914" s="23">
        <v>964985.68</v>
      </c>
      <c r="F914" s="23">
        <v>3032658.28</v>
      </c>
      <c r="G914" s="23">
        <v>455958.63</v>
      </c>
      <c r="H914" s="23">
        <v>2092737.53</v>
      </c>
    </row>
    <row r="915" spans="1:8" x14ac:dyDescent="0.35">
      <c r="A915">
        <v>2015</v>
      </c>
      <c r="B915" t="s">
        <v>210</v>
      </c>
      <c r="C915" t="s">
        <v>154</v>
      </c>
      <c r="D915" t="s">
        <v>158</v>
      </c>
      <c r="E915" s="23">
        <v>1138158.3999999999</v>
      </c>
      <c r="F915" s="23">
        <v>2726018.65</v>
      </c>
      <c r="G915" s="23">
        <v>5069.05</v>
      </c>
      <c r="H915" s="23">
        <v>4896</v>
      </c>
    </row>
    <row r="916" spans="1:8" x14ac:dyDescent="0.35">
      <c r="A916">
        <v>2015</v>
      </c>
      <c r="B916" t="s">
        <v>212</v>
      </c>
      <c r="C916" t="s">
        <v>154</v>
      </c>
      <c r="D916" t="s">
        <v>160</v>
      </c>
      <c r="E916" s="23">
        <v>1339993.76</v>
      </c>
      <c r="F916" s="23">
        <v>2849137.04</v>
      </c>
      <c r="G916" s="23">
        <v>241653.17</v>
      </c>
      <c r="H916" s="23">
        <v>900154.47</v>
      </c>
    </row>
    <row r="917" spans="1:8" x14ac:dyDescent="0.35">
      <c r="A917">
        <v>2015</v>
      </c>
      <c r="B917" t="s">
        <v>214</v>
      </c>
      <c r="C917" t="s">
        <v>154</v>
      </c>
      <c r="D917" t="s">
        <v>158</v>
      </c>
      <c r="E917" s="23">
        <v>3184547.45</v>
      </c>
      <c r="F917" s="23">
        <v>16172590.289999999</v>
      </c>
      <c r="G917" s="23">
        <v>86571.14</v>
      </c>
      <c r="H917" s="23">
        <v>770570.4</v>
      </c>
    </row>
    <row r="918" spans="1:8" x14ac:dyDescent="0.35">
      <c r="A918">
        <v>2015</v>
      </c>
      <c r="B918" t="s">
        <v>215</v>
      </c>
      <c r="C918" t="s">
        <v>154</v>
      </c>
      <c r="D918" t="s">
        <v>160</v>
      </c>
      <c r="E918" s="23">
        <v>0</v>
      </c>
      <c r="F918" s="23">
        <v>0</v>
      </c>
      <c r="G918" s="23">
        <v>91330.34</v>
      </c>
      <c r="H918" s="23">
        <v>51436.36</v>
      </c>
    </row>
    <row r="919" spans="1:8" x14ac:dyDescent="0.35">
      <c r="A919">
        <v>2015</v>
      </c>
      <c r="B919" t="s">
        <v>216</v>
      </c>
      <c r="C919" t="s">
        <v>154</v>
      </c>
      <c r="D919" t="s">
        <v>155</v>
      </c>
      <c r="E919" s="23">
        <v>56941.63</v>
      </c>
      <c r="F919" s="23">
        <v>0</v>
      </c>
      <c r="G919" s="23">
        <v>585</v>
      </c>
      <c r="H919" s="23">
        <v>0</v>
      </c>
    </row>
    <row r="920" spans="1:8" x14ac:dyDescent="0.35">
      <c r="A920">
        <v>2015</v>
      </c>
      <c r="B920" t="s">
        <v>217</v>
      </c>
      <c r="C920" t="s">
        <v>154</v>
      </c>
      <c r="D920" t="s">
        <v>160</v>
      </c>
      <c r="E920" s="23">
        <v>240628.75</v>
      </c>
      <c r="F920" s="23">
        <v>327916.76</v>
      </c>
      <c r="G920" s="23">
        <v>0</v>
      </c>
      <c r="H920" s="23">
        <v>0</v>
      </c>
    </row>
    <row r="921" spans="1:8" x14ac:dyDescent="0.35">
      <c r="A921">
        <v>2015</v>
      </c>
      <c r="B921" t="s">
        <v>218</v>
      </c>
      <c r="C921" t="s">
        <v>154</v>
      </c>
      <c r="D921" t="s">
        <v>158</v>
      </c>
      <c r="E921" s="23">
        <v>354026.02</v>
      </c>
      <c r="F921" s="23">
        <v>1898499.89</v>
      </c>
      <c r="G921" s="23">
        <v>50680</v>
      </c>
      <c r="H921" s="23">
        <v>831486.73</v>
      </c>
    </row>
    <row r="922" spans="1:8" x14ac:dyDescent="0.35">
      <c r="A922">
        <v>2015</v>
      </c>
      <c r="B922" t="s">
        <v>219</v>
      </c>
      <c r="C922" t="s">
        <v>154</v>
      </c>
      <c r="D922" t="s">
        <v>160</v>
      </c>
      <c r="E922" s="23">
        <v>2651307.27</v>
      </c>
      <c r="F922" s="23">
        <v>9115951.2100000009</v>
      </c>
      <c r="G922" s="23">
        <v>1561602.58</v>
      </c>
      <c r="H922" s="23">
        <v>6118218.1399999997</v>
      </c>
    </row>
    <row r="923" spans="1:8" x14ac:dyDescent="0.35">
      <c r="A923">
        <v>2015</v>
      </c>
      <c r="B923" t="s">
        <v>220</v>
      </c>
      <c r="C923" t="s">
        <v>154</v>
      </c>
      <c r="D923" t="s">
        <v>158</v>
      </c>
      <c r="E923" s="23">
        <v>2641231.14</v>
      </c>
      <c r="F923" s="23">
        <v>4097592.49</v>
      </c>
      <c r="G923" s="23">
        <v>37009.589999999997</v>
      </c>
      <c r="H923" s="23">
        <v>4951.75</v>
      </c>
    </row>
    <row r="924" spans="1:8" x14ac:dyDescent="0.35">
      <c r="A924">
        <v>2015</v>
      </c>
      <c r="B924" t="s">
        <v>221</v>
      </c>
      <c r="C924" t="s">
        <v>154</v>
      </c>
      <c r="D924" t="s">
        <v>165</v>
      </c>
      <c r="E924" s="23">
        <v>1155250.1100000001</v>
      </c>
      <c r="F924" s="23">
        <v>3741649</v>
      </c>
      <c r="G924" s="23">
        <v>620157.69999999995</v>
      </c>
      <c r="H924" s="23">
        <v>3252040.8</v>
      </c>
    </row>
    <row r="925" spans="1:8" x14ac:dyDescent="0.35">
      <c r="A925">
        <v>2015</v>
      </c>
      <c r="B925" t="s">
        <v>223</v>
      </c>
      <c r="C925" t="s">
        <v>163</v>
      </c>
      <c r="D925" t="s">
        <v>160</v>
      </c>
      <c r="E925" s="23">
        <v>4368.79</v>
      </c>
      <c r="F925" s="23">
        <v>0</v>
      </c>
      <c r="G925" s="23">
        <v>0</v>
      </c>
      <c r="H925" s="23">
        <v>0</v>
      </c>
    </row>
    <row r="926" spans="1:8" x14ac:dyDescent="0.35">
      <c r="A926">
        <v>2015</v>
      </c>
      <c r="B926" t="s">
        <v>224</v>
      </c>
      <c r="C926" t="s">
        <v>154</v>
      </c>
      <c r="D926" t="s">
        <v>158</v>
      </c>
      <c r="E926" s="23">
        <v>279964</v>
      </c>
      <c r="F926" s="23">
        <v>1664059.18</v>
      </c>
      <c r="G926" s="23">
        <v>0</v>
      </c>
      <c r="H926" s="23">
        <v>0</v>
      </c>
    </row>
    <row r="927" spans="1:8" x14ac:dyDescent="0.35">
      <c r="A927">
        <v>2015</v>
      </c>
      <c r="B927" t="s">
        <v>225</v>
      </c>
      <c r="C927" t="s">
        <v>154</v>
      </c>
      <c r="D927" t="s">
        <v>160</v>
      </c>
      <c r="E927" s="23">
        <v>0</v>
      </c>
      <c r="F927" s="23">
        <v>0</v>
      </c>
      <c r="G927" s="23">
        <v>4540.96</v>
      </c>
      <c r="H927" s="23">
        <v>0</v>
      </c>
    </row>
    <row r="928" spans="1:8" x14ac:dyDescent="0.35">
      <c r="A928">
        <v>2015</v>
      </c>
      <c r="B928" t="s">
        <v>226</v>
      </c>
      <c r="C928" t="s">
        <v>154</v>
      </c>
      <c r="D928" t="s">
        <v>155</v>
      </c>
      <c r="E928" s="23">
        <v>0</v>
      </c>
      <c r="F928" s="23">
        <v>0</v>
      </c>
      <c r="G928" s="23">
        <v>2525</v>
      </c>
      <c r="H928" s="23">
        <v>646.36</v>
      </c>
    </row>
    <row r="929" spans="1:8" x14ac:dyDescent="0.35">
      <c r="A929">
        <v>2015</v>
      </c>
      <c r="B929" t="s">
        <v>227</v>
      </c>
      <c r="C929" t="s">
        <v>154</v>
      </c>
      <c r="D929" t="s">
        <v>158</v>
      </c>
      <c r="E929" s="23">
        <v>0</v>
      </c>
      <c r="F929" s="23">
        <v>0</v>
      </c>
      <c r="G929" s="23">
        <v>505420</v>
      </c>
      <c r="H929" s="23">
        <v>15400</v>
      </c>
    </row>
    <row r="930" spans="1:8" x14ac:dyDescent="0.35">
      <c r="A930">
        <v>2015</v>
      </c>
      <c r="B930" t="s">
        <v>228</v>
      </c>
      <c r="C930" t="s">
        <v>154</v>
      </c>
      <c r="D930" t="s">
        <v>160</v>
      </c>
      <c r="E930" s="23">
        <v>188416.3</v>
      </c>
      <c r="F930" s="23">
        <v>550587.96</v>
      </c>
      <c r="G930" s="23">
        <v>185655.5</v>
      </c>
      <c r="H930" s="23">
        <v>547051.24</v>
      </c>
    </row>
    <row r="931" spans="1:8" x14ac:dyDescent="0.35">
      <c r="A931">
        <v>2015</v>
      </c>
      <c r="B931" t="s">
        <v>229</v>
      </c>
      <c r="C931" t="s">
        <v>154</v>
      </c>
      <c r="D931" t="s">
        <v>158</v>
      </c>
      <c r="E931" s="23">
        <v>903025.53</v>
      </c>
      <c r="F931" s="23">
        <v>2797650.53</v>
      </c>
      <c r="G931" s="23">
        <v>175947.54</v>
      </c>
      <c r="H931" s="23">
        <v>788466.63</v>
      </c>
    </row>
    <row r="932" spans="1:8" x14ac:dyDescent="0.35">
      <c r="A932">
        <v>2015</v>
      </c>
      <c r="B932" t="s">
        <v>231</v>
      </c>
      <c r="C932" t="s">
        <v>154</v>
      </c>
      <c r="D932" t="s">
        <v>160</v>
      </c>
      <c r="E932" s="23">
        <v>285464.98</v>
      </c>
      <c r="F932" s="23">
        <v>636879.22</v>
      </c>
      <c r="G932" s="23">
        <v>38515.279999999999</v>
      </c>
      <c r="H932" s="23">
        <v>30733.33</v>
      </c>
    </row>
    <row r="933" spans="1:8" x14ac:dyDescent="0.35">
      <c r="A933">
        <v>2015</v>
      </c>
      <c r="B933" t="s">
        <v>232</v>
      </c>
      <c r="C933" t="s">
        <v>154</v>
      </c>
      <c r="D933" t="s">
        <v>165</v>
      </c>
      <c r="E933" s="23">
        <v>2339253.25</v>
      </c>
      <c r="F933" s="23">
        <v>3721102.99</v>
      </c>
      <c r="G933" s="23">
        <v>960916.12</v>
      </c>
      <c r="H933" s="23">
        <v>1948959.33</v>
      </c>
    </row>
    <row r="934" spans="1:8" x14ac:dyDescent="0.35">
      <c r="A934">
        <v>2015</v>
      </c>
      <c r="B934" t="s">
        <v>233</v>
      </c>
      <c r="C934" t="s">
        <v>154</v>
      </c>
      <c r="D934" t="s">
        <v>155</v>
      </c>
      <c r="E934" s="23">
        <v>2383331.0099999998</v>
      </c>
      <c r="F934" s="23">
        <v>47757.75</v>
      </c>
      <c r="G934" s="23">
        <v>3950</v>
      </c>
      <c r="H934" s="23">
        <v>38750</v>
      </c>
    </row>
    <row r="935" spans="1:8" x14ac:dyDescent="0.35">
      <c r="A935">
        <v>2015</v>
      </c>
      <c r="B935" t="s">
        <v>234</v>
      </c>
      <c r="C935" t="s">
        <v>154</v>
      </c>
      <c r="D935" t="s">
        <v>160</v>
      </c>
      <c r="E935" s="23">
        <v>1167430.44</v>
      </c>
      <c r="F935" s="23">
        <v>1735313.55</v>
      </c>
      <c r="G935" s="23">
        <v>794072.69</v>
      </c>
      <c r="H935" s="23">
        <v>1193983.3400000001</v>
      </c>
    </row>
    <row r="936" spans="1:8" x14ac:dyDescent="0.35">
      <c r="A936">
        <v>2015</v>
      </c>
      <c r="B936" t="s">
        <v>235</v>
      </c>
      <c r="C936" t="s">
        <v>154</v>
      </c>
      <c r="D936" t="s">
        <v>160</v>
      </c>
      <c r="E936" s="23">
        <v>197657.44</v>
      </c>
      <c r="F936" s="23">
        <v>3705183.73</v>
      </c>
      <c r="G936" s="23">
        <v>117296.06</v>
      </c>
      <c r="H936" s="23">
        <v>1576718.76</v>
      </c>
    </row>
    <row r="937" spans="1:8" x14ac:dyDescent="0.35">
      <c r="A937">
        <v>2015</v>
      </c>
      <c r="B937" t="s">
        <v>236</v>
      </c>
      <c r="C937" t="s">
        <v>154</v>
      </c>
      <c r="D937" t="s">
        <v>160</v>
      </c>
      <c r="E937" s="23">
        <v>804388.66</v>
      </c>
      <c r="F937" s="23">
        <v>1780720.41</v>
      </c>
      <c r="G937" s="23">
        <v>405825.9</v>
      </c>
      <c r="H937" s="23">
        <v>985905.24</v>
      </c>
    </row>
    <row r="938" spans="1:8" x14ac:dyDescent="0.35">
      <c r="A938">
        <v>2015</v>
      </c>
      <c r="B938" t="s">
        <v>238</v>
      </c>
      <c r="C938" t="s">
        <v>154</v>
      </c>
      <c r="D938" t="s">
        <v>155</v>
      </c>
      <c r="E938" s="23">
        <v>0</v>
      </c>
      <c r="F938" s="23">
        <v>0</v>
      </c>
      <c r="G938" s="23">
        <v>8999.9</v>
      </c>
      <c r="H938" s="23">
        <v>949370.71</v>
      </c>
    </row>
    <row r="939" spans="1:8" x14ac:dyDescent="0.35">
      <c r="A939">
        <v>2015</v>
      </c>
      <c r="B939" t="s">
        <v>239</v>
      </c>
      <c r="C939" t="s">
        <v>154</v>
      </c>
      <c r="D939" t="s">
        <v>158</v>
      </c>
      <c r="E939" s="23">
        <v>145168.21</v>
      </c>
      <c r="F939" s="23">
        <v>444248.66</v>
      </c>
      <c r="G939" s="23">
        <v>0</v>
      </c>
      <c r="H939" s="23">
        <v>10529.76</v>
      </c>
    </row>
    <row r="940" spans="1:8" x14ac:dyDescent="0.35">
      <c r="A940">
        <v>2015</v>
      </c>
      <c r="B940" t="s">
        <v>243</v>
      </c>
      <c r="C940" t="s">
        <v>154</v>
      </c>
      <c r="D940" t="s">
        <v>165</v>
      </c>
      <c r="E940" s="23">
        <v>421609.43</v>
      </c>
      <c r="F940" s="23">
        <v>84242.78</v>
      </c>
      <c r="G940" s="23">
        <v>88962.1</v>
      </c>
      <c r="H940" s="23">
        <v>38211.96</v>
      </c>
    </row>
    <row r="941" spans="1:8" x14ac:dyDescent="0.35">
      <c r="A941">
        <v>2015</v>
      </c>
      <c r="B941" t="s">
        <v>245</v>
      </c>
      <c r="C941" t="s">
        <v>154</v>
      </c>
      <c r="D941" t="s">
        <v>155</v>
      </c>
      <c r="E941" s="23">
        <v>1406662.77</v>
      </c>
      <c r="F941" s="23">
        <v>5225310.7</v>
      </c>
      <c r="G941" s="23">
        <v>394840.93</v>
      </c>
      <c r="H941" s="23">
        <v>1676842.99</v>
      </c>
    </row>
    <row r="942" spans="1:8" x14ac:dyDescent="0.35">
      <c r="A942">
        <v>2015</v>
      </c>
      <c r="B942" t="s">
        <v>246</v>
      </c>
      <c r="C942" t="s">
        <v>154</v>
      </c>
      <c r="D942" t="s">
        <v>155</v>
      </c>
      <c r="E942" s="23">
        <v>758492.42</v>
      </c>
      <c r="F942" s="23">
        <v>2068373.21</v>
      </c>
      <c r="G942" s="23">
        <v>683276.06</v>
      </c>
      <c r="H942" s="23">
        <v>32091.51</v>
      </c>
    </row>
    <row r="943" spans="1:8" x14ac:dyDescent="0.35">
      <c r="A943">
        <v>2015</v>
      </c>
      <c r="B943" t="s">
        <v>247</v>
      </c>
      <c r="C943" t="s">
        <v>154</v>
      </c>
      <c r="D943" t="s">
        <v>160</v>
      </c>
      <c r="E943" s="23">
        <v>3501915.72</v>
      </c>
      <c r="F943" s="23">
        <v>4644183.58</v>
      </c>
      <c r="G943" s="23">
        <v>803959.68</v>
      </c>
      <c r="H943" s="23">
        <v>87563.19</v>
      </c>
    </row>
    <row r="944" spans="1:8" x14ac:dyDescent="0.35">
      <c r="A944">
        <v>2015</v>
      </c>
      <c r="B944" t="s">
        <v>248</v>
      </c>
      <c r="C944" t="s">
        <v>154</v>
      </c>
      <c r="D944" t="s">
        <v>160</v>
      </c>
      <c r="E944" s="23">
        <v>1181772.28</v>
      </c>
      <c r="F944" s="23">
        <v>4010769.23</v>
      </c>
      <c r="G944" s="23">
        <v>217783.44</v>
      </c>
      <c r="H944" s="23">
        <v>1044311.36</v>
      </c>
    </row>
    <row r="945" spans="1:8" x14ac:dyDescent="0.35">
      <c r="A945">
        <v>2015</v>
      </c>
      <c r="B945" t="s">
        <v>249</v>
      </c>
      <c r="C945" t="s">
        <v>154</v>
      </c>
      <c r="D945" t="s">
        <v>160</v>
      </c>
      <c r="E945" s="23">
        <v>3360669.6</v>
      </c>
      <c r="F945" s="23">
        <v>16352315.27</v>
      </c>
      <c r="G945" s="23">
        <v>598463.39</v>
      </c>
      <c r="H945" s="23">
        <v>3227979.92</v>
      </c>
    </row>
    <row r="946" spans="1:8" x14ac:dyDescent="0.35">
      <c r="A946">
        <v>2015</v>
      </c>
      <c r="B946" t="s">
        <v>250</v>
      </c>
      <c r="C946" t="s">
        <v>154</v>
      </c>
      <c r="D946" t="s">
        <v>158</v>
      </c>
      <c r="E946" s="23">
        <v>580142.04</v>
      </c>
      <c r="F946" s="23">
        <v>1068282.6200000001</v>
      </c>
      <c r="G946" s="23">
        <v>209379.89</v>
      </c>
      <c r="H946" s="23">
        <v>434227.64</v>
      </c>
    </row>
    <row r="947" spans="1:8" x14ac:dyDescent="0.35">
      <c r="A947">
        <v>2015</v>
      </c>
      <c r="B947" t="s">
        <v>252</v>
      </c>
      <c r="C947" t="s">
        <v>154</v>
      </c>
      <c r="D947" t="s">
        <v>160</v>
      </c>
      <c r="E947" s="23">
        <v>0</v>
      </c>
      <c r="F947" s="23">
        <v>0</v>
      </c>
      <c r="G947" s="23">
        <v>90988.1</v>
      </c>
      <c r="H947" s="23">
        <v>900364.08</v>
      </c>
    </row>
    <row r="948" spans="1:8" x14ac:dyDescent="0.35">
      <c r="A948">
        <v>2015</v>
      </c>
      <c r="B948" t="s">
        <v>253</v>
      </c>
      <c r="C948" t="s">
        <v>154</v>
      </c>
      <c r="D948" t="s">
        <v>160</v>
      </c>
      <c r="E948" s="23">
        <v>0</v>
      </c>
      <c r="F948" s="23">
        <v>0</v>
      </c>
      <c r="G948" s="23">
        <v>299388.45</v>
      </c>
      <c r="H948" s="23">
        <v>272373.53999999998</v>
      </c>
    </row>
    <row r="949" spans="1:8" x14ac:dyDescent="0.35">
      <c r="A949">
        <v>2015</v>
      </c>
      <c r="B949" t="s">
        <v>254</v>
      </c>
      <c r="C949" t="s">
        <v>154</v>
      </c>
      <c r="D949" t="s">
        <v>155</v>
      </c>
      <c r="E949" s="23">
        <v>1788901.48</v>
      </c>
      <c r="F949" s="23">
        <v>4151461.28</v>
      </c>
      <c r="G949" s="23">
        <v>121414.66</v>
      </c>
      <c r="H949" s="23">
        <v>179885.92</v>
      </c>
    </row>
    <row r="950" spans="1:8" x14ac:dyDescent="0.35">
      <c r="A950">
        <v>2015</v>
      </c>
      <c r="B950" t="s">
        <v>255</v>
      </c>
      <c r="C950" t="s">
        <v>154</v>
      </c>
      <c r="D950" t="s">
        <v>160</v>
      </c>
      <c r="E950" s="23">
        <v>1061023.75</v>
      </c>
      <c r="F950" s="23">
        <v>79672.649999999994</v>
      </c>
      <c r="G950" s="23">
        <v>112633.67</v>
      </c>
      <c r="H950" s="23">
        <v>23071.13</v>
      </c>
    </row>
    <row r="951" spans="1:8" x14ac:dyDescent="0.35">
      <c r="A951">
        <v>2015</v>
      </c>
      <c r="B951" t="s">
        <v>257</v>
      </c>
      <c r="C951" t="s">
        <v>154</v>
      </c>
      <c r="D951" t="s">
        <v>160</v>
      </c>
      <c r="E951" s="23">
        <v>961506.02</v>
      </c>
      <c r="F951" s="23">
        <v>2327175.1</v>
      </c>
      <c r="G951" s="23">
        <v>41844</v>
      </c>
      <c r="H951" s="23">
        <v>47187</v>
      </c>
    </row>
    <row r="952" spans="1:8" x14ac:dyDescent="0.35">
      <c r="A952">
        <v>2015</v>
      </c>
      <c r="B952" t="s">
        <v>258</v>
      </c>
      <c r="C952" t="s">
        <v>154</v>
      </c>
      <c r="D952" t="s">
        <v>160</v>
      </c>
      <c r="E952" s="23">
        <v>1309952.67</v>
      </c>
      <c r="F952" s="23">
        <v>1759943.08</v>
      </c>
      <c r="G952" s="23">
        <v>295844.67</v>
      </c>
      <c r="H952" s="23">
        <v>165785.1</v>
      </c>
    </row>
    <row r="953" spans="1:8" x14ac:dyDescent="0.35">
      <c r="A953">
        <v>2015</v>
      </c>
      <c r="B953" t="s">
        <v>260</v>
      </c>
      <c r="C953" t="s">
        <v>154</v>
      </c>
      <c r="D953" t="s">
        <v>158</v>
      </c>
      <c r="E953" s="23">
        <v>6359134.3700000001</v>
      </c>
      <c r="F953" s="23">
        <v>1371644.79</v>
      </c>
      <c r="G953" s="23">
        <v>1074642.08</v>
      </c>
      <c r="H953" s="23">
        <v>788648.95999999996</v>
      </c>
    </row>
    <row r="954" spans="1:8" x14ac:dyDescent="0.35">
      <c r="A954">
        <v>2015</v>
      </c>
      <c r="B954" t="s">
        <v>261</v>
      </c>
      <c r="C954" t="s">
        <v>154</v>
      </c>
      <c r="D954" t="s">
        <v>158</v>
      </c>
      <c r="E954" s="23">
        <v>136888.69</v>
      </c>
      <c r="F954" s="23">
        <v>359017.44</v>
      </c>
      <c r="G954" s="23">
        <v>56415.51</v>
      </c>
      <c r="H954" s="23">
        <v>756.92</v>
      </c>
    </row>
    <row r="955" spans="1:8" x14ac:dyDescent="0.35">
      <c r="A955">
        <v>2015</v>
      </c>
      <c r="B955" t="s">
        <v>262</v>
      </c>
      <c r="C955" t="s">
        <v>154</v>
      </c>
      <c r="D955" t="s">
        <v>155</v>
      </c>
      <c r="E955" s="23">
        <v>25470.69</v>
      </c>
      <c r="F955" s="23">
        <v>60365</v>
      </c>
      <c r="G955" s="23">
        <v>19482.13</v>
      </c>
      <c r="H955" s="23">
        <v>60365</v>
      </c>
    </row>
    <row r="956" spans="1:8" x14ac:dyDescent="0.35">
      <c r="A956">
        <v>2015</v>
      </c>
      <c r="B956" t="s">
        <v>264</v>
      </c>
      <c r="C956" t="s">
        <v>154</v>
      </c>
      <c r="D956" t="s">
        <v>160</v>
      </c>
      <c r="E956" s="23">
        <v>758056.95</v>
      </c>
      <c r="F956" s="23">
        <v>1267871.81</v>
      </c>
      <c r="G956" s="23">
        <v>473857.6</v>
      </c>
      <c r="H956" s="23">
        <v>661150.81000000006</v>
      </c>
    </row>
    <row r="957" spans="1:8" x14ac:dyDescent="0.35">
      <c r="A957">
        <v>2015</v>
      </c>
      <c r="B957" t="s">
        <v>266</v>
      </c>
      <c r="C957" t="s">
        <v>154</v>
      </c>
      <c r="D957" t="s">
        <v>158</v>
      </c>
      <c r="E957" s="23">
        <v>4671395</v>
      </c>
      <c r="F957" s="23">
        <v>40204.839999999997</v>
      </c>
      <c r="G957" s="23">
        <v>22095.46</v>
      </c>
      <c r="H957" s="23">
        <v>0</v>
      </c>
    </row>
    <row r="958" spans="1:8" x14ac:dyDescent="0.35">
      <c r="A958">
        <v>2015</v>
      </c>
      <c r="B958" t="s">
        <v>267</v>
      </c>
      <c r="C958" t="s">
        <v>154</v>
      </c>
      <c r="D958" t="s">
        <v>160</v>
      </c>
      <c r="E958" s="23">
        <v>430620.18</v>
      </c>
      <c r="F958" s="23">
        <v>810795.97</v>
      </c>
      <c r="G958" s="23">
        <v>0</v>
      </c>
      <c r="H958" s="23">
        <v>12000</v>
      </c>
    </row>
    <row r="959" spans="1:8" x14ac:dyDescent="0.35">
      <c r="A959">
        <v>2015</v>
      </c>
      <c r="B959" t="s">
        <v>298</v>
      </c>
      <c r="C959" t="s">
        <v>154</v>
      </c>
      <c r="D959" t="s">
        <v>160</v>
      </c>
      <c r="E959" s="23">
        <v>10000</v>
      </c>
      <c r="F959" s="23">
        <v>0</v>
      </c>
      <c r="G959" s="23">
        <v>10000</v>
      </c>
      <c r="H959" s="23">
        <v>0</v>
      </c>
    </row>
    <row r="960" spans="1:8" x14ac:dyDescent="0.35">
      <c r="A960">
        <v>2015</v>
      </c>
      <c r="B960" t="s">
        <v>268</v>
      </c>
      <c r="C960" t="s">
        <v>154</v>
      </c>
      <c r="D960" t="s">
        <v>160</v>
      </c>
      <c r="E960" s="23">
        <v>0</v>
      </c>
      <c r="F960" s="23">
        <v>0</v>
      </c>
      <c r="G960" s="23">
        <v>23257.68</v>
      </c>
      <c r="H960" s="23">
        <v>9467</v>
      </c>
    </row>
    <row r="961" spans="1:8" x14ac:dyDescent="0.35">
      <c r="A961">
        <v>2015</v>
      </c>
      <c r="B961" t="s">
        <v>271</v>
      </c>
      <c r="C961" t="s">
        <v>154</v>
      </c>
      <c r="D961" t="s">
        <v>158</v>
      </c>
      <c r="E961" s="23">
        <v>1046453.23</v>
      </c>
      <c r="F961" s="23">
        <v>2720724.58</v>
      </c>
      <c r="G961" s="23">
        <v>156331.6</v>
      </c>
      <c r="H961" s="23">
        <v>1346265.49</v>
      </c>
    </row>
    <row r="962" spans="1:8" x14ac:dyDescent="0.35">
      <c r="A962">
        <v>2015</v>
      </c>
      <c r="B962" t="s">
        <v>272</v>
      </c>
      <c r="C962" t="s">
        <v>154</v>
      </c>
      <c r="D962" t="s">
        <v>160</v>
      </c>
      <c r="E962" s="23">
        <v>371554.32</v>
      </c>
      <c r="F962" s="23">
        <v>155199.03</v>
      </c>
      <c r="G962" s="23">
        <v>76364.259999999995</v>
      </c>
      <c r="H962" s="23">
        <v>30140.2</v>
      </c>
    </row>
    <row r="963" spans="1:8" x14ac:dyDescent="0.35">
      <c r="A963">
        <v>2015</v>
      </c>
      <c r="B963" t="s">
        <v>273</v>
      </c>
      <c r="C963" t="s">
        <v>154</v>
      </c>
      <c r="D963" t="s">
        <v>155</v>
      </c>
      <c r="E963" s="23">
        <v>1134637.9099999999</v>
      </c>
      <c r="F963" s="23">
        <v>458363.04</v>
      </c>
      <c r="G963" s="23">
        <v>598331.63</v>
      </c>
      <c r="H963" s="23">
        <v>359951.04</v>
      </c>
    </row>
    <row r="964" spans="1:8" x14ac:dyDescent="0.35">
      <c r="A964">
        <v>2015</v>
      </c>
      <c r="B964" t="s">
        <v>275</v>
      </c>
      <c r="C964" t="s">
        <v>154</v>
      </c>
      <c r="D964" t="s">
        <v>160</v>
      </c>
      <c r="E964" s="23">
        <v>0</v>
      </c>
      <c r="F964" s="23">
        <v>0</v>
      </c>
      <c r="G964" s="23">
        <v>0</v>
      </c>
      <c r="H964" s="23">
        <v>0</v>
      </c>
    </row>
    <row r="965" spans="1:8" x14ac:dyDescent="0.35">
      <c r="A965">
        <v>2015</v>
      </c>
      <c r="B965" t="s">
        <v>278</v>
      </c>
      <c r="C965" t="s">
        <v>154</v>
      </c>
      <c r="D965" t="s">
        <v>155</v>
      </c>
      <c r="E965" s="23">
        <v>147814.35</v>
      </c>
      <c r="F965" s="23">
        <v>334469.19</v>
      </c>
      <c r="G965" s="23">
        <v>22139.89</v>
      </c>
      <c r="H965" s="23">
        <v>55193.47</v>
      </c>
    </row>
    <row r="966" spans="1:8" x14ac:dyDescent="0.35">
      <c r="A966">
        <v>2015</v>
      </c>
      <c r="B966" t="s">
        <v>279</v>
      </c>
      <c r="C966" t="s">
        <v>154</v>
      </c>
      <c r="D966" t="s">
        <v>155</v>
      </c>
      <c r="E966" s="23">
        <v>1390714.99</v>
      </c>
      <c r="F966" s="23">
        <v>2863872.42</v>
      </c>
      <c r="G966" s="23">
        <v>487398.6</v>
      </c>
      <c r="H966" s="23">
        <v>2061328.45</v>
      </c>
    </row>
    <row r="967" spans="1:8" x14ac:dyDescent="0.35">
      <c r="A967">
        <v>2015</v>
      </c>
      <c r="B967" t="s">
        <v>280</v>
      </c>
      <c r="C967" t="s">
        <v>154</v>
      </c>
      <c r="D967" t="s">
        <v>160</v>
      </c>
      <c r="E967" s="23">
        <v>486540.16</v>
      </c>
      <c r="F967" s="23">
        <v>42442.43</v>
      </c>
      <c r="G967" s="23">
        <v>4000</v>
      </c>
      <c r="H967" s="23">
        <v>10000</v>
      </c>
    </row>
    <row r="968" spans="1:8" x14ac:dyDescent="0.35">
      <c r="A968">
        <v>2015</v>
      </c>
      <c r="B968" t="s">
        <v>282</v>
      </c>
      <c r="C968" t="s">
        <v>154</v>
      </c>
      <c r="D968" t="s">
        <v>160</v>
      </c>
      <c r="E968" s="23">
        <v>1420970.04</v>
      </c>
      <c r="F968" s="23">
        <v>1003275.44</v>
      </c>
      <c r="G968" s="23">
        <v>738484.89</v>
      </c>
      <c r="H968" s="23">
        <v>663532.82999999996</v>
      </c>
    </row>
    <row r="969" spans="1:8" x14ac:dyDescent="0.35">
      <c r="A969">
        <v>2015</v>
      </c>
      <c r="B969" t="s">
        <v>283</v>
      </c>
      <c r="C969" t="s">
        <v>154</v>
      </c>
      <c r="D969" t="s">
        <v>155</v>
      </c>
      <c r="E969" s="23">
        <v>2622296.44</v>
      </c>
      <c r="F969" s="23">
        <v>5537353.4699999997</v>
      </c>
      <c r="G969" s="23">
        <v>1074090</v>
      </c>
      <c r="H969" s="23">
        <v>1437604.1</v>
      </c>
    </row>
    <row r="970" spans="1:8" x14ac:dyDescent="0.35">
      <c r="A970">
        <v>2015</v>
      </c>
      <c r="B970" t="s">
        <v>285</v>
      </c>
      <c r="C970" t="s">
        <v>154</v>
      </c>
      <c r="D970" t="s">
        <v>155</v>
      </c>
      <c r="E970" s="23">
        <v>2938491.48</v>
      </c>
      <c r="F970" s="23">
        <v>598224.31999999995</v>
      </c>
      <c r="G970" s="23">
        <v>376057.5</v>
      </c>
      <c r="H970" s="23">
        <v>117834.69</v>
      </c>
    </row>
    <row r="971" spans="1:8" x14ac:dyDescent="0.35">
      <c r="A971">
        <v>2015</v>
      </c>
      <c r="B971" t="s">
        <v>287</v>
      </c>
      <c r="C971" t="s">
        <v>154</v>
      </c>
      <c r="D971" t="s">
        <v>158</v>
      </c>
      <c r="E971" s="23">
        <v>1180851.54</v>
      </c>
      <c r="F971" s="23">
        <v>1107118.28</v>
      </c>
      <c r="G971" s="23">
        <v>405550.24</v>
      </c>
      <c r="H971" s="23">
        <v>695293.23</v>
      </c>
    </row>
    <row r="972" spans="1:8" x14ac:dyDescent="0.35">
      <c r="A972">
        <v>2015</v>
      </c>
      <c r="B972" t="s">
        <v>289</v>
      </c>
      <c r="C972" t="s">
        <v>154</v>
      </c>
      <c r="D972" t="s">
        <v>160</v>
      </c>
      <c r="E972" s="23">
        <v>85612.4</v>
      </c>
      <c r="F972" s="23">
        <v>119948.88</v>
      </c>
      <c r="G972" s="23">
        <v>0</v>
      </c>
      <c r="H972" s="23">
        <v>0</v>
      </c>
    </row>
    <row r="973" spans="1:8" x14ac:dyDescent="0.35">
      <c r="A973">
        <v>2015</v>
      </c>
      <c r="B973" t="s">
        <v>291</v>
      </c>
      <c r="C973" t="s">
        <v>154</v>
      </c>
      <c r="D973" t="s">
        <v>158</v>
      </c>
      <c r="E973" s="23">
        <v>430635.14</v>
      </c>
      <c r="F973" s="23">
        <v>388312.29</v>
      </c>
      <c r="G973" s="23">
        <v>279697.01</v>
      </c>
      <c r="H973" s="23">
        <v>88386.43</v>
      </c>
    </row>
    <row r="974" spans="1:8" x14ac:dyDescent="0.35">
      <c r="A974">
        <v>2015</v>
      </c>
      <c r="B974" t="s">
        <v>296</v>
      </c>
      <c r="C974" t="s">
        <v>154</v>
      </c>
      <c r="D974" t="s">
        <v>155</v>
      </c>
      <c r="E974" s="23">
        <v>4303182.3099999996</v>
      </c>
      <c r="F974" s="23">
        <v>192849.38</v>
      </c>
      <c r="G974" s="23">
        <v>0</v>
      </c>
      <c r="H974" s="23">
        <v>0</v>
      </c>
    </row>
    <row r="975" spans="1:8" x14ac:dyDescent="0.35">
      <c r="A975">
        <v>2015</v>
      </c>
      <c r="B975" t="s">
        <v>292</v>
      </c>
      <c r="C975" t="s">
        <v>154</v>
      </c>
      <c r="D975" t="s">
        <v>160</v>
      </c>
      <c r="E975" s="23">
        <v>12000</v>
      </c>
      <c r="F975" s="23">
        <v>0</v>
      </c>
      <c r="G975" s="23">
        <v>0</v>
      </c>
      <c r="H975" s="23">
        <v>0</v>
      </c>
    </row>
    <row r="976" spans="1:8" x14ac:dyDescent="0.35">
      <c r="A976">
        <v>2015</v>
      </c>
      <c r="B976" t="s">
        <v>293</v>
      </c>
      <c r="C976" t="s">
        <v>154</v>
      </c>
      <c r="D976" t="s">
        <v>158</v>
      </c>
      <c r="E976" s="23">
        <v>50741.15</v>
      </c>
      <c r="F976" s="23">
        <v>21682.43</v>
      </c>
      <c r="G976" s="23">
        <v>0</v>
      </c>
      <c r="H976" s="23">
        <v>0</v>
      </c>
    </row>
    <row r="977" spans="1:8" x14ac:dyDescent="0.35">
      <c r="A977">
        <v>2015</v>
      </c>
      <c r="B977" t="s">
        <v>295</v>
      </c>
      <c r="C977" t="s">
        <v>154</v>
      </c>
      <c r="D977" t="s">
        <v>158</v>
      </c>
      <c r="E977" s="23">
        <v>45228998.789999999</v>
      </c>
      <c r="F977" s="23">
        <v>42118346.539999999</v>
      </c>
      <c r="G977" s="23">
        <v>7800476.5</v>
      </c>
      <c r="H977" s="23">
        <v>16067177</v>
      </c>
    </row>
    <row r="978" spans="1:8" x14ac:dyDescent="0.35">
      <c r="A978">
        <v>2014</v>
      </c>
      <c r="B978" t="s">
        <v>153</v>
      </c>
      <c r="C978" t="s">
        <v>154</v>
      </c>
      <c r="D978" t="s">
        <v>155</v>
      </c>
      <c r="E978" s="23">
        <v>279421.69</v>
      </c>
      <c r="F978" s="23">
        <v>2529372.4900000002</v>
      </c>
      <c r="G978" s="23">
        <v>179706.53</v>
      </c>
      <c r="H978" s="23">
        <v>1020045.19</v>
      </c>
    </row>
    <row r="979" spans="1:8" x14ac:dyDescent="0.35">
      <c r="A979">
        <v>2014</v>
      </c>
      <c r="B979" t="s">
        <v>162</v>
      </c>
      <c r="C979" t="s">
        <v>163</v>
      </c>
      <c r="D979" t="s">
        <v>158</v>
      </c>
      <c r="E979" s="23">
        <v>149808.04999999999</v>
      </c>
      <c r="F979" s="23">
        <v>574345.98</v>
      </c>
      <c r="G979" s="23">
        <v>0</v>
      </c>
      <c r="H979" s="23">
        <v>0</v>
      </c>
    </row>
    <row r="980" spans="1:8" x14ac:dyDescent="0.35">
      <c r="A980">
        <v>2014</v>
      </c>
      <c r="B980" t="s">
        <v>164</v>
      </c>
      <c r="C980" t="s">
        <v>154</v>
      </c>
      <c r="D980" t="s">
        <v>165</v>
      </c>
      <c r="E980" s="23">
        <v>767653.47</v>
      </c>
      <c r="F980" s="23">
        <v>822811.63</v>
      </c>
      <c r="G980" s="23">
        <v>611041.07999999996</v>
      </c>
      <c r="H980" s="23">
        <v>749877.81</v>
      </c>
    </row>
    <row r="981" spans="1:8" x14ac:dyDescent="0.35">
      <c r="A981">
        <v>2014</v>
      </c>
      <c r="B981" t="s">
        <v>167</v>
      </c>
      <c r="C981" t="s">
        <v>154</v>
      </c>
      <c r="D981" t="s">
        <v>155</v>
      </c>
      <c r="E981" s="23">
        <v>3345524.5</v>
      </c>
      <c r="F981" s="23">
        <v>13159188.92</v>
      </c>
      <c r="G981" s="23">
        <v>1806286.32</v>
      </c>
      <c r="H981" s="23">
        <v>3185848.51</v>
      </c>
    </row>
    <row r="982" spans="1:8" x14ac:dyDescent="0.35">
      <c r="A982">
        <v>2014</v>
      </c>
      <c r="B982" t="s">
        <v>168</v>
      </c>
      <c r="C982" t="s">
        <v>154</v>
      </c>
      <c r="D982" t="s">
        <v>158</v>
      </c>
      <c r="E982" s="23">
        <v>1915017.37</v>
      </c>
      <c r="F982" s="23">
        <v>10124300.439999999</v>
      </c>
      <c r="G982" s="23">
        <v>830405.16</v>
      </c>
      <c r="H982" s="23">
        <v>3731293.77</v>
      </c>
    </row>
    <row r="983" spans="1:8" x14ac:dyDescent="0.35">
      <c r="A983">
        <v>2014</v>
      </c>
      <c r="B983" t="s">
        <v>169</v>
      </c>
      <c r="C983" t="s">
        <v>154</v>
      </c>
      <c r="D983" t="s">
        <v>160</v>
      </c>
      <c r="E983" s="23">
        <v>160252.32</v>
      </c>
      <c r="F983" s="23">
        <v>1370757.6</v>
      </c>
      <c r="G983" s="23">
        <v>47996.160000000003</v>
      </c>
      <c r="H983" s="23">
        <v>22964.69</v>
      </c>
    </row>
    <row r="984" spans="1:8" x14ac:dyDescent="0.35">
      <c r="A984">
        <v>2014</v>
      </c>
      <c r="B984" t="s">
        <v>170</v>
      </c>
      <c r="C984" t="s">
        <v>154</v>
      </c>
      <c r="D984" t="s">
        <v>160</v>
      </c>
      <c r="E984" s="23">
        <v>812788.43</v>
      </c>
      <c r="F984" s="23">
        <v>3422294.25</v>
      </c>
      <c r="G984" s="23">
        <v>169428.01</v>
      </c>
      <c r="H984" s="23">
        <v>339026.3</v>
      </c>
    </row>
    <row r="985" spans="1:8" x14ac:dyDescent="0.35">
      <c r="A985">
        <v>2014</v>
      </c>
      <c r="B985" t="s">
        <v>171</v>
      </c>
      <c r="C985" t="s">
        <v>154</v>
      </c>
      <c r="D985" t="s">
        <v>158</v>
      </c>
      <c r="E985" s="23">
        <v>98508.42</v>
      </c>
      <c r="F985" s="23">
        <v>449775.58</v>
      </c>
      <c r="G985" s="23">
        <v>0</v>
      </c>
      <c r="H985" s="23">
        <v>0</v>
      </c>
    </row>
    <row r="986" spans="1:8" x14ac:dyDescent="0.35">
      <c r="A986">
        <v>2014</v>
      </c>
      <c r="B986" t="s">
        <v>172</v>
      </c>
      <c r="C986" t="s">
        <v>154</v>
      </c>
      <c r="D986" t="s">
        <v>155</v>
      </c>
      <c r="E986" s="23">
        <v>316553.52</v>
      </c>
      <c r="F986" s="23">
        <v>582494.41</v>
      </c>
      <c r="G986" s="23">
        <v>251445.18</v>
      </c>
      <c r="H986" s="23">
        <v>560397.01</v>
      </c>
    </row>
    <row r="987" spans="1:8" x14ac:dyDescent="0.35">
      <c r="A987">
        <v>2014</v>
      </c>
      <c r="B987" t="s">
        <v>173</v>
      </c>
      <c r="C987" t="s">
        <v>154</v>
      </c>
      <c r="D987" t="s">
        <v>155</v>
      </c>
      <c r="E987" s="23">
        <v>386558.11</v>
      </c>
      <c r="F987" s="23">
        <v>1662575.77</v>
      </c>
      <c r="G987" s="23">
        <v>8294.08</v>
      </c>
      <c r="H987" s="23">
        <v>0</v>
      </c>
    </row>
    <row r="988" spans="1:8" x14ac:dyDescent="0.35">
      <c r="A988">
        <v>2014</v>
      </c>
      <c r="B988" t="s">
        <v>299</v>
      </c>
      <c r="C988" t="s">
        <v>154</v>
      </c>
      <c r="D988" t="s">
        <v>158</v>
      </c>
      <c r="E988" s="23">
        <v>0</v>
      </c>
      <c r="F988" s="23">
        <v>0</v>
      </c>
      <c r="G988" s="23">
        <v>0</v>
      </c>
      <c r="H988" s="23">
        <v>0</v>
      </c>
    </row>
    <row r="989" spans="1:8" x14ac:dyDescent="0.35">
      <c r="A989">
        <v>2014</v>
      </c>
      <c r="B989" t="s">
        <v>174</v>
      </c>
      <c r="C989" t="s">
        <v>154</v>
      </c>
      <c r="D989" t="s">
        <v>160</v>
      </c>
      <c r="E989" s="23">
        <v>4670985.4400000004</v>
      </c>
      <c r="F989" s="23">
        <v>12920860.289999999</v>
      </c>
      <c r="G989" s="23">
        <v>1051320</v>
      </c>
      <c r="H989" s="23">
        <v>1499309.46</v>
      </c>
    </row>
    <row r="990" spans="1:8" x14ac:dyDescent="0.35">
      <c r="A990">
        <v>2014</v>
      </c>
      <c r="B990" t="s">
        <v>175</v>
      </c>
      <c r="C990" t="s">
        <v>154</v>
      </c>
      <c r="D990" t="s">
        <v>158</v>
      </c>
      <c r="E990" s="23">
        <v>681702.17</v>
      </c>
      <c r="F990" s="23">
        <v>2558364.25</v>
      </c>
      <c r="G990" s="23">
        <v>568657.80000000005</v>
      </c>
      <c r="H990" s="23">
        <v>2306837.96</v>
      </c>
    </row>
    <row r="991" spans="1:8" x14ac:dyDescent="0.35">
      <c r="A991">
        <v>2014</v>
      </c>
      <c r="B991" t="s">
        <v>177</v>
      </c>
      <c r="C991" t="s">
        <v>154</v>
      </c>
      <c r="D991" t="s">
        <v>160</v>
      </c>
      <c r="E991" s="23">
        <v>2868698.71</v>
      </c>
      <c r="F991" s="23">
        <v>9894175.9800000004</v>
      </c>
      <c r="G991" s="23">
        <v>616799.72</v>
      </c>
      <c r="H991" s="23">
        <v>1064048.3700000001</v>
      </c>
    </row>
    <row r="992" spans="1:8" x14ac:dyDescent="0.35">
      <c r="A992">
        <v>2014</v>
      </c>
      <c r="B992" t="s">
        <v>178</v>
      </c>
      <c r="C992" t="s">
        <v>154</v>
      </c>
      <c r="D992" t="s">
        <v>155</v>
      </c>
      <c r="E992" s="23">
        <v>403261.3</v>
      </c>
      <c r="F992" s="23">
        <v>2008280.08</v>
      </c>
      <c r="G992" s="23">
        <v>14807.69</v>
      </c>
      <c r="H992" s="23">
        <v>51505.31</v>
      </c>
    </row>
    <row r="993" spans="1:8" x14ac:dyDescent="0.35">
      <c r="A993">
        <v>2014</v>
      </c>
      <c r="B993" t="s">
        <v>180</v>
      </c>
      <c r="C993" t="s">
        <v>154</v>
      </c>
      <c r="D993" t="s">
        <v>160</v>
      </c>
      <c r="E993" s="23">
        <v>847058.59</v>
      </c>
      <c r="F993" s="23">
        <v>7646852.7699999996</v>
      </c>
      <c r="G993" s="23">
        <v>439767.17</v>
      </c>
      <c r="H993" s="23">
        <v>3454086.54</v>
      </c>
    </row>
    <row r="994" spans="1:8" x14ac:dyDescent="0.35">
      <c r="A994">
        <v>2014</v>
      </c>
      <c r="B994" t="s">
        <v>181</v>
      </c>
      <c r="C994" t="s">
        <v>154</v>
      </c>
      <c r="D994" t="s">
        <v>155</v>
      </c>
      <c r="E994" s="23">
        <v>1478650.63</v>
      </c>
      <c r="F994" s="23">
        <v>574094.21</v>
      </c>
      <c r="G994" s="23">
        <v>631681.4</v>
      </c>
      <c r="H994" s="23">
        <v>364600.23</v>
      </c>
    </row>
    <row r="995" spans="1:8" x14ac:dyDescent="0.35">
      <c r="A995">
        <v>2014</v>
      </c>
      <c r="B995" t="s">
        <v>182</v>
      </c>
      <c r="C995" t="s">
        <v>154</v>
      </c>
      <c r="D995" t="s">
        <v>158</v>
      </c>
      <c r="E995" s="23">
        <v>0</v>
      </c>
      <c r="F995" s="23">
        <v>0</v>
      </c>
      <c r="G995" s="23">
        <v>181990.07</v>
      </c>
      <c r="H995" s="23">
        <v>577858.47</v>
      </c>
    </row>
    <row r="996" spans="1:8" x14ac:dyDescent="0.35">
      <c r="A996">
        <v>2014</v>
      </c>
      <c r="B996" t="s">
        <v>183</v>
      </c>
      <c r="C996" t="s">
        <v>154</v>
      </c>
      <c r="D996" t="s">
        <v>155</v>
      </c>
      <c r="E996" s="23">
        <v>2557170.25</v>
      </c>
      <c r="F996" s="23">
        <v>21125.8</v>
      </c>
      <c r="G996" s="23">
        <v>2131594.4900000002</v>
      </c>
      <c r="H996" s="23">
        <v>21125.51</v>
      </c>
    </row>
    <row r="997" spans="1:8" x14ac:dyDescent="0.35">
      <c r="A997">
        <v>2014</v>
      </c>
      <c r="B997" t="s">
        <v>184</v>
      </c>
      <c r="C997" t="s">
        <v>154</v>
      </c>
      <c r="D997" t="s">
        <v>155</v>
      </c>
      <c r="E997" s="23">
        <v>15904000.52</v>
      </c>
      <c r="F997" s="23">
        <v>8795747.0800000001</v>
      </c>
      <c r="G997" s="23">
        <v>10332886.220000001</v>
      </c>
      <c r="H997" s="23">
        <v>6451770.5700000003</v>
      </c>
    </row>
    <row r="998" spans="1:8" x14ac:dyDescent="0.35">
      <c r="A998">
        <v>2014</v>
      </c>
      <c r="B998" t="s">
        <v>186</v>
      </c>
      <c r="C998" t="s">
        <v>154</v>
      </c>
      <c r="D998" t="s">
        <v>158</v>
      </c>
      <c r="E998" s="23">
        <v>2901046.72</v>
      </c>
      <c r="F998" s="23">
        <v>3426045.02</v>
      </c>
      <c r="G998" s="23">
        <v>308042.25</v>
      </c>
      <c r="H998" s="23">
        <v>1539927.21</v>
      </c>
    </row>
    <row r="999" spans="1:8" x14ac:dyDescent="0.35">
      <c r="A999">
        <v>2014</v>
      </c>
      <c r="B999" t="s">
        <v>187</v>
      </c>
      <c r="C999" t="s">
        <v>154</v>
      </c>
      <c r="D999" t="s">
        <v>158</v>
      </c>
      <c r="E999" s="23">
        <v>275227.02</v>
      </c>
      <c r="F999" s="23">
        <v>578665.92000000004</v>
      </c>
      <c r="G999" s="23">
        <v>161448.35</v>
      </c>
      <c r="H999" s="23">
        <v>105489.67</v>
      </c>
    </row>
    <row r="1000" spans="1:8" x14ac:dyDescent="0.35">
      <c r="A1000">
        <v>2014</v>
      </c>
      <c r="B1000" t="s">
        <v>188</v>
      </c>
      <c r="C1000" t="s">
        <v>154</v>
      </c>
      <c r="D1000" t="s">
        <v>155</v>
      </c>
      <c r="E1000" s="23">
        <v>-31034.31</v>
      </c>
      <c r="F1000" s="23">
        <v>847094.31</v>
      </c>
      <c r="G1000" s="23">
        <v>1060</v>
      </c>
      <c r="H1000" s="23">
        <v>0</v>
      </c>
    </row>
    <row r="1001" spans="1:8" x14ac:dyDescent="0.35">
      <c r="A1001">
        <v>2014</v>
      </c>
      <c r="B1001" t="s">
        <v>189</v>
      </c>
      <c r="C1001" t="s">
        <v>154</v>
      </c>
      <c r="D1001" t="s">
        <v>158</v>
      </c>
      <c r="E1001" s="23">
        <v>3347839.05</v>
      </c>
      <c r="F1001" s="23">
        <v>16436945.449999999</v>
      </c>
      <c r="G1001" s="23">
        <v>457950.55</v>
      </c>
      <c r="H1001" s="23">
        <v>92307.05</v>
      </c>
    </row>
    <row r="1002" spans="1:8" x14ac:dyDescent="0.35">
      <c r="A1002">
        <v>2014</v>
      </c>
      <c r="B1002" t="s">
        <v>190</v>
      </c>
      <c r="C1002" t="s">
        <v>154</v>
      </c>
      <c r="D1002" t="s">
        <v>155</v>
      </c>
      <c r="E1002" s="23">
        <v>688182.39</v>
      </c>
      <c r="F1002" s="23">
        <v>1270259.49</v>
      </c>
      <c r="G1002" s="23">
        <v>446618.51</v>
      </c>
      <c r="H1002" s="23">
        <v>284924.2</v>
      </c>
    </row>
    <row r="1003" spans="1:8" x14ac:dyDescent="0.35">
      <c r="A1003">
        <v>2014</v>
      </c>
      <c r="B1003" t="s">
        <v>300</v>
      </c>
      <c r="C1003" t="s">
        <v>154</v>
      </c>
      <c r="D1003" t="s">
        <v>158</v>
      </c>
      <c r="E1003" s="23">
        <v>39222</v>
      </c>
      <c r="F1003" s="23">
        <v>0</v>
      </c>
      <c r="G1003" s="23">
        <v>0</v>
      </c>
      <c r="H1003" s="23">
        <v>0</v>
      </c>
    </row>
    <row r="1004" spans="1:8" x14ac:dyDescent="0.35">
      <c r="A1004">
        <v>2014</v>
      </c>
      <c r="B1004" t="s">
        <v>192</v>
      </c>
      <c r="C1004" t="s">
        <v>154</v>
      </c>
      <c r="D1004" t="s">
        <v>160</v>
      </c>
      <c r="E1004" s="23">
        <v>171426.03</v>
      </c>
      <c r="F1004" s="23">
        <v>735586.68</v>
      </c>
      <c r="G1004" s="23">
        <v>81261.08</v>
      </c>
      <c r="H1004" s="23">
        <v>53840.69</v>
      </c>
    </row>
    <row r="1005" spans="1:8" x14ac:dyDescent="0.35">
      <c r="A1005">
        <v>2014</v>
      </c>
      <c r="B1005" t="s">
        <v>195</v>
      </c>
      <c r="C1005" t="s">
        <v>154</v>
      </c>
      <c r="D1005" t="s">
        <v>160</v>
      </c>
      <c r="E1005" s="23">
        <v>478377.52</v>
      </c>
      <c r="F1005" s="23">
        <v>959028.82</v>
      </c>
      <c r="G1005" s="23">
        <v>126714.85</v>
      </c>
      <c r="H1005" s="23">
        <v>59786.82</v>
      </c>
    </row>
    <row r="1006" spans="1:8" x14ac:dyDescent="0.35">
      <c r="A1006">
        <v>2014</v>
      </c>
      <c r="B1006" t="s">
        <v>196</v>
      </c>
      <c r="C1006" t="s">
        <v>154</v>
      </c>
      <c r="D1006" t="s">
        <v>155</v>
      </c>
      <c r="E1006" s="23">
        <v>533367.82999999996</v>
      </c>
      <c r="F1006" s="23">
        <v>1023918.65</v>
      </c>
      <c r="G1006" s="23">
        <v>251840.59</v>
      </c>
      <c r="H1006" s="23">
        <v>977624.99</v>
      </c>
    </row>
    <row r="1007" spans="1:8" x14ac:dyDescent="0.35">
      <c r="A1007">
        <v>2014</v>
      </c>
      <c r="B1007" t="s">
        <v>197</v>
      </c>
      <c r="C1007" t="s">
        <v>154</v>
      </c>
      <c r="D1007" t="s">
        <v>160</v>
      </c>
      <c r="E1007" s="23">
        <v>57647.83</v>
      </c>
      <c r="F1007" s="23">
        <v>188411.56</v>
      </c>
      <c r="G1007" s="23">
        <v>8477.07</v>
      </c>
      <c r="H1007" s="23">
        <v>14951.56</v>
      </c>
    </row>
    <row r="1008" spans="1:8" x14ac:dyDescent="0.35">
      <c r="A1008">
        <v>2014</v>
      </c>
      <c r="B1008" t="s">
        <v>198</v>
      </c>
      <c r="C1008" t="s">
        <v>154</v>
      </c>
      <c r="D1008" t="s">
        <v>160</v>
      </c>
      <c r="E1008" s="23">
        <v>213187.97</v>
      </c>
      <c r="F1008" s="23">
        <v>348656.62</v>
      </c>
      <c r="G1008" s="23">
        <v>40485.79</v>
      </c>
      <c r="H1008" s="23">
        <v>84731.87</v>
      </c>
    </row>
    <row r="1009" spans="1:8" x14ac:dyDescent="0.35">
      <c r="A1009">
        <v>2014</v>
      </c>
      <c r="B1009" t="s">
        <v>199</v>
      </c>
      <c r="C1009" t="s">
        <v>154</v>
      </c>
      <c r="D1009" t="s">
        <v>160</v>
      </c>
      <c r="E1009" s="23">
        <v>413257.32</v>
      </c>
      <c r="F1009" s="23">
        <v>1529820.36</v>
      </c>
      <c r="G1009" s="23">
        <v>23064.33</v>
      </c>
      <c r="H1009" s="23">
        <v>12627.92</v>
      </c>
    </row>
    <row r="1010" spans="1:8" x14ac:dyDescent="0.35">
      <c r="A1010">
        <v>2014</v>
      </c>
      <c r="B1010" t="s">
        <v>200</v>
      </c>
      <c r="C1010" t="s">
        <v>154</v>
      </c>
      <c r="D1010" t="s">
        <v>158</v>
      </c>
      <c r="E1010" s="23">
        <v>619467.43000000005</v>
      </c>
      <c r="F1010" s="23">
        <v>8996.69</v>
      </c>
      <c r="G1010" s="23">
        <v>0</v>
      </c>
      <c r="H1010" s="23">
        <v>0</v>
      </c>
    </row>
    <row r="1011" spans="1:8" x14ac:dyDescent="0.35">
      <c r="A1011">
        <v>2014</v>
      </c>
      <c r="B1011" t="s">
        <v>201</v>
      </c>
      <c r="C1011" t="s">
        <v>154</v>
      </c>
      <c r="D1011" t="s">
        <v>160</v>
      </c>
      <c r="E1011" s="23">
        <v>0</v>
      </c>
      <c r="F1011" s="23">
        <v>0</v>
      </c>
      <c r="G1011" s="23">
        <v>4360378.93</v>
      </c>
      <c r="H1011" s="23">
        <v>31323.040000000001</v>
      </c>
    </row>
    <row r="1012" spans="1:8" x14ac:dyDescent="0.35">
      <c r="A1012">
        <v>2014</v>
      </c>
      <c r="B1012" t="s">
        <v>202</v>
      </c>
      <c r="C1012" t="s">
        <v>154</v>
      </c>
      <c r="D1012" t="s">
        <v>155</v>
      </c>
      <c r="E1012" s="23">
        <v>1968203.62</v>
      </c>
      <c r="F1012" s="23">
        <v>4002297.06</v>
      </c>
      <c r="G1012" s="23">
        <v>373839.59</v>
      </c>
      <c r="H1012" s="23">
        <v>75828.479999999996</v>
      </c>
    </row>
    <row r="1013" spans="1:8" x14ac:dyDescent="0.35">
      <c r="A1013">
        <v>2014</v>
      </c>
      <c r="B1013" t="s">
        <v>203</v>
      </c>
      <c r="C1013" t="s">
        <v>154</v>
      </c>
      <c r="D1013" t="s">
        <v>160</v>
      </c>
      <c r="E1013" s="23">
        <v>1458442</v>
      </c>
      <c r="F1013" s="23">
        <v>1092662.8899999999</v>
      </c>
      <c r="G1013" s="23">
        <v>159098</v>
      </c>
      <c r="H1013" s="23">
        <v>0</v>
      </c>
    </row>
    <row r="1014" spans="1:8" x14ac:dyDescent="0.35">
      <c r="A1014">
        <v>2014</v>
      </c>
      <c r="B1014" t="s">
        <v>204</v>
      </c>
      <c r="C1014" t="s">
        <v>154</v>
      </c>
      <c r="D1014" t="s">
        <v>158</v>
      </c>
      <c r="E1014" s="23">
        <v>827920.47</v>
      </c>
      <c r="F1014" s="23">
        <v>3162244.48</v>
      </c>
      <c r="G1014" s="23">
        <v>34020.22</v>
      </c>
      <c r="H1014" s="23">
        <v>101629.98</v>
      </c>
    </row>
    <row r="1015" spans="1:8" x14ac:dyDescent="0.35">
      <c r="A1015">
        <v>2014</v>
      </c>
      <c r="B1015" t="s">
        <v>205</v>
      </c>
      <c r="C1015" t="s">
        <v>154</v>
      </c>
      <c r="D1015" t="s">
        <v>160</v>
      </c>
      <c r="E1015" s="23">
        <v>145615.09</v>
      </c>
      <c r="F1015" s="23">
        <v>38065.81</v>
      </c>
      <c r="G1015" s="23">
        <v>23507.3</v>
      </c>
      <c r="H1015" s="23">
        <v>9741.51</v>
      </c>
    </row>
    <row r="1016" spans="1:8" x14ac:dyDescent="0.35">
      <c r="A1016">
        <v>2014</v>
      </c>
      <c r="B1016" t="s">
        <v>206</v>
      </c>
      <c r="C1016" t="s">
        <v>154</v>
      </c>
      <c r="D1016" t="s">
        <v>158</v>
      </c>
      <c r="E1016" s="23">
        <v>554267.71</v>
      </c>
      <c r="F1016" s="23">
        <v>885476.81</v>
      </c>
      <c r="G1016" s="23">
        <v>32244.5</v>
      </c>
      <c r="H1016" s="23">
        <v>377393.14</v>
      </c>
    </row>
    <row r="1017" spans="1:8" x14ac:dyDescent="0.35">
      <c r="A1017">
        <v>2014</v>
      </c>
      <c r="B1017" t="s">
        <v>209</v>
      </c>
      <c r="C1017" t="s">
        <v>154</v>
      </c>
      <c r="D1017" t="s">
        <v>158</v>
      </c>
      <c r="E1017" s="23">
        <v>629525.12</v>
      </c>
      <c r="F1017" s="23">
        <v>400049.6</v>
      </c>
      <c r="G1017" s="23">
        <v>56046.52</v>
      </c>
      <c r="H1017" s="23">
        <v>79294.679999999993</v>
      </c>
    </row>
    <row r="1018" spans="1:8" x14ac:dyDescent="0.35">
      <c r="A1018">
        <v>2014</v>
      </c>
      <c r="B1018" t="s">
        <v>210</v>
      </c>
      <c r="C1018" t="s">
        <v>154</v>
      </c>
      <c r="D1018" t="s">
        <v>158</v>
      </c>
      <c r="E1018" s="23">
        <v>887585.82</v>
      </c>
      <c r="F1018" s="23">
        <v>895502.47</v>
      </c>
      <c r="G1018" s="23">
        <v>42433.94</v>
      </c>
      <c r="H1018" s="23">
        <v>183628.53</v>
      </c>
    </row>
    <row r="1019" spans="1:8" x14ac:dyDescent="0.35">
      <c r="A1019">
        <v>2014</v>
      </c>
      <c r="B1019" t="s">
        <v>212</v>
      </c>
      <c r="C1019" t="s">
        <v>154</v>
      </c>
      <c r="D1019" t="s">
        <v>160</v>
      </c>
      <c r="E1019" s="23">
        <v>1414589.66</v>
      </c>
      <c r="F1019" s="23">
        <v>7066419.7800000003</v>
      </c>
      <c r="G1019" s="23">
        <v>205944</v>
      </c>
      <c r="H1019" s="23">
        <v>101412</v>
      </c>
    </row>
    <row r="1020" spans="1:8" x14ac:dyDescent="0.35">
      <c r="A1020">
        <v>2014</v>
      </c>
      <c r="B1020" t="s">
        <v>214</v>
      </c>
      <c r="C1020" t="s">
        <v>154</v>
      </c>
      <c r="D1020" t="s">
        <v>158</v>
      </c>
      <c r="E1020" s="23">
        <v>1757419.13</v>
      </c>
      <c r="F1020" s="23">
        <v>3189422.32</v>
      </c>
      <c r="G1020" s="23">
        <v>0</v>
      </c>
      <c r="H1020" s="23">
        <v>0</v>
      </c>
    </row>
    <row r="1021" spans="1:8" x14ac:dyDescent="0.35">
      <c r="A1021">
        <v>2014</v>
      </c>
      <c r="B1021" t="s">
        <v>215</v>
      </c>
      <c r="C1021" t="s">
        <v>154</v>
      </c>
      <c r="D1021" t="s">
        <v>160</v>
      </c>
      <c r="E1021" s="23">
        <v>0</v>
      </c>
      <c r="F1021" s="23">
        <v>0</v>
      </c>
      <c r="G1021" s="23">
        <v>139728.97</v>
      </c>
      <c r="H1021" s="23">
        <v>94866.02</v>
      </c>
    </row>
    <row r="1022" spans="1:8" x14ac:dyDescent="0.35">
      <c r="A1022">
        <v>2014</v>
      </c>
      <c r="B1022" t="s">
        <v>217</v>
      </c>
      <c r="C1022" t="s">
        <v>154</v>
      </c>
      <c r="D1022" t="s">
        <v>160</v>
      </c>
      <c r="E1022" s="23">
        <v>324031.01</v>
      </c>
      <c r="F1022" s="23">
        <v>359168.87</v>
      </c>
      <c r="G1022" s="23">
        <v>19992</v>
      </c>
      <c r="H1022" s="23">
        <v>2551.61</v>
      </c>
    </row>
    <row r="1023" spans="1:8" x14ac:dyDescent="0.35">
      <c r="A1023">
        <v>2014</v>
      </c>
      <c r="B1023" t="s">
        <v>218</v>
      </c>
      <c r="C1023" t="s">
        <v>154</v>
      </c>
      <c r="D1023" t="s">
        <v>158</v>
      </c>
      <c r="E1023" s="23">
        <v>241423.22</v>
      </c>
      <c r="F1023" s="23">
        <v>946492.85</v>
      </c>
      <c r="G1023" s="23">
        <v>26133.75</v>
      </c>
      <c r="H1023" s="23">
        <v>212304.8</v>
      </c>
    </row>
    <row r="1024" spans="1:8" x14ac:dyDescent="0.35">
      <c r="A1024">
        <v>2014</v>
      </c>
      <c r="B1024" t="s">
        <v>219</v>
      </c>
      <c r="C1024" t="s">
        <v>154</v>
      </c>
      <c r="D1024" t="s">
        <v>160</v>
      </c>
      <c r="E1024" s="23">
        <v>772834.73</v>
      </c>
      <c r="F1024" s="23">
        <v>2223310.2400000002</v>
      </c>
      <c r="G1024" s="23">
        <v>240719.8</v>
      </c>
      <c r="H1024" s="23">
        <v>773812.5</v>
      </c>
    </row>
    <row r="1025" spans="1:8" x14ac:dyDescent="0.35">
      <c r="A1025">
        <v>2014</v>
      </c>
      <c r="B1025" t="s">
        <v>220</v>
      </c>
      <c r="C1025" t="s">
        <v>154</v>
      </c>
      <c r="D1025" t="s">
        <v>158</v>
      </c>
      <c r="E1025" s="23">
        <v>1753292.64</v>
      </c>
      <c r="F1025" s="23">
        <v>1673090.21</v>
      </c>
      <c r="G1025" s="23">
        <v>119183.14</v>
      </c>
      <c r="H1025" s="23">
        <v>0</v>
      </c>
    </row>
    <row r="1026" spans="1:8" x14ac:dyDescent="0.35">
      <c r="A1026">
        <v>2014</v>
      </c>
      <c r="B1026" t="s">
        <v>221</v>
      </c>
      <c r="C1026" t="s">
        <v>154</v>
      </c>
      <c r="D1026" t="s">
        <v>165</v>
      </c>
      <c r="E1026" s="23">
        <v>615336.12</v>
      </c>
      <c r="F1026" s="23">
        <v>1636025.85</v>
      </c>
      <c r="G1026" s="23">
        <v>69222.100000000006</v>
      </c>
      <c r="H1026" s="23">
        <v>32357.75</v>
      </c>
    </row>
    <row r="1027" spans="1:8" x14ac:dyDescent="0.35">
      <c r="A1027">
        <v>2014</v>
      </c>
      <c r="B1027" t="s">
        <v>223</v>
      </c>
      <c r="C1027" t="s">
        <v>163</v>
      </c>
      <c r="D1027" t="s">
        <v>160</v>
      </c>
      <c r="E1027" s="23">
        <v>24913.88</v>
      </c>
      <c r="F1027" s="23">
        <v>47253.24</v>
      </c>
      <c r="G1027" s="23">
        <v>0</v>
      </c>
      <c r="H1027" s="23">
        <v>35759</v>
      </c>
    </row>
    <row r="1028" spans="1:8" x14ac:dyDescent="0.35">
      <c r="A1028">
        <v>2014</v>
      </c>
      <c r="B1028" t="s">
        <v>224</v>
      </c>
      <c r="C1028" t="s">
        <v>154</v>
      </c>
      <c r="D1028" t="s">
        <v>158</v>
      </c>
      <c r="E1028" s="23">
        <v>450727.86</v>
      </c>
      <c r="F1028" s="23">
        <v>284616.96999999997</v>
      </c>
      <c r="G1028" s="23">
        <v>0</v>
      </c>
      <c r="H1028" s="23">
        <v>0</v>
      </c>
    </row>
    <row r="1029" spans="1:8" x14ac:dyDescent="0.35">
      <c r="A1029">
        <v>2014</v>
      </c>
      <c r="B1029" t="s">
        <v>225</v>
      </c>
      <c r="C1029" t="s">
        <v>154</v>
      </c>
      <c r="D1029" t="s">
        <v>160</v>
      </c>
      <c r="E1029" s="23">
        <v>0</v>
      </c>
      <c r="F1029" s="23">
        <v>0</v>
      </c>
      <c r="G1029" s="23">
        <v>26508</v>
      </c>
      <c r="H1029" s="23">
        <v>92915.71</v>
      </c>
    </row>
    <row r="1030" spans="1:8" x14ac:dyDescent="0.35">
      <c r="A1030">
        <v>2014</v>
      </c>
      <c r="B1030" t="s">
        <v>226</v>
      </c>
      <c r="C1030" t="s">
        <v>154</v>
      </c>
      <c r="D1030" t="s">
        <v>155</v>
      </c>
      <c r="E1030" s="23">
        <v>0</v>
      </c>
      <c r="F1030" s="23">
        <v>0</v>
      </c>
      <c r="G1030" s="23">
        <v>4359.95</v>
      </c>
      <c r="H1030" s="23">
        <v>641.67999999999995</v>
      </c>
    </row>
    <row r="1031" spans="1:8" x14ac:dyDescent="0.35">
      <c r="A1031">
        <v>2014</v>
      </c>
      <c r="B1031" t="s">
        <v>227</v>
      </c>
      <c r="C1031" t="s">
        <v>154</v>
      </c>
      <c r="D1031" t="s">
        <v>158</v>
      </c>
      <c r="E1031" s="23">
        <v>0</v>
      </c>
      <c r="F1031" s="23">
        <v>0</v>
      </c>
      <c r="G1031" s="23">
        <v>5816.03</v>
      </c>
      <c r="H1031" s="23">
        <v>0</v>
      </c>
    </row>
    <row r="1032" spans="1:8" x14ac:dyDescent="0.35">
      <c r="A1032">
        <v>2014</v>
      </c>
      <c r="B1032" t="s">
        <v>228</v>
      </c>
      <c r="C1032" t="s">
        <v>154</v>
      </c>
      <c r="D1032" t="s">
        <v>160</v>
      </c>
      <c r="E1032" s="23">
        <v>176380</v>
      </c>
      <c r="F1032" s="23">
        <v>152095.04999999999</v>
      </c>
      <c r="G1032" s="23">
        <v>176030</v>
      </c>
      <c r="H1032" s="23">
        <v>150871.23000000001</v>
      </c>
    </row>
    <row r="1033" spans="1:8" x14ac:dyDescent="0.35">
      <c r="A1033">
        <v>2014</v>
      </c>
      <c r="B1033" t="s">
        <v>229</v>
      </c>
      <c r="C1033" t="s">
        <v>154</v>
      </c>
      <c r="D1033" t="s">
        <v>158</v>
      </c>
      <c r="E1033" s="23">
        <v>1222229.25</v>
      </c>
      <c r="F1033" s="23">
        <v>6763895.4299999997</v>
      </c>
      <c r="G1033" s="23">
        <v>392726.76</v>
      </c>
      <c r="H1033" s="23">
        <v>1504467.03</v>
      </c>
    </row>
    <row r="1034" spans="1:8" x14ac:dyDescent="0.35">
      <c r="A1034">
        <v>2014</v>
      </c>
      <c r="B1034" t="s">
        <v>231</v>
      </c>
      <c r="C1034" t="s">
        <v>154</v>
      </c>
      <c r="D1034" t="s">
        <v>160</v>
      </c>
      <c r="E1034" s="23">
        <v>424776.54</v>
      </c>
      <c r="F1034" s="23">
        <v>8252.67</v>
      </c>
      <c r="G1034" s="23">
        <v>47774.68</v>
      </c>
      <c r="H1034" s="23">
        <v>8111.67</v>
      </c>
    </row>
    <row r="1035" spans="1:8" x14ac:dyDescent="0.35">
      <c r="A1035">
        <v>2014</v>
      </c>
      <c r="B1035" t="s">
        <v>232</v>
      </c>
      <c r="C1035" t="s">
        <v>154</v>
      </c>
      <c r="D1035" t="s">
        <v>165</v>
      </c>
      <c r="E1035" s="23">
        <v>1500541.51</v>
      </c>
      <c r="F1035" s="23">
        <v>1757079.52</v>
      </c>
      <c r="G1035" s="23">
        <v>1098854.3</v>
      </c>
      <c r="H1035" s="23">
        <v>1420911.72</v>
      </c>
    </row>
    <row r="1036" spans="1:8" x14ac:dyDescent="0.35">
      <c r="A1036">
        <v>2014</v>
      </c>
      <c r="B1036" t="s">
        <v>233</v>
      </c>
      <c r="C1036" t="s">
        <v>154</v>
      </c>
      <c r="D1036" t="s">
        <v>155</v>
      </c>
      <c r="E1036" s="23">
        <v>544501.59</v>
      </c>
      <c r="F1036" s="23">
        <v>882889.96</v>
      </c>
      <c r="G1036" s="23">
        <v>151381.54</v>
      </c>
      <c r="H1036" s="23">
        <v>255555.81</v>
      </c>
    </row>
    <row r="1037" spans="1:8" x14ac:dyDescent="0.35">
      <c r="A1037">
        <v>2014</v>
      </c>
      <c r="B1037" t="s">
        <v>234</v>
      </c>
      <c r="C1037" t="s">
        <v>154</v>
      </c>
      <c r="D1037" t="s">
        <v>160</v>
      </c>
      <c r="E1037" s="23">
        <v>53101881.404200003</v>
      </c>
      <c r="F1037" s="23">
        <v>3590696.39</v>
      </c>
      <c r="G1037" s="23">
        <v>4379872.74</v>
      </c>
      <c r="H1037" s="23">
        <v>2300395.3199999998</v>
      </c>
    </row>
    <row r="1038" spans="1:8" x14ac:dyDescent="0.35">
      <c r="A1038">
        <v>2014</v>
      </c>
      <c r="B1038" t="s">
        <v>235</v>
      </c>
      <c r="C1038" t="s">
        <v>154</v>
      </c>
      <c r="D1038" t="s">
        <v>160</v>
      </c>
      <c r="E1038" s="23">
        <v>33381.61</v>
      </c>
      <c r="F1038" s="23">
        <v>6527.47</v>
      </c>
      <c r="G1038" s="23">
        <v>6511.94</v>
      </c>
      <c r="H1038" s="23">
        <v>1454.47</v>
      </c>
    </row>
    <row r="1039" spans="1:8" x14ac:dyDescent="0.35">
      <c r="A1039">
        <v>2014</v>
      </c>
      <c r="B1039" t="s">
        <v>236</v>
      </c>
      <c r="C1039" t="s">
        <v>154</v>
      </c>
      <c r="D1039" t="s">
        <v>160</v>
      </c>
      <c r="E1039" s="23">
        <v>610529</v>
      </c>
      <c r="F1039" s="23">
        <v>3379809.87</v>
      </c>
      <c r="G1039" s="23">
        <v>462261.6</v>
      </c>
      <c r="H1039" s="23">
        <v>3160277.39</v>
      </c>
    </row>
    <row r="1040" spans="1:8" x14ac:dyDescent="0.35">
      <c r="A1040">
        <v>2014</v>
      </c>
      <c r="B1040" t="s">
        <v>238</v>
      </c>
      <c r="C1040" t="s">
        <v>154</v>
      </c>
      <c r="D1040" t="s">
        <v>155</v>
      </c>
      <c r="E1040" s="23">
        <v>0</v>
      </c>
      <c r="F1040" s="23">
        <v>0</v>
      </c>
      <c r="G1040" s="23">
        <v>593378.56999999995</v>
      </c>
      <c r="H1040" s="23">
        <v>1922272.86</v>
      </c>
    </row>
    <row r="1041" spans="1:8" x14ac:dyDescent="0.35">
      <c r="A1041">
        <v>2014</v>
      </c>
      <c r="B1041" t="s">
        <v>239</v>
      </c>
      <c r="C1041" t="s">
        <v>154</v>
      </c>
      <c r="D1041" t="s">
        <v>158</v>
      </c>
      <c r="E1041" s="23">
        <v>826490.37</v>
      </c>
      <c r="F1041" s="23">
        <v>2560993.39</v>
      </c>
      <c r="G1041" s="23">
        <v>48282.879999999997</v>
      </c>
      <c r="H1041" s="23">
        <v>349811.35</v>
      </c>
    </row>
    <row r="1042" spans="1:8" x14ac:dyDescent="0.35">
      <c r="A1042">
        <v>2014</v>
      </c>
      <c r="B1042" t="s">
        <v>243</v>
      </c>
      <c r="C1042" t="s">
        <v>154</v>
      </c>
      <c r="D1042" t="s">
        <v>165</v>
      </c>
      <c r="E1042" s="23">
        <v>249551.72</v>
      </c>
      <c r="F1042" s="23">
        <v>208353.09</v>
      </c>
      <c r="G1042" s="23">
        <v>65157.53</v>
      </c>
      <c r="H1042" s="23">
        <v>37651.269999999997</v>
      </c>
    </row>
    <row r="1043" spans="1:8" x14ac:dyDescent="0.35">
      <c r="A1043">
        <v>2014</v>
      </c>
      <c r="B1043" t="s">
        <v>245</v>
      </c>
      <c r="C1043" t="s">
        <v>154</v>
      </c>
      <c r="D1043" t="s">
        <v>155</v>
      </c>
      <c r="E1043" s="23">
        <v>1855852.52</v>
      </c>
      <c r="F1043" s="23">
        <v>8998575.0199999996</v>
      </c>
      <c r="G1043" s="23">
        <v>510232.11</v>
      </c>
      <c r="H1043" s="23">
        <v>2981630.27</v>
      </c>
    </row>
    <row r="1044" spans="1:8" x14ac:dyDescent="0.35">
      <c r="A1044">
        <v>2014</v>
      </c>
      <c r="B1044" t="s">
        <v>246</v>
      </c>
      <c r="C1044" t="s">
        <v>154</v>
      </c>
      <c r="D1044" t="s">
        <v>155</v>
      </c>
      <c r="E1044" s="23">
        <v>210273.56</v>
      </c>
      <c r="F1044" s="23">
        <v>1885418.27</v>
      </c>
      <c r="G1044" s="23">
        <v>23935.67</v>
      </c>
      <c r="H1044" s="23">
        <v>36771.379999999997</v>
      </c>
    </row>
    <row r="1045" spans="1:8" x14ac:dyDescent="0.35">
      <c r="A1045">
        <v>2014</v>
      </c>
      <c r="B1045" t="s">
        <v>247</v>
      </c>
      <c r="C1045" t="s">
        <v>154</v>
      </c>
      <c r="D1045" t="s">
        <v>160</v>
      </c>
      <c r="E1045" s="23">
        <v>6833968.8899999997</v>
      </c>
      <c r="F1045" s="23">
        <v>12681508.720000001</v>
      </c>
      <c r="G1045" s="23">
        <v>2343650.1</v>
      </c>
      <c r="H1045" s="23">
        <v>99123.67</v>
      </c>
    </row>
    <row r="1046" spans="1:8" x14ac:dyDescent="0.35">
      <c r="A1046">
        <v>2014</v>
      </c>
      <c r="B1046" t="s">
        <v>248</v>
      </c>
      <c r="C1046" t="s">
        <v>154</v>
      </c>
      <c r="D1046" t="s">
        <v>160</v>
      </c>
      <c r="E1046" s="23">
        <v>503538.38</v>
      </c>
      <c r="F1046" s="23">
        <v>1882484.69</v>
      </c>
      <c r="G1046" s="23">
        <v>53278.21</v>
      </c>
      <c r="H1046" s="23">
        <v>213671.79</v>
      </c>
    </row>
    <row r="1047" spans="1:8" x14ac:dyDescent="0.35">
      <c r="A1047">
        <v>2014</v>
      </c>
      <c r="B1047" t="s">
        <v>249</v>
      </c>
      <c r="C1047" t="s">
        <v>154</v>
      </c>
      <c r="D1047" t="s">
        <v>160</v>
      </c>
      <c r="E1047" s="23">
        <v>3475527.15</v>
      </c>
      <c r="F1047" s="23">
        <v>18394988.91</v>
      </c>
      <c r="G1047" s="23">
        <v>667681.46</v>
      </c>
      <c r="H1047" s="23">
        <v>1755816.42</v>
      </c>
    </row>
    <row r="1048" spans="1:8" x14ac:dyDescent="0.35">
      <c r="A1048">
        <v>2014</v>
      </c>
      <c r="B1048" t="s">
        <v>250</v>
      </c>
      <c r="C1048" t="s">
        <v>154</v>
      </c>
      <c r="D1048" t="s">
        <v>158</v>
      </c>
      <c r="E1048" s="23">
        <v>1495345.85</v>
      </c>
      <c r="F1048" s="23">
        <v>3146033.38</v>
      </c>
      <c r="G1048" s="23">
        <v>514214.25</v>
      </c>
      <c r="H1048" s="23">
        <v>191588.86</v>
      </c>
    </row>
    <row r="1049" spans="1:8" x14ac:dyDescent="0.35">
      <c r="A1049">
        <v>2014</v>
      </c>
      <c r="B1049" t="s">
        <v>252</v>
      </c>
      <c r="C1049" t="s">
        <v>154</v>
      </c>
      <c r="D1049" t="s">
        <v>160</v>
      </c>
      <c r="E1049" s="23">
        <v>0</v>
      </c>
      <c r="F1049" s="23">
        <v>0</v>
      </c>
      <c r="G1049" s="23">
        <v>275525.03999999998</v>
      </c>
      <c r="H1049" s="23">
        <v>1185548.3</v>
      </c>
    </row>
    <row r="1050" spans="1:8" x14ac:dyDescent="0.35">
      <c r="A1050">
        <v>2014</v>
      </c>
      <c r="B1050" t="s">
        <v>253</v>
      </c>
      <c r="C1050" t="s">
        <v>154</v>
      </c>
      <c r="D1050" t="s">
        <v>160</v>
      </c>
      <c r="E1050" s="23">
        <v>0</v>
      </c>
      <c r="F1050" s="23">
        <v>0</v>
      </c>
      <c r="G1050" s="23">
        <v>69183.58</v>
      </c>
      <c r="H1050" s="23">
        <v>15596.18</v>
      </c>
    </row>
    <row r="1051" spans="1:8" x14ac:dyDescent="0.35">
      <c r="A1051">
        <v>2014</v>
      </c>
      <c r="B1051" t="s">
        <v>254</v>
      </c>
      <c r="C1051" t="s">
        <v>154</v>
      </c>
      <c r="D1051" t="s">
        <v>155</v>
      </c>
      <c r="E1051" s="23">
        <v>3136822.58</v>
      </c>
      <c r="F1051" s="23">
        <v>8624823.2100000009</v>
      </c>
      <c r="G1051" s="23">
        <v>533569</v>
      </c>
      <c r="H1051" s="23">
        <v>699565.65</v>
      </c>
    </row>
    <row r="1052" spans="1:8" x14ac:dyDescent="0.35">
      <c r="A1052">
        <v>2014</v>
      </c>
      <c r="B1052" t="s">
        <v>255</v>
      </c>
      <c r="C1052" t="s">
        <v>154</v>
      </c>
      <c r="D1052" t="s">
        <v>160</v>
      </c>
      <c r="E1052" s="23">
        <v>246449.27</v>
      </c>
      <c r="F1052" s="23">
        <v>320471.84999999998</v>
      </c>
      <c r="G1052" s="23">
        <v>107725.31</v>
      </c>
      <c r="H1052" s="23">
        <v>22758.5</v>
      </c>
    </row>
    <row r="1053" spans="1:8" x14ac:dyDescent="0.35">
      <c r="A1053">
        <v>2014</v>
      </c>
      <c r="B1053" t="s">
        <v>257</v>
      </c>
      <c r="C1053" t="s">
        <v>154</v>
      </c>
      <c r="D1053" t="s">
        <v>160</v>
      </c>
      <c r="E1053" s="23">
        <v>217778.78</v>
      </c>
      <c r="F1053" s="23">
        <v>836965.03</v>
      </c>
      <c r="G1053" s="23">
        <v>41427.81</v>
      </c>
      <c r="H1053" s="23">
        <v>4503</v>
      </c>
    </row>
    <row r="1054" spans="1:8" x14ac:dyDescent="0.35">
      <c r="A1054">
        <v>2014</v>
      </c>
      <c r="B1054" t="s">
        <v>258</v>
      </c>
      <c r="C1054" t="s">
        <v>154</v>
      </c>
      <c r="D1054" t="s">
        <v>160</v>
      </c>
      <c r="E1054" s="23">
        <v>634797.54</v>
      </c>
      <c r="F1054" s="23">
        <v>3117561.84</v>
      </c>
      <c r="G1054" s="23">
        <v>478944.09</v>
      </c>
      <c r="H1054" s="23">
        <v>2805415.02</v>
      </c>
    </row>
    <row r="1055" spans="1:8" x14ac:dyDescent="0.35">
      <c r="A1055">
        <v>2014</v>
      </c>
      <c r="B1055" t="s">
        <v>260</v>
      </c>
      <c r="C1055" t="s">
        <v>154</v>
      </c>
      <c r="D1055" t="s">
        <v>158</v>
      </c>
      <c r="E1055" s="23">
        <v>2618088.14</v>
      </c>
      <c r="F1055" s="23">
        <v>5706471.5</v>
      </c>
      <c r="G1055" s="23">
        <v>147819.48000000001</v>
      </c>
      <c r="H1055" s="23">
        <v>1078470.96</v>
      </c>
    </row>
    <row r="1056" spans="1:8" x14ac:dyDescent="0.35">
      <c r="A1056">
        <v>2014</v>
      </c>
      <c r="B1056" t="s">
        <v>261</v>
      </c>
      <c r="C1056" t="s">
        <v>154</v>
      </c>
      <c r="D1056" t="s">
        <v>158</v>
      </c>
      <c r="E1056" s="23">
        <v>173738.69</v>
      </c>
      <c r="F1056" s="23">
        <v>302375.53999999998</v>
      </c>
      <c r="G1056" s="23">
        <v>42032.63</v>
      </c>
      <c r="H1056" s="23">
        <v>149919.69</v>
      </c>
    </row>
    <row r="1057" spans="1:8" x14ac:dyDescent="0.35">
      <c r="A1057">
        <v>2014</v>
      </c>
      <c r="B1057" t="s">
        <v>262</v>
      </c>
      <c r="C1057" t="s">
        <v>154</v>
      </c>
      <c r="D1057" t="s">
        <v>155</v>
      </c>
      <c r="E1057" s="23">
        <v>39150</v>
      </c>
      <c r="F1057" s="23">
        <v>0</v>
      </c>
      <c r="G1057" s="23">
        <v>22727.84</v>
      </c>
      <c r="H1057" s="23">
        <v>0</v>
      </c>
    </row>
    <row r="1058" spans="1:8" x14ac:dyDescent="0.35">
      <c r="A1058">
        <v>2014</v>
      </c>
      <c r="B1058" t="s">
        <v>264</v>
      </c>
      <c r="C1058" t="s">
        <v>154</v>
      </c>
      <c r="D1058" t="s">
        <v>160</v>
      </c>
      <c r="E1058" s="23">
        <v>800987</v>
      </c>
      <c r="F1058" s="23">
        <v>1255882.08</v>
      </c>
      <c r="G1058" s="23">
        <v>103767.16</v>
      </c>
      <c r="H1058" s="23">
        <v>153102.16</v>
      </c>
    </row>
    <row r="1059" spans="1:8" x14ac:dyDescent="0.35">
      <c r="A1059">
        <v>2014</v>
      </c>
      <c r="B1059" t="s">
        <v>266</v>
      </c>
      <c r="C1059" t="s">
        <v>154</v>
      </c>
      <c r="D1059" t="s">
        <v>158</v>
      </c>
      <c r="E1059" s="23">
        <v>3654233.02</v>
      </c>
      <c r="F1059" s="23">
        <v>161957.67000000001</v>
      </c>
      <c r="G1059" s="23">
        <v>103255.94</v>
      </c>
      <c r="H1059" s="23">
        <v>0</v>
      </c>
    </row>
    <row r="1060" spans="1:8" x14ac:dyDescent="0.35">
      <c r="A1060">
        <v>2014</v>
      </c>
      <c r="B1060" t="s">
        <v>267</v>
      </c>
      <c r="C1060" t="s">
        <v>154</v>
      </c>
      <c r="D1060" t="s">
        <v>160</v>
      </c>
      <c r="E1060" s="23">
        <v>489094.37</v>
      </c>
      <c r="F1060" s="23">
        <v>357927.36</v>
      </c>
      <c r="G1060" s="23">
        <v>17449.98</v>
      </c>
      <c r="H1060" s="23">
        <v>3550.02</v>
      </c>
    </row>
    <row r="1061" spans="1:8" x14ac:dyDescent="0.35">
      <c r="A1061">
        <v>2014</v>
      </c>
      <c r="B1061" t="s">
        <v>298</v>
      </c>
      <c r="C1061" t="s">
        <v>154</v>
      </c>
      <c r="D1061" t="s">
        <v>160</v>
      </c>
      <c r="E1061" s="23">
        <v>19850.63</v>
      </c>
      <c r="F1061" s="23">
        <v>113667.28</v>
      </c>
      <c r="G1061" s="23">
        <v>19850.63</v>
      </c>
      <c r="H1061" s="23">
        <v>113667.28</v>
      </c>
    </row>
    <row r="1062" spans="1:8" x14ac:dyDescent="0.35">
      <c r="A1062">
        <v>2014</v>
      </c>
      <c r="B1062" t="s">
        <v>268</v>
      </c>
      <c r="C1062" t="s">
        <v>154</v>
      </c>
      <c r="D1062" t="s">
        <v>160</v>
      </c>
      <c r="E1062" s="23">
        <v>0</v>
      </c>
      <c r="F1062" s="23">
        <v>0</v>
      </c>
      <c r="G1062" s="23">
        <v>41592.559999999998</v>
      </c>
      <c r="H1062" s="23">
        <v>42763.44</v>
      </c>
    </row>
    <row r="1063" spans="1:8" x14ac:dyDescent="0.35">
      <c r="A1063">
        <v>2014</v>
      </c>
      <c r="B1063" t="s">
        <v>271</v>
      </c>
      <c r="C1063" t="s">
        <v>154</v>
      </c>
      <c r="D1063" t="s">
        <v>158</v>
      </c>
      <c r="E1063" s="23">
        <v>960521.55</v>
      </c>
      <c r="F1063" s="23">
        <v>2978172.57</v>
      </c>
      <c r="G1063" s="23">
        <v>142659.29999999999</v>
      </c>
      <c r="H1063" s="23">
        <v>537630.35</v>
      </c>
    </row>
    <row r="1064" spans="1:8" x14ac:dyDescent="0.35">
      <c r="A1064">
        <v>2014</v>
      </c>
      <c r="B1064" t="s">
        <v>272</v>
      </c>
      <c r="C1064" t="s">
        <v>154</v>
      </c>
      <c r="D1064" t="s">
        <v>160</v>
      </c>
      <c r="E1064" s="23">
        <v>201911.88</v>
      </c>
      <c r="F1064" s="23">
        <v>201540.03</v>
      </c>
      <c r="G1064" s="23">
        <v>16416.439999999999</v>
      </c>
      <c r="H1064" s="23">
        <v>8350.1</v>
      </c>
    </row>
    <row r="1065" spans="1:8" x14ac:dyDescent="0.35">
      <c r="A1065">
        <v>2014</v>
      </c>
      <c r="B1065" t="s">
        <v>273</v>
      </c>
      <c r="C1065" t="s">
        <v>154</v>
      </c>
      <c r="D1065" t="s">
        <v>155</v>
      </c>
      <c r="E1065" s="23">
        <v>1258079.1200000001</v>
      </c>
      <c r="F1065" s="23">
        <v>1295268.48</v>
      </c>
      <c r="G1065" s="23">
        <v>478581.87</v>
      </c>
      <c r="H1065" s="23">
        <v>652824.48</v>
      </c>
    </row>
    <row r="1066" spans="1:8" x14ac:dyDescent="0.35">
      <c r="A1066">
        <v>2014</v>
      </c>
      <c r="B1066" t="s">
        <v>275</v>
      </c>
      <c r="C1066" t="s">
        <v>154</v>
      </c>
      <c r="D1066" t="s">
        <v>160</v>
      </c>
      <c r="E1066" s="23">
        <v>0</v>
      </c>
      <c r="F1066" s="23">
        <v>0</v>
      </c>
      <c r="G1066" s="23">
        <v>1187.5</v>
      </c>
      <c r="H1066" s="23">
        <v>0</v>
      </c>
    </row>
    <row r="1067" spans="1:8" x14ac:dyDescent="0.35">
      <c r="A1067">
        <v>2014</v>
      </c>
      <c r="B1067" t="s">
        <v>278</v>
      </c>
      <c r="C1067" t="s">
        <v>154</v>
      </c>
      <c r="D1067" t="s">
        <v>155</v>
      </c>
      <c r="E1067" s="23">
        <v>171012.15</v>
      </c>
      <c r="F1067" s="23">
        <v>1217327.45</v>
      </c>
      <c r="G1067" s="23">
        <v>85668</v>
      </c>
      <c r="H1067" s="23">
        <v>1088501.78</v>
      </c>
    </row>
    <row r="1068" spans="1:8" x14ac:dyDescent="0.35">
      <c r="A1068">
        <v>2014</v>
      </c>
      <c r="B1068" t="s">
        <v>279</v>
      </c>
      <c r="C1068" t="s">
        <v>154</v>
      </c>
      <c r="D1068" t="s">
        <v>155</v>
      </c>
      <c r="E1068" s="23">
        <v>717623.26</v>
      </c>
      <c r="F1068" s="23">
        <v>2454308.25</v>
      </c>
      <c r="G1068" s="23">
        <v>328595</v>
      </c>
      <c r="H1068" s="23">
        <v>2044583.78</v>
      </c>
    </row>
    <row r="1069" spans="1:8" x14ac:dyDescent="0.35">
      <c r="A1069">
        <v>2014</v>
      </c>
      <c r="B1069" t="s">
        <v>280</v>
      </c>
      <c r="C1069" t="s">
        <v>154</v>
      </c>
      <c r="D1069" t="s">
        <v>160</v>
      </c>
      <c r="E1069" s="23">
        <v>109616.55</v>
      </c>
      <c r="F1069" s="23">
        <v>43386.46</v>
      </c>
      <c r="G1069" s="23">
        <v>71900.67</v>
      </c>
      <c r="H1069" s="23">
        <v>6876.48</v>
      </c>
    </row>
    <row r="1070" spans="1:8" x14ac:dyDescent="0.35">
      <c r="A1070">
        <v>2014</v>
      </c>
      <c r="B1070" t="s">
        <v>282</v>
      </c>
      <c r="C1070" t="s">
        <v>154</v>
      </c>
      <c r="D1070" t="s">
        <v>160</v>
      </c>
      <c r="E1070" s="23">
        <v>1355388.94</v>
      </c>
      <c r="F1070" s="23">
        <v>785289.27</v>
      </c>
      <c r="G1070" s="23">
        <v>790205.19</v>
      </c>
      <c r="H1070" s="23">
        <v>506786.06</v>
      </c>
    </row>
    <row r="1071" spans="1:8" x14ac:dyDescent="0.35">
      <c r="A1071">
        <v>2014</v>
      </c>
      <c r="B1071" t="s">
        <v>283</v>
      </c>
      <c r="C1071" t="s">
        <v>154</v>
      </c>
      <c r="D1071" t="s">
        <v>155</v>
      </c>
      <c r="E1071" s="23">
        <v>1904768.44</v>
      </c>
      <c r="F1071" s="23">
        <v>3160365.44</v>
      </c>
      <c r="G1071" s="23">
        <v>905236.85</v>
      </c>
      <c r="H1071" s="23">
        <v>1005905.98</v>
      </c>
    </row>
    <row r="1072" spans="1:8" x14ac:dyDescent="0.35">
      <c r="A1072">
        <v>2014</v>
      </c>
      <c r="B1072" t="s">
        <v>285</v>
      </c>
      <c r="C1072" t="s">
        <v>154</v>
      </c>
      <c r="D1072" t="s">
        <v>155</v>
      </c>
      <c r="E1072" s="23">
        <v>494822.37599999999</v>
      </c>
      <c r="F1072" s="23">
        <v>443180.52399999998</v>
      </c>
      <c r="G1072" s="23">
        <v>66770.36</v>
      </c>
      <c r="H1072" s="23">
        <v>218180.56</v>
      </c>
    </row>
    <row r="1073" spans="1:8" x14ac:dyDescent="0.35">
      <c r="A1073">
        <v>2014</v>
      </c>
      <c r="B1073" t="s">
        <v>287</v>
      </c>
      <c r="C1073" t="s">
        <v>154</v>
      </c>
      <c r="D1073" t="s">
        <v>158</v>
      </c>
      <c r="E1073" s="23">
        <v>1195548.6100000001</v>
      </c>
      <c r="F1073" s="23">
        <v>2094583.64</v>
      </c>
      <c r="G1073" s="23">
        <v>182492.03</v>
      </c>
      <c r="H1073" s="23">
        <v>431289.82</v>
      </c>
    </row>
    <row r="1074" spans="1:8" x14ac:dyDescent="0.35">
      <c r="A1074">
        <v>2014</v>
      </c>
      <c r="B1074" t="s">
        <v>289</v>
      </c>
      <c r="C1074" t="s">
        <v>154</v>
      </c>
      <c r="D1074" t="s">
        <v>160</v>
      </c>
      <c r="E1074" s="23">
        <v>311731.96000000002</v>
      </c>
      <c r="F1074" s="23">
        <v>0</v>
      </c>
      <c r="G1074" s="23">
        <v>0</v>
      </c>
      <c r="H1074" s="23">
        <v>0</v>
      </c>
    </row>
    <row r="1075" spans="1:8" x14ac:dyDescent="0.35">
      <c r="A1075">
        <v>2014</v>
      </c>
      <c r="B1075" t="s">
        <v>291</v>
      </c>
      <c r="C1075" t="s">
        <v>154</v>
      </c>
      <c r="D1075" t="s">
        <v>158</v>
      </c>
      <c r="E1075" s="23">
        <v>508651.07</v>
      </c>
      <c r="F1075" s="23">
        <v>4561225.18</v>
      </c>
      <c r="G1075" s="23">
        <v>276234.06</v>
      </c>
      <c r="H1075" s="23">
        <v>3728527.97</v>
      </c>
    </row>
    <row r="1076" spans="1:8" x14ac:dyDescent="0.35">
      <c r="A1076">
        <v>2014</v>
      </c>
      <c r="B1076" t="s">
        <v>296</v>
      </c>
      <c r="C1076" t="s">
        <v>154</v>
      </c>
      <c r="D1076" t="s">
        <v>155</v>
      </c>
      <c r="E1076" s="23">
        <v>3421392.55</v>
      </c>
      <c r="F1076" s="23">
        <v>2483220.15</v>
      </c>
      <c r="G1076" s="23">
        <v>17920</v>
      </c>
      <c r="H1076" s="23">
        <v>1666584.33</v>
      </c>
    </row>
    <row r="1077" spans="1:8" x14ac:dyDescent="0.35">
      <c r="A1077">
        <v>2014</v>
      </c>
      <c r="B1077" t="s">
        <v>293</v>
      </c>
      <c r="C1077" t="s">
        <v>154</v>
      </c>
      <c r="D1077" t="s">
        <v>158</v>
      </c>
      <c r="E1077" s="23">
        <v>639100.77</v>
      </c>
      <c r="F1077" s="23">
        <v>598940.37</v>
      </c>
      <c r="G1077" s="23">
        <v>0</v>
      </c>
      <c r="H1077" s="23">
        <v>0</v>
      </c>
    </row>
    <row r="1078" spans="1:8" x14ac:dyDescent="0.35">
      <c r="A1078">
        <v>2014</v>
      </c>
      <c r="B1078" t="s">
        <v>295</v>
      </c>
      <c r="C1078" t="s">
        <v>154</v>
      </c>
      <c r="D1078" t="s">
        <v>158</v>
      </c>
      <c r="E1078" s="23">
        <v>8586958.6699999999</v>
      </c>
      <c r="F1078" s="23">
        <v>6974604.9900000002</v>
      </c>
      <c r="G1078" s="23">
        <v>48732</v>
      </c>
      <c r="H1078" s="23">
        <v>60025.29</v>
      </c>
    </row>
    <row r="1079" spans="1:8" x14ac:dyDescent="0.35">
      <c r="A1079">
        <v>2013</v>
      </c>
      <c r="B1079" t="s">
        <v>153</v>
      </c>
      <c r="C1079" t="s">
        <v>154</v>
      </c>
      <c r="D1079" t="s">
        <v>155</v>
      </c>
      <c r="E1079" s="23">
        <v>438383.55</v>
      </c>
      <c r="F1079" s="23">
        <v>1998903.03</v>
      </c>
      <c r="G1079" s="23">
        <v>191253.83</v>
      </c>
      <c r="H1079" s="23">
        <v>590983.27</v>
      </c>
    </row>
    <row r="1080" spans="1:8" x14ac:dyDescent="0.35">
      <c r="A1080">
        <v>2013</v>
      </c>
      <c r="B1080" t="s">
        <v>162</v>
      </c>
      <c r="C1080" t="s">
        <v>163</v>
      </c>
      <c r="D1080" t="s">
        <v>158</v>
      </c>
      <c r="E1080" s="23">
        <v>299259.84999999998</v>
      </c>
      <c r="F1080" s="23">
        <v>2825076.17</v>
      </c>
      <c r="G1080" s="23">
        <v>0</v>
      </c>
      <c r="H1080" s="23">
        <v>0</v>
      </c>
    </row>
    <row r="1081" spans="1:8" x14ac:dyDescent="0.35">
      <c r="A1081">
        <v>2013</v>
      </c>
      <c r="B1081" t="s">
        <v>164</v>
      </c>
      <c r="C1081" t="s">
        <v>154</v>
      </c>
      <c r="D1081" t="s">
        <v>165</v>
      </c>
      <c r="E1081" s="23">
        <v>1454095.23</v>
      </c>
      <c r="F1081" s="23">
        <v>3091655.54</v>
      </c>
      <c r="G1081" s="23">
        <v>800770.16</v>
      </c>
      <c r="H1081" s="23">
        <v>1687788.27</v>
      </c>
    </row>
    <row r="1082" spans="1:8" x14ac:dyDescent="0.35">
      <c r="A1082">
        <v>2013</v>
      </c>
      <c r="B1082" t="s">
        <v>167</v>
      </c>
      <c r="C1082" t="s">
        <v>154</v>
      </c>
      <c r="D1082" t="s">
        <v>155</v>
      </c>
      <c r="E1082" s="23">
        <v>1588657.81</v>
      </c>
      <c r="F1082" s="23">
        <v>7580771.8899999997</v>
      </c>
      <c r="G1082" s="23">
        <v>616665.75</v>
      </c>
      <c r="H1082" s="23">
        <v>1298424.21</v>
      </c>
    </row>
    <row r="1083" spans="1:8" x14ac:dyDescent="0.35">
      <c r="A1083">
        <v>2013</v>
      </c>
      <c r="B1083" t="s">
        <v>168</v>
      </c>
      <c r="C1083" t="s">
        <v>154</v>
      </c>
      <c r="D1083" t="s">
        <v>158</v>
      </c>
      <c r="E1083" s="23">
        <v>1495030.14</v>
      </c>
      <c r="F1083" s="23">
        <v>8637852.7899999991</v>
      </c>
      <c r="G1083" s="23">
        <v>1169186.01</v>
      </c>
      <c r="H1083" s="23">
        <v>5613456.1100000003</v>
      </c>
    </row>
    <row r="1084" spans="1:8" x14ac:dyDescent="0.35">
      <c r="A1084">
        <v>2013</v>
      </c>
      <c r="B1084" t="s">
        <v>169</v>
      </c>
      <c r="C1084" t="s">
        <v>154</v>
      </c>
      <c r="D1084" t="s">
        <v>160</v>
      </c>
      <c r="E1084" s="23">
        <v>363215.4</v>
      </c>
      <c r="F1084" s="23">
        <v>1234984.3899999999</v>
      </c>
      <c r="G1084" s="23">
        <v>222905</v>
      </c>
      <c r="H1084" s="23">
        <v>1093296.49</v>
      </c>
    </row>
    <row r="1085" spans="1:8" x14ac:dyDescent="0.35">
      <c r="A1085">
        <v>2013</v>
      </c>
      <c r="B1085" t="s">
        <v>170</v>
      </c>
      <c r="C1085" t="s">
        <v>154</v>
      </c>
      <c r="D1085" t="s">
        <v>160</v>
      </c>
      <c r="E1085" s="23">
        <v>336457.36</v>
      </c>
      <c r="F1085" s="23">
        <v>461477.15</v>
      </c>
      <c r="G1085" s="23">
        <v>105362</v>
      </c>
      <c r="H1085" s="23">
        <v>16600</v>
      </c>
    </row>
    <row r="1086" spans="1:8" x14ac:dyDescent="0.35">
      <c r="A1086">
        <v>2013</v>
      </c>
      <c r="B1086" t="s">
        <v>171</v>
      </c>
      <c r="C1086" t="s">
        <v>154</v>
      </c>
      <c r="D1086" t="s">
        <v>158</v>
      </c>
      <c r="E1086" s="23">
        <v>206967.24</v>
      </c>
      <c r="F1086" s="23">
        <v>1189677.1599999999</v>
      </c>
      <c r="G1086" s="23">
        <v>206967.24</v>
      </c>
      <c r="H1086" s="23">
        <v>1189677.1599999999</v>
      </c>
    </row>
    <row r="1087" spans="1:8" x14ac:dyDescent="0.35">
      <c r="A1087">
        <v>2013</v>
      </c>
      <c r="B1087" t="s">
        <v>173</v>
      </c>
      <c r="C1087" t="s">
        <v>154</v>
      </c>
      <c r="D1087" t="s">
        <v>155</v>
      </c>
      <c r="E1087" s="23">
        <v>723790.06</v>
      </c>
      <c r="F1087" s="23">
        <v>1924475.16</v>
      </c>
      <c r="G1087" s="23">
        <v>53000</v>
      </c>
      <c r="H1087" s="23">
        <v>0</v>
      </c>
    </row>
    <row r="1088" spans="1:8" x14ac:dyDescent="0.35">
      <c r="A1088">
        <v>2013</v>
      </c>
      <c r="B1088" t="s">
        <v>299</v>
      </c>
      <c r="C1088" t="s">
        <v>154</v>
      </c>
      <c r="D1088" t="s">
        <v>158</v>
      </c>
      <c r="E1088" s="23">
        <v>0</v>
      </c>
      <c r="F1088" s="23">
        <v>0</v>
      </c>
      <c r="G1088" s="23">
        <v>0</v>
      </c>
      <c r="H1088" s="23">
        <v>0</v>
      </c>
    </row>
    <row r="1089" spans="1:8" x14ac:dyDescent="0.35">
      <c r="A1089">
        <v>2013</v>
      </c>
      <c r="B1089" t="s">
        <v>174</v>
      </c>
      <c r="C1089" t="s">
        <v>154</v>
      </c>
      <c r="D1089" t="s">
        <v>160</v>
      </c>
      <c r="E1089" s="23">
        <v>2159998.9</v>
      </c>
      <c r="F1089" s="23">
        <v>7840248.0700000003</v>
      </c>
      <c r="G1089" s="23">
        <v>275642.5</v>
      </c>
      <c r="H1089" s="23">
        <v>189460.25</v>
      </c>
    </row>
    <row r="1090" spans="1:8" x14ac:dyDescent="0.35">
      <c r="A1090">
        <v>2013</v>
      </c>
      <c r="B1090" t="s">
        <v>175</v>
      </c>
      <c r="C1090" t="s">
        <v>154</v>
      </c>
      <c r="D1090" t="s">
        <v>158</v>
      </c>
      <c r="E1090" s="23">
        <v>141209</v>
      </c>
      <c r="F1090" s="23">
        <v>590</v>
      </c>
      <c r="G1090" s="23">
        <v>96376</v>
      </c>
      <c r="H1090" s="23">
        <v>590</v>
      </c>
    </row>
    <row r="1091" spans="1:8" x14ac:dyDescent="0.35">
      <c r="A1091">
        <v>2013</v>
      </c>
      <c r="B1091" t="s">
        <v>177</v>
      </c>
      <c r="C1091" t="s">
        <v>154</v>
      </c>
      <c r="D1091" t="s">
        <v>160</v>
      </c>
      <c r="E1091" s="23">
        <v>2531598.2400000002</v>
      </c>
      <c r="F1091" s="23">
        <v>8767200.7799999993</v>
      </c>
      <c r="G1091" s="23">
        <v>248514.03</v>
      </c>
      <c r="H1091" s="23">
        <v>68641.2</v>
      </c>
    </row>
    <row r="1092" spans="1:8" x14ac:dyDescent="0.35">
      <c r="A1092">
        <v>2013</v>
      </c>
      <c r="B1092" t="s">
        <v>178</v>
      </c>
      <c r="C1092" t="s">
        <v>154</v>
      </c>
      <c r="D1092" t="s">
        <v>155</v>
      </c>
      <c r="E1092" s="23">
        <v>597092.61</v>
      </c>
      <c r="F1092" s="23">
        <v>977990.83</v>
      </c>
      <c r="G1092" s="23">
        <v>26923.040000000001</v>
      </c>
      <c r="H1092" s="23">
        <v>151313.96</v>
      </c>
    </row>
    <row r="1093" spans="1:8" x14ac:dyDescent="0.35">
      <c r="A1093">
        <v>2013</v>
      </c>
      <c r="B1093" t="s">
        <v>180</v>
      </c>
      <c r="C1093" t="s">
        <v>154</v>
      </c>
      <c r="D1093" t="s">
        <v>160</v>
      </c>
      <c r="E1093" s="23">
        <v>417381.37</v>
      </c>
      <c r="F1093" s="23">
        <v>461651.09</v>
      </c>
      <c r="G1093" s="23">
        <v>84567.2</v>
      </c>
      <c r="H1093" s="23">
        <v>44601.11</v>
      </c>
    </row>
    <row r="1094" spans="1:8" x14ac:dyDescent="0.35">
      <c r="A1094">
        <v>2013</v>
      </c>
      <c r="B1094" t="s">
        <v>181</v>
      </c>
      <c r="C1094" t="s">
        <v>154</v>
      </c>
      <c r="D1094" t="s">
        <v>155</v>
      </c>
      <c r="E1094" s="23">
        <v>2621958.86</v>
      </c>
      <c r="F1094" s="23">
        <v>12466144.48</v>
      </c>
      <c r="G1094" s="23">
        <v>792215.01</v>
      </c>
      <c r="H1094" s="23">
        <v>5140212.1900000004</v>
      </c>
    </row>
    <row r="1095" spans="1:8" x14ac:dyDescent="0.35">
      <c r="A1095">
        <v>2013</v>
      </c>
      <c r="B1095" t="s">
        <v>182</v>
      </c>
      <c r="C1095" t="s">
        <v>154</v>
      </c>
      <c r="D1095" t="s">
        <v>158</v>
      </c>
      <c r="E1095" s="23">
        <v>0</v>
      </c>
      <c r="F1095" s="23">
        <v>0</v>
      </c>
      <c r="G1095" s="23">
        <v>363695.71</v>
      </c>
      <c r="H1095" s="23">
        <v>4137109.79</v>
      </c>
    </row>
    <row r="1096" spans="1:8" x14ac:dyDescent="0.35">
      <c r="A1096">
        <v>2013</v>
      </c>
      <c r="B1096" t="s">
        <v>183</v>
      </c>
      <c r="C1096" t="s">
        <v>154</v>
      </c>
      <c r="D1096" t="s">
        <v>155</v>
      </c>
      <c r="E1096" s="23">
        <v>1953</v>
      </c>
      <c r="F1096" s="23">
        <v>0</v>
      </c>
      <c r="G1096" s="23">
        <v>0</v>
      </c>
      <c r="H1096" s="23">
        <v>0</v>
      </c>
    </row>
    <row r="1097" spans="1:8" x14ac:dyDescent="0.35">
      <c r="A1097">
        <v>2013</v>
      </c>
      <c r="B1097" t="s">
        <v>184</v>
      </c>
      <c r="C1097" t="s">
        <v>154</v>
      </c>
      <c r="D1097" t="s">
        <v>155</v>
      </c>
      <c r="E1097" s="23">
        <v>6410438</v>
      </c>
      <c r="F1097" s="23">
        <v>10143116.810000001</v>
      </c>
      <c r="G1097" s="23">
        <v>902294.23</v>
      </c>
      <c r="H1097" s="23">
        <v>4745895.45</v>
      </c>
    </row>
    <row r="1098" spans="1:8" x14ac:dyDescent="0.35">
      <c r="A1098">
        <v>2013</v>
      </c>
      <c r="B1098" t="s">
        <v>186</v>
      </c>
      <c r="C1098" t="s">
        <v>154</v>
      </c>
      <c r="D1098" t="s">
        <v>158</v>
      </c>
      <c r="E1098" s="23">
        <v>1451928.16</v>
      </c>
      <c r="F1098" s="23">
        <v>746775.44</v>
      </c>
      <c r="G1098" s="23">
        <v>752569.31</v>
      </c>
      <c r="H1098" s="23">
        <v>600773.07999999996</v>
      </c>
    </row>
    <row r="1099" spans="1:8" x14ac:dyDescent="0.35">
      <c r="A1099">
        <v>2013</v>
      </c>
      <c r="B1099" t="s">
        <v>187</v>
      </c>
      <c r="C1099" t="s">
        <v>154</v>
      </c>
      <c r="D1099" t="s">
        <v>158</v>
      </c>
      <c r="E1099" s="23">
        <v>81800.11</v>
      </c>
      <c r="F1099" s="23">
        <v>119882.58</v>
      </c>
      <c r="G1099" s="23">
        <v>490</v>
      </c>
      <c r="H1099" s="23">
        <v>0</v>
      </c>
    </row>
    <row r="1100" spans="1:8" x14ac:dyDescent="0.35">
      <c r="A1100">
        <v>2013</v>
      </c>
      <c r="B1100" t="s">
        <v>188</v>
      </c>
      <c r="C1100" t="s">
        <v>154</v>
      </c>
      <c r="D1100" t="s">
        <v>155</v>
      </c>
      <c r="E1100" s="23">
        <v>590527.12</v>
      </c>
      <c r="F1100" s="23">
        <v>2614962.88</v>
      </c>
      <c r="G1100" s="23">
        <v>154229.81</v>
      </c>
      <c r="H1100" s="23">
        <v>745770.19</v>
      </c>
    </row>
    <row r="1101" spans="1:8" x14ac:dyDescent="0.35">
      <c r="A1101">
        <v>2013</v>
      </c>
      <c r="B1101" t="s">
        <v>189</v>
      </c>
      <c r="C1101" t="s">
        <v>154</v>
      </c>
      <c r="D1101" t="s">
        <v>158</v>
      </c>
      <c r="E1101" s="23">
        <v>2654420.8199999998</v>
      </c>
      <c r="F1101" s="23">
        <v>8689168.1999999993</v>
      </c>
      <c r="G1101" s="23">
        <v>87245.58</v>
      </c>
      <c r="H1101" s="23">
        <v>473913.3</v>
      </c>
    </row>
    <row r="1102" spans="1:8" x14ac:dyDescent="0.35">
      <c r="A1102">
        <v>2013</v>
      </c>
      <c r="B1102" t="s">
        <v>190</v>
      </c>
      <c r="C1102" t="s">
        <v>154</v>
      </c>
      <c r="D1102" t="s">
        <v>155</v>
      </c>
      <c r="E1102" s="23">
        <v>2205916.4700000002</v>
      </c>
      <c r="F1102" s="23">
        <v>4009943.7</v>
      </c>
      <c r="G1102" s="23">
        <v>152510.25</v>
      </c>
      <c r="H1102" s="23">
        <v>358708.07</v>
      </c>
    </row>
    <row r="1103" spans="1:8" x14ac:dyDescent="0.35">
      <c r="A1103">
        <v>2013</v>
      </c>
      <c r="B1103" t="s">
        <v>300</v>
      </c>
      <c r="C1103" t="s">
        <v>154</v>
      </c>
      <c r="D1103" t="s">
        <v>158</v>
      </c>
      <c r="E1103" s="23">
        <v>3785.72</v>
      </c>
      <c r="F1103" s="23">
        <v>425.78</v>
      </c>
      <c r="G1103" s="23">
        <v>0</v>
      </c>
      <c r="H1103" s="23">
        <v>0</v>
      </c>
    </row>
    <row r="1104" spans="1:8" x14ac:dyDescent="0.35">
      <c r="A1104">
        <v>2013</v>
      </c>
      <c r="B1104" t="s">
        <v>192</v>
      </c>
      <c r="C1104" t="s">
        <v>154</v>
      </c>
      <c r="D1104" t="s">
        <v>160</v>
      </c>
      <c r="E1104" s="23">
        <v>877601.51</v>
      </c>
      <c r="F1104" s="23">
        <v>5041827.8</v>
      </c>
      <c r="G1104" s="23">
        <v>138700.03</v>
      </c>
      <c r="H1104" s="23">
        <v>1252028.06</v>
      </c>
    </row>
    <row r="1105" spans="1:8" x14ac:dyDescent="0.35">
      <c r="A1105">
        <v>2013</v>
      </c>
      <c r="B1105" t="s">
        <v>196</v>
      </c>
      <c r="C1105" t="s">
        <v>154</v>
      </c>
      <c r="D1105" t="s">
        <v>155</v>
      </c>
      <c r="E1105" s="23">
        <v>503303.1</v>
      </c>
      <c r="F1105" s="23">
        <v>711172.71</v>
      </c>
      <c r="G1105" s="23">
        <v>394226.72</v>
      </c>
      <c r="H1105" s="23">
        <v>562010.56000000006</v>
      </c>
    </row>
    <row r="1106" spans="1:8" x14ac:dyDescent="0.35">
      <c r="A1106">
        <v>2013</v>
      </c>
      <c r="B1106" t="s">
        <v>197</v>
      </c>
      <c r="C1106" t="s">
        <v>154</v>
      </c>
      <c r="D1106" t="s">
        <v>160</v>
      </c>
      <c r="E1106" s="23">
        <v>129526.16</v>
      </c>
      <c r="F1106" s="23">
        <v>101407.94</v>
      </c>
      <c r="G1106" s="23">
        <v>909.9</v>
      </c>
      <c r="H1106" s="23">
        <v>1978.44</v>
      </c>
    </row>
    <row r="1107" spans="1:8" x14ac:dyDescent="0.35">
      <c r="A1107">
        <v>2013</v>
      </c>
      <c r="B1107" t="s">
        <v>198</v>
      </c>
      <c r="C1107" t="s">
        <v>154</v>
      </c>
      <c r="D1107" t="s">
        <v>160</v>
      </c>
      <c r="E1107" s="23">
        <v>2115198.08</v>
      </c>
      <c r="F1107" s="23">
        <v>13892752.51</v>
      </c>
      <c r="G1107" s="23">
        <v>455529.65</v>
      </c>
      <c r="H1107" s="23">
        <v>1582990.89</v>
      </c>
    </row>
    <row r="1108" spans="1:8" x14ac:dyDescent="0.35">
      <c r="A1108">
        <v>2013</v>
      </c>
      <c r="B1108" t="s">
        <v>199</v>
      </c>
      <c r="C1108" t="s">
        <v>154</v>
      </c>
      <c r="D1108" t="s">
        <v>160</v>
      </c>
      <c r="E1108" s="23">
        <v>360377.57</v>
      </c>
      <c r="F1108" s="23">
        <v>1268078.77</v>
      </c>
      <c r="G1108" s="23">
        <v>36096.400000000001</v>
      </c>
      <c r="H1108" s="23">
        <v>249313.99</v>
      </c>
    </row>
    <row r="1109" spans="1:8" x14ac:dyDescent="0.35">
      <c r="A1109">
        <v>2013</v>
      </c>
      <c r="B1109" t="s">
        <v>200</v>
      </c>
      <c r="C1109" t="s">
        <v>154</v>
      </c>
      <c r="D1109" t="s">
        <v>158</v>
      </c>
      <c r="E1109" s="23">
        <v>261693.02</v>
      </c>
      <c r="F1109" s="23">
        <v>70769.759999999995</v>
      </c>
      <c r="G1109" s="23">
        <v>0</v>
      </c>
      <c r="H1109" s="23">
        <v>0</v>
      </c>
    </row>
    <row r="1110" spans="1:8" x14ac:dyDescent="0.35">
      <c r="A1110">
        <v>2013</v>
      </c>
      <c r="B1110" t="s">
        <v>201</v>
      </c>
      <c r="C1110" t="s">
        <v>154</v>
      </c>
      <c r="D1110" t="s">
        <v>160</v>
      </c>
      <c r="E1110" s="23">
        <v>0</v>
      </c>
      <c r="F1110" s="23">
        <v>0</v>
      </c>
      <c r="G1110" s="23">
        <v>1922520.24</v>
      </c>
      <c r="H1110" s="23">
        <v>28678.73</v>
      </c>
    </row>
    <row r="1111" spans="1:8" x14ac:dyDescent="0.35">
      <c r="A1111">
        <v>2013</v>
      </c>
      <c r="B1111" t="s">
        <v>202</v>
      </c>
      <c r="C1111" t="s">
        <v>154</v>
      </c>
      <c r="D1111" t="s">
        <v>155</v>
      </c>
      <c r="E1111" s="23">
        <v>2143770.2200000002</v>
      </c>
      <c r="F1111" s="23">
        <v>4714673.1100000003</v>
      </c>
      <c r="G1111" s="23">
        <v>229616.92</v>
      </c>
      <c r="H1111" s="23">
        <v>95677.17</v>
      </c>
    </row>
    <row r="1112" spans="1:8" x14ac:dyDescent="0.35">
      <c r="A1112">
        <v>2013</v>
      </c>
      <c r="B1112" t="s">
        <v>203</v>
      </c>
      <c r="C1112" t="s">
        <v>154</v>
      </c>
      <c r="D1112" t="s">
        <v>160</v>
      </c>
      <c r="E1112" s="23">
        <v>2065888.98</v>
      </c>
      <c r="F1112" s="23">
        <v>10706085.85</v>
      </c>
      <c r="G1112" s="23">
        <v>233163.29</v>
      </c>
      <c r="H1112" s="23">
        <v>2188992.37</v>
      </c>
    </row>
    <row r="1113" spans="1:8" x14ac:dyDescent="0.35">
      <c r="A1113">
        <v>2013</v>
      </c>
      <c r="B1113" t="s">
        <v>204</v>
      </c>
      <c r="C1113" t="s">
        <v>154</v>
      </c>
      <c r="D1113" t="s">
        <v>158</v>
      </c>
      <c r="E1113" s="23">
        <v>848285.91</v>
      </c>
      <c r="F1113" s="23">
        <v>1777872.17</v>
      </c>
      <c r="G1113" s="23">
        <v>111201.08</v>
      </c>
      <c r="H1113" s="23">
        <v>36569.85</v>
      </c>
    </row>
    <row r="1114" spans="1:8" x14ac:dyDescent="0.35">
      <c r="A1114">
        <v>2013</v>
      </c>
      <c r="B1114" t="s">
        <v>205</v>
      </c>
      <c r="C1114" t="s">
        <v>154</v>
      </c>
      <c r="D1114" t="s">
        <v>160</v>
      </c>
      <c r="E1114" s="23">
        <v>172165.44</v>
      </c>
      <c r="F1114" s="23">
        <v>215994.83</v>
      </c>
      <c r="G1114" s="23">
        <v>33102.089999999997</v>
      </c>
      <c r="H1114" s="23">
        <v>1831.29</v>
      </c>
    </row>
    <row r="1115" spans="1:8" x14ac:dyDescent="0.35">
      <c r="A1115">
        <v>2013</v>
      </c>
      <c r="B1115" t="s">
        <v>206</v>
      </c>
      <c r="C1115" t="s">
        <v>154</v>
      </c>
      <c r="D1115" t="s">
        <v>158</v>
      </c>
      <c r="E1115" s="23">
        <v>667717.97</v>
      </c>
      <c r="F1115" s="23">
        <v>540079.43999999994</v>
      </c>
      <c r="G1115" s="23">
        <v>20000</v>
      </c>
      <c r="H1115" s="23">
        <v>0</v>
      </c>
    </row>
    <row r="1116" spans="1:8" x14ac:dyDescent="0.35">
      <c r="A1116">
        <v>2013</v>
      </c>
      <c r="B1116" t="s">
        <v>209</v>
      </c>
      <c r="C1116" t="s">
        <v>154</v>
      </c>
      <c r="D1116" t="s">
        <v>158</v>
      </c>
      <c r="E1116" s="23">
        <v>1370162.97</v>
      </c>
      <c r="F1116" s="23">
        <v>2808783.07</v>
      </c>
      <c r="G1116" s="23">
        <v>195756.38</v>
      </c>
      <c r="H1116" s="23">
        <v>527407.59</v>
      </c>
    </row>
    <row r="1117" spans="1:8" x14ac:dyDescent="0.35">
      <c r="A1117">
        <v>2013</v>
      </c>
      <c r="B1117" t="s">
        <v>210</v>
      </c>
      <c r="C1117" t="s">
        <v>154</v>
      </c>
      <c r="D1117" t="s">
        <v>158</v>
      </c>
      <c r="E1117" s="23">
        <v>1976432.05</v>
      </c>
      <c r="F1117" s="23">
        <v>2080555.39</v>
      </c>
      <c r="G1117" s="23">
        <v>41987.96</v>
      </c>
      <c r="H1117" s="23">
        <v>271.36</v>
      </c>
    </row>
    <row r="1118" spans="1:8" x14ac:dyDescent="0.35">
      <c r="A1118">
        <v>2013</v>
      </c>
      <c r="B1118" t="s">
        <v>212</v>
      </c>
      <c r="C1118" t="s">
        <v>154</v>
      </c>
      <c r="D1118" t="s">
        <v>160</v>
      </c>
      <c r="E1118" s="23">
        <v>1664948.85</v>
      </c>
      <c r="F1118" s="23">
        <v>3052291.99</v>
      </c>
      <c r="G1118" s="23">
        <v>350501</v>
      </c>
      <c r="H1118" s="23">
        <v>63438.5</v>
      </c>
    </row>
    <row r="1119" spans="1:8" x14ac:dyDescent="0.35">
      <c r="A1119">
        <v>2013</v>
      </c>
      <c r="B1119" t="s">
        <v>214</v>
      </c>
      <c r="C1119" t="s">
        <v>154</v>
      </c>
      <c r="D1119" t="s">
        <v>158</v>
      </c>
      <c r="E1119" s="23">
        <v>801759.74</v>
      </c>
      <c r="F1119" s="23">
        <v>237376.76</v>
      </c>
      <c r="G1119" s="23">
        <v>0</v>
      </c>
      <c r="H1119" s="23">
        <v>0</v>
      </c>
    </row>
    <row r="1120" spans="1:8" x14ac:dyDescent="0.35">
      <c r="A1120">
        <v>2013</v>
      </c>
      <c r="B1120" t="s">
        <v>215</v>
      </c>
      <c r="C1120" t="s">
        <v>154</v>
      </c>
      <c r="D1120" t="s">
        <v>160</v>
      </c>
      <c r="E1120" s="23">
        <v>0</v>
      </c>
      <c r="F1120" s="23">
        <v>0</v>
      </c>
      <c r="G1120" s="23">
        <v>77120.58</v>
      </c>
      <c r="H1120" s="23">
        <v>56860.42</v>
      </c>
    </row>
    <row r="1121" spans="1:8" x14ac:dyDescent="0.35">
      <c r="A1121">
        <v>2013</v>
      </c>
      <c r="B1121" t="s">
        <v>217</v>
      </c>
      <c r="C1121" t="s">
        <v>154</v>
      </c>
      <c r="D1121" t="s">
        <v>160</v>
      </c>
      <c r="E1121" s="23">
        <v>244139.49</v>
      </c>
      <c r="F1121" s="23">
        <v>658505.18999999994</v>
      </c>
      <c r="G1121" s="23">
        <v>3081.59</v>
      </c>
      <c r="H1121" s="23">
        <v>34100.050000000003</v>
      </c>
    </row>
    <row r="1122" spans="1:8" x14ac:dyDescent="0.35">
      <c r="A1122">
        <v>2013</v>
      </c>
      <c r="B1122" t="s">
        <v>218</v>
      </c>
      <c r="C1122" t="s">
        <v>154</v>
      </c>
      <c r="D1122" t="s">
        <v>158</v>
      </c>
      <c r="E1122" s="23">
        <v>626537.43000000005</v>
      </c>
      <c r="F1122" s="23">
        <v>4032011.88</v>
      </c>
      <c r="G1122" s="23">
        <v>90815</v>
      </c>
      <c r="H1122" s="23">
        <v>65820</v>
      </c>
    </row>
    <row r="1123" spans="1:8" x14ac:dyDescent="0.35">
      <c r="A1123">
        <v>2013</v>
      </c>
      <c r="B1123" t="s">
        <v>219</v>
      </c>
      <c r="C1123" t="s">
        <v>154</v>
      </c>
      <c r="D1123" t="s">
        <v>160</v>
      </c>
      <c r="E1123" s="23">
        <v>700430.53</v>
      </c>
      <c r="F1123" s="23">
        <v>3487274.06</v>
      </c>
      <c r="G1123" s="23">
        <v>174070</v>
      </c>
      <c r="H1123" s="23">
        <v>67774</v>
      </c>
    </row>
    <row r="1124" spans="1:8" x14ac:dyDescent="0.35">
      <c r="A1124">
        <v>2013</v>
      </c>
      <c r="B1124" t="s">
        <v>220</v>
      </c>
      <c r="C1124" t="s">
        <v>154</v>
      </c>
      <c r="D1124" t="s">
        <v>158</v>
      </c>
      <c r="E1124" s="23">
        <v>2472274.61</v>
      </c>
      <c r="F1124" s="23">
        <v>9019314.6400000006</v>
      </c>
      <c r="G1124" s="23">
        <v>102926.9</v>
      </c>
      <c r="H1124" s="23">
        <v>377531.26</v>
      </c>
    </row>
    <row r="1125" spans="1:8" x14ac:dyDescent="0.35">
      <c r="A1125">
        <v>2013</v>
      </c>
      <c r="B1125" t="s">
        <v>221</v>
      </c>
      <c r="C1125" t="s">
        <v>154</v>
      </c>
      <c r="D1125" t="s">
        <v>165</v>
      </c>
      <c r="E1125" s="23">
        <v>3784814.82</v>
      </c>
      <c r="F1125" s="23">
        <v>12896463.48</v>
      </c>
      <c r="G1125" s="23">
        <v>101518.88</v>
      </c>
      <c r="H1125" s="23">
        <v>257043.97</v>
      </c>
    </row>
    <row r="1126" spans="1:8" x14ac:dyDescent="0.35">
      <c r="A1126">
        <v>2013</v>
      </c>
      <c r="B1126" t="s">
        <v>223</v>
      </c>
      <c r="C1126" t="s">
        <v>163</v>
      </c>
      <c r="D1126" t="s">
        <v>160</v>
      </c>
      <c r="E1126" s="23">
        <v>114995.95</v>
      </c>
      <c r="F1126" s="23">
        <v>395368.75</v>
      </c>
      <c r="G1126" s="23">
        <v>46665</v>
      </c>
      <c r="H1126" s="23">
        <v>6615</v>
      </c>
    </row>
    <row r="1127" spans="1:8" x14ac:dyDescent="0.35">
      <c r="A1127">
        <v>2013</v>
      </c>
      <c r="B1127" t="s">
        <v>224</v>
      </c>
      <c r="C1127" t="s">
        <v>154</v>
      </c>
      <c r="D1127" t="s">
        <v>158</v>
      </c>
      <c r="E1127" s="23">
        <v>659096.07999999996</v>
      </c>
      <c r="F1127" s="23">
        <v>1937776.98</v>
      </c>
      <c r="G1127" s="23">
        <v>0</v>
      </c>
      <c r="H1127" s="23">
        <v>0</v>
      </c>
    </row>
    <row r="1128" spans="1:8" x14ac:dyDescent="0.35">
      <c r="A1128">
        <v>2013</v>
      </c>
      <c r="B1128" t="s">
        <v>225</v>
      </c>
      <c r="C1128" t="s">
        <v>154</v>
      </c>
      <c r="D1128" t="s">
        <v>160</v>
      </c>
      <c r="E1128" s="23">
        <v>0</v>
      </c>
      <c r="F1128" s="23">
        <v>0</v>
      </c>
      <c r="G1128" s="23">
        <v>16989.97</v>
      </c>
      <c r="H1128" s="23">
        <v>10744.43</v>
      </c>
    </row>
    <row r="1129" spans="1:8" x14ac:dyDescent="0.35">
      <c r="A1129">
        <v>2013</v>
      </c>
      <c r="B1129" t="s">
        <v>226</v>
      </c>
      <c r="C1129" t="s">
        <v>154</v>
      </c>
      <c r="D1129" t="s">
        <v>155</v>
      </c>
      <c r="E1129" s="23">
        <v>0</v>
      </c>
      <c r="F1129" s="23">
        <v>0</v>
      </c>
      <c r="G1129" s="23">
        <v>440.04</v>
      </c>
      <c r="H1129" s="23">
        <v>223.99</v>
      </c>
    </row>
    <row r="1130" spans="1:8" x14ac:dyDescent="0.35">
      <c r="A1130">
        <v>2013</v>
      </c>
      <c r="B1130" t="s">
        <v>227</v>
      </c>
      <c r="C1130" t="s">
        <v>154</v>
      </c>
      <c r="D1130" t="s">
        <v>158</v>
      </c>
      <c r="E1130" s="23">
        <v>0</v>
      </c>
      <c r="F1130" s="23">
        <v>0</v>
      </c>
      <c r="G1130" s="23">
        <v>136500.5</v>
      </c>
      <c r="H1130" s="23">
        <v>86483.67</v>
      </c>
    </row>
    <row r="1131" spans="1:8" x14ac:dyDescent="0.35">
      <c r="A1131">
        <v>2013</v>
      </c>
      <c r="B1131" t="s">
        <v>228</v>
      </c>
      <c r="C1131" t="s">
        <v>154</v>
      </c>
      <c r="D1131" t="s">
        <v>160</v>
      </c>
      <c r="E1131" s="23">
        <v>310441.67</v>
      </c>
      <c r="F1131" s="23">
        <v>1116011.04</v>
      </c>
      <c r="G1131" s="23">
        <v>233546.5</v>
      </c>
      <c r="H1131" s="23">
        <v>804509.94</v>
      </c>
    </row>
    <row r="1132" spans="1:8" x14ac:dyDescent="0.35">
      <c r="A1132">
        <v>2013</v>
      </c>
      <c r="B1132" t="s">
        <v>229</v>
      </c>
      <c r="C1132" t="s">
        <v>154</v>
      </c>
      <c r="D1132" t="s">
        <v>158</v>
      </c>
      <c r="E1132" s="23">
        <v>262879.87</v>
      </c>
      <c r="F1132" s="23">
        <v>1622922.64</v>
      </c>
      <c r="G1132" s="23">
        <v>5695.56</v>
      </c>
      <c r="H1132" s="23">
        <v>15866.54</v>
      </c>
    </row>
    <row r="1133" spans="1:8" x14ac:dyDescent="0.35">
      <c r="A1133">
        <v>2013</v>
      </c>
      <c r="B1133" t="s">
        <v>231</v>
      </c>
      <c r="C1133" t="s">
        <v>154</v>
      </c>
      <c r="D1133" t="s">
        <v>160</v>
      </c>
      <c r="E1133" s="23">
        <v>16380</v>
      </c>
      <c r="F1133" s="23">
        <v>0</v>
      </c>
      <c r="G1133" s="23">
        <v>0</v>
      </c>
      <c r="H1133" s="23">
        <v>0</v>
      </c>
    </row>
    <row r="1134" spans="1:8" x14ac:dyDescent="0.35">
      <c r="A1134">
        <v>2013</v>
      </c>
      <c r="B1134" t="s">
        <v>232</v>
      </c>
      <c r="C1134" t="s">
        <v>154</v>
      </c>
      <c r="D1134" t="s">
        <v>165</v>
      </c>
      <c r="E1134" s="23">
        <v>1092498.6499999999</v>
      </c>
      <c r="F1134" s="23">
        <v>1772324.94</v>
      </c>
      <c r="G1134" s="23">
        <v>818921.06</v>
      </c>
      <c r="H1134" s="23">
        <v>1680117.97</v>
      </c>
    </row>
    <row r="1135" spans="1:8" x14ac:dyDescent="0.35">
      <c r="A1135">
        <v>2013</v>
      </c>
      <c r="B1135" t="s">
        <v>233</v>
      </c>
      <c r="C1135" t="s">
        <v>154</v>
      </c>
      <c r="D1135" t="s">
        <v>155</v>
      </c>
      <c r="E1135" s="23">
        <v>762903.15</v>
      </c>
      <c r="F1135" s="23">
        <v>1500806.58</v>
      </c>
      <c r="G1135" s="23">
        <v>124840</v>
      </c>
      <c r="H1135" s="23">
        <v>693641.66</v>
      </c>
    </row>
    <row r="1136" spans="1:8" x14ac:dyDescent="0.35">
      <c r="A1136">
        <v>2013</v>
      </c>
      <c r="B1136" t="s">
        <v>234</v>
      </c>
      <c r="C1136" t="s">
        <v>154</v>
      </c>
      <c r="D1136" t="s">
        <v>160</v>
      </c>
      <c r="E1136" s="23">
        <v>2056974.1</v>
      </c>
      <c r="F1136" s="23">
        <v>9924062.6500000004</v>
      </c>
      <c r="G1136" s="23">
        <v>1013811.33</v>
      </c>
      <c r="H1136" s="23">
        <v>4739297.2699999996</v>
      </c>
    </row>
    <row r="1137" spans="1:8" x14ac:dyDescent="0.35">
      <c r="A1137">
        <v>2013</v>
      </c>
      <c r="B1137" t="s">
        <v>235</v>
      </c>
      <c r="C1137" t="s">
        <v>154</v>
      </c>
      <c r="D1137" t="s">
        <v>160</v>
      </c>
      <c r="E1137" s="23">
        <v>74085.09</v>
      </c>
      <c r="F1137" s="23">
        <v>537.91</v>
      </c>
      <c r="G1137" s="23">
        <v>901.99</v>
      </c>
      <c r="H1137" s="23">
        <v>295.41000000000003</v>
      </c>
    </row>
    <row r="1138" spans="1:8" x14ac:dyDescent="0.35">
      <c r="A1138">
        <v>2013</v>
      </c>
      <c r="B1138" t="s">
        <v>236</v>
      </c>
      <c r="C1138" t="s">
        <v>154</v>
      </c>
      <c r="D1138" t="s">
        <v>160</v>
      </c>
      <c r="E1138" s="23">
        <v>804201.13</v>
      </c>
      <c r="F1138" s="23">
        <v>5693452.5099999998</v>
      </c>
      <c r="G1138" s="23">
        <v>372866.6</v>
      </c>
      <c r="H1138" s="23">
        <v>1269995.08</v>
      </c>
    </row>
    <row r="1139" spans="1:8" x14ac:dyDescent="0.35">
      <c r="A1139">
        <v>2013</v>
      </c>
      <c r="B1139" t="s">
        <v>238</v>
      </c>
      <c r="C1139" t="s">
        <v>154</v>
      </c>
      <c r="D1139" t="s">
        <v>155</v>
      </c>
      <c r="E1139" s="23">
        <v>0</v>
      </c>
      <c r="F1139" s="23">
        <v>0</v>
      </c>
      <c r="G1139" s="23">
        <v>150395.73000000001</v>
      </c>
      <c r="H1139" s="23">
        <v>246924</v>
      </c>
    </row>
    <row r="1140" spans="1:8" x14ac:dyDescent="0.35">
      <c r="A1140">
        <v>2013</v>
      </c>
      <c r="B1140" t="s">
        <v>239</v>
      </c>
      <c r="C1140" t="s">
        <v>154</v>
      </c>
      <c r="D1140" t="s">
        <v>158</v>
      </c>
      <c r="E1140" s="23">
        <v>410816.05</v>
      </c>
      <c r="F1140" s="23">
        <v>413557.74</v>
      </c>
      <c r="G1140" s="23">
        <v>10728.82</v>
      </c>
      <c r="H1140" s="23">
        <v>79378.37</v>
      </c>
    </row>
    <row r="1141" spans="1:8" x14ac:dyDescent="0.35">
      <c r="A1141">
        <v>2013</v>
      </c>
      <c r="B1141" t="s">
        <v>243</v>
      </c>
      <c r="C1141" t="s">
        <v>154</v>
      </c>
      <c r="D1141" t="s">
        <v>165</v>
      </c>
      <c r="E1141" s="23">
        <v>341736.08</v>
      </c>
      <c r="F1141" s="23">
        <v>533396.59</v>
      </c>
      <c r="G1141" s="23">
        <v>139592.07999999999</v>
      </c>
      <c r="H1141" s="23">
        <v>144157.12</v>
      </c>
    </row>
    <row r="1142" spans="1:8" x14ac:dyDescent="0.35">
      <c r="A1142">
        <v>2013</v>
      </c>
      <c r="B1142" t="s">
        <v>245</v>
      </c>
      <c r="C1142" t="s">
        <v>154</v>
      </c>
      <c r="D1142" t="s">
        <v>155</v>
      </c>
      <c r="E1142" s="23">
        <v>1955622.06</v>
      </c>
      <c r="F1142" s="23">
        <v>4498467.07</v>
      </c>
      <c r="G1142" s="23">
        <v>339009.19</v>
      </c>
      <c r="H1142" s="23">
        <v>1121528.3899999999</v>
      </c>
    </row>
    <row r="1143" spans="1:8" x14ac:dyDescent="0.35">
      <c r="A1143">
        <v>2013</v>
      </c>
      <c r="B1143" t="s">
        <v>246</v>
      </c>
      <c r="C1143" t="s">
        <v>154</v>
      </c>
      <c r="D1143" t="s">
        <v>155</v>
      </c>
      <c r="E1143" s="23">
        <v>256653.81</v>
      </c>
      <c r="F1143" s="23">
        <v>1874593.07</v>
      </c>
      <c r="G1143" s="23">
        <v>26456.25</v>
      </c>
      <c r="H1143" s="23">
        <v>28426.62</v>
      </c>
    </row>
    <row r="1144" spans="1:8" x14ac:dyDescent="0.35">
      <c r="A1144">
        <v>2013</v>
      </c>
      <c r="B1144" t="s">
        <v>247</v>
      </c>
      <c r="C1144" t="s">
        <v>154</v>
      </c>
      <c r="D1144" t="s">
        <v>160</v>
      </c>
      <c r="E1144" s="23">
        <v>22712193.359999999</v>
      </c>
      <c r="F1144" s="23">
        <v>13996672.33</v>
      </c>
      <c r="G1144" s="23">
        <v>13301901.41</v>
      </c>
      <c r="H1144" s="23">
        <v>197005.33</v>
      </c>
    </row>
    <row r="1145" spans="1:8" x14ac:dyDescent="0.35">
      <c r="A1145">
        <v>2013</v>
      </c>
      <c r="B1145" t="s">
        <v>248</v>
      </c>
      <c r="C1145" t="s">
        <v>154</v>
      </c>
      <c r="D1145" t="s">
        <v>160</v>
      </c>
      <c r="E1145" s="23">
        <v>2501695.62</v>
      </c>
      <c r="F1145" s="23">
        <v>34577398.469999999</v>
      </c>
      <c r="G1145" s="23">
        <v>6520.83</v>
      </c>
      <c r="H1145" s="23">
        <v>794.67</v>
      </c>
    </row>
    <row r="1146" spans="1:8" x14ac:dyDescent="0.35">
      <c r="A1146">
        <v>2013</v>
      </c>
      <c r="B1146" t="s">
        <v>249</v>
      </c>
      <c r="C1146" t="s">
        <v>154</v>
      </c>
      <c r="D1146" t="s">
        <v>160</v>
      </c>
      <c r="E1146" s="23">
        <v>5009762.21</v>
      </c>
      <c r="F1146" s="23">
        <v>13848478.869999999</v>
      </c>
      <c r="G1146" s="23">
        <v>503957.59</v>
      </c>
      <c r="H1146" s="23">
        <v>1723844.49</v>
      </c>
    </row>
    <row r="1147" spans="1:8" x14ac:dyDescent="0.35">
      <c r="A1147">
        <v>2013</v>
      </c>
      <c r="B1147" t="s">
        <v>252</v>
      </c>
      <c r="C1147" t="s">
        <v>154</v>
      </c>
      <c r="D1147" t="s">
        <v>160</v>
      </c>
      <c r="E1147" s="23">
        <v>0</v>
      </c>
      <c r="F1147" s="23">
        <v>0</v>
      </c>
      <c r="G1147" s="23">
        <v>40088.199999999997</v>
      </c>
      <c r="H1147" s="23">
        <v>79281.100000000006</v>
      </c>
    </row>
    <row r="1148" spans="1:8" x14ac:dyDescent="0.35">
      <c r="A1148">
        <v>2013</v>
      </c>
      <c r="B1148" t="s">
        <v>253</v>
      </c>
      <c r="C1148" t="s">
        <v>154</v>
      </c>
      <c r="D1148" t="s">
        <v>160</v>
      </c>
      <c r="E1148" s="23">
        <v>0</v>
      </c>
      <c r="F1148" s="23">
        <v>0</v>
      </c>
      <c r="G1148" s="23">
        <v>480121.32</v>
      </c>
      <c r="H1148" s="23">
        <v>443916.26</v>
      </c>
    </row>
    <row r="1149" spans="1:8" x14ac:dyDescent="0.35">
      <c r="A1149">
        <v>2013</v>
      </c>
      <c r="B1149" t="s">
        <v>254</v>
      </c>
      <c r="C1149" t="s">
        <v>154</v>
      </c>
      <c r="D1149" t="s">
        <v>155</v>
      </c>
      <c r="E1149" s="23">
        <v>2091288.36</v>
      </c>
      <c r="F1149" s="23">
        <v>4578523.47</v>
      </c>
      <c r="G1149" s="23">
        <v>525035.51</v>
      </c>
      <c r="H1149" s="23">
        <v>429474.89</v>
      </c>
    </row>
    <row r="1150" spans="1:8" x14ac:dyDescent="0.35">
      <c r="A1150">
        <v>2013</v>
      </c>
      <c r="B1150" t="s">
        <v>255</v>
      </c>
      <c r="C1150" t="s">
        <v>154</v>
      </c>
      <c r="D1150" t="s">
        <v>160</v>
      </c>
      <c r="E1150" s="23">
        <v>275183.13</v>
      </c>
      <c r="F1150" s="23">
        <v>302943.71999999997</v>
      </c>
      <c r="G1150" s="23">
        <v>141495.17000000001</v>
      </c>
      <c r="H1150" s="23">
        <v>82456.14</v>
      </c>
    </row>
    <row r="1151" spans="1:8" x14ac:dyDescent="0.35">
      <c r="A1151">
        <v>2013</v>
      </c>
      <c r="B1151" t="s">
        <v>257</v>
      </c>
      <c r="C1151" t="s">
        <v>154</v>
      </c>
      <c r="D1151" t="s">
        <v>160</v>
      </c>
      <c r="E1151" s="23">
        <v>569406.81999999995</v>
      </c>
      <c r="F1151" s="23">
        <v>1525372.93</v>
      </c>
      <c r="G1151" s="23">
        <v>309708.82</v>
      </c>
      <c r="H1151" s="23">
        <v>60508.93</v>
      </c>
    </row>
    <row r="1152" spans="1:8" x14ac:dyDescent="0.35">
      <c r="A1152">
        <v>2013</v>
      </c>
      <c r="B1152" t="s">
        <v>258</v>
      </c>
      <c r="C1152" t="s">
        <v>154</v>
      </c>
      <c r="D1152" t="s">
        <v>160</v>
      </c>
      <c r="E1152" s="23">
        <v>1553966.11</v>
      </c>
      <c r="F1152" s="23">
        <v>1174335.42</v>
      </c>
      <c r="G1152" s="23">
        <v>1306171.8600000001</v>
      </c>
      <c r="H1152" s="23">
        <v>1031780.92</v>
      </c>
    </row>
    <row r="1153" spans="1:8" x14ac:dyDescent="0.35">
      <c r="A1153">
        <v>2013</v>
      </c>
      <c r="B1153" t="s">
        <v>260</v>
      </c>
      <c r="C1153" t="s">
        <v>154</v>
      </c>
      <c r="D1153" t="s">
        <v>158</v>
      </c>
      <c r="E1153" s="23">
        <v>1287000.96</v>
      </c>
      <c r="F1153" s="23">
        <v>5786662.0499999998</v>
      </c>
      <c r="G1153" s="23">
        <v>83590.02</v>
      </c>
      <c r="H1153" s="23">
        <v>67971.98</v>
      </c>
    </row>
    <row r="1154" spans="1:8" x14ac:dyDescent="0.35">
      <c r="A1154">
        <v>2013</v>
      </c>
      <c r="B1154" t="s">
        <v>261</v>
      </c>
      <c r="C1154" t="s">
        <v>154</v>
      </c>
      <c r="D1154" t="s">
        <v>158</v>
      </c>
      <c r="E1154" s="23">
        <v>429677.69</v>
      </c>
      <c r="F1154" s="23">
        <v>1259292.06</v>
      </c>
      <c r="G1154" s="23">
        <v>145002.67000000001</v>
      </c>
      <c r="H1154" s="23">
        <v>386051.83</v>
      </c>
    </row>
    <row r="1155" spans="1:8" x14ac:dyDescent="0.35">
      <c r="A1155">
        <v>2013</v>
      </c>
      <c r="B1155" t="s">
        <v>262</v>
      </c>
      <c r="C1155" t="s">
        <v>154</v>
      </c>
      <c r="D1155" t="s">
        <v>155</v>
      </c>
      <c r="E1155" s="23">
        <v>56756.160000000003</v>
      </c>
      <c r="F1155" s="23">
        <v>32796.17</v>
      </c>
      <c r="G1155" s="23">
        <v>48859.22</v>
      </c>
      <c r="H1155" s="23">
        <v>32796.17</v>
      </c>
    </row>
    <row r="1156" spans="1:8" x14ac:dyDescent="0.35">
      <c r="A1156">
        <v>2013</v>
      </c>
      <c r="B1156" t="s">
        <v>264</v>
      </c>
      <c r="C1156" t="s">
        <v>154</v>
      </c>
      <c r="D1156" t="s">
        <v>160</v>
      </c>
      <c r="E1156" s="23">
        <v>485418.58</v>
      </c>
      <c r="F1156" s="23">
        <v>338520.17</v>
      </c>
      <c r="G1156" s="23">
        <v>485418.58</v>
      </c>
      <c r="H1156" s="23">
        <v>338520.17</v>
      </c>
    </row>
    <row r="1157" spans="1:8" x14ac:dyDescent="0.35">
      <c r="A1157">
        <v>2013</v>
      </c>
      <c r="B1157" t="s">
        <v>266</v>
      </c>
      <c r="C1157" t="s">
        <v>154</v>
      </c>
      <c r="D1157" t="s">
        <v>158</v>
      </c>
      <c r="E1157" s="23">
        <v>517823.34</v>
      </c>
      <c r="F1157" s="23">
        <v>1099374.71</v>
      </c>
      <c r="G1157" s="23">
        <v>0</v>
      </c>
      <c r="H1157" s="23">
        <v>0</v>
      </c>
    </row>
    <row r="1158" spans="1:8" x14ac:dyDescent="0.35">
      <c r="A1158">
        <v>2013</v>
      </c>
      <c r="B1158" t="s">
        <v>267</v>
      </c>
      <c r="C1158" t="s">
        <v>154</v>
      </c>
      <c r="D1158" t="s">
        <v>160</v>
      </c>
      <c r="E1158" s="23">
        <v>563503.93000000005</v>
      </c>
      <c r="F1158" s="23">
        <v>456081.76</v>
      </c>
      <c r="G1158" s="23">
        <v>5966.25</v>
      </c>
      <c r="H1158" s="23">
        <v>55327</v>
      </c>
    </row>
    <row r="1159" spans="1:8" x14ac:dyDescent="0.35">
      <c r="A1159">
        <v>2013</v>
      </c>
      <c r="B1159" t="s">
        <v>298</v>
      </c>
      <c r="C1159" t="s">
        <v>154</v>
      </c>
      <c r="D1159" t="s">
        <v>160</v>
      </c>
      <c r="E1159" s="23">
        <v>100656.6</v>
      </c>
      <c r="F1159" s="23">
        <v>653460.63</v>
      </c>
      <c r="G1159" s="23">
        <v>94255.7</v>
      </c>
      <c r="H1159" s="23">
        <v>420297.8</v>
      </c>
    </row>
    <row r="1160" spans="1:8" x14ac:dyDescent="0.35">
      <c r="A1160">
        <v>2013</v>
      </c>
      <c r="B1160" t="s">
        <v>268</v>
      </c>
      <c r="C1160" t="s">
        <v>154</v>
      </c>
      <c r="D1160" t="s">
        <v>160</v>
      </c>
      <c r="E1160" s="23">
        <v>0</v>
      </c>
      <c r="F1160" s="23">
        <v>0</v>
      </c>
      <c r="G1160" s="23">
        <v>0</v>
      </c>
      <c r="H1160" s="23">
        <v>5000</v>
      </c>
    </row>
    <row r="1161" spans="1:8" x14ac:dyDescent="0.35">
      <c r="A1161">
        <v>2013</v>
      </c>
      <c r="B1161" t="s">
        <v>272</v>
      </c>
      <c r="C1161" t="s">
        <v>154</v>
      </c>
      <c r="D1161" t="s">
        <v>160</v>
      </c>
      <c r="E1161" s="23">
        <v>427143.53</v>
      </c>
      <c r="F1161" s="23">
        <v>111876.58</v>
      </c>
      <c r="G1161" s="23">
        <v>51817.760000000002</v>
      </c>
      <c r="H1161" s="23">
        <v>20617.98</v>
      </c>
    </row>
    <row r="1162" spans="1:8" x14ac:dyDescent="0.35">
      <c r="A1162">
        <v>2013</v>
      </c>
      <c r="B1162" t="s">
        <v>273</v>
      </c>
      <c r="C1162" t="s">
        <v>154</v>
      </c>
      <c r="D1162" t="s">
        <v>155</v>
      </c>
      <c r="E1162" s="23">
        <v>2352021.2200000002</v>
      </c>
      <c r="F1162" s="23">
        <v>9406162.5899999999</v>
      </c>
      <c r="G1162" s="23">
        <v>451792.92</v>
      </c>
      <c r="H1162" s="23">
        <v>297218.71000000002</v>
      </c>
    </row>
    <row r="1163" spans="1:8" x14ac:dyDescent="0.35">
      <c r="A1163">
        <v>2013</v>
      </c>
      <c r="B1163" t="s">
        <v>275</v>
      </c>
      <c r="C1163" t="s">
        <v>154</v>
      </c>
      <c r="D1163" t="s">
        <v>160</v>
      </c>
      <c r="E1163" s="23">
        <v>0</v>
      </c>
      <c r="F1163" s="23">
        <v>0</v>
      </c>
      <c r="G1163" s="23">
        <v>0.02</v>
      </c>
      <c r="H1163" s="23">
        <v>0</v>
      </c>
    </row>
    <row r="1164" spans="1:8" x14ac:dyDescent="0.35">
      <c r="A1164">
        <v>2013</v>
      </c>
      <c r="B1164" t="s">
        <v>278</v>
      </c>
      <c r="C1164" t="s">
        <v>154</v>
      </c>
      <c r="D1164" t="s">
        <v>155</v>
      </c>
      <c r="E1164" s="23">
        <v>180595.46</v>
      </c>
      <c r="F1164" s="23">
        <v>311822.83</v>
      </c>
      <c r="G1164" s="23">
        <v>0</v>
      </c>
      <c r="H1164" s="23">
        <v>8400</v>
      </c>
    </row>
    <row r="1165" spans="1:8" x14ac:dyDescent="0.35">
      <c r="A1165">
        <v>2013</v>
      </c>
      <c r="B1165" t="s">
        <v>279</v>
      </c>
      <c r="C1165" t="s">
        <v>154</v>
      </c>
      <c r="D1165" t="s">
        <v>155</v>
      </c>
      <c r="E1165" s="23">
        <v>1318339.8700000001</v>
      </c>
      <c r="F1165" s="23">
        <v>258989.25</v>
      </c>
      <c r="G1165" s="23">
        <v>276473.74</v>
      </c>
      <c r="H1165" s="23">
        <v>6569.38</v>
      </c>
    </row>
    <row r="1166" spans="1:8" x14ac:dyDescent="0.35">
      <c r="A1166">
        <v>2013</v>
      </c>
      <c r="B1166" t="s">
        <v>280</v>
      </c>
      <c r="C1166" t="s">
        <v>154</v>
      </c>
      <c r="D1166" t="s">
        <v>160</v>
      </c>
      <c r="E1166" s="23">
        <v>804963.54</v>
      </c>
      <c r="F1166" s="23">
        <v>413689.98</v>
      </c>
      <c r="G1166" s="23">
        <v>115528.5</v>
      </c>
      <c r="H1166" s="23">
        <v>410444.31</v>
      </c>
    </row>
    <row r="1167" spans="1:8" x14ac:dyDescent="0.35">
      <c r="A1167">
        <v>2013</v>
      </c>
      <c r="B1167" t="s">
        <v>282</v>
      </c>
      <c r="C1167" t="s">
        <v>154</v>
      </c>
      <c r="D1167" t="s">
        <v>160</v>
      </c>
      <c r="E1167" s="23">
        <v>2997204.08</v>
      </c>
      <c r="F1167" s="23">
        <v>2140841.9300000002</v>
      </c>
      <c r="G1167" s="23">
        <v>530859.17000000004</v>
      </c>
      <c r="H1167" s="23">
        <v>452468.51</v>
      </c>
    </row>
    <row r="1168" spans="1:8" x14ac:dyDescent="0.35">
      <c r="A1168">
        <v>2013</v>
      </c>
      <c r="B1168" t="s">
        <v>283</v>
      </c>
      <c r="C1168" t="s">
        <v>154</v>
      </c>
      <c r="D1168" t="s">
        <v>155</v>
      </c>
      <c r="E1168" s="23">
        <v>1264905.8999999999</v>
      </c>
      <c r="F1168" s="23">
        <v>257533.53</v>
      </c>
      <c r="G1168" s="23">
        <v>0</v>
      </c>
      <c r="H1168" s="23">
        <v>0</v>
      </c>
    </row>
    <row r="1169" spans="1:8" x14ac:dyDescent="0.35">
      <c r="A1169">
        <v>2013</v>
      </c>
      <c r="B1169" t="s">
        <v>285</v>
      </c>
      <c r="C1169" t="s">
        <v>154</v>
      </c>
      <c r="D1169" t="s">
        <v>155</v>
      </c>
      <c r="E1169" s="23">
        <v>559467.99</v>
      </c>
      <c r="F1169" s="23">
        <v>2814994.79</v>
      </c>
      <c r="G1169" s="23">
        <v>63050</v>
      </c>
      <c r="H1169" s="23">
        <v>385657</v>
      </c>
    </row>
    <row r="1170" spans="1:8" x14ac:dyDescent="0.35">
      <c r="A1170">
        <v>2013</v>
      </c>
      <c r="B1170" t="s">
        <v>287</v>
      </c>
      <c r="C1170" t="s">
        <v>154</v>
      </c>
      <c r="D1170" t="s">
        <v>158</v>
      </c>
      <c r="E1170" s="23">
        <v>685473.54</v>
      </c>
      <c r="F1170" s="23">
        <v>4827129.32</v>
      </c>
      <c r="G1170" s="23">
        <v>70985.89</v>
      </c>
      <c r="H1170" s="23">
        <v>439273.47</v>
      </c>
    </row>
    <row r="1171" spans="1:8" x14ac:dyDescent="0.35">
      <c r="A1171">
        <v>2013</v>
      </c>
      <c r="B1171" t="s">
        <v>289</v>
      </c>
      <c r="C1171" t="s">
        <v>154</v>
      </c>
      <c r="D1171" t="s">
        <v>160</v>
      </c>
      <c r="E1171" s="23">
        <v>41715</v>
      </c>
      <c r="F1171" s="23">
        <v>63232</v>
      </c>
      <c r="G1171" s="23">
        <v>23808</v>
      </c>
      <c r="H1171" s="23">
        <v>63232</v>
      </c>
    </row>
    <row r="1172" spans="1:8" x14ac:dyDescent="0.35">
      <c r="A1172">
        <v>2013</v>
      </c>
      <c r="B1172" t="s">
        <v>291</v>
      </c>
      <c r="C1172" t="s">
        <v>154</v>
      </c>
      <c r="D1172" t="s">
        <v>158</v>
      </c>
      <c r="E1172" s="23">
        <v>323907.98</v>
      </c>
      <c r="F1172" s="23">
        <v>1388101.91</v>
      </c>
      <c r="G1172" s="23">
        <v>77216.36</v>
      </c>
      <c r="H1172" s="23">
        <v>247867.58</v>
      </c>
    </row>
    <row r="1173" spans="1:8" x14ac:dyDescent="0.35">
      <c r="A1173">
        <v>2013</v>
      </c>
      <c r="B1173" t="s">
        <v>296</v>
      </c>
      <c r="C1173" t="s">
        <v>154</v>
      </c>
      <c r="D1173" t="s">
        <v>155</v>
      </c>
      <c r="E1173" s="23">
        <v>384076.92</v>
      </c>
      <c r="F1173" s="23">
        <v>1556398.46</v>
      </c>
      <c r="G1173" s="23">
        <v>6626</v>
      </c>
      <c r="H1173" s="23">
        <v>37900</v>
      </c>
    </row>
    <row r="1174" spans="1:8" x14ac:dyDescent="0.35">
      <c r="A1174">
        <v>2013</v>
      </c>
      <c r="B1174" t="s">
        <v>293</v>
      </c>
      <c r="C1174" t="s">
        <v>154</v>
      </c>
      <c r="D1174" t="s">
        <v>158</v>
      </c>
      <c r="E1174" s="23">
        <v>58899.88</v>
      </c>
      <c r="F1174" s="23">
        <v>403530.67</v>
      </c>
      <c r="G1174" s="23">
        <v>0</v>
      </c>
      <c r="H1174" s="23">
        <v>0</v>
      </c>
    </row>
    <row r="1175" spans="1:8" x14ac:dyDescent="0.35">
      <c r="A1175">
        <v>2013</v>
      </c>
      <c r="B1175" t="s">
        <v>295</v>
      </c>
      <c r="C1175" t="s">
        <v>154</v>
      </c>
      <c r="D1175" t="s">
        <v>158</v>
      </c>
      <c r="E1175" s="23">
        <v>6006924.0700000003</v>
      </c>
      <c r="F1175" s="23">
        <v>8254039.54</v>
      </c>
      <c r="G1175" s="23">
        <v>877223</v>
      </c>
      <c r="H1175" s="23">
        <v>201737.26</v>
      </c>
    </row>
    <row r="1176" spans="1:8" x14ac:dyDescent="0.35">
      <c r="A1176">
        <v>2012</v>
      </c>
      <c r="B1176" t="s">
        <v>153</v>
      </c>
      <c r="C1176" t="s">
        <v>154</v>
      </c>
      <c r="D1176" t="s">
        <v>155</v>
      </c>
      <c r="E1176" s="23">
        <v>476480.88</v>
      </c>
      <c r="F1176" s="23">
        <v>6052597.6500000004</v>
      </c>
      <c r="G1176" s="23">
        <v>460228</v>
      </c>
      <c r="H1176" s="23">
        <v>6030901.9299999997</v>
      </c>
    </row>
    <row r="1177" spans="1:8" x14ac:dyDescent="0.35">
      <c r="A1177">
        <v>2012</v>
      </c>
      <c r="B1177" t="s">
        <v>162</v>
      </c>
      <c r="C1177" t="s">
        <v>163</v>
      </c>
      <c r="D1177" t="s">
        <v>158</v>
      </c>
      <c r="E1177" s="23">
        <v>186553.52</v>
      </c>
      <c r="F1177" s="23">
        <v>781214.21</v>
      </c>
      <c r="G1177" s="23">
        <v>0</v>
      </c>
      <c r="H1177" s="23">
        <v>0</v>
      </c>
    </row>
    <row r="1178" spans="1:8" x14ac:dyDescent="0.35">
      <c r="A1178">
        <v>2012</v>
      </c>
      <c r="B1178" t="s">
        <v>164</v>
      </c>
      <c r="C1178" t="s">
        <v>154</v>
      </c>
      <c r="D1178" t="s">
        <v>165</v>
      </c>
      <c r="E1178" s="23">
        <v>1523718.4698000001</v>
      </c>
      <c r="F1178" s="23">
        <v>2044148.98</v>
      </c>
      <c r="G1178" s="23">
        <v>766753.16</v>
      </c>
      <c r="H1178" s="23">
        <v>1323955.57</v>
      </c>
    </row>
    <row r="1179" spans="1:8" x14ac:dyDescent="0.35">
      <c r="A1179">
        <v>2012</v>
      </c>
      <c r="B1179" t="s">
        <v>167</v>
      </c>
      <c r="C1179" t="s">
        <v>154</v>
      </c>
      <c r="D1179" t="s">
        <v>155</v>
      </c>
      <c r="E1179" s="23">
        <v>889784.67</v>
      </c>
      <c r="F1179" s="23">
        <v>5163482.1900000004</v>
      </c>
      <c r="G1179" s="23">
        <v>730366.49</v>
      </c>
      <c r="H1179" s="23">
        <v>5161475.8099999996</v>
      </c>
    </row>
    <row r="1180" spans="1:8" x14ac:dyDescent="0.35">
      <c r="A1180">
        <v>2012</v>
      </c>
      <c r="B1180" t="s">
        <v>168</v>
      </c>
      <c r="C1180" t="s">
        <v>154</v>
      </c>
      <c r="D1180" t="s">
        <v>158</v>
      </c>
      <c r="E1180" s="23">
        <v>2424277.37</v>
      </c>
      <c r="F1180" s="23">
        <v>10573190.17</v>
      </c>
      <c r="G1180" s="23">
        <v>1094612.6599999999</v>
      </c>
      <c r="H1180" s="23">
        <v>4918308.28</v>
      </c>
    </row>
    <row r="1181" spans="1:8" x14ac:dyDescent="0.35">
      <c r="A1181">
        <v>2012</v>
      </c>
      <c r="B1181" t="s">
        <v>169</v>
      </c>
      <c r="C1181" t="s">
        <v>154</v>
      </c>
      <c r="D1181" t="s">
        <v>160</v>
      </c>
      <c r="E1181" s="23">
        <v>143175.6899</v>
      </c>
      <c r="F1181" s="23">
        <v>11485.81</v>
      </c>
      <c r="G1181" s="23">
        <v>56861.17</v>
      </c>
      <c r="H1181" s="23">
        <v>11485.81</v>
      </c>
    </row>
    <row r="1182" spans="1:8" x14ac:dyDescent="0.35">
      <c r="A1182">
        <v>2012</v>
      </c>
      <c r="B1182" t="s">
        <v>170</v>
      </c>
      <c r="C1182" t="s">
        <v>154</v>
      </c>
      <c r="D1182" t="s">
        <v>160</v>
      </c>
      <c r="E1182" s="23">
        <v>1462995.44</v>
      </c>
      <c r="F1182" s="23">
        <v>2602377.5299999998</v>
      </c>
      <c r="G1182" s="23">
        <v>490008.24</v>
      </c>
      <c r="H1182" s="23">
        <v>2274794.0699999998</v>
      </c>
    </row>
    <row r="1183" spans="1:8" x14ac:dyDescent="0.35">
      <c r="A1183">
        <v>2012</v>
      </c>
      <c r="B1183" t="s">
        <v>171</v>
      </c>
      <c r="C1183" t="s">
        <v>154</v>
      </c>
      <c r="D1183" t="s">
        <v>158</v>
      </c>
      <c r="E1183" s="23">
        <v>368456.98</v>
      </c>
      <c r="F1183" s="23">
        <v>2932043.0499</v>
      </c>
      <c r="G1183" s="23">
        <v>31555.439999999999</v>
      </c>
      <c r="H1183" s="23">
        <v>118944.59</v>
      </c>
    </row>
    <row r="1184" spans="1:8" x14ac:dyDescent="0.35">
      <c r="A1184">
        <v>2012</v>
      </c>
      <c r="B1184" t="s">
        <v>299</v>
      </c>
      <c r="C1184" t="s">
        <v>154</v>
      </c>
      <c r="D1184" t="s">
        <v>158</v>
      </c>
      <c r="E1184" s="23">
        <v>0</v>
      </c>
      <c r="F1184" s="23">
        <v>0</v>
      </c>
      <c r="G1184" s="23">
        <v>6036.8</v>
      </c>
      <c r="H1184" s="23">
        <v>113.6</v>
      </c>
    </row>
    <row r="1185" spans="1:8" x14ac:dyDescent="0.35">
      <c r="A1185">
        <v>2012</v>
      </c>
      <c r="B1185" t="s">
        <v>174</v>
      </c>
      <c r="C1185" t="s">
        <v>154</v>
      </c>
      <c r="D1185" t="s">
        <v>160</v>
      </c>
      <c r="E1185" s="23">
        <v>7093942.8997999998</v>
      </c>
      <c r="F1185" s="23">
        <v>9644085.3598999996</v>
      </c>
      <c r="G1185" s="23">
        <v>5624827.5</v>
      </c>
      <c r="H1185" s="23">
        <v>4588580.33</v>
      </c>
    </row>
    <row r="1186" spans="1:8" x14ac:dyDescent="0.35">
      <c r="A1186">
        <v>2012</v>
      </c>
      <c r="B1186" t="s">
        <v>177</v>
      </c>
      <c r="C1186" t="s">
        <v>154</v>
      </c>
      <c r="D1186" t="s">
        <v>160</v>
      </c>
      <c r="E1186" s="23">
        <v>3195659.1998000001</v>
      </c>
      <c r="F1186" s="23">
        <v>16797102.940000001</v>
      </c>
      <c r="G1186" s="23">
        <v>154977.39000000001</v>
      </c>
      <c r="H1186" s="23">
        <v>229890.56</v>
      </c>
    </row>
    <row r="1187" spans="1:8" x14ac:dyDescent="0.35">
      <c r="A1187">
        <v>2012</v>
      </c>
      <c r="B1187" t="s">
        <v>178</v>
      </c>
      <c r="C1187" t="s">
        <v>154</v>
      </c>
      <c r="D1187" t="s">
        <v>155</v>
      </c>
      <c r="E1187" s="23">
        <v>732716.1899</v>
      </c>
      <c r="F1187" s="23">
        <v>463812.55</v>
      </c>
      <c r="G1187" s="23">
        <v>6578.05</v>
      </c>
      <c r="H1187" s="23">
        <v>59673.38</v>
      </c>
    </row>
    <row r="1188" spans="1:8" x14ac:dyDescent="0.35">
      <c r="A1188">
        <v>2012</v>
      </c>
      <c r="B1188" t="s">
        <v>180</v>
      </c>
      <c r="C1188" t="s">
        <v>154</v>
      </c>
      <c r="D1188" t="s">
        <v>160</v>
      </c>
      <c r="E1188" s="23">
        <v>307835.75</v>
      </c>
      <c r="F1188" s="23">
        <v>250828.58</v>
      </c>
      <c r="G1188" s="23">
        <v>0</v>
      </c>
      <c r="H1188" s="23">
        <v>36070.730000000003</v>
      </c>
    </row>
    <row r="1189" spans="1:8" x14ac:dyDescent="0.35">
      <c r="A1189">
        <v>2012</v>
      </c>
      <c r="B1189" t="s">
        <v>181</v>
      </c>
      <c r="C1189" t="s">
        <v>154</v>
      </c>
      <c r="D1189" t="s">
        <v>155</v>
      </c>
      <c r="E1189" s="23">
        <v>1890785.52</v>
      </c>
      <c r="F1189" s="23">
        <v>1796345.8299</v>
      </c>
      <c r="G1189" s="23">
        <v>342106.23</v>
      </c>
      <c r="H1189" s="23">
        <v>304907.40000000002</v>
      </c>
    </row>
    <row r="1190" spans="1:8" x14ac:dyDescent="0.35">
      <c r="A1190">
        <v>2012</v>
      </c>
      <c r="B1190" t="s">
        <v>182</v>
      </c>
      <c r="C1190" t="s">
        <v>154</v>
      </c>
      <c r="D1190" t="s">
        <v>158</v>
      </c>
      <c r="E1190" s="23">
        <v>0</v>
      </c>
      <c r="F1190" s="23">
        <v>0</v>
      </c>
      <c r="G1190" s="23">
        <v>250227.35</v>
      </c>
      <c r="H1190" s="23">
        <v>269328.08</v>
      </c>
    </row>
    <row r="1191" spans="1:8" x14ac:dyDescent="0.35">
      <c r="A1191">
        <v>2012</v>
      </c>
      <c r="B1191" t="s">
        <v>184</v>
      </c>
      <c r="C1191" t="s">
        <v>154</v>
      </c>
      <c r="D1191" t="s">
        <v>155</v>
      </c>
      <c r="E1191" s="23">
        <v>30049473.260000002</v>
      </c>
      <c r="F1191" s="23">
        <v>39360590.809900001</v>
      </c>
      <c r="G1191" s="23">
        <v>11140234.050000001</v>
      </c>
      <c r="H1191" s="23">
        <v>33137071.940000001</v>
      </c>
    </row>
    <row r="1192" spans="1:8" x14ac:dyDescent="0.35">
      <c r="A1192">
        <v>2012</v>
      </c>
      <c r="B1192" t="s">
        <v>186</v>
      </c>
      <c r="C1192" t="s">
        <v>154</v>
      </c>
      <c r="D1192" t="s">
        <v>158</v>
      </c>
      <c r="E1192" s="23">
        <v>870108.90989999997</v>
      </c>
      <c r="F1192" s="23">
        <v>3421812.21</v>
      </c>
      <c r="G1192" s="23">
        <v>134620.25</v>
      </c>
      <c r="H1192" s="23">
        <v>973075.15</v>
      </c>
    </row>
    <row r="1193" spans="1:8" x14ac:dyDescent="0.35">
      <c r="A1193">
        <v>2012</v>
      </c>
      <c r="B1193" t="s">
        <v>187</v>
      </c>
      <c r="C1193" t="s">
        <v>154</v>
      </c>
      <c r="D1193" t="s">
        <v>158</v>
      </c>
      <c r="E1193" s="23">
        <v>847419.6</v>
      </c>
      <c r="F1193" s="23">
        <v>744725.05</v>
      </c>
      <c r="G1193" s="23">
        <v>513989.8</v>
      </c>
      <c r="H1193" s="23">
        <v>623021.55000000005</v>
      </c>
    </row>
    <row r="1194" spans="1:8" x14ac:dyDescent="0.35">
      <c r="A1194">
        <v>2012</v>
      </c>
      <c r="B1194" t="s">
        <v>188</v>
      </c>
      <c r="C1194" t="s">
        <v>154</v>
      </c>
      <c r="D1194" t="s">
        <v>155</v>
      </c>
      <c r="E1194" s="23">
        <v>1782079.18</v>
      </c>
      <c r="F1194" s="23">
        <v>10417920.819800001</v>
      </c>
      <c r="G1194" s="23">
        <v>772457.59</v>
      </c>
      <c r="H1194" s="23">
        <v>3727542.41</v>
      </c>
    </row>
    <row r="1195" spans="1:8" x14ac:dyDescent="0.35">
      <c r="A1195">
        <v>2012</v>
      </c>
      <c r="B1195" t="s">
        <v>189</v>
      </c>
      <c r="C1195" t="s">
        <v>154</v>
      </c>
      <c r="D1195" t="s">
        <v>158</v>
      </c>
      <c r="E1195" s="23">
        <v>3806924.68</v>
      </c>
      <c r="F1195" s="23">
        <v>16328671.199999999</v>
      </c>
      <c r="G1195" s="23">
        <v>433187.49</v>
      </c>
      <c r="H1195" s="23">
        <v>109430.86</v>
      </c>
    </row>
    <row r="1196" spans="1:8" x14ac:dyDescent="0.35">
      <c r="A1196">
        <v>2012</v>
      </c>
      <c r="B1196" t="s">
        <v>190</v>
      </c>
      <c r="C1196" t="s">
        <v>154</v>
      </c>
      <c r="D1196" t="s">
        <v>155</v>
      </c>
      <c r="E1196" s="23">
        <v>1224557.4495999999</v>
      </c>
      <c r="F1196" s="23">
        <v>3353125.9397999998</v>
      </c>
      <c r="G1196" s="23">
        <v>63612.08</v>
      </c>
      <c r="H1196" s="23">
        <v>100546.61</v>
      </c>
    </row>
    <row r="1197" spans="1:8" x14ac:dyDescent="0.35">
      <c r="A1197">
        <v>2012</v>
      </c>
      <c r="B1197" t="s">
        <v>300</v>
      </c>
      <c r="C1197" t="s">
        <v>154</v>
      </c>
      <c r="D1197" t="s">
        <v>158</v>
      </c>
      <c r="E1197" s="23">
        <v>19500</v>
      </c>
      <c r="F1197" s="23">
        <v>0</v>
      </c>
      <c r="G1197" s="23">
        <v>0</v>
      </c>
      <c r="H1197" s="23">
        <v>0</v>
      </c>
    </row>
    <row r="1198" spans="1:8" x14ac:dyDescent="0.35">
      <c r="A1198">
        <v>2012</v>
      </c>
      <c r="B1198" t="s">
        <v>192</v>
      </c>
      <c r="C1198" t="s">
        <v>154</v>
      </c>
      <c r="D1198" t="s">
        <v>160</v>
      </c>
      <c r="E1198" s="23">
        <v>760397.07</v>
      </c>
      <c r="F1198" s="23">
        <v>3105974.3298999998</v>
      </c>
      <c r="G1198" s="23">
        <v>468874.19</v>
      </c>
      <c r="H1198" s="23">
        <v>1361798.67</v>
      </c>
    </row>
    <row r="1199" spans="1:8" x14ac:dyDescent="0.35">
      <c r="A1199">
        <v>2012</v>
      </c>
      <c r="B1199" t="s">
        <v>196</v>
      </c>
      <c r="C1199" t="s">
        <v>154</v>
      </c>
      <c r="D1199" t="s">
        <v>155</v>
      </c>
      <c r="E1199" s="23">
        <v>308290.95</v>
      </c>
      <c r="F1199" s="23">
        <v>405146.91</v>
      </c>
      <c r="G1199" s="23">
        <v>131835</v>
      </c>
      <c r="H1199" s="23">
        <v>288215.65999999997</v>
      </c>
    </row>
    <row r="1200" spans="1:8" x14ac:dyDescent="0.35">
      <c r="A1200">
        <v>2012</v>
      </c>
      <c r="B1200" t="s">
        <v>197</v>
      </c>
      <c r="C1200" t="s">
        <v>154</v>
      </c>
      <c r="D1200" t="s">
        <v>160</v>
      </c>
      <c r="E1200" s="23">
        <v>248768.42980000001</v>
      </c>
      <c r="F1200" s="23">
        <v>189309.8296</v>
      </c>
      <c r="G1200" s="23">
        <v>46041.5</v>
      </c>
      <c r="H1200" s="23">
        <v>23994.1</v>
      </c>
    </row>
    <row r="1201" spans="1:8" x14ac:dyDescent="0.35">
      <c r="A1201">
        <v>2012</v>
      </c>
      <c r="B1201" t="s">
        <v>198</v>
      </c>
      <c r="C1201" t="s">
        <v>154</v>
      </c>
      <c r="D1201" t="s">
        <v>160</v>
      </c>
      <c r="E1201" s="23">
        <v>7127260.6107999999</v>
      </c>
      <c r="F1201" s="23">
        <v>41318409.545699999</v>
      </c>
      <c r="G1201" s="23">
        <v>2260468.39</v>
      </c>
      <c r="H1201" s="23">
        <v>10320781.25</v>
      </c>
    </row>
    <row r="1202" spans="1:8" x14ac:dyDescent="0.35">
      <c r="A1202">
        <v>2012</v>
      </c>
      <c r="B1202" t="s">
        <v>199</v>
      </c>
      <c r="C1202" t="s">
        <v>154</v>
      </c>
      <c r="D1202" t="s">
        <v>160</v>
      </c>
      <c r="E1202" s="23">
        <v>611964.80000000005</v>
      </c>
      <c r="F1202" s="23">
        <v>3929941.27</v>
      </c>
      <c r="G1202" s="23">
        <v>118361.01</v>
      </c>
      <c r="H1202" s="23">
        <v>3013083.47</v>
      </c>
    </row>
    <row r="1203" spans="1:8" x14ac:dyDescent="0.35">
      <c r="A1203">
        <v>2012</v>
      </c>
      <c r="B1203" t="s">
        <v>201</v>
      </c>
      <c r="C1203" t="s">
        <v>154</v>
      </c>
      <c r="D1203" t="s">
        <v>160</v>
      </c>
      <c r="E1203" s="23">
        <v>0</v>
      </c>
      <c r="F1203" s="23">
        <v>0</v>
      </c>
      <c r="G1203" s="23">
        <v>204636.66</v>
      </c>
      <c r="H1203" s="23">
        <v>20642.650000000001</v>
      </c>
    </row>
    <row r="1204" spans="1:8" x14ac:dyDescent="0.35">
      <c r="A1204">
        <v>2012</v>
      </c>
      <c r="B1204" t="s">
        <v>202</v>
      </c>
      <c r="C1204" t="s">
        <v>154</v>
      </c>
      <c r="D1204" t="s">
        <v>155</v>
      </c>
      <c r="E1204" s="23">
        <v>1650293.82</v>
      </c>
      <c r="F1204" s="23">
        <v>2986394.3898999998</v>
      </c>
      <c r="G1204" s="23">
        <v>287096.31</v>
      </c>
      <c r="H1204" s="23">
        <v>689415.11</v>
      </c>
    </row>
    <row r="1205" spans="1:8" x14ac:dyDescent="0.35">
      <c r="A1205">
        <v>2012</v>
      </c>
      <c r="B1205" t="s">
        <v>203</v>
      </c>
      <c r="C1205" t="s">
        <v>154</v>
      </c>
      <c r="D1205" t="s">
        <v>160</v>
      </c>
      <c r="E1205" s="23">
        <v>249829.13</v>
      </c>
      <c r="F1205" s="23">
        <v>579902.12</v>
      </c>
      <c r="G1205" s="23">
        <v>34252.6</v>
      </c>
      <c r="H1205" s="23">
        <v>6298.03</v>
      </c>
    </row>
    <row r="1206" spans="1:8" x14ac:dyDescent="0.35">
      <c r="A1206">
        <v>2012</v>
      </c>
      <c r="B1206" t="s">
        <v>204</v>
      </c>
      <c r="C1206" t="s">
        <v>154</v>
      </c>
      <c r="D1206" t="s">
        <v>158</v>
      </c>
      <c r="E1206" s="23">
        <v>2999841.77</v>
      </c>
      <c r="F1206" s="23">
        <v>1053798.8499</v>
      </c>
      <c r="G1206" s="23">
        <v>358079.28</v>
      </c>
      <c r="H1206" s="23">
        <v>291059.93</v>
      </c>
    </row>
    <row r="1207" spans="1:8" x14ac:dyDescent="0.35">
      <c r="A1207">
        <v>2012</v>
      </c>
      <c r="B1207" t="s">
        <v>205</v>
      </c>
      <c r="C1207" t="s">
        <v>154</v>
      </c>
      <c r="D1207" t="s">
        <v>160</v>
      </c>
      <c r="E1207" s="23">
        <v>250565.48989999999</v>
      </c>
      <c r="F1207" s="23">
        <v>375854.84989999997</v>
      </c>
      <c r="G1207" s="23">
        <v>6714.26</v>
      </c>
      <c r="H1207" s="23">
        <v>12074.66</v>
      </c>
    </row>
    <row r="1208" spans="1:8" x14ac:dyDescent="0.35">
      <c r="A1208">
        <v>2012</v>
      </c>
      <c r="B1208" t="s">
        <v>206</v>
      </c>
      <c r="C1208" t="s">
        <v>154</v>
      </c>
      <c r="D1208" t="s">
        <v>158</v>
      </c>
      <c r="E1208" s="23">
        <v>118340.56</v>
      </c>
      <c r="F1208" s="23">
        <v>480827.83</v>
      </c>
      <c r="G1208" s="23">
        <v>24142.6</v>
      </c>
      <c r="H1208" s="23">
        <v>205794.23</v>
      </c>
    </row>
    <row r="1209" spans="1:8" x14ac:dyDescent="0.35">
      <c r="A1209">
        <v>2012</v>
      </c>
      <c r="B1209" t="s">
        <v>209</v>
      </c>
      <c r="C1209" t="s">
        <v>154</v>
      </c>
      <c r="D1209" t="s">
        <v>158</v>
      </c>
      <c r="E1209" s="23">
        <v>755602.52</v>
      </c>
      <c r="F1209" s="23">
        <v>1354894.95</v>
      </c>
      <c r="G1209" s="23">
        <v>176150.53</v>
      </c>
      <c r="H1209" s="23">
        <v>429617.33</v>
      </c>
    </row>
    <row r="1210" spans="1:8" x14ac:dyDescent="0.35">
      <c r="A1210">
        <v>2012</v>
      </c>
      <c r="B1210" t="s">
        <v>210</v>
      </c>
      <c r="C1210" t="s">
        <v>154</v>
      </c>
      <c r="D1210" t="s">
        <v>158</v>
      </c>
      <c r="E1210" s="23">
        <v>543075.25</v>
      </c>
      <c r="F1210" s="23">
        <v>573509.16980000003</v>
      </c>
      <c r="G1210" s="23">
        <v>11804</v>
      </c>
      <c r="H1210" s="23">
        <v>8479.64</v>
      </c>
    </row>
    <row r="1211" spans="1:8" x14ac:dyDescent="0.35">
      <c r="A1211">
        <v>2012</v>
      </c>
      <c r="B1211" t="s">
        <v>212</v>
      </c>
      <c r="C1211" t="s">
        <v>154</v>
      </c>
      <c r="D1211" t="s">
        <v>160</v>
      </c>
      <c r="E1211" s="23">
        <v>1583112.5098000001</v>
      </c>
      <c r="F1211" s="23">
        <v>1856537.0297999999</v>
      </c>
      <c r="G1211" s="23">
        <v>82650.720000000001</v>
      </c>
      <c r="H1211" s="23">
        <v>297693.13</v>
      </c>
    </row>
    <row r="1212" spans="1:8" x14ac:dyDescent="0.35">
      <c r="A1212">
        <v>2012</v>
      </c>
      <c r="B1212" t="s">
        <v>214</v>
      </c>
      <c r="C1212" t="s">
        <v>154</v>
      </c>
      <c r="D1212" t="s">
        <v>158</v>
      </c>
      <c r="E1212" s="23">
        <v>88995</v>
      </c>
      <c r="F1212" s="23">
        <v>0</v>
      </c>
      <c r="G1212" s="23">
        <v>0</v>
      </c>
      <c r="H1212" s="23">
        <v>0</v>
      </c>
    </row>
    <row r="1213" spans="1:8" x14ac:dyDescent="0.35">
      <c r="A1213">
        <v>2012</v>
      </c>
      <c r="B1213" t="s">
        <v>215</v>
      </c>
      <c r="C1213" t="s">
        <v>154</v>
      </c>
      <c r="D1213" t="s">
        <v>160</v>
      </c>
      <c r="E1213" s="23">
        <v>0</v>
      </c>
      <c r="F1213" s="23">
        <v>0</v>
      </c>
      <c r="G1213" s="23">
        <v>66578.83</v>
      </c>
      <c r="H1213" s="23">
        <v>4996.5</v>
      </c>
    </row>
    <row r="1214" spans="1:8" x14ac:dyDescent="0.35">
      <c r="A1214">
        <v>2012</v>
      </c>
      <c r="B1214" t="s">
        <v>217</v>
      </c>
      <c r="C1214" t="s">
        <v>154</v>
      </c>
      <c r="D1214" t="s">
        <v>160</v>
      </c>
      <c r="E1214" s="23">
        <v>168192.54990000001</v>
      </c>
      <c r="F1214" s="23">
        <v>197165.27960000001</v>
      </c>
      <c r="G1214" s="23">
        <v>19975.82</v>
      </c>
      <c r="H1214" s="23">
        <v>14670.05</v>
      </c>
    </row>
    <row r="1215" spans="1:8" x14ac:dyDescent="0.35">
      <c r="A1215">
        <v>2012</v>
      </c>
      <c r="B1215" t="s">
        <v>218</v>
      </c>
      <c r="C1215" t="s">
        <v>154</v>
      </c>
      <c r="D1215" t="s">
        <v>158</v>
      </c>
      <c r="E1215" s="23">
        <v>869046.78</v>
      </c>
      <c r="F1215" s="23">
        <v>8960752.0899999999</v>
      </c>
      <c r="G1215" s="23">
        <v>214901.64</v>
      </c>
      <c r="H1215" s="23">
        <v>37634.339999999997</v>
      </c>
    </row>
    <row r="1216" spans="1:8" x14ac:dyDescent="0.35">
      <c r="A1216">
        <v>2012</v>
      </c>
      <c r="B1216" t="s">
        <v>219</v>
      </c>
      <c r="C1216" t="s">
        <v>154</v>
      </c>
      <c r="D1216" t="s">
        <v>160</v>
      </c>
      <c r="E1216" s="23">
        <v>1281446.1599999999</v>
      </c>
      <c r="F1216" s="23">
        <v>5652803.4199000001</v>
      </c>
      <c r="G1216" s="23">
        <v>33122</v>
      </c>
      <c r="H1216" s="23">
        <v>13855</v>
      </c>
    </row>
    <row r="1217" spans="1:8" x14ac:dyDescent="0.35">
      <c r="A1217">
        <v>2012</v>
      </c>
      <c r="B1217" t="s">
        <v>220</v>
      </c>
      <c r="C1217" t="s">
        <v>154</v>
      </c>
      <c r="D1217" t="s">
        <v>158</v>
      </c>
      <c r="E1217" s="23">
        <v>808767.76</v>
      </c>
      <c r="F1217" s="23">
        <v>1248923.8499</v>
      </c>
      <c r="G1217" s="23">
        <v>41451.1</v>
      </c>
      <c r="H1217" s="23">
        <v>352230.75</v>
      </c>
    </row>
    <row r="1218" spans="1:8" x14ac:dyDescent="0.35">
      <c r="A1218">
        <v>2012</v>
      </c>
      <c r="B1218" t="s">
        <v>221</v>
      </c>
      <c r="C1218" t="s">
        <v>154</v>
      </c>
      <c r="D1218" t="s">
        <v>165</v>
      </c>
      <c r="E1218" s="23">
        <v>1445460.5499</v>
      </c>
      <c r="F1218" s="23">
        <v>2741985.67</v>
      </c>
      <c r="G1218" s="23">
        <v>384522.44</v>
      </c>
      <c r="H1218" s="23">
        <v>2694049.17</v>
      </c>
    </row>
    <row r="1219" spans="1:8" x14ac:dyDescent="0.35">
      <c r="A1219">
        <v>2012</v>
      </c>
      <c r="B1219" t="s">
        <v>223</v>
      </c>
      <c r="C1219" t="s">
        <v>163</v>
      </c>
      <c r="D1219" t="s">
        <v>160</v>
      </c>
      <c r="E1219" s="23">
        <v>136469</v>
      </c>
      <c r="F1219" s="23">
        <v>2434837.3199999998</v>
      </c>
      <c r="G1219" s="23">
        <v>0</v>
      </c>
      <c r="H1219" s="23">
        <v>1560929.99</v>
      </c>
    </row>
    <row r="1220" spans="1:8" x14ac:dyDescent="0.35">
      <c r="A1220">
        <v>2012</v>
      </c>
      <c r="B1220" t="s">
        <v>224</v>
      </c>
      <c r="C1220" t="s">
        <v>154</v>
      </c>
      <c r="D1220" t="s">
        <v>158</v>
      </c>
      <c r="E1220" s="23">
        <v>520527.03</v>
      </c>
      <c r="F1220" s="23">
        <v>2873824.05</v>
      </c>
      <c r="G1220" s="23">
        <v>0</v>
      </c>
      <c r="H1220" s="23">
        <v>0</v>
      </c>
    </row>
    <row r="1221" spans="1:8" x14ac:dyDescent="0.35">
      <c r="A1221">
        <v>2012</v>
      </c>
      <c r="B1221" t="s">
        <v>225</v>
      </c>
      <c r="C1221" t="s">
        <v>154</v>
      </c>
      <c r="D1221" t="s">
        <v>160</v>
      </c>
      <c r="E1221" s="23">
        <v>0</v>
      </c>
      <c r="F1221" s="23">
        <v>0</v>
      </c>
      <c r="G1221" s="23">
        <v>896861.11</v>
      </c>
      <c r="H1221" s="23">
        <v>4275801.3</v>
      </c>
    </row>
    <row r="1222" spans="1:8" x14ac:dyDescent="0.35">
      <c r="A1222">
        <v>2012</v>
      </c>
      <c r="B1222" t="s">
        <v>226</v>
      </c>
      <c r="C1222" t="s">
        <v>154</v>
      </c>
      <c r="D1222" t="s">
        <v>155</v>
      </c>
      <c r="E1222" s="23">
        <v>0</v>
      </c>
      <c r="F1222" s="23">
        <v>0</v>
      </c>
      <c r="G1222" s="23">
        <v>131.22</v>
      </c>
      <c r="H1222" s="23">
        <v>515.91999999999996</v>
      </c>
    </row>
    <row r="1223" spans="1:8" x14ac:dyDescent="0.35">
      <c r="A1223">
        <v>2012</v>
      </c>
      <c r="B1223" t="s">
        <v>227</v>
      </c>
      <c r="C1223" t="s">
        <v>154</v>
      </c>
      <c r="D1223" t="s">
        <v>158</v>
      </c>
      <c r="E1223" s="23">
        <v>0</v>
      </c>
      <c r="F1223" s="23">
        <v>0</v>
      </c>
      <c r="G1223" s="23">
        <v>54945.47</v>
      </c>
      <c r="H1223" s="23">
        <v>0</v>
      </c>
    </row>
    <row r="1224" spans="1:8" x14ac:dyDescent="0.35">
      <c r="A1224">
        <v>2012</v>
      </c>
      <c r="B1224" t="s">
        <v>228</v>
      </c>
      <c r="C1224" t="s">
        <v>154</v>
      </c>
      <c r="D1224" t="s">
        <v>160</v>
      </c>
      <c r="E1224" s="23">
        <v>153566.29980000001</v>
      </c>
      <c r="F1224" s="23">
        <v>95085.67</v>
      </c>
      <c r="G1224" s="23">
        <v>0</v>
      </c>
      <c r="H1224" s="23">
        <v>0</v>
      </c>
    </row>
    <row r="1225" spans="1:8" x14ac:dyDescent="0.35">
      <c r="A1225">
        <v>2012</v>
      </c>
      <c r="B1225" t="s">
        <v>232</v>
      </c>
      <c r="C1225" t="s">
        <v>154</v>
      </c>
      <c r="D1225" t="s">
        <v>165</v>
      </c>
      <c r="E1225" s="23">
        <v>866443.6</v>
      </c>
      <c r="F1225" s="23">
        <v>898369.67</v>
      </c>
      <c r="G1225" s="23">
        <v>718259.32</v>
      </c>
      <c r="H1225" s="23">
        <v>892674.94</v>
      </c>
    </row>
    <row r="1226" spans="1:8" x14ac:dyDescent="0.35">
      <c r="A1226">
        <v>2012</v>
      </c>
      <c r="B1226" t="s">
        <v>233</v>
      </c>
      <c r="C1226" t="s">
        <v>154</v>
      </c>
      <c r="D1226" t="s">
        <v>155</v>
      </c>
      <c r="E1226" s="23">
        <v>800912.51</v>
      </c>
      <c r="F1226" s="23">
        <v>5802533.1299999999</v>
      </c>
      <c r="G1226" s="23">
        <v>47547.16</v>
      </c>
      <c r="H1226" s="23">
        <v>860083.37</v>
      </c>
    </row>
    <row r="1227" spans="1:8" x14ac:dyDescent="0.35">
      <c r="A1227">
        <v>2012</v>
      </c>
      <c r="B1227" t="s">
        <v>234</v>
      </c>
      <c r="C1227" t="s">
        <v>154</v>
      </c>
      <c r="D1227" t="s">
        <v>160</v>
      </c>
      <c r="E1227" s="23">
        <v>7994278.0569000002</v>
      </c>
      <c r="F1227" s="23">
        <v>40591073.699000001</v>
      </c>
      <c r="G1227" s="23">
        <v>2317783.1800000002</v>
      </c>
      <c r="H1227" s="23">
        <v>6909717.2599999998</v>
      </c>
    </row>
    <row r="1228" spans="1:8" x14ac:dyDescent="0.35">
      <c r="A1228">
        <v>2012</v>
      </c>
      <c r="B1228" t="s">
        <v>235</v>
      </c>
      <c r="C1228" t="s">
        <v>154</v>
      </c>
      <c r="D1228" t="s">
        <v>160</v>
      </c>
      <c r="E1228" s="23">
        <v>97510.21</v>
      </c>
      <c r="F1228" s="23">
        <v>116759.66</v>
      </c>
      <c r="G1228" s="23">
        <v>21159.21</v>
      </c>
      <c r="H1228" s="23">
        <v>116759.66</v>
      </c>
    </row>
    <row r="1229" spans="1:8" x14ac:dyDescent="0.35">
      <c r="A1229">
        <v>2012</v>
      </c>
      <c r="B1229" t="s">
        <v>236</v>
      </c>
      <c r="C1229" t="s">
        <v>154</v>
      </c>
      <c r="D1229" t="s">
        <v>160</v>
      </c>
      <c r="E1229" s="23">
        <v>326879.90999999997</v>
      </c>
      <c r="F1229" s="23">
        <v>958566.64</v>
      </c>
      <c r="G1229" s="23">
        <v>165888.25</v>
      </c>
      <c r="H1229" s="23">
        <v>102764.6</v>
      </c>
    </row>
    <row r="1230" spans="1:8" x14ac:dyDescent="0.35">
      <c r="A1230">
        <v>2012</v>
      </c>
      <c r="B1230" t="s">
        <v>238</v>
      </c>
      <c r="C1230" t="s">
        <v>154</v>
      </c>
      <c r="D1230" t="s">
        <v>155</v>
      </c>
      <c r="E1230" s="23">
        <v>0</v>
      </c>
      <c r="F1230" s="23">
        <v>0</v>
      </c>
      <c r="G1230" s="23">
        <v>51639.46</v>
      </c>
      <c r="H1230" s="23">
        <v>2994112.48</v>
      </c>
    </row>
    <row r="1231" spans="1:8" x14ac:dyDescent="0.35">
      <c r="A1231">
        <v>2012</v>
      </c>
      <c r="B1231" t="s">
        <v>239</v>
      </c>
      <c r="C1231" t="s">
        <v>154</v>
      </c>
      <c r="D1231" t="s">
        <v>158</v>
      </c>
      <c r="E1231" s="23">
        <v>1148158.1475</v>
      </c>
      <c r="F1231" s="23">
        <v>64494.54</v>
      </c>
      <c r="G1231" s="23">
        <v>28230.01</v>
      </c>
      <c r="H1231" s="23">
        <v>17156.63</v>
      </c>
    </row>
    <row r="1232" spans="1:8" x14ac:dyDescent="0.35">
      <c r="A1232">
        <v>2012</v>
      </c>
      <c r="B1232" t="s">
        <v>243</v>
      </c>
      <c r="C1232" t="s">
        <v>154</v>
      </c>
      <c r="D1232" t="s">
        <v>165</v>
      </c>
      <c r="E1232" s="23">
        <v>352858.28</v>
      </c>
      <c r="F1232" s="23">
        <v>438505.91</v>
      </c>
      <c r="G1232" s="23">
        <v>103180</v>
      </c>
      <c r="H1232" s="23">
        <v>150922.34</v>
      </c>
    </row>
    <row r="1233" spans="1:8" x14ac:dyDescent="0.35">
      <c r="A1233">
        <v>2012</v>
      </c>
      <c r="B1233" t="s">
        <v>245</v>
      </c>
      <c r="C1233" t="s">
        <v>154</v>
      </c>
      <c r="D1233" t="s">
        <v>155</v>
      </c>
      <c r="E1233" s="23">
        <v>5292264.12</v>
      </c>
      <c r="F1233" s="23">
        <v>6811592.5099999998</v>
      </c>
      <c r="G1233" s="23">
        <v>1826864.63</v>
      </c>
      <c r="H1233" s="23">
        <v>2927303.78</v>
      </c>
    </row>
    <row r="1234" spans="1:8" x14ac:dyDescent="0.35">
      <c r="A1234">
        <v>2012</v>
      </c>
      <c r="B1234" t="s">
        <v>247</v>
      </c>
      <c r="C1234" t="s">
        <v>154</v>
      </c>
      <c r="D1234" t="s">
        <v>160</v>
      </c>
      <c r="E1234" s="23">
        <v>10242499.2237</v>
      </c>
      <c r="F1234" s="23">
        <v>28325763.169</v>
      </c>
      <c r="G1234" s="23">
        <v>1234680</v>
      </c>
      <c r="H1234" s="23">
        <v>123725.66</v>
      </c>
    </row>
    <row r="1235" spans="1:8" x14ac:dyDescent="0.35">
      <c r="A1235">
        <v>2012</v>
      </c>
      <c r="B1235" t="s">
        <v>248</v>
      </c>
      <c r="C1235" t="s">
        <v>154</v>
      </c>
      <c r="D1235" t="s">
        <v>160</v>
      </c>
      <c r="E1235" s="23">
        <v>144731.09</v>
      </c>
      <c r="F1235" s="23">
        <v>4313212.91</v>
      </c>
      <c r="G1235" s="23">
        <v>20521.27</v>
      </c>
      <c r="H1235" s="23">
        <v>2002462.48</v>
      </c>
    </row>
    <row r="1236" spans="1:8" x14ac:dyDescent="0.35">
      <c r="A1236">
        <v>2012</v>
      </c>
      <c r="B1236" t="s">
        <v>249</v>
      </c>
      <c r="C1236" t="s">
        <v>154</v>
      </c>
      <c r="D1236" t="s">
        <v>160</v>
      </c>
      <c r="E1236" s="23">
        <v>5691086.2698999997</v>
      </c>
      <c r="F1236" s="23">
        <v>16499797.289899999</v>
      </c>
      <c r="G1236" s="23">
        <v>1123343.0900000001</v>
      </c>
      <c r="H1236" s="23">
        <v>3645948.14</v>
      </c>
    </row>
    <row r="1237" spans="1:8" x14ac:dyDescent="0.35">
      <c r="A1237">
        <v>2012</v>
      </c>
      <c r="B1237" t="s">
        <v>252</v>
      </c>
      <c r="C1237" t="s">
        <v>154</v>
      </c>
      <c r="D1237" t="s">
        <v>160</v>
      </c>
      <c r="E1237" s="23">
        <v>0</v>
      </c>
      <c r="F1237" s="23">
        <v>0</v>
      </c>
      <c r="G1237" s="23">
        <v>76696</v>
      </c>
      <c r="H1237" s="23">
        <v>21884</v>
      </c>
    </row>
    <row r="1238" spans="1:8" x14ac:dyDescent="0.35">
      <c r="A1238">
        <v>2012</v>
      </c>
      <c r="B1238" t="s">
        <v>253</v>
      </c>
      <c r="C1238" t="s">
        <v>154</v>
      </c>
      <c r="D1238" t="s">
        <v>160</v>
      </c>
      <c r="E1238" s="23">
        <v>0</v>
      </c>
      <c r="F1238" s="23">
        <v>0</v>
      </c>
      <c r="G1238" s="23">
        <v>203746.64</v>
      </c>
      <c r="H1238" s="23">
        <v>180134.11</v>
      </c>
    </row>
    <row r="1239" spans="1:8" x14ac:dyDescent="0.35">
      <c r="A1239">
        <v>2012</v>
      </c>
      <c r="B1239" t="s">
        <v>254</v>
      </c>
      <c r="C1239" t="s">
        <v>154</v>
      </c>
      <c r="D1239" t="s">
        <v>155</v>
      </c>
      <c r="E1239" s="23">
        <v>3834249.4197</v>
      </c>
      <c r="F1239" s="23">
        <v>21408528.019499999</v>
      </c>
      <c r="G1239" s="23">
        <v>302844.90999999997</v>
      </c>
      <c r="H1239" s="23">
        <v>84829.5</v>
      </c>
    </row>
    <row r="1240" spans="1:8" x14ac:dyDescent="0.35">
      <c r="A1240">
        <v>2012</v>
      </c>
      <c r="B1240" t="s">
        <v>255</v>
      </c>
      <c r="C1240" t="s">
        <v>154</v>
      </c>
      <c r="D1240" t="s">
        <v>160</v>
      </c>
      <c r="E1240" s="23">
        <v>144073.87</v>
      </c>
      <c r="F1240" s="23">
        <v>105286.11</v>
      </c>
      <c r="G1240" s="23">
        <v>74084.63</v>
      </c>
      <c r="H1240" s="23">
        <v>12717.11</v>
      </c>
    </row>
    <row r="1241" spans="1:8" x14ac:dyDescent="0.35">
      <c r="A1241">
        <v>2012</v>
      </c>
      <c r="B1241" t="s">
        <v>257</v>
      </c>
      <c r="C1241" t="s">
        <v>154</v>
      </c>
      <c r="D1241" t="s">
        <v>160</v>
      </c>
      <c r="E1241" s="23">
        <v>168435.76990000001</v>
      </c>
      <c r="F1241" s="23">
        <v>616010.71990000003</v>
      </c>
      <c r="G1241" s="23">
        <v>83465.850000000006</v>
      </c>
      <c r="H1241" s="23">
        <v>383860.42</v>
      </c>
    </row>
    <row r="1242" spans="1:8" x14ac:dyDescent="0.35">
      <c r="A1242">
        <v>2012</v>
      </c>
      <c r="B1242" t="s">
        <v>258</v>
      </c>
      <c r="C1242" t="s">
        <v>154</v>
      </c>
      <c r="D1242" t="s">
        <v>160</v>
      </c>
      <c r="E1242" s="23">
        <v>1456286.68</v>
      </c>
      <c r="F1242" s="23">
        <v>2775866.98</v>
      </c>
      <c r="G1242" s="23">
        <v>456586.3</v>
      </c>
      <c r="H1242" s="23">
        <v>1296455.3899999999</v>
      </c>
    </row>
    <row r="1243" spans="1:8" x14ac:dyDescent="0.35">
      <c r="A1243">
        <v>2012</v>
      </c>
      <c r="B1243" t="s">
        <v>260</v>
      </c>
      <c r="C1243" t="s">
        <v>154</v>
      </c>
      <c r="D1243" t="s">
        <v>158</v>
      </c>
      <c r="E1243" s="23">
        <v>1952955.56</v>
      </c>
      <c r="F1243" s="23">
        <v>1373199.51</v>
      </c>
      <c r="G1243" s="23">
        <v>56718</v>
      </c>
      <c r="H1243" s="23">
        <v>139232.57</v>
      </c>
    </row>
    <row r="1244" spans="1:8" x14ac:dyDescent="0.35">
      <c r="A1244">
        <v>2012</v>
      </c>
      <c r="B1244" t="s">
        <v>261</v>
      </c>
      <c r="C1244" t="s">
        <v>154</v>
      </c>
      <c r="D1244" t="s">
        <v>158</v>
      </c>
      <c r="E1244" s="23">
        <v>123191.7999</v>
      </c>
      <c r="F1244" s="23">
        <v>295133.13990000001</v>
      </c>
      <c r="G1244" s="23">
        <v>29105.4</v>
      </c>
      <c r="H1244" s="23">
        <v>78023.34</v>
      </c>
    </row>
    <row r="1245" spans="1:8" x14ac:dyDescent="0.35">
      <c r="A1245">
        <v>2012</v>
      </c>
      <c r="B1245" t="s">
        <v>262</v>
      </c>
      <c r="C1245" t="s">
        <v>154</v>
      </c>
      <c r="D1245" t="s">
        <v>155</v>
      </c>
      <c r="E1245" s="23">
        <v>116731.12</v>
      </c>
      <c r="F1245" s="23">
        <v>153196.29</v>
      </c>
      <c r="G1245" s="23">
        <v>109747</v>
      </c>
      <c r="H1245" s="23">
        <v>153196.29</v>
      </c>
    </row>
    <row r="1246" spans="1:8" x14ac:dyDescent="0.35">
      <c r="A1246">
        <v>2012</v>
      </c>
      <c r="B1246" t="s">
        <v>264</v>
      </c>
      <c r="C1246" t="s">
        <v>154</v>
      </c>
      <c r="D1246" t="s">
        <v>160</v>
      </c>
      <c r="E1246" s="23">
        <v>1459247.59</v>
      </c>
      <c r="F1246" s="23">
        <v>913256.76</v>
      </c>
      <c r="G1246" s="23">
        <v>1459247.59</v>
      </c>
      <c r="H1246" s="23">
        <v>913256.76</v>
      </c>
    </row>
    <row r="1247" spans="1:8" x14ac:dyDescent="0.35">
      <c r="A1247">
        <v>2012</v>
      </c>
      <c r="B1247" t="s">
        <v>266</v>
      </c>
      <c r="C1247" t="s">
        <v>154</v>
      </c>
      <c r="D1247" t="s">
        <v>158</v>
      </c>
      <c r="E1247" s="23">
        <v>1067676.1799000001</v>
      </c>
      <c r="F1247" s="23">
        <v>582642.11</v>
      </c>
      <c r="G1247" s="23">
        <v>2120</v>
      </c>
      <c r="H1247" s="23">
        <v>0</v>
      </c>
    </row>
    <row r="1248" spans="1:8" x14ac:dyDescent="0.35">
      <c r="A1248">
        <v>2012</v>
      </c>
      <c r="B1248" t="s">
        <v>267</v>
      </c>
      <c r="C1248" t="s">
        <v>154</v>
      </c>
      <c r="D1248" t="s">
        <v>160</v>
      </c>
      <c r="E1248" s="23">
        <v>610648.63989999995</v>
      </c>
      <c r="F1248" s="23">
        <v>527165.06000000006</v>
      </c>
      <c r="G1248" s="23">
        <v>56982.68</v>
      </c>
      <c r="H1248" s="23">
        <v>691.5</v>
      </c>
    </row>
    <row r="1249" spans="1:8" x14ac:dyDescent="0.35">
      <c r="A1249">
        <v>2012</v>
      </c>
      <c r="B1249" t="s">
        <v>298</v>
      </c>
      <c r="C1249" t="s">
        <v>154</v>
      </c>
      <c r="D1249" t="s">
        <v>160</v>
      </c>
      <c r="E1249" s="23">
        <v>2651.7</v>
      </c>
      <c r="F1249" s="23">
        <v>1471.8</v>
      </c>
      <c r="G1249" s="23">
        <v>1520.5</v>
      </c>
      <c r="H1249" s="23">
        <v>0</v>
      </c>
    </row>
    <row r="1250" spans="1:8" x14ac:dyDescent="0.35">
      <c r="A1250">
        <v>2012</v>
      </c>
      <c r="B1250" t="s">
        <v>268</v>
      </c>
      <c r="C1250" t="s">
        <v>154</v>
      </c>
      <c r="D1250" t="s">
        <v>160</v>
      </c>
      <c r="E1250" s="23">
        <v>0</v>
      </c>
      <c r="F1250" s="23">
        <v>0</v>
      </c>
      <c r="G1250" s="23">
        <v>9919.1</v>
      </c>
      <c r="H1250" s="23">
        <v>206163.49</v>
      </c>
    </row>
    <row r="1251" spans="1:8" x14ac:dyDescent="0.35">
      <c r="A1251">
        <v>2012</v>
      </c>
      <c r="B1251" t="s">
        <v>272</v>
      </c>
      <c r="C1251" t="s">
        <v>154</v>
      </c>
      <c r="D1251" t="s">
        <v>160</v>
      </c>
      <c r="E1251" s="23">
        <v>472399.56</v>
      </c>
      <c r="F1251" s="23">
        <v>42195.91</v>
      </c>
      <c r="G1251" s="23">
        <v>69374.06</v>
      </c>
      <c r="H1251" s="23">
        <v>36091.19</v>
      </c>
    </row>
    <row r="1252" spans="1:8" x14ac:dyDescent="0.35">
      <c r="A1252">
        <v>2012</v>
      </c>
      <c r="B1252" t="s">
        <v>273</v>
      </c>
      <c r="C1252" t="s">
        <v>154</v>
      </c>
      <c r="D1252" t="s">
        <v>155</v>
      </c>
      <c r="E1252" s="23">
        <v>1763758.81</v>
      </c>
      <c r="F1252" s="23">
        <v>9691755.1600000001</v>
      </c>
      <c r="G1252" s="23">
        <v>125279.56</v>
      </c>
      <c r="H1252" s="23">
        <v>188112.94</v>
      </c>
    </row>
    <row r="1253" spans="1:8" x14ac:dyDescent="0.35">
      <c r="A1253">
        <v>2012</v>
      </c>
      <c r="B1253" t="s">
        <v>275</v>
      </c>
      <c r="C1253" t="s">
        <v>154</v>
      </c>
      <c r="D1253" t="s">
        <v>160</v>
      </c>
      <c r="E1253" s="23">
        <v>0</v>
      </c>
      <c r="F1253" s="23">
        <v>0</v>
      </c>
      <c r="G1253" s="23">
        <v>10776.14</v>
      </c>
      <c r="H1253" s="23">
        <v>254662.97</v>
      </c>
    </row>
    <row r="1254" spans="1:8" x14ac:dyDescent="0.35">
      <c r="A1254">
        <v>2012</v>
      </c>
      <c r="B1254" t="s">
        <v>278</v>
      </c>
      <c r="C1254" t="s">
        <v>154</v>
      </c>
      <c r="D1254" t="s">
        <v>155</v>
      </c>
      <c r="E1254" s="23">
        <v>151585.43</v>
      </c>
      <c r="F1254" s="23">
        <v>1350884.25</v>
      </c>
      <c r="G1254" s="23">
        <v>5285.51</v>
      </c>
      <c r="H1254" s="23">
        <v>267899.34999999998</v>
      </c>
    </row>
    <row r="1255" spans="1:8" x14ac:dyDescent="0.35">
      <c r="A1255">
        <v>2012</v>
      </c>
      <c r="B1255" t="s">
        <v>279</v>
      </c>
      <c r="C1255" t="s">
        <v>154</v>
      </c>
      <c r="D1255" t="s">
        <v>155</v>
      </c>
      <c r="E1255" s="23">
        <v>998745.63</v>
      </c>
      <c r="F1255" s="23">
        <v>1883117.6</v>
      </c>
      <c r="G1255" s="23">
        <v>58873.19</v>
      </c>
      <c r="H1255" s="23">
        <v>117595.63</v>
      </c>
    </row>
    <row r="1256" spans="1:8" x14ac:dyDescent="0.35">
      <c r="A1256">
        <v>2012</v>
      </c>
      <c r="B1256" t="s">
        <v>280</v>
      </c>
      <c r="C1256" t="s">
        <v>154</v>
      </c>
      <c r="D1256" t="s">
        <v>160</v>
      </c>
      <c r="E1256" s="23">
        <v>18615.3</v>
      </c>
      <c r="F1256" s="23">
        <v>13902</v>
      </c>
      <c r="G1256" s="23">
        <v>1215</v>
      </c>
      <c r="H1256" s="23">
        <v>13697.5</v>
      </c>
    </row>
    <row r="1257" spans="1:8" x14ac:dyDescent="0.35">
      <c r="A1257">
        <v>2012</v>
      </c>
      <c r="B1257" t="s">
        <v>282</v>
      </c>
      <c r="C1257" t="s">
        <v>154</v>
      </c>
      <c r="D1257" t="s">
        <v>160</v>
      </c>
      <c r="E1257" s="23">
        <v>1952461.3998</v>
      </c>
      <c r="F1257" s="23">
        <v>4409574.55</v>
      </c>
      <c r="G1257" s="23">
        <v>934020.09</v>
      </c>
      <c r="H1257" s="23">
        <v>3663197.29</v>
      </c>
    </row>
    <row r="1258" spans="1:8" x14ac:dyDescent="0.35">
      <c r="A1258">
        <v>2012</v>
      </c>
      <c r="B1258" t="s">
        <v>283</v>
      </c>
      <c r="C1258" t="s">
        <v>154</v>
      </c>
      <c r="D1258" t="s">
        <v>155</v>
      </c>
      <c r="E1258" s="23">
        <v>0.01</v>
      </c>
      <c r="F1258" s="23">
        <v>0</v>
      </c>
      <c r="G1258" s="23">
        <v>0</v>
      </c>
      <c r="H1258" s="23">
        <v>0</v>
      </c>
    </row>
    <row r="1259" spans="1:8" x14ac:dyDescent="0.35">
      <c r="A1259">
        <v>2012</v>
      </c>
      <c r="B1259" t="s">
        <v>285</v>
      </c>
      <c r="C1259" t="s">
        <v>154</v>
      </c>
      <c r="D1259" t="s">
        <v>155</v>
      </c>
      <c r="E1259" s="23">
        <v>4711750.1539000003</v>
      </c>
      <c r="F1259" s="23">
        <v>13780316.124</v>
      </c>
      <c r="G1259" s="23">
        <v>153480</v>
      </c>
      <c r="H1259" s="23">
        <v>195559</v>
      </c>
    </row>
    <row r="1260" spans="1:8" x14ac:dyDescent="0.35">
      <c r="A1260">
        <v>2012</v>
      </c>
      <c r="B1260" t="s">
        <v>287</v>
      </c>
      <c r="C1260" t="s">
        <v>154</v>
      </c>
      <c r="D1260" t="s">
        <v>158</v>
      </c>
      <c r="E1260" s="23">
        <v>649846.41</v>
      </c>
      <c r="F1260" s="23">
        <v>1230035.03</v>
      </c>
      <c r="G1260" s="23">
        <v>364246.21</v>
      </c>
      <c r="H1260" s="23">
        <v>1075545.24</v>
      </c>
    </row>
    <row r="1261" spans="1:8" x14ac:dyDescent="0.35">
      <c r="A1261">
        <v>2012</v>
      </c>
      <c r="B1261" t="s">
        <v>289</v>
      </c>
      <c r="C1261" t="s">
        <v>154</v>
      </c>
      <c r="D1261" t="s">
        <v>160</v>
      </c>
      <c r="E1261" s="23">
        <v>87040</v>
      </c>
      <c r="F1261" s="23">
        <v>0</v>
      </c>
      <c r="G1261" s="23">
        <v>87040</v>
      </c>
      <c r="H1261" s="23">
        <v>0</v>
      </c>
    </row>
    <row r="1262" spans="1:8" x14ac:dyDescent="0.35">
      <c r="A1262">
        <v>2012</v>
      </c>
      <c r="B1262" t="s">
        <v>291</v>
      </c>
      <c r="C1262" t="s">
        <v>154</v>
      </c>
      <c r="D1262" t="s">
        <v>158</v>
      </c>
      <c r="E1262" s="23">
        <v>425754.8</v>
      </c>
      <c r="F1262" s="23">
        <v>5542085.1399999997</v>
      </c>
      <c r="G1262" s="23">
        <v>149723.14000000001</v>
      </c>
      <c r="H1262" s="23">
        <v>1503440.19</v>
      </c>
    </row>
    <row r="1263" spans="1:8" x14ac:dyDescent="0.35">
      <c r="A1263">
        <v>2012</v>
      </c>
      <c r="B1263" t="s">
        <v>296</v>
      </c>
      <c r="C1263" t="s">
        <v>154</v>
      </c>
      <c r="D1263" t="s">
        <v>155</v>
      </c>
      <c r="E1263" s="23">
        <v>725517.19</v>
      </c>
      <c r="F1263" s="23">
        <v>5528910.6100000003</v>
      </c>
      <c r="G1263" s="23">
        <v>102624.74</v>
      </c>
      <c r="H1263" s="23">
        <v>1654189.15</v>
      </c>
    </row>
    <row r="1264" spans="1:8" x14ac:dyDescent="0.35">
      <c r="A1264">
        <v>2012</v>
      </c>
      <c r="B1264" t="s">
        <v>293</v>
      </c>
      <c r="C1264" t="s">
        <v>154</v>
      </c>
      <c r="D1264" t="s">
        <v>158</v>
      </c>
      <c r="E1264" s="23">
        <v>20219.12</v>
      </c>
      <c r="F1264" s="23">
        <v>0</v>
      </c>
      <c r="G1264" s="23">
        <v>0</v>
      </c>
      <c r="H1264" s="23">
        <v>0</v>
      </c>
    </row>
    <row r="1265" spans="1:8" x14ac:dyDescent="0.35">
      <c r="A1265">
        <v>2012</v>
      </c>
      <c r="B1265" t="s">
        <v>295</v>
      </c>
      <c r="C1265" t="s">
        <v>154</v>
      </c>
      <c r="D1265" t="s">
        <v>158</v>
      </c>
      <c r="E1265" s="23">
        <v>8291335.1600000001</v>
      </c>
      <c r="F1265" s="23">
        <v>11963999.58</v>
      </c>
      <c r="G1265" s="23">
        <v>746440.06</v>
      </c>
      <c r="H1265" s="23">
        <v>0</v>
      </c>
    </row>
    <row r="1266" spans="1:8" x14ac:dyDescent="0.35">
      <c r="A1266">
        <v>2011</v>
      </c>
      <c r="B1266" t="s">
        <v>153</v>
      </c>
      <c r="C1266" t="s">
        <v>154</v>
      </c>
      <c r="D1266" t="s">
        <v>155</v>
      </c>
      <c r="E1266" s="23">
        <v>169118.19</v>
      </c>
      <c r="F1266" s="23">
        <v>1064650.1200000001</v>
      </c>
      <c r="G1266" s="23">
        <v>22616.01</v>
      </c>
      <c r="H1266" s="23">
        <v>265777.86</v>
      </c>
    </row>
    <row r="1267" spans="1:8" x14ac:dyDescent="0.35">
      <c r="A1267">
        <v>2011</v>
      </c>
      <c r="B1267" t="s">
        <v>162</v>
      </c>
      <c r="C1267" t="s">
        <v>163</v>
      </c>
      <c r="D1267" t="s">
        <v>158</v>
      </c>
      <c r="E1267" s="23">
        <v>152582.5</v>
      </c>
      <c r="F1267" s="23">
        <v>603134.15</v>
      </c>
      <c r="G1267" s="23">
        <v>0</v>
      </c>
      <c r="H1267" s="23">
        <v>0</v>
      </c>
    </row>
    <row r="1268" spans="1:8" x14ac:dyDescent="0.35">
      <c r="A1268">
        <v>2011</v>
      </c>
      <c r="B1268" t="s">
        <v>164</v>
      </c>
      <c r="C1268" t="s">
        <v>154</v>
      </c>
      <c r="D1268" t="s">
        <v>165</v>
      </c>
      <c r="E1268" s="23">
        <v>5302670.6794999996</v>
      </c>
      <c r="F1268" s="23">
        <v>4771195.5597000001</v>
      </c>
      <c r="G1268" s="23">
        <v>497778.11</v>
      </c>
      <c r="H1268" s="23">
        <v>1569664.55</v>
      </c>
    </row>
    <row r="1269" spans="1:8" x14ac:dyDescent="0.35">
      <c r="A1269">
        <v>2011</v>
      </c>
      <c r="B1269" t="s">
        <v>167</v>
      </c>
      <c r="C1269" t="s">
        <v>154</v>
      </c>
      <c r="D1269" t="s">
        <v>155</v>
      </c>
      <c r="E1269" s="23">
        <v>2312977.4698999999</v>
      </c>
      <c r="F1269" s="23">
        <v>11232467.9899</v>
      </c>
      <c r="G1269" s="23">
        <v>1389737.17</v>
      </c>
      <c r="H1269" s="23">
        <v>7842253.0599999996</v>
      </c>
    </row>
    <row r="1270" spans="1:8" x14ac:dyDescent="0.35">
      <c r="A1270">
        <v>2011</v>
      </c>
      <c r="B1270" t="s">
        <v>168</v>
      </c>
      <c r="C1270" t="s">
        <v>154</v>
      </c>
      <c r="D1270" t="s">
        <v>158</v>
      </c>
      <c r="E1270" s="23">
        <v>1723429.5495</v>
      </c>
      <c r="F1270" s="23">
        <v>10624935.820499999</v>
      </c>
      <c r="G1270" s="23">
        <v>1433395.98</v>
      </c>
      <c r="H1270" s="23">
        <v>10264532.77</v>
      </c>
    </row>
    <row r="1271" spans="1:8" x14ac:dyDescent="0.35">
      <c r="A1271">
        <v>2011</v>
      </c>
      <c r="B1271" t="s">
        <v>169</v>
      </c>
      <c r="C1271" t="s">
        <v>154</v>
      </c>
      <c r="D1271" t="s">
        <v>160</v>
      </c>
      <c r="E1271" s="23">
        <v>75032.479999999996</v>
      </c>
      <c r="F1271" s="23">
        <v>68419.45</v>
      </c>
      <c r="G1271" s="23">
        <v>21788.36</v>
      </c>
      <c r="H1271" s="23">
        <v>68419.45</v>
      </c>
    </row>
    <row r="1272" spans="1:8" x14ac:dyDescent="0.35">
      <c r="A1272">
        <v>2011</v>
      </c>
      <c r="B1272" t="s">
        <v>170</v>
      </c>
      <c r="C1272" t="s">
        <v>154</v>
      </c>
      <c r="D1272" t="s">
        <v>160</v>
      </c>
      <c r="E1272" s="23">
        <v>850037.24199999997</v>
      </c>
      <c r="F1272" s="23">
        <v>1780634.6040000001</v>
      </c>
      <c r="G1272" s="23">
        <v>276187.34000000003</v>
      </c>
      <c r="H1272" s="23">
        <v>691856.55</v>
      </c>
    </row>
    <row r="1273" spans="1:8" x14ac:dyDescent="0.35">
      <c r="A1273">
        <v>2011</v>
      </c>
      <c r="B1273" t="s">
        <v>299</v>
      </c>
      <c r="C1273" t="s">
        <v>154</v>
      </c>
      <c r="D1273" t="s">
        <v>158</v>
      </c>
      <c r="E1273" s="23">
        <v>0</v>
      </c>
      <c r="F1273" s="23">
        <v>0</v>
      </c>
      <c r="G1273" s="23">
        <v>13025.5</v>
      </c>
      <c r="H1273" s="23">
        <v>11300.01</v>
      </c>
    </row>
    <row r="1274" spans="1:8" x14ac:dyDescent="0.35">
      <c r="A1274">
        <v>2011</v>
      </c>
      <c r="B1274" t="s">
        <v>174</v>
      </c>
      <c r="C1274" t="s">
        <v>154</v>
      </c>
      <c r="D1274" t="s">
        <v>160</v>
      </c>
      <c r="E1274" s="23">
        <v>2892078.72</v>
      </c>
      <c r="F1274" s="23">
        <v>9705330.5</v>
      </c>
      <c r="G1274" s="23">
        <v>1516470</v>
      </c>
      <c r="H1274" s="23">
        <v>3955249.31</v>
      </c>
    </row>
    <row r="1275" spans="1:8" x14ac:dyDescent="0.35">
      <c r="A1275">
        <v>2011</v>
      </c>
      <c r="B1275" t="s">
        <v>177</v>
      </c>
      <c r="C1275" t="s">
        <v>154</v>
      </c>
      <c r="D1275" t="s">
        <v>160</v>
      </c>
      <c r="E1275" s="23">
        <v>2862506.4717000001</v>
      </c>
      <c r="F1275" s="23">
        <v>7188540.5199999996</v>
      </c>
      <c r="G1275" s="23">
        <v>884347.29</v>
      </c>
      <c r="H1275" s="23">
        <v>5005803.63</v>
      </c>
    </row>
    <row r="1276" spans="1:8" x14ac:dyDescent="0.35">
      <c r="A1276">
        <v>2011</v>
      </c>
      <c r="B1276" t="s">
        <v>178</v>
      </c>
      <c r="C1276" t="s">
        <v>154</v>
      </c>
      <c r="D1276" t="s">
        <v>155</v>
      </c>
      <c r="E1276" s="23">
        <v>256830.31</v>
      </c>
      <c r="F1276" s="23">
        <v>728281.07</v>
      </c>
      <c r="G1276" s="23">
        <v>95699.11</v>
      </c>
      <c r="H1276" s="23">
        <v>180978.49</v>
      </c>
    </row>
    <row r="1277" spans="1:8" x14ac:dyDescent="0.35">
      <c r="A1277">
        <v>2011</v>
      </c>
      <c r="B1277" t="s">
        <v>180</v>
      </c>
      <c r="C1277" t="s">
        <v>154</v>
      </c>
      <c r="D1277" t="s">
        <v>160</v>
      </c>
      <c r="E1277" s="23">
        <v>1224870.7198999999</v>
      </c>
      <c r="F1277" s="23">
        <v>2065486.4495999999</v>
      </c>
      <c r="G1277" s="23">
        <v>985658.97</v>
      </c>
      <c r="H1277" s="23">
        <v>1840501.73</v>
      </c>
    </row>
    <row r="1278" spans="1:8" x14ac:dyDescent="0.35">
      <c r="A1278">
        <v>2011</v>
      </c>
      <c r="B1278" t="s">
        <v>181</v>
      </c>
      <c r="C1278" t="s">
        <v>154</v>
      </c>
      <c r="D1278" t="s">
        <v>155</v>
      </c>
      <c r="E1278" s="23">
        <v>2895822.83</v>
      </c>
      <c r="F1278" s="23">
        <v>7789005.6999000004</v>
      </c>
      <c r="G1278" s="23">
        <v>1008694.94</v>
      </c>
      <c r="H1278" s="23">
        <v>6725517.7699999996</v>
      </c>
    </row>
    <row r="1279" spans="1:8" x14ac:dyDescent="0.35">
      <c r="A1279">
        <v>2011</v>
      </c>
      <c r="B1279" t="s">
        <v>182</v>
      </c>
      <c r="C1279" t="s">
        <v>154</v>
      </c>
      <c r="D1279" t="s">
        <v>158</v>
      </c>
      <c r="E1279" s="23">
        <v>0</v>
      </c>
      <c r="F1279" s="23">
        <v>0</v>
      </c>
      <c r="G1279" s="23">
        <v>109733.87</v>
      </c>
      <c r="H1279" s="23">
        <v>238513.99</v>
      </c>
    </row>
    <row r="1280" spans="1:8" x14ac:dyDescent="0.35">
      <c r="A1280">
        <v>2011</v>
      </c>
      <c r="B1280" t="s">
        <v>184</v>
      </c>
      <c r="C1280" t="s">
        <v>154</v>
      </c>
      <c r="D1280" t="s">
        <v>155</v>
      </c>
      <c r="E1280" s="23">
        <v>20465085.93</v>
      </c>
      <c r="F1280" s="23">
        <v>14021226.1896</v>
      </c>
      <c r="G1280" s="23">
        <v>4432617.4800000004</v>
      </c>
      <c r="H1280" s="23">
        <v>3746286.23</v>
      </c>
    </row>
    <row r="1281" spans="1:8" x14ac:dyDescent="0.35">
      <c r="A1281">
        <v>2011</v>
      </c>
      <c r="B1281" t="s">
        <v>186</v>
      </c>
      <c r="C1281" t="s">
        <v>154</v>
      </c>
      <c r="D1281" t="s">
        <v>158</v>
      </c>
      <c r="E1281" s="23">
        <v>2183026.65</v>
      </c>
      <c r="F1281" s="23">
        <v>8548342.0899999999</v>
      </c>
      <c r="G1281" s="23">
        <v>410352.54</v>
      </c>
      <c r="H1281" s="23">
        <v>1948091.32</v>
      </c>
    </row>
    <row r="1282" spans="1:8" x14ac:dyDescent="0.35">
      <c r="A1282">
        <v>2011</v>
      </c>
      <c r="B1282" t="s">
        <v>187</v>
      </c>
      <c r="C1282" t="s">
        <v>154</v>
      </c>
      <c r="D1282" t="s">
        <v>158</v>
      </c>
      <c r="E1282" s="23">
        <v>27525.369900000002</v>
      </c>
      <c r="F1282" s="23">
        <v>26688</v>
      </c>
      <c r="G1282" s="23">
        <v>0</v>
      </c>
      <c r="H1282" s="23">
        <v>0</v>
      </c>
    </row>
    <row r="1283" spans="1:8" x14ac:dyDescent="0.35">
      <c r="A1283">
        <v>2011</v>
      </c>
      <c r="B1283" t="s">
        <v>188</v>
      </c>
      <c r="C1283" t="s">
        <v>154</v>
      </c>
      <c r="D1283" t="s">
        <v>155</v>
      </c>
      <c r="E1283" s="23">
        <v>2569908.1800000002</v>
      </c>
      <c r="F1283" s="23">
        <v>12852322.619200001</v>
      </c>
      <c r="G1283" s="23">
        <v>1201844.1000000001</v>
      </c>
      <c r="H1283" s="23">
        <v>5798155.9000000004</v>
      </c>
    </row>
    <row r="1284" spans="1:8" x14ac:dyDescent="0.35">
      <c r="A1284">
        <v>2011</v>
      </c>
      <c r="B1284" t="s">
        <v>189</v>
      </c>
      <c r="C1284" t="s">
        <v>154</v>
      </c>
      <c r="D1284" t="s">
        <v>158</v>
      </c>
      <c r="E1284" s="23">
        <v>1557240.27</v>
      </c>
      <c r="F1284" s="23">
        <v>4165253.3</v>
      </c>
      <c r="G1284" s="23">
        <v>50483.6</v>
      </c>
      <c r="H1284" s="23">
        <v>45.9</v>
      </c>
    </row>
    <row r="1285" spans="1:8" x14ac:dyDescent="0.35">
      <c r="A1285">
        <v>2011</v>
      </c>
      <c r="B1285" t="s">
        <v>190</v>
      </c>
      <c r="C1285" t="s">
        <v>154</v>
      </c>
      <c r="D1285" t="s">
        <v>155</v>
      </c>
      <c r="E1285" s="23">
        <v>2321448.8698999998</v>
      </c>
      <c r="F1285" s="23">
        <v>3341593.4199000001</v>
      </c>
      <c r="G1285" s="23">
        <v>253216.12</v>
      </c>
      <c r="H1285" s="23">
        <v>570641.06999999995</v>
      </c>
    </row>
    <row r="1286" spans="1:8" x14ac:dyDescent="0.35">
      <c r="A1286">
        <v>2011</v>
      </c>
      <c r="B1286" t="s">
        <v>300</v>
      </c>
      <c r="C1286" t="s">
        <v>154</v>
      </c>
      <c r="D1286" t="s">
        <v>158</v>
      </c>
      <c r="E1286" s="23">
        <v>7285</v>
      </c>
      <c r="F1286" s="23">
        <v>0</v>
      </c>
      <c r="G1286" s="23">
        <v>0</v>
      </c>
      <c r="H1286" s="23">
        <v>0</v>
      </c>
    </row>
    <row r="1287" spans="1:8" x14ac:dyDescent="0.35">
      <c r="A1287">
        <v>2011</v>
      </c>
      <c r="B1287" t="s">
        <v>192</v>
      </c>
      <c r="C1287" t="s">
        <v>154</v>
      </c>
      <c r="D1287" t="s">
        <v>160</v>
      </c>
      <c r="E1287" s="23">
        <v>1182625.3700000001</v>
      </c>
      <c r="F1287" s="23">
        <v>2458930.2999999998</v>
      </c>
      <c r="G1287" s="23">
        <v>997928.43</v>
      </c>
      <c r="H1287" s="23">
        <v>1180605.04</v>
      </c>
    </row>
    <row r="1288" spans="1:8" x14ac:dyDescent="0.35">
      <c r="A1288">
        <v>2011</v>
      </c>
      <c r="B1288" t="s">
        <v>196</v>
      </c>
      <c r="C1288" t="s">
        <v>154</v>
      </c>
      <c r="D1288" t="s">
        <v>155</v>
      </c>
      <c r="E1288" s="23">
        <v>248648.55</v>
      </c>
      <c r="F1288" s="23">
        <v>542384.1298</v>
      </c>
      <c r="G1288" s="23">
        <v>224734.49</v>
      </c>
      <c r="H1288" s="23">
        <v>172998.32</v>
      </c>
    </row>
    <row r="1289" spans="1:8" x14ac:dyDescent="0.35">
      <c r="A1289">
        <v>2011</v>
      </c>
      <c r="B1289" t="s">
        <v>197</v>
      </c>
      <c r="C1289" t="s">
        <v>154</v>
      </c>
      <c r="D1289" t="s">
        <v>160</v>
      </c>
      <c r="E1289" s="23">
        <v>256129.02</v>
      </c>
      <c r="F1289" s="23">
        <v>288326.48</v>
      </c>
      <c r="G1289" s="23">
        <v>33439.5</v>
      </c>
      <c r="H1289" s="23">
        <v>49731.5</v>
      </c>
    </row>
    <row r="1290" spans="1:8" x14ac:dyDescent="0.35">
      <c r="A1290">
        <v>2011</v>
      </c>
      <c r="B1290" t="s">
        <v>198</v>
      </c>
      <c r="C1290" t="s">
        <v>154</v>
      </c>
      <c r="D1290" t="s">
        <v>160</v>
      </c>
      <c r="E1290" s="23">
        <v>3348661.4912</v>
      </c>
      <c r="F1290" s="23">
        <v>16167099.5142</v>
      </c>
      <c r="G1290" s="23">
        <v>1053143.52</v>
      </c>
      <c r="H1290" s="23">
        <v>3807701.15</v>
      </c>
    </row>
    <row r="1291" spans="1:8" x14ac:dyDescent="0.35">
      <c r="A1291">
        <v>2011</v>
      </c>
      <c r="B1291" t="s">
        <v>199</v>
      </c>
      <c r="C1291" t="s">
        <v>154</v>
      </c>
      <c r="D1291" t="s">
        <v>160</v>
      </c>
      <c r="E1291" s="23">
        <v>696841.72990000003</v>
      </c>
      <c r="F1291" s="23">
        <v>4800490.93</v>
      </c>
      <c r="G1291" s="23">
        <v>145928.07999999999</v>
      </c>
      <c r="H1291" s="23">
        <v>2552146.38</v>
      </c>
    </row>
    <row r="1292" spans="1:8" x14ac:dyDescent="0.35">
      <c r="A1292">
        <v>2011</v>
      </c>
      <c r="B1292" t="s">
        <v>201</v>
      </c>
      <c r="C1292" t="s">
        <v>154</v>
      </c>
      <c r="D1292" t="s">
        <v>160</v>
      </c>
      <c r="E1292" s="23">
        <v>0</v>
      </c>
      <c r="F1292" s="23">
        <v>0</v>
      </c>
      <c r="G1292" s="23">
        <v>328538.02</v>
      </c>
      <c r="H1292" s="23">
        <v>713990.54</v>
      </c>
    </row>
    <row r="1293" spans="1:8" x14ac:dyDescent="0.35">
      <c r="A1293">
        <v>2011</v>
      </c>
      <c r="B1293" t="s">
        <v>202</v>
      </c>
      <c r="C1293" t="s">
        <v>154</v>
      </c>
      <c r="D1293" t="s">
        <v>155</v>
      </c>
      <c r="E1293" s="23">
        <v>1130002.03</v>
      </c>
      <c r="F1293" s="23">
        <v>3744169.5299</v>
      </c>
      <c r="G1293" s="23">
        <v>138861.24</v>
      </c>
      <c r="H1293" s="23">
        <v>34271.480000000003</v>
      </c>
    </row>
    <row r="1294" spans="1:8" x14ac:dyDescent="0.35">
      <c r="A1294">
        <v>2011</v>
      </c>
      <c r="B1294" t="s">
        <v>203</v>
      </c>
      <c r="C1294" t="s">
        <v>154</v>
      </c>
      <c r="D1294" t="s">
        <v>160</v>
      </c>
      <c r="E1294" s="23">
        <v>1685601.37</v>
      </c>
      <c r="F1294" s="23">
        <v>7925926.0700000003</v>
      </c>
      <c r="G1294" s="23">
        <v>414083.58</v>
      </c>
      <c r="H1294" s="23">
        <v>1364575.06</v>
      </c>
    </row>
    <row r="1295" spans="1:8" x14ac:dyDescent="0.35">
      <c r="A1295">
        <v>2011</v>
      </c>
      <c r="B1295" t="s">
        <v>204</v>
      </c>
      <c r="C1295" t="s">
        <v>154</v>
      </c>
      <c r="D1295" t="s">
        <v>158</v>
      </c>
      <c r="E1295" s="23">
        <v>1088121.21</v>
      </c>
      <c r="F1295" s="23">
        <v>4730187.97</v>
      </c>
      <c r="G1295" s="23">
        <v>437494.47</v>
      </c>
      <c r="H1295" s="23">
        <v>521884.71</v>
      </c>
    </row>
    <row r="1296" spans="1:8" x14ac:dyDescent="0.35">
      <c r="A1296">
        <v>2011</v>
      </c>
      <c r="B1296" t="s">
        <v>205</v>
      </c>
      <c r="C1296" t="s">
        <v>154</v>
      </c>
      <c r="D1296" t="s">
        <v>160</v>
      </c>
      <c r="E1296" s="23">
        <v>194078.9099</v>
      </c>
      <c r="F1296" s="23">
        <v>110681.09</v>
      </c>
      <c r="G1296" s="23">
        <v>20808.990000000002</v>
      </c>
      <c r="H1296" s="23">
        <v>42491.17</v>
      </c>
    </row>
    <row r="1297" spans="1:8" x14ac:dyDescent="0.35">
      <c r="A1297">
        <v>2011</v>
      </c>
      <c r="B1297" t="s">
        <v>206</v>
      </c>
      <c r="C1297" t="s">
        <v>154</v>
      </c>
      <c r="D1297" t="s">
        <v>158</v>
      </c>
      <c r="E1297" s="23">
        <v>349636.67</v>
      </c>
      <c r="F1297" s="23">
        <v>285576.07</v>
      </c>
      <c r="G1297" s="23">
        <v>45574.67</v>
      </c>
      <c r="H1297" s="23">
        <v>156493.47</v>
      </c>
    </row>
    <row r="1298" spans="1:8" x14ac:dyDescent="0.35">
      <c r="A1298">
        <v>2011</v>
      </c>
      <c r="B1298" t="s">
        <v>209</v>
      </c>
      <c r="C1298" t="s">
        <v>154</v>
      </c>
      <c r="D1298" t="s">
        <v>158</v>
      </c>
      <c r="E1298" s="23">
        <v>698395.24</v>
      </c>
      <c r="F1298" s="23">
        <v>419461.88990000001</v>
      </c>
      <c r="G1298" s="23">
        <v>35918</v>
      </c>
      <c r="H1298" s="23">
        <v>194807.78</v>
      </c>
    </row>
    <row r="1299" spans="1:8" x14ac:dyDescent="0.35">
      <c r="A1299">
        <v>2011</v>
      </c>
      <c r="B1299" t="s">
        <v>210</v>
      </c>
      <c r="C1299" t="s">
        <v>154</v>
      </c>
      <c r="D1299" t="s">
        <v>158</v>
      </c>
      <c r="E1299" s="23">
        <v>1081531.32</v>
      </c>
      <c r="F1299" s="23">
        <v>1514225.17</v>
      </c>
      <c r="G1299" s="23">
        <v>95489.71</v>
      </c>
      <c r="H1299" s="23">
        <v>397731.45</v>
      </c>
    </row>
    <row r="1300" spans="1:8" x14ac:dyDescent="0.35">
      <c r="A1300">
        <v>2011</v>
      </c>
      <c r="B1300" t="s">
        <v>212</v>
      </c>
      <c r="C1300" t="s">
        <v>154</v>
      </c>
      <c r="D1300" t="s">
        <v>160</v>
      </c>
      <c r="E1300" s="23">
        <v>1603121.7180000001</v>
      </c>
      <c r="F1300" s="23">
        <v>3414008.3259000001</v>
      </c>
      <c r="G1300" s="23">
        <v>60777.440000000002</v>
      </c>
      <c r="H1300" s="23">
        <v>500626.34</v>
      </c>
    </row>
    <row r="1301" spans="1:8" x14ac:dyDescent="0.35">
      <c r="A1301">
        <v>2011</v>
      </c>
      <c r="B1301" t="s">
        <v>215</v>
      </c>
      <c r="C1301" t="s">
        <v>154</v>
      </c>
      <c r="D1301" t="s">
        <v>160</v>
      </c>
      <c r="E1301" s="23">
        <v>0</v>
      </c>
      <c r="F1301" s="23">
        <v>0</v>
      </c>
      <c r="G1301" s="23">
        <v>28431.85</v>
      </c>
      <c r="H1301" s="23">
        <v>20365.2</v>
      </c>
    </row>
    <row r="1302" spans="1:8" x14ac:dyDescent="0.35">
      <c r="A1302">
        <v>2011</v>
      </c>
      <c r="B1302" t="s">
        <v>218</v>
      </c>
      <c r="C1302" t="s">
        <v>154</v>
      </c>
      <c r="D1302" t="s">
        <v>158</v>
      </c>
      <c r="E1302" s="23">
        <v>0.01</v>
      </c>
      <c r="F1302" s="23">
        <v>0</v>
      </c>
      <c r="G1302" s="23">
        <v>0</v>
      </c>
      <c r="H1302" s="23">
        <v>0</v>
      </c>
    </row>
    <row r="1303" spans="1:8" x14ac:dyDescent="0.35">
      <c r="A1303">
        <v>2011</v>
      </c>
      <c r="B1303" t="s">
        <v>219</v>
      </c>
      <c r="C1303" t="s">
        <v>154</v>
      </c>
      <c r="D1303" t="s">
        <v>160</v>
      </c>
      <c r="E1303" s="23">
        <v>863847.85990000004</v>
      </c>
      <c r="F1303" s="23">
        <v>1306772.72</v>
      </c>
      <c r="G1303" s="23">
        <v>81956</v>
      </c>
      <c r="H1303" s="23">
        <v>168938.7</v>
      </c>
    </row>
    <row r="1304" spans="1:8" x14ac:dyDescent="0.35">
      <c r="A1304">
        <v>2011</v>
      </c>
      <c r="B1304" t="s">
        <v>220</v>
      </c>
      <c r="C1304" t="s">
        <v>154</v>
      </c>
      <c r="D1304" t="s">
        <v>158</v>
      </c>
      <c r="E1304" s="23">
        <v>591376.66</v>
      </c>
      <c r="F1304" s="23">
        <v>840794</v>
      </c>
      <c r="G1304" s="23">
        <v>62927.3</v>
      </c>
      <c r="H1304" s="23">
        <v>89208.88</v>
      </c>
    </row>
    <row r="1305" spans="1:8" x14ac:dyDescent="0.35">
      <c r="A1305">
        <v>2011</v>
      </c>
      <c r="B1305" t="s">
        <v>221</v>
      </c>
      <c r="C1305" t="s">
        <v>154</v>
      </c>
      <c r="D1305" t="s">
        <v>165</v>
      </c>
      <c r="E1305" s="23">
        <v>1081706.8699</v>
      </c>
      <c r="F1305" s="23">
        <v>1178367.33</v>
      </c>
      <c r="G1305" s="23">
        <v>186717.01</v>
      </c>
      <c r="H1305" s="23">
        <v>105603.42</v>
      </c>
    </row>
    <row r="1306" spans="1:8" x14ac:dyDescent="0.35">
      <c r="A1306">
        <v>2011</v>
      </c>
      <c r="B1306" t="s">
        <v>223</v>
      </c>
      <c r="C1306" t="s">
        <v>163</v>
      </c>
      <c r="D1306" t="s">
        <v>160</v>
      </c>
      <c r="E1306" s="23">
        <v>218147.13</v>
      </c>
      <c r="F1306" s="23">
        <v>408364.45</v>
      </c>
      <c r="G1306" s="23">
        <v>22400</v>
      </c>
      <c r="H1306" s="23">
        <v>281209.15000000002</v>
      </c>
    </row>
    <row r="1307" spans="1:8" x14ac:dyDescent="0.35">
      <c r="A1307">
        <v>2011</v>
      </c>
      <c r="B1307" t="s">
        <v>224</v>
      </c>
      <c r="C1307" t="s">
        <v>154</v>
      </c>
      <c r="D1307" t="s">
        <v>158</v>
      </c>
      <c r="E1307" s="23">
        <v>453603.06</v>
      </c>
      <c r="F1307" s="23">
        <v>303015.7</v>
      </c>
      <c r="G1307" s="23">
        <v>30000.33</v>
      </c>
      <c r="H1307" s="23">
        <v>11218.67</v>
      </c>
    </row>
    <row r="1308" spans="1:8" x14ac:dyDescent="0.35">
      <c r="A1308">
        <v>2011</v>
      </c>
      <c r="B1308" t="s">
        <v>225</v>
      </c>
      <c r="C1308" t="s">
        <v>154</v>
      </c>
      <c r="D1308" t="s">
        <v>160</v>
      </c>
      <c r="E1308" s="23">
        <v>0</v>
      </c>
      <c r="F1308" s="23">
        <v>0</v>
      </c>
      <c r="G1308" s="23">
        <v>0</v>
      </c>
      <c r="H1308" s="23">
        <v>0</v>
      </c>
    </row>
    <row r="1309" spans="1:8" x14ac:dyDescent="0.35">
      <c r="A1309">
        <v>2011</v>
      </c>
      <c r="B1309" t="s">
        <v>226</v>
      </c>
      <c r="C1309" t="s">
        <v>154</v>
      </c>
      <c r="D1309" t="s">
        <v>155</v>
      </c>
      <c r="E1309" s="23">
        <v>0</v>
      </c>
      <c r="F1309" s="23">
        <v>0</v>
      </c>
      <c r="G1309" s="23">
        <v>13492.4</v>
      </c>
      <c r="H1309" s="23">
        <v>3676.19</v>
      </c>
    </row>
    <row r="1310" spans="1:8" x14ac:dyDescent="0.35">
      <c r="A1310">
        <v>2011</v>
      </c>
      <c r="B1310" t="s">
        <v>227</v>
      </c>
      <c r="C1310" t="s">
        <v>154</v>
      </c>
      <c r="D1310" t="s">
        <v>158</v>
      </c>
      <c r="E1310" s="23">
        <v>0</v>
      </c>
      <c r="F1310" s="23">
        <v>0</v>
      </c>
      <c r="G1310" s="23">
        <v>207696.35</v>
      </c>
      <c r="H1310" s="23">
        <v>302893.42</v>
      </c>
    </row>
    <row r="1311" spans="1:8" x14ac:dyDescent="0.35">
      <c r="A1311">
        <v>2011</v>
      </c>
      <c r="B1311" t="s">
        <v>228</v>
      </c>
      <c r="C1311" t="s">
        <v>154</v>
      </c>
      <c r="D1311" t="s">
        <v>160</v>
      </c>
      <c r="E1311" s="23">
        <v>194130.48</v>
      </c>
      <c r="F1311" s="23">
        <v>148949.14000000001</v>
      </c>
      <c r="G1311" s="23">
        <v>0</v>
      </c>
      <c r="H1311" s="23">
        <v>800</v>
      </c>
    </row>
    <row r="1312" spans="1:8" x14ac:dyDescent="0.35">
      <c r="A1312">
        <v>2011</v>
      </c>
      <c r="B1312" t="s">
        <v>232</v>
      </c>
      <c r="C1312" t="s">
        <v>154</v>
      </c>
      <c r="D1312" t="s">
        <v>165</v>
      </c>
      <c r="E1312" s="23">
        <v>1021846.92</v>
      </c>
      <c r="F1312" s="23">
        <v>1420959.96</v>
      </c>
      <c r="G1312" s="23">
        <v>857502.85</v>
      </c>
      <c r="H1312" s="23">
        <v>1399376.81</v>
      </c>
    </row>
    <row r="1313" spans="1:8" x14ac:dyDescent="0.35">
      <c r="A1313">
        <v>2011</v>
      </c>
      <c r="B1313" t="s">
        <v>233</v>
      </c>
      <c r="C1313" t="s">
        <v>154</v>
      </c>
      <c r="D1313" t="s">
        <v>155</v>
      </c>
      <c r="E1313" s="23">
        <v>1229750.29</v>
      </c>
      <c r="F1313" s="23">
        <v>2909976.33</v>
      </c>
      <c r="G1313" s="23">
        <v>31610.959999999999</v>
      </c>
      <c r="H1313" s="23">
        <v>81192.539999999994</v>
      </c>
    </row>
    <row r="1314" spans="1:8" x14ac:dyDescent="0.35">
      <c r="A1314">
        <v>2011</v>
      </c>
      <c r="B1314" t="s">
        <v>234</v>
      </c>
      <c r="C1314" t="s">
        <v>154</v>
      </c>
      <c r="D1314" t="s">
        <v>160</v>
      </c>
      <c r="E1314" s="23">
        <v>7243326.5392000005</v>
      </c>
      <c r="F1314" s="23">
        <v>22474694.4866</v>
      </c>
      <c r="G1314" s="23">
        <v>3114543.27</v>
      </c>
      <c r="H1314" s="23">
        <v>845826.11</v>
      </c>
    </row>
    <row r="1315" spans="1:8" x14ac:dyDescent="0.35">
      <c r="A1315">
        <v>2011</v>
      </c>
      <c r="B1315" t="s">
        <v>235</v>
      </c>
      <c r="C1315" t="s">
        <v>154</v>
      </c>
      <c r="D1315" t="s">
        <v>160</v>
      </c>
      <c r="E1315" s="23">
        <v>139975.06</v>
      </c>
      <c r="F1315" s="23">
        <v>55420.39</v>
      </c>
      <c r="G1315" s="23">
        <v>32054.66</v>
      </c>
      <c r="H1315" s="23">
        <v>55420.39</v>
      </c>
    </row>
    <row r="1316" spans="1:8" x14ac:dyDescent="0.35">
      <c r="A1316">
        <v>2011</v>
      </c>
      <c r="B1316" t="s">
        <v>236</v>
      </c>
      <c r="C1316" t="s">
        <v>154</v>
      </c>
      <c r="D1316" t="s">
        <v>160</v>
      </c>
      <c r="E1316" s="23">
        <v>1503628.59</v>
      </c>
      <c r="F1316" s="23">
        <v>5829058.1699999999</v>
      </c>
      <c r="G1316" s="23">
        <v>1206474.6599999999</v>
      </c>
      <c r="H1316" s="23">
        <v>4611899.16</v>
      </c>
    </row>
    <row r="1317" spans="1:8" x14ac:dyDescent="0.35">
      <c r="A1317">
        <v>2011</v>
      </c>
      <c r="B1317" t="s">
        <v>238</v>
      </c>
      <c r="C1317" t="s">
        <v>154</v>
      </c>
      <c r="D1317" t="s">
        <v>155</v>
      </c>
      <c r="E1317" s="23">
        <v>0</v>
      </c>
      <c r="F1317" s="23">
        <v>0</v>
      </c>
      <c r="G1317" s="23">
        <v>389739.29</v>
      </c>
      <c r="H1317" s="23">
        <v>2898569.13</v>
      </c>
    </row>
    <row r="1318" spans="1:8" x14ac:dyDescent="0.35">
      <c r="A1318">
        <v>2011</v>
      </c>
      <c r="B1318" t="s">
        <v>239</v>
      </c>
      <c r="C1318" t="s">
        <v>154</v>
      </c>
      <c r="D1318" t="s">
        <v>158</v>
      </c>
      <c r="E1318" s="23">
        <v>866123.04</v>
      </c>
      <c r="F1318" s="23">
        <v>1097648.0075000001</v>
      </c>
      <c r="G1318" s="23">
        <v>6203.12</v>
      </c>
      <c r="H1318" s="23">
        <v>5459</v>
      </c>
    </row>
    <row r="1319" spans="1:8" x14ac:dyDescent="0.35">
      <c r="A1319">
        <v>2011</v>
      </c>
      <c r="B1319" t="s">
        <v>243</v>
      </c>
      <c r="C1319" t="s">
        <v>154</v>
      </c>
      <c r="D1319" t="s">
        <v>165</v>
      </c>
      <c r="E1319" s="23">
        <v>250546.31</v>
      </c>
      <c r="F1319" s="23">
        <v>741897.85</v>
      </c>
      <c r="G1319" s="23">
        <v>46010.61</v>
      </c>
      <c r="H1319" s="23">
        <v>260502.58</v>
      </c>
    </row>
    <row r="1320" spans="1:8" x14ac:dyDescent="0.35">
      <c r="A1320">
        <v>2011</v>
      </c>
      <c r="B1320" t="s">
        <v>247</v>
      </c>
      <c r="C1320" t="s">
        <v>154</v>
      </c>
      <c r="D1320" t="s">
        <v>160</v>
      </c>
      <c r="E1320" s="23">
        <v>19258730.442499999</v>
      </c>
      <c r="F1320" s="23">
        <v>26799068.484000001</v>
      </c>
      <c r="G1320" s="23">
        <v>1078271.1599999999</v>
      </c>
      <c r="H1320" s="23">
        <v>2939694.85</v>
      </c>
    </row>
    <row r="1321" spans="1:8" x14ac:dyDescent="0.35">
      <c r="A1321">
        <v>2011</v>
      </c>
      <c r="B1321" t="s">
        <v>249</v>
      </c>
      <c r="C1321" t="s">
        <v>154</v>
      </c>
      <c r="D1321" t="s">
        <v>160</v>
      </c>
      <c r="E1321" s="23">
        <v>3443393.6198999998</v>
      </c>
      <c r="F1321" s="23">
        <v>9548488.9098000005</v>
      </c>
      <c r="G1321" s="23">
        <v>523278.22</v>
      </c>
      <c r="H1321" s="23">
        <v>3603807.31</v>
      </c>
    </row>
    <row r="1322" spans="1:8" x14ac:dyDescent="0.35">
      <c r="A1322">
        <v>2011</v>
      </c>
      <c r="B1322" t="s">
        <v>252</v>
      </c>
      <c r="C1322" t="s">
        <v>154</v>
      </c>
      <c r="D1322" t="s">
        <v>160</v>
      </c>
      <c r="E1322" s="23">
        <v>0</v>
      </c>
      <c r="F1322" s="23">
        <v>0</v>
      </c>
      <c r="G1322" s="23">
        <v>319.51</v>
      </c>
      <c r="H1322" s="23">
        <v>0</v>
      </c>
    </row>
    <row r="1323" spans="1:8" x14ac:dyDescent="0.35">
      <c r="A1323">
        <v>2011</v>
      </c>
      <c r="B1323" t="s">
        <v>253</v>
      </c>
      <c r="C1323" t="s">
        <v>154</v>
      </c>
      <c r="D1323" t="s">
        <v>160</v>
      </c>
      <c r="E1323" s="23">
        <v>0</v>
      </c>
      <c r="F1323" s="23">
        <v>0</v>
      </c>
      <c r="G1323" s="23">
        <v>233472.82</v>
      </c>
      <c r="H1323" s="23">
        <v>508738.5</v>
      </c>
    </row>
    <row r="1324" spans="1:8" x14ac:dyDescent="0.35">
      <c r="A1324">
        <v>2011</v>
      </c>
      <c r="B1324" t="s">
        <v>254</v>
      </c>
      <c r="C1324" t="s">
        <v>154</v>
      </c>
      <c r="D1324" t="s">
        <v>155</v>
      </c>
      <c r="E1324" s="23">
        <v>24562.799999999999</v>
      </c>
      <c r="F1324" s="23">
        <v>0</v>
      </c>
      <c r="G1324" s="23">
        <v>0</v>
      </c>
      <c r="H1324" s="23">
        <v>0</v>
      </c>
    </row>
    <row r="1325" spans="1:8" x14ac:dyDescent="0.35">
      <c r="A1325">
        <v>2011</v>
      </c>
      <c r="B1325" t="s">
        <v>255</v>
      </c>
      <c r="C1325" t="s">
        <v>154</v>
      </c>
      <c r="D1325" t="s">
        <v>160</v>
      </c>
      <c r="E1325" s="23">
        <v>262738.65000000002</v>
      </c>
      <c r="F1325" s="23">
        <v>64903.34</v>
      </c>
      <c r="G1325" s="23">
        <v>140232.69</v>
      </c>
      <c r="H1325" s="23">
        <v>6586.16</v>
      </c>
    </row>
    <row r="1326" spans="1:8" x14ac:dyDescent="0.35">
      <c r="A1326">
        <v>2011</v>
      </c>
      <c r="B1326" t="s">
        <v>257</v>
      </c>
      <c r="C1326" t="s">
        <v>154</v>
      </c>
      <c r="D1326" t="s">
        <v>160</v>
      </c>
      <c r="E1326" s="23">
        <v>177583.38</v>
      </c>
      <c r="F1326" s="23">
        <v>2460380.64</v>
      </c>
      <c r="G1326" s="23">
        <v>0</v>
      </c>
      <c r="H1326" s="23">
        <v>0</v>
      </c>
    </row>
    <row r="1327" spans="1:8" x14ac:dyDescent="0.35">
      <c r="A1327">
        <v>2011</v>
      </c>
      <c r="B1327" t="s">
        <v>258</v>
      </c>
      <c r="C1327" t="s">
        <v>154</v>
      </c>
      <c r="D1327" t="s">
        <v>160</v>
      </c>
      <c r="E1327" s="23">
        <v>115861.11</v>
      </c>
      <c r="F1327" s="23">
        <v>64977.48</v>
      </c>
      <c r="G1327" s="23">
        <v>78641.850000000006</v>
      </c>
      <c r="H1327" s="23">
        <v>52621.48</v>
      </c>
    </row>
    <row r="1328" spans="1:8" x14ac:dyDescent="0.35">
      <c r="A1328">
        <v>2011</v>
      </c>
      <c r="B1328" t="s">
        <v>260</v>
      </c>
      <c r="C1328" t="s">
        <v>154</v>
      </c>
      <c r="D1328" t="s">
        <v>158</v>
      </c>
      <c r="E1328" s="23">
        <v>508493.57</v>
      </c>
      <c r="F1328" s="23">
        <v>375109.19</v>
      </c>
      <c r="G1328" s="23">
        <v>195077.8</v>
      </c>
      <c r="H1328" s="23">
        <v>162021.12</v>
      </c>
    </row>
    <row r="1329" spans="1:8" x14ac:dyDescent="0.35">
      <c r="A1329">
        <v>2011</v>
      </c>
      <c r="B1329" t="s">
        <v>261</v>
      </c>
      <c r="C1329" t="s">
        <v>154</v>
      </c>
      <c r="D1329" t="s">
        <v>158</v>
      </c>
      <c r="E1329" s="23">
        <v>181879.7298</v>
      </c>
      <c r="F1329" s="23">
        <v>475624.57</v>
      </c>
      <c r="G1329" s="23">
        <v>42080.35</v>
      </c>
      <c r="H1329" s="23">
        <v>456674.67</v>
      </c>
    </row>
    <row r="1330" spans="1:8" x14ac:dyDescent="0.35">
      <c r="A1330">
        <v>2011</v>
      </c>
      <c r="B1330" t="s">
        <v>262</v>
      </c>
      <c r="C1330" t="s">
        <v>154</v>
      </c>
      <c r="D1330" t="s">
        <v>155</v>
      </c>
      <c r="E1330" s="23">
        <v>122051.57</v>
      </c>
      <c r="F1330" s="23">
        <v>145918.9</v>
      </c>
      <c r="G1330" s="23">
        <v>110365.04</v>
      </c>
      <c r="H1330" s="23">
        <v>145918.9</v>
      </c>
    </row>
    <row r="1331" spans="1:8" x14ac:dyDescent="0.35">
      <c r="A1331">
        <v>2011</v>
      </c>
      <c r="B1331" t="s">
        <v>264</v>
      </c>
      <c r="C1331" t="s">
        <v>154</v>
      </c>
      <c r="D1331" t="s">
        <v>160</v>
      </c>
      <c r="E1331" s="23">
        <v>801041.13</v>
      </c>
      <c r="F1331" s="23">
        <v>756178.28</v>
      </c>
      <c r="G1331" s="23">
        <v>337846</v>
      </c>
      <c r="H1331" s="23">
        <v>239373.41</v>
      </c>
    </row>
    <row r="1332" spans="1:8" x14ac:dyDescent="0.35">
      <c r="A1332">
        <v>2011</v>
      </c>
      <c r="B1332" t="s">
        <v>266</v>
      </c>
      <c r="C1332" t="s">
        <v>154</v>
      </c>
      <c r="D1332" t="s">
        <v>158</v>
      </c>
      <c r="E1332" s="23">
        <v>1419937.1399000001</v>
      </c>
      <c r="F1332" s="23">
        <v>200307.1</v>
      </c>
      <c r="G1332" s="23">
        <v>8741.14</v>
      </c>
      <c r="H1332" s="23">
        <v>458.87</v>
      </c>
    </row>
    <row r="1333" spans="1:8" x14ac:dyDescent="0.35">
      <c r="A1333">
        <v>2011</v>
      </c>
      <c r="B1333" t="s">
        <v>267</v>
      </c>
      <c r="C1333" t="s">
        <v>154</v>
      </c>
      <c r="D1333" t="s">
        <v>160</v>
      </c>
      <c r="E1333" s="23">
        <v>339426.49</v>
      </c>
      <c r="F1333" s="23">
        <v>100929.87</v>
      </c>
      <c r="G1333" s="23">
        <v>15235.35</v>
      </c>
      <c r="H1333" s="23">
        <v>27058.15</v>
      </c>
    </row>
    <row r="1334" spans="1:8" x14ac:dyDescent="0.35">
      <c r="A1334">
        <v>2011</v>
      </c>
      <c r="B1334" t="s">
        <v>298</v>
      </c>
      <c r="C1334" t="s">
        <v>154</v>
      </c>
      <c r="D1334" t="s">
        <v>160</v>
      </c>
      <c r="E1334" s="23">
        <v>24626.6</v>
      </c>
      <c r="F1334" s="23">
        <v>91063.66</v>
      </c>
      <c r="G1334" s="23">
        <v>4320</v>
      </c>
      <c r="H1334" s="23">
        <v>3680</v>
      </c>
    </row>
    <row r="1335" spans="1:8" x14ac:dyDescent="0.35">
      <c r="A1335">
        <v>2011</v>
      </c>
      <c r="B1335" t="s">
        <v>268</v>
      </c>
      <c r="C1335" t="s">
        <v>154</v>
      </c>
      <c r="D1335" t="s">
        <v>160</v>
      </c>
      <c r="E1335" s="23">
        <v>0</v>
      </c>
      <c r="F1335" s="23">
        <v>0</v>
      </c>
      <c r="G1335" s="23">
        <v>13378.91</v>
      </c>
      <c r="H1335" s="23">
        <v>19639.47</v>
      </c>
    </row>
    <row r="1336" spans="1:8" x14ac:dyDescent="0.35">
      <c r="A1336">
        <v>2011</v>
      </c>
      <c r="B1336" t="s">
        <v>272</v>
      </c>
      <c r="C1336" t="s">
        <v>154</v>
      </c>
      <c r="D1336" t="s">
        <v>160</v>
      </c>
      <c r="E1336" s="23">
        <v>207916.30979999999</v>
      </c>
      <c r="F1336" s="23">
        <v>482595.5099</v>
      </c>
      <c r="G1336" s="23">
        <v>17755.810000000001</v>
      </c>
      <c r="H1336" s="23">
        <v>18585.099999999999</v>
      </c>
    </row>
    <row r="1337" spans="1:8" x14ac:dyDescent="0.35">
      <c r="A1337">
        <v>2011</v>
      </c>
      <c r="B1337" t="s">
        <v>273</v>
      </c>
      <c r="C1337" t="s">
        <v>154</v>
      </c>
      <c r="D1337" t="s">
        <v>155</v>
      </c>
      <c r="E1337" s="23">
        <v>840180.83</v>
      </c>
      <c r="F1337" s="23">
        <v>2535371.58</v>
      </c>
      <c r="G1337" s="23">
        <v>143324.73000000001</v>
      </c>
      <c r="H1337" s="23">
        <v>185581.71</v>
      </c>
    </row>
    <row r="1338" spans="1:8" x14ac:dyDescent="0.35">
      <c r="A1338">
        <v>2011</v>
      </c>
      <c r="B1338" t="s">
        <v>275</v>
      </c>
      <c r="C1338" t="s">
        <v>154</v>
      </c>
      <c r="D1338" t="s">
        <v>160</v>
      </c>
      <c r="E1338" s="23">
        <v>0</v>
      </c>
      <c r="F1338" s="23">
        <v>0</v>
      </c>
      <c r="G1338" s="23">
        <v>145828.13</v>
      </c>
      <c r="H1338" s="23">
        <v>65936.87</v>
      </c>
    </row>
    <row r="1339" spans="1:8" x14ac:dyDescent="0.35">
      <c r="A1339">
        <v>2011</v>
      </c>
      <c r="B1339" t="s">
        <v>278</v>
      </c>
      <c r="C1339" t="s">
        <v>154</v>
      </c>
      <c r="D1339" t="s">
        <v>155</v>
      </c>
      <c r="E1339" s="23">
        <v>85470.16</v>
      </c>
      <c r="F1339" s="23">
        <v>124723.24</v>
      </c>
      <c r="G1339" s="23">
        <v>5584.19</v>
      </c>
      <c r="H1339" s="23">
        <v>0</v>
      </c>
    </row>
    <row r="1340" spans="1:8" x14ac:dyDescent="0.35">
      <c r="A1340">
        <v>2011</v>
      </c>
      <c r="B1340" t="s">
        <v>279</v>
      </c>
      <c r="C1340" t="s">
        <v>154</v>
      </c>
      <c r="D1340" t="s">
        <v>155</v>
      </c>
      <c r="E1340" s="23">
        <v>2089003.15</v>
      </c>
      <c r="F1340" s="23">
        <v>6639605.3399999999</v>
      </c>
      <c r="G1340" s="23">
        <v>109187.24</v>
      </c>
      <c r="H1340" s="23">
        <v>143358.71</v>
      </c>
    </row>
    <row r="1341" spans="1:8" x14ac:dyDescent="0.35">
      <c r="A1341">
        <v>2011</v>
      </c>
      <c r="B1341" t="s">
        <v>280</v>
      </c>
      <c r="C1341" t="s">
        <v>154</v>
      </c>
      <c r="D1341" t="s">
        <v>160</v>
      </c>
      <c r="E1341" s="23">
        <v>47532.82</v>
      </c>
      <c r="F1341" s="23">
        <v>107762.45</v>
      </c>
      <c r="G1341" s="23">
        <v>24841.89</v>
      </c>
      <c r="H1341" s="23">
        <v>105745.61</v>
      </c>
    </row>
    <row r="1342" spans="1:8" x14ac:dyDescent="0.35">
      <c r="A1342">
        <v>2011</v>
      </c>
      <c r="B1342" t="s">
        <v>282</v>
      </c>
      <c r="C1342" t="s">
        <v>154</v>
      </c>
      <c r="D1342" t="s">
        <v>160</v>
      </c>
      <c r="E1342" s="23">
        <v>2483026.2999999998</v>
      </c>
      <c r="F1342" s="23">
        <v>3084169.72</v>
      </c>
      <c r="G1342" s="23">
        <v>583462.31999999995</v>
      </c>
      <c r="H1342" s="23">
        <v>2393873.88</v>
      </c>
    </row>
    <row r="1343" spans="1:8" x14ac:dyDescent="0.35">
      <c r="A1343">
        <v>2011</v>
      </c>
      <c r="B1343" t="s">
        <v>285</v>
      </c>
      <c r="C1343" t="s">
        <v>154</v>
      </c>
      <c r="D1343" t="s">
        <v>155</v>
      </c>
      <c r="E1343" s="23">
        <v>11918578.689999999</v>
      </c>
      <c r="F1343" s="23">
        <v>6619946.2099000001</v>
      </c>
      <c r="G1343" s="23">
        <v>107312.04</v>
      </c>
      <c r="H1343" s="23">
        <v>62822.45</v>
      </c>
    </row>
    <row r="1344" spans="1:8" x14ac:dyDescent="0.35">
      <c r="A1344">
        <v>2011</v>
      </c>
      <c r="B1344" t="s">
        <v>287</v>
      </c>
      <c r="C1344" t="s">
        <v>154</v>
      </c>
      <c r="D1344" t="s">
        <v>158</v>
      </c>
      <c r="E1344" s="23">
        <v>658848.38</v>
      </c>
      <c r="F1344" s="23">
        <v>1693687.4</v>
      </c>
      <c r="G1344" s="23">
        <v>133746.82</v>
      </c>
      <c r="H1344" s="23">
        <v>424947.14</v>
      </c>
    </row>
    <row r="1345" spans="1:8" x14ac:dyDescent="0.35">
      <c r="A1345">
        <v>2011</v>
      </c>
      <c r="B1345" t="s">
        <v>291</v>
      </c>
      <c r="C1345" t="s">
        <v>154</v>
      </c>
      <c r="D1345" t="s">
        <v>158</v>
      </c>
      <c r="E1345" s="23">
        <v>846598.2</v>
      </c>
      <c r="F1345" s="23">
        <v>3243460.77</v>
      </c>
      <c r="G1345" s="23">
        <v>288144.40999999997</v>
      </c>
      <c r="H1345" s="23">
        <v>1800832.92</v>
      </c>
    </row>
    <row r="1346" spans="1:8" x14ac:dyDescent="0.35">
      <c r="A1346">
        <v>2011</v>
      </c>
      <c r="B1346" t="s">
        <v>296</v>
      </c>
      <c r="C1346" t="s">
        <v>154</v>
      </c>
      <c r="D1346" t="s">
        <v>155</v>
      </c>
      <c r="E1346" s="23">
        <v>744249.11</v>
      </c>
      <c r="F1346" s="23">
        <v>3678089.42</v>
      </c>
      <c r="G1346" s="23">
        <v>136572.91</v>
      </c>
      <c r="H1346" s="23">
        <v>660112.43000000005</v>
      </c>
    </row>
    <row r="1347" spans="1:8" x14ac:dyDescent="0.35">
      <c r="A1347">
        <v>2011</v>
      </c>
      <c r="B1347" t="s">
        <v>293</v>
      </c>
      <c r="C1347" t="s">
        <v>154</v>
      </c>
      <c r="D1347" t="s">
        <v>158</v>
      </c>
      <c r="E1347" s="23">
        <v>10909.32</v>
      </c>
      <c r="F1347" s="23">
        <v>0</v>
      </c>
      <c r="G1347" s="23">
        <v>89.45</v>
      </c>
      <c r="H1347" s="23">
        <v>0</v>
      </c>
    </row>
    <row r="1348" spans="1:8" x14ac:dyDescent="0.35">
      <c r="A1348">
        <v>2011</v>
      </c>
      <c r="B1348" t="s">
        <v>295</v>
      </c>
      <c r="C1348" t="s">
        <v>154</v>
      </c>
      <c r="D1348" t="s">
        <v>158</v>
      </c>
      <c r="E1348" s="23">
        <v>16550434.6799</v>
      </c>
      <c r="F1348" s="23">
        <v>11551828.799900001</v>
      </c>
      <c r="G1348" s="23">
        <v>524416.23</v>
      </c>
      <c r="H1348" s="23">
        <v>993938.91</v>
      </c>
    </row>
    <row r="1349" spans="1:8" x14ac:dyDescent="0.35">
      <c r="A1349">
        <v>2010</v>
      </c>
      <c r="B1349" t="s">
        <v>153</v>
      </c>
      <c r="C1349" t="s">
        <v>154</v>
      </c>
      <c r="D1349" t="s">
        <v>155</v>
      </c>
      <c r="E1349" s="23">
        <v>442882.48</v>
      </c>
      <c r="F1349" s="23">
        <v>1009048.9</v>
      </c>
      <c r="G1349" s="23">
        <v>45759.94</v>
      </c>
      <c r="H1349" s="23">
        <v>140551.47</v>
      </c>
    </row>
    <row r="1350" spans="1:8" x14ac:dyDescent="0.35">
      <c r="A1350">
        <v>2010</v>
      </c>
      <c r="B1350" t="s">
        <v>162</v>
      </c>
      <c r="C1350" t="s">
        <v>163</v>
      </c>
      <c r="D1350" t="s">
        <v>158</v>
      </c>
      <c r="E1350" s="23">
        <v>2936</v>
      </c>
      <c r="F1350" s="23">
        <v>0</v>
      </c>
      <c r="G1350" s="23">
        <v>0</v>
      </c>
      <c r="H1350" s="23">
        <v>0</v>
      </c>
    </row>
    <row r="1351" spans="1:8" x14ac:dyDescent="0.35">
      <c r="A1351">
        <v>2010</v>
      </c>
      <c r="B1351" t="s">
        <v>164</v>
      </c>
      <c r="C1351" t="s">
        <v>154</v>
      </c>
      <c r="D1351" t="s">
        <v>165</v>
      </c>
      <c r="E1351" s="23">
        <v>1157145.21</v>
      </c>
      <c r="F1351" s="23">
        <v>1008375.03</v>
      </c>
      <c r="G1351" s="23">
        <v>227827.78</v>
      </c>
      <c r="H1351" s="23">
        <v>500112.89</v>
      </c>
    </row>
    <row r="1352" spans="1:8" x14ac:dyDescent="0.35">
      <c r="A1352">
        <v>2010</v>
      </c>
      <c r="B1352" t="s">
        <v>167</v>
      </c>
      <c r="C1352" t="s">
        <v>154</v>
      </c>
      <c r="D1352" t="s">
        <v>155</v>
      </c>
      <c r="E1352" s="23">
        <v>3005177.16</v>
      </c>
      <c r="F1352" s="23">
        <v>15267573.66</v>
      </c>
      <c r="G1352" s="23">
        <v>550509.52</v>
      </c>
      <c r="H1352" s="23">
        <v>5145529.54</v>
      </c>
    </row>
    <row r="1353" spans="1:8" x14ac:dyDescent="0.35">
      <c r="A1353">
        <v>2010</v>
      </c>
      <c r="B1353" t="s">
        <v>168</v>
      </c>
      <c r="C1353" t="s">
        <v>154</v>
      </c>
      <c r="D1353" t="s">
        <v>158</v>
      </c>
      <c r="E1353" s="23">
        <v>2373274.2000000002</v>
      </c>
      <c r="F1353" s="23">
        <v>3466828.96</v>
      </c>
      <c r="G1353" s="23">
        <v>810769.04</v>
      </c>
      <c r="H1353" s="23">
        <v>1684051.25</v>
      </c>
    </row>
    <row r="1354" spans="1:8" x14ac:dyDescent="0.35">
      <c r="A1354">
        <v>2010</v>
      </c>
      <c r="B1354" t="s">
        <v>169</v>
      </c>
      <c r="C1354" t="s">
        <v>154</v>
      </c>
      <c r="D1354" t="s">
        <v>160</v>
      </c>
      <c r="E1354" s="23">
        <v>342329.38</v>
      </c>
      <c r="F1354" s="23">
        <v>175065.91</v>
      </c>
      <c r="G1354" s="23">
        <v>321841.18</v>
      </c>
      <c r="H1354" s="23">
        <v>175065.91</v>
      </c>
    </row>
    <row r="1355" spans="1:8" x14ac:dyDescent="0.35">
      <c r="A1355">
        <v>2010</v>
      </c>
      <c r="B1355" t="s">
        <v>170</v>
      </c>
      <c r="C1355" t="s">
        <v>154</v>
      </c>
      <c r="D1355" t="s">
        <v>160</v>
      </c>
      <c r="E1355" s="23">
        <v>1118797.54</v>
      </c>
      <c r="F1355" s="23">
        <v>3155153.07</v>
      </c>
      <c r="G1355" s="23">
        <v>143125.25</v>
      </c>
      <c r="H1355" s="23">
        <v>648.75</v>
      </c>
    </row>
    <row r="1356" spans="1:8" x14ac:dyDescent="0.35">
      <c r="A1356">
        <v>2010</v>
      </c>
      <c r="B1356" t="s">
        <v>299</v>
      </c>
      <c r="C1356" t="s">
        <v>154</v>
      </c>
      <c r="D1356" t="s">
        <v>158</v>
      </c>
      <c r="E1356" s="23">
        <v>0</v>
      </c>
      <c r="F1356" s="23">
        <v>0</v>
      </c>
      <c r="G1356" s="23">
        <v>23469.7</v>
      </c>
      <c r="H1356" s="23">
        <v>5325.66</v>
      </c>
    </row>
    <row r="1357" spans="1:8" x14ac:dyDescent="0.35">
      <c r="A1357">
        <v>2010</v>
      </c>
      <c r="B1357" t="s">
        <v>174</v>
      </c>
      <c r="C1357" t="s">
        <v>154</v>
      </c>
      <c r="D1357" t="s">
        <v>160</v>
      </c>
      <c r="E1357" s="23">
        <v>4876241.75</v>
      </c>
      <c r="F1357" s="23">
        <v>9502571.3300000001</v>
      </c>
      <c r="G1357" s="23">
        <v>117977.45</v>
      </c>
      <c r="H1357" s="23">
        <v>266264.55</v>
      </c>
    </row>
    <row r="1358" spans="1:8" x14ac:dyDescent="0.35">
      <c r="A1358">
        <v>2010</v>
      </c>
      <c r="B1358" t="s">
        <v>177</v>
      </c>
      <c r="C1358" t="s">
        <v>154</v>
      </c>
      <c r="D1358" t="s">
        <v>160</v>
      </c>
      <c r="E1358" s="23">
        <v>1836458.2455</v>
      </c>
      <c r="F1358" s="23">
        <v>5262006.5466</v>
      </c>
      <c r="G1358" s="23">
        <v>716319.05</v>
      </c>
      <c r="H1358" s="23">
        <v>1309824.82</v>
      </c>
    </row>
    <row r="1359" spans="1:8" x14ac:dyDescent="0.35">
      <c r="A1359">
        <v>2010</v>
      </c>
      <c r="B1359" t="s">
        <v>178</v>
      </c>
      <c r="C1359" t="s">
        <v>154</v>
      </c>
      <c r="D1359" t="s">
        <v>155</v>
      </c>
      <c r="E1359" s="23">
        <v>606400.93000000005</v>
      </c>
      <c r="F1359" s="23">
        <v>771164.67</v>
      </c>
      <c r="G1359" s="23">
        <v>133893.41</v>
      </c>
      <c r="H1359" s="23">
        <v>239686.47</v>
      </c>
    </row>
    <row r="1360" spans="1:8" x14ac:dyDescent="0.35">
      <c r="A1360">
        <v>2010</v>
      </c>
      <c r="B1360" t="s">
        <v>180</v>
      </c>
      <c r="C1360" t="s">
        <v>154</v>
      </c>
      <c r="D1360" t="s">
        <v>160</v>
      </c>
      <c r="E1360" s="23">
        <v>494818.77</v>
      </c>
      <c r="F1360" s="23">
        <v>1829650.59</v>
      </c>
      <c r="G1360" s="23">
        <v>15793</v>
      </c>
      <c r="H1360" s="23">
        <v>14717</v>
      </c>
    </row>
    <row r="1361" spans="1:8" x14ac:dyDescent="0.35">
      <c r="A1361">
        <v>2010</v>
      </c>
      <c r="B1361" t="s">
        <v>181</v>
      </c>
      <c r="C1361" t="s">
        <v>154</v>
      </c>
      <c r="D1361" t="s">
        <v>155</v>
      </c>
      <c r="E1361" s="23">
        <v>2141434.0299999998</v>
      </c>
      <c r="F1361" s="23">
        <v>917311.31</v>
      </c>
      <c r="G1361" s="23">
        <v>318966.71999999997</v>
      </c>
      <c r="H1361" s="23">
        <v>460884.86</v>
      </c>
    </row>
    <row r="1362" spans="1:8" x14ac:dyDescent="0.35">
      <c r="A1362">
        <v>2010</v>
      </c>
      <c r="B1362" t="s">
        <v>182</v>
      </c>
      <c r="C1362" t="s">
        <v>154</v>
      </c>
      <c r="D1362" t="s">
        <v>158</v>
      </c>
      <c r="E1362" s="23">
        <v>0</v>
      </c>
      <c r="F1362" s="23">
        <v>0</v>
      </c>
      <c r="G1362" s="23">
        <v>0</v>
      </c>
      <c r="H1362" s="23">
        <v>0</v>
      </c>
    </row>
    <row r="1363" spans="1:8" x14ac:dyDescent="0.35">
      <c r="A1363">
        <v>2010</v>
      </c>
      <c r="B1363" t="s">
        <v>184</v>
      </c>
      <c r="C1363" t="s">
        <v>154</v>
      </c>
      <c r="D1363" t="s">
        <v>155</v>
      </c>
      <c r="E1363" s="23">
        <v>7929090.7827000003</v>
      </c>
      <c r="F1363" s="23">
        <v>13841314.210000001</v>
      </c>
      <c r="G1363" s="23">
        <v>2199015.9194999998</v>
      </c>
      <c r="H1363" s="23">
        <v>1969816.25</v>
      </c>
    </row>
    <row r="1364" spans="1:8" x14ac:dyDescent="0.35">
      <c r="A1364">
        <v>2010</v>
      </c>
      <c r="B1364" t="s">
        <v>186</v>
      </c>
      <c r="C1364" t="s">
        <v>154</v>
      </c>
      <c r="D1364" t="s">
        <v>158</v>
      </c>
      <c r="E1364" s="23">
        <v>2890365.22</v>
      </c>
      <c r="F1364" s="23">
        <v>660550.31999999995</v>
      </c>
      <c r="G1364" s="23">
        <v>762962.97</v>
      </c>
      <c r="H1364" s="23">
        <v>236122.3</v>
      </c>
    </row>
    <row r="1365" spans="1:8" x14ac:dyDescent="0.35">
      <c r="A1365">
        <v>2010</v>
      </c>
      <c r="B1365" t="s">
        <v>187</v>
      </c>
      <c r="C1365" t="s">
        <v>154</v>
      </c>
      <c r="D1365" t="s">
        <v>158</v>
      </c>
      <c r="E1365" s="23">
        <v>5436</v>
      </c>
      <c r="F1365" s="23">
        <v>11798.81</v>
      </c>
      <c r="G1365" s="23">
        <v>0</v>
      </c>
      <c r="H1365" s="23">
        <v>0</v>
      </c>
    </row>
    <row r="1366" spans="1:8" x14ac:dyDescent="0.35">
      <c r="A1366">
        <v>2010</v>
      </c>
      <c r="B1366" t="s">
        <v>188</v>
      </c>
      <c r="C1366" t="s">
        <v>154</v>
      </c>
      <c r="D1366" t="s">
        <v>155</v>
      </c>
      <c r="E1366" s="23">
        <v>942908.84</v>
      </c>
      <c r="F1366" s="23">
        <v>4136897.28</v>
      </c>
      <c r="G1366" s="23">
        <v>0</v>
      </c>
      <c r="H1366" s="23">
        <v>0</v>
      </c>
    </row>
    <row r="1367" spans="1:8" x14ac:dyDescent="0.35">
      <c r="A1367">
        <v>2010</v>
      </c>
      <c r="B1367" t="s">
        <v>189</v>
      </c>
      <c r="C1367" t="s">
        <v>154</v>
      </c>
      <c r="D1367" t="s">
        <v>158</v>
      </c>
      <c r="E1367" s="23">
        <v>1571325.41</v>
      </c>
      <c r="F1367" s="23">
        <v>6180095.8700000001</v>
      </c>
      <c r="G1367" s="23">
        <v>340975.15</v>
      </c>
      <c r="H1367" s="23">
        <v>1869878.04</v>
      </c>
    </row>
    <row r="1368" spans="1:8" x14ac:dyDescent="0.35">
      <c r="A1368">
        <v>2010</v>
      </c>
      <c r="B1368" t="s">
        <v>190</v>
      </c>
      <c r="C1368" t="s">
        <v>154</v>
      </c>
      <c r="D1368" t="s">
        <v>155</v>
      </c>
      <c r="E1368" s="23">
        <v>709193.69</v>
      </c>
      <c r="F1368" s="23">
        <v>1488002.8</v>
      </c>
      <c r="G1368" s="23">
        <v>351462.49</v>
      </c>
      <c r="H1368" s="23">
        <v>658441.81000000006</v>
      </c>
    </row>
    <row r="1369" spans="1:8" x14ac:dyDescent="0.35">
      <c r="A1369">
        <v>2010</v>
      </c>
      <c r="B1369" t="s">
        <v>300</v>
      </c>
      <c r="C1369" t="s">
        <v>154</v>
      </c>
      <c r="D1369" t="s">
        <v>158</v>
      </c>
      <c r="E1369" s="23">
        <v>1125193.17</v>
      </c>
      <c r="F1369" s="23">
        <v>10947181.83</v>
      </c>
      <c r="G1369" s="23">
        <v>0</v>
      </c>
      <c r="H1369" s="23">
        <v>0</v>
      </c>
    </row>
    <row r="1370" spans="1:8" x14ac:dyDescent="0.35">
      <c r="A1370">
        <v>2010</v>
      </c>
      <c r="B1370" t="s">
        <v>192</v>
      </c>
      <c r="C1370" t="s">
        <v>154</v>
      </c>
      <c r="D1370" t="s">
        <v>160</v>
      </c>
      <c r="E1370" s="23">
        <v>398011.82</v>
      </c>
      <c r="F1370" s="23">
        <v>806108.13</v>
      </c>
      <c r="G1370" s="23">
        <v>315880.14</v>
      </c>
      <c r="H1370" s="23">
        <v>523568.67</v>
      </c>
    </row>
    <row r="1371" spans="1:8" x14ac:dyDescent="0.35">
      <c r="A1371">
        <v>2010</v>
      </c>
      <c r="B1371" t="s">
        <v>196</v>
      </c>
      <c r="C1371" t="s">
        <v>154</v>
      </c>
      <c r="D1371" t="s">
        <v>155</v>
      </c>
      <c r="E1371" s="23">
        <v>700773.81499999994</v>
      </c>
      <c r="F1371" s="23">
        <v>1301938.8999999999</v>
      </c>
      <c r="G1371" s="23">
        <v>80230.240000000005</v>
      </c>
      <c r="H1371" s="23">
        <v>257274.02</v>
      </c>
    </row>
    <row r="1372" spans="1:8" x14ac:dyDescent="0.35">
      <c r="A1372">
        <v>2010</v>
      </c>
      <c r="B1372" t="s">
        <v>197</v>
      </c>
      <c r="C1372" t="s">
        <v>154</v>
      </c>
      <c r="D1372" t="s">
        <v>160</v>
      </c>
      <c r="E1372" s="23">
        <v>203241.97</v>
      </c>
      <c r="F1372" s="23">
        <v>490402.5</v>
      </c>
      <c r="G1372" s="23">
        <v>72844.679999999993</v>
      </c>
      <c r="H1372" s="23">
        <v>18321.990000000002</v>
      </c>
    </row>
    <row r="1373" spans="1:8" x14ac:dyDescent="0.35">
      <c r="A1373">
        <v>2010</v>
      </c>
      <c r="B1373" t="s">
        <v>198</v>
      </c>
      <c r="C1373" t="s">
        <v>154</v>
      </c>
      <c r="D1373" t="s">
        <v>160</v>
      </c>
      <c r="E1373" s="23">
        <v>1284262</v>
      </c>
      <c r="F1373" s="23">
        <v>3963612.64</v>
      </c>
      <c r="G1373" s="23">
        <v>43288.25</v>
      </c>
      <c r="H1373" s="23">
        <v>9621.81</v>
      </c>
    </row>
    <row r="1374" spans="1:8" x14ac:dyDescent="0.35">
      <c r="A1374">
        <v>2010</v>
      </c>
      <c r="B1374" t="s">
        <v>199</v>
      </c>
      <c r="C1374" t="s">
        <v>154</v>
      </c>
      <c r="D1374" t="s">
        <v>160</v>
      </c>
      <c r="E1374" s="23">
        <v>1262210.78</v>
      </c>
      <c r="F1374" s="23">
        <v>5008082.4800000004</v>
      </c>
      <c r="G1374" s="23">
        <v>94842.86</v>
      </c>
      <c r="H1374" s="23">
        <v>1040679.67</v>
      </c>
    </row>
    <row r="1375" spans="1:8" x14ac:dyDescent="0.35">
      <c r="A1375">
        <v>2010</v>
      </c>
      <c r="B1375" t="s">
        <v>201</v>
      </c>
      <c r="C1375" t="s">
        <v>154</v>
      </c>
      <c r="D1375" t="s">
        <v>160</v>
      </c>
      <c r="E1375" s="23">
        <v>0</v>
      </c>
      <c r="F1375" s="23">
        <v>0</v>
      </c>
      <c r="G1375" s="23">
        <v>585045.74</v>
      </c>
      <c r="H1375" s="23">
        <v>25725.31</v>
      </c>
    </row>
    <row r="1376" spans="1:8" x14ac:dyDescent="0.35">
      <c r="A1376">
        <v>2010</v>
      </c>
      <c r="B1376" t="s">
        <v>202</v>
      </c>
      <c r="C1376" t="s">
        <v>154</v>
      </c>
      <c r="D1376" t="s">
        <v>155</v>
      </c>
      <c r="E1376" s="23">
        <v>1717110.91</v>
      </c>
      <c r="F1376" s="23">
        <v>2469426.2000000002</v>
      </c>
      <c r="G1376" s="23">
        <v>39649.29</v>
      </c>
      <c r="H1376" s="23">
        <v>24450.12</v>
      </c>
    </row>
    <row r="1377" spans="1:8" x14ac:dyDescent="0.35">
      <c r="A1377">
        <v>2010</v>
      </c>
      <c r="B1377" t="s">
        <v>203</v>
      </c>
      <c r="C1377" t="s">
        <v>154</v>
      </c>
      <c r="D1377" t="s">
        <v>160</v>
      </c>
      <c r="E1377" s="23">
        <v>1338500.5</v>
      </c>
      <c r="F1377" s="23">
        <v>6329835.6500000004</v>
      </c>
      <c r="G1377" s="23">
        <v>5618.07</v>
      </c>
      <c r="H1377" s="23">
        <v>-10864.4</v>
      </c>
    </row>
    <row r="1378" spans="1:8" x14ac:dyDescent="0.35">
      <c r="A1378">
        <v>2010</v>
      </c>
      <c r="B1378" t="s">
        <v>204</v>
      </c>
      <c r="C1378" t="s">
        <v>154</v>
      </c>
      <c r="D1378" t="s">
        <v>158</v>
      </c>
      <c r="E1378" s="23">
        <v>619605.65</v>
      </c>
      <c r="F1378" s="23">
        <v>2176785.5</v>
      </c>
      <c r="G1378" s="23">
        <v>177322.37</v>
      </c>
      <c r="H1378" s="23">
        <v>373396.17</v>
      </c>
    </row>
    <row r="1379" spans="1:8" x14ac:dyDescent="0.35">
      <c r="A1379">
        <v>2010</v>
      </c>
      <c r="B1379" t="s">
        <v>205</v>
      </c>
      <c r="C1379" t="s">
        <v>154</v>
      </c>
      <c r="D1379" t="s">
        <v>160</v>
      </c>
      <c r="E1379" s="23">
        <v>278003.63</v>
      </c>
      <c r="F1379" s="23">
        <v>236376.55</v>
      </c>
      <c r="G1379" s="23">
        <v>31514.39</v>
      </c>
      <c r="H1379" s="23">
        <v>27777.48</v>
      </c>
    </row>
    <row r="1380" spans="1:8" x14ac:dyDescent="0.35">
      <c r="A1380">
        <v>2010</v>
      </c>
      <c r="B1380" t="s">
        <v>206</v>
      </c>
      <c r="C1380" t="s">
        <v>154</v>
      </c>
      <c r="D1380" t="s">
        <v>158</v>
      </c>
      <c r="E1380" s="23">
        <v>469461.29</v>
      </c>
      <c r="F1380" s="23">
        <v>525042.09</v>
      </c>
      <c r="G1380" s="23">
        <v>10783.5</v>
      </c>
      <c r="H1380" s="23">
        <v>101226</v>
      </c>
    </row>
    <row r="1381" spans="1:8" x14ac:dyDescent="0.35">
      <c r="A1381">
        <v>2010</v>
      </c>
      <c r="B1381" t="s">
        <v>209</v>
      </c>
      <c r="C1381" t="s">
        <v>154</v>
      </c>
      <c r="D1381" t="s">
        <v>158</v>
      </c>
      <c r="E1381" s="23">
        <v>1104007.1200000001</v>
      </c>
      <c r="F1381" s="23">
        <v>1109182.58</v>
      </c>
      <c r="G1381" s="23">
        <v>22000</v>
      </c>
      <c r="H1381" s="23">
        <v>17380.95</v>
      </c>
    </row>
    <row r="1382" spans="1:8" x14ac:dyDescent="0.35">
      <c r="A1382">
        <v>2010</v>
      </c>
      <c r="B1382" t="s">
        <v>210</v>
      </c>
      <c r="C1382" t="s">
        <v>154</v>
      </c>
      <c r="D1382" t="s">
        <v>158</v>
      </c>
      <c r="E1382" s="23">
        <v>502600.03</v>
      </c>
      <c r="F1382" s="23">
        <v>1328077.27</v>
      </c>
      <c r="G1382" s="23">
        <v>67832.53</v>
      </c>
      <c r="H1382" s="23">
        <v>20415.509999999998</v>
      </c>
    </row>
    <row r="1383" spans="1:8" x14ac:dyDescent="0.35">
      <c r="A1383">
        <v>2010</v>
      </c>
      <c r="B1383" t="s">
        <v>212</v>
      </c>
      <c r="C1383" t="s">
        <v>154</v>
      </c>
      <c r="D1383" t="s">
        <v>160</v>
      </c>
      <c r="E1383" s="23">
        <v>646757.73</v>
      </c>
      <c r="F1383" s="23">
        <v>893973.51</v>
      </c>
      <c r="G1383" s="23">
        <v>59963.47</v>
      </c>
      <c r="H1383" s="23">
        <v>262490.84000000003</v>
      </c>
    </row>
    <row r="1384" spans="1:8" x14ac:dyDescent="0.35">
      <c r="A1384">
        <v>2010</v>
      </c>
      <c r="B1384" t="s">
        <v>215</v>
      </c>
      <c r="C1384" t="s">
        <v>154</v>
      </c>
      <c r="D1384" t="s">
        <v>160</v>
      </c>
      <c r="E1384" s="23">
        <v>0</v>
      </c>
      <c r="F1384" s="23">
        <v>0</v>
      </c>
      <c r="G1384" s="23">
        <v>114230.33</v>
      </c>
      <c r="H1384" s="23">
        <v>1416828.88</v>
      </c>
    </row>
    <row r="1385" spans="1:8" x14ac:dyDescent="0.35">
      <c r="A1385">
        <v>2010</v>
      </c>
      <c r="B1385" t="s">
        <v>219</v>
      </c>
      <c r="C1385" t="s">
        <v>154</v>
      </c>
      <c r="D1385" t="s">
        <v>160</v>
      </c>
      <c r="E1385" s="23">
        <v>424896.9</v>
      </c>
      <c r="F1385" s="23">
        <v>1223470.22</v>
      </c>
      <c r="G1385" s="23">
        <v>73571.960000000006</v>
      </c>
      <c r="H1385" s="23">
        <v>282988.96999999997</v>
      </c>
    </row>
    <row r="1386" spans="1:8" x14ac:dyDescent="0.35">
      <c r="A1386">
        <v>2010</v>
      </c>
      <c r="B1386" t="s">
        <v>220</v>
      </c>
      <c r="C1386" t="s">
        <v>154</v>
      </c>
      <c r="D1386" t="s">
        <v>158</v>
      </c>
      <c r="E1386" s="23">
        <v>415873.23</v>
      </c>
      <c r="F1386" s="23">
        <v>649251.97</v>
      </c>
      <c r="G1386" s="23">
        <v>56540.25</v>
      </c>
      <c r="H1386" s="23">
        <v>221799.02</v>
      </c>
    </row>
    <row r="1387" spans="1:8" x14ac:dyDescent="0.35">
      <c r="A1387">
        <v>2010</v>
      </c>
      <c r="B1387" t="s">
        <v>221</v>
      </c>
      <c r="C1387" t="s">
        <v>154</v>
      </c>
      <c r="D1387" t="s">
        <v>165</v>
      </c>
      <c r="E1387" s="23">
        <v>1049841.97</v>
      </c>
      <c r="F1387" s="23">
        <v>3474435.19</v>
      </c>
      <c r="G1387" s="23">
        <v>90458.77</v>
      </c>
      <c r="H1387" s="23">
        <v>359066.27</v>
      </c>
    </row>
    <row r="1388" spans="1:8" x14ac:dyDescent="0.35">
      <c r="A1388">
        <v>2010</v>
      </c>
      <c r="B1388" t="s">
        <v>223</v>
      </c>
      <c r="C1388" t="s">
        <v>163</v>
      </c>
      <c r="D1388" t="s">
        <v>160</v>
      </c>
      <c r="E1388" s="23">
        <v>396196.15</v>
      </c>
      <c r="F1388" s="23">
        <v>21399.55</v>
      </c>
      <c r="G1388" s="23">
        <v>6492.53</v>
      </c>
      <c r="H1388" s="23">
        <v>8082.31</v>
      </c>
    </row>
    <row r="1389" spans="1:8" x14ac:dyDescent="0.35">
      <c r="A1389">
        <v>2010</v>
      </c>
      <c r="B1389" t="s">
        <v>224</v>
      </c>
      <c r="C1389" t="s">
        <v>154</v>
      </c>
      <c r="D1389" t="s">
        <v>158</v>
      </c>
      <c r="E1389" s="23">
        <v>160133.76000000001</v>
      </c>
      <c r="F1389" s="23">
        <v>212926.76</v>
      </c>
      <c r="G1389" s="23">
        <v>39186</v>
      </c>
      <c r="H1389" s="23">
        <v>0</v>
      </c>
    </row>
    <row r="1390" spans="1:8" x14ac:dyDescent="0.35">
      <c r="A1390">
        <v>2010</v>
      </c>
      <c r="B1390" t="s">
        <v>225</v>
      </c>
      <c r="C1390" t="s">
        <v>154</v>
      </c>
      <c r="D1390" t="s">
        <v>160</v>
      </c>
      <c r="E1390" s="23">
        <v>0</v>
      </c>
      <c r="F1390" s="23">
        <v>0</v>
      </c>
      <c r="G1390" s="23">
        <v>221290.07</v>
      </c>
      <c r="H1390" s="23">
        <v>1051787.93</v>
      </c>
    </row>
    <row r="1391" spans="1:8" x14ac:dyDescent="0.35">
      <c r="A1391">
        <v>2010</v>
      </c>
      <c r="B1391" t="s">
        <v>226</v>
      </c>
      <c r="C1391" t="s">
        <v>154</v>
      </c>
      <c r="D1391" t="s">
        <v>155</v>
      </c>
      <c r="E1391" s="23">
        <v>0</v>
      </c>
      <c r="F1391" s="23">
        <v>0</v>
      </c>
      <c r="G1391" s="23">
        <v>84529.57</v>
      </c>
      <c r="H1391" s="23">
        <v>696489.11</v>
      </c>
    </row>
    <row r="1392" spans="1:8" x14ac:dyDescent="0.35">
      <c r="A1392">
        <v>2010</v>
      </c>
      <c r="B1392" t="s">
        <v>227</v>
      </c>
      <c r="C1392" t="s">
        <v>154</v>
      </c>
      <c r="D1392" t="s">
        <v>158</v>
      </c>
      <c r="E1392" s="23">
        <v>0</v>
      </c>
      <c r="F1392" s="23">
        <v>0</v>
      </c>
      <c r="G1392" s="23">
        <v>247997.5</v>
      </c>
      <c r="H1392" s="23">
        <v>1791507.3</v>
      </c>
    </row>
    <row r="1393" spans="1:8" x14ac:dyDescent="0.35">
      <c r="A1393">
        <v>2010</v>
      </c>
      <c r="B1393" t="s">
        <v>228</v>
      </c>
      <c r="C1393" t="s">
        <v>154</v>
      </c>
      <c r="D1393" t="s">
        <v>160</v>
      </c>
      <c r="E1393" s="23">
        <v>568504.81999999995</v>
      </c>
      <c r="F1393" s="23">
        <v>1607912.11</v>
      </c>
      <c r="G1393" s="23">
        <v>46755.29</v>
      </c>
      <c r="H1393" s="23">
        <v>206024.25</v>
      </c>
    </row>
    <row r="1394" spans="1:8" x14ac:dyDescent="0.35">
      <c r="A1394">
        <v>2010</v>
      </c>
      <c r="B1394" t="s">
        <v>232</v>
      </c>
      <c r="C1394" t="s">
        <v>154</v>
      </c>
      <c r="D1394" t="s">
        <v>165</v>
      </c>
      <c r="E1394" s="23">
        <v>1259952.2</v>
      </c>
      <c r="F1394" s="23">
        <v>1319048.1499999999</v>
      </c>
      <c r="G1394" s="23">
        <v>1114485.3799999999</v>
      </c>
      <c r="H1394" s="23">
        <v>1301959.3700000001</v>
      </c>
    </row>
    <row r="1395" spans="1:8" x14ac:dyDescent="0.35">
      <c r="A1395">
        <v>2010</v>
      </c>
      <c r="B1395" t="s">
        <v>233</v>
      </c>
      <c r="C1395" t="s">
        <v>154</v>
      </c>
      <c r="D1395" t="s">
        <v>155</v>
      </c>
      <c r="E1395" s="23">
        <v>630093.85</v>
      </c>
      <c r="F1395" s="23">
        <v>1442765.36</v>
      </c>
      <c r="G1395" s="23">
        <v>52885.27</v>
      </c>
      <c r="H1395" s="23">
        <v>995261.92</v>
      </c>
    </row>
    <row r="1396" spans="1:8" x14ac:dyDescent="0.35">
      <c r="A1396">
        <v>2010</v>
      </c>
      <c r="B1396" t="s">
        <v>234</v>
      </c>
      <c r="C1396" t="s">
        <v>154</v>
      </c>
      <c r="D1396" t="s">
        <v>160</v>
      </c>
      <c r="E1396" s="23">
        <v>1556495.9724999999</v>
      </c>
      <c r="F1396" s="23">
        <v>5716510.5225</v>
      </c>
      <c r="G1396" s="23">
        <v>229351.09</v>
      </c>
      <c r="H1396" s="23">
        <v>191253.33</v>
      </c>
    </row>
    <row r="1397" spans="1:8" x14ac:dyDescent="0.35">
      <c r="A1397">
        <v>2010</v>
      </c>
      <c r="B1397" t="s">
        <v>235</v>
      </c>
      <c r="C1397" t="s">
        <v>154</v>
      </c>
      <c r="D1397" t="s">
        <v>160</v>
      </c>
      <c r="E1397" s="23">
        <v>515165.04</v>
      </c>
      <c r="F1397" s="23">
        <v>170416.18</v>
      </c>
      <c r="G1397" s="23">
        <v>75532.789999999994</v>
      </c>
      <c r="H1397" s="23">
        <v>39357.93</v>
      </c>
    </row>
    <row r="1398" spans="1:8" x14ac:dyDescent="0.35">
      <c r="A1398">
        <v>2010</v>
      </c>
      <c r="B1398" t="s">
        <v>236</v>
      </c>
      <c r="C1398" t="s">
        <v>154</v>
      </c>
      <c r="D1398" t="s">
        <v>160</v>
      </c>
      <c r="E1398" s="23">
        <v>506516.29</v>
      </c>
      <c r="F1398" s="23">
        <v>3054379.72</v>
      </c>
      <c r="G1398" s="23">
        <v>224077.55</v>
      </c>
      <c r="H1398" s="23">
        <v>1654910.15</v>
      </c>
    </row>
    <row r="1399" spans="1:8" x14ac:dyDescent="0.35">
      <c r="A1399">
        <v>2010</v>
      </c>
      <c r="B1399" t="s">
        <v>238</v>
      </c>
      <c r="C1399" t="s">
        <v>154</v>
      </c>
      <c r="D1399" t="s">
        <v>155</v>
      </c>
      <c r="E1399" s="23">
        <v>0</v>
      </c>
      <c r="F1399" s="23">
        <v>0</v>
      </c>
      <c r="G1399" s="23">
        <v>236705.89</v>
      </c>
      <c r="H1399" s="23">
        <v>780395.32</v>
      </c>
    </row>
    <row r="1400" spans="1:8" x14ac:dyDescent="0.35">
      <c r="A1400">
        <v>2010</v>
      </c>
      <c r="B1400" t="s">
        <v>239</v>
      </c>
      <c r="C1400" t="s">
        <v>154</v>
      </c>
      <c r="D1400" t="s">
        <v>158</v>
      </c>
      <c r="E1400" s="23">
        <v>183854.39</v>
      </c>
      <c r="F1400" s="23">
        <v>902472.36</v>
      </c>
      <c r="G1400" s="23">
        <v>47638.5</v>
      </c>
      <c r="H1400" s="23">
        <v>175564.47</v>
      </c>
    </row>
    <row r="1401" spans="1:8" x14ac:dyDescent="0.35">
      <c r="A1401">
        <v>2010</v>
      </c>
      <c r="B1401" t="s">
        <v>243</v>
      </c>
      <c r="C1401" t="s">
        <v>154</v>
      </c>
      <c r="D1401" t="s">
        <v>165</v>
      </c>
      <c r="E1401" s="23">
        <v>557281.24</v>
      </c>
      <c r="F1401" s="23">
        <v>578293.16</v>
      </c>
      <c r="G1401" s="23">
        <v>79762.84</v>
      </c>
      <c r="H1401" s="23">
        <v>19931.54</v>
      </c>
    </row>
    <row r="1402" spans="1:8" x14ac:dyDescent="0.35">
      <c r="A1402">
        <v>2010</v>
      </c>
      <c r="B1402" t="s">
        <v>247</v>
      </c>
      <c r="C1402" t="s">
        <v>154</v>
      </c>
      <c r="D1402" t="s">
        <v>160</v>
      </c>
      <c r="E1402" s="23">
        <v>20202814.199999999</v>
      </c>
      <c r="F1402" s="23">
        <v>34781977.921999998</v>
      </c>
      <c r="G1402" s="23">
        <v>1972368.07</v>
      </c>
      <c r="H1402" s="23">
        <v>2773300.01</v>
      </c>
    </row>
    <row r="1403" spans="1:8" x14ac:dyDescent="0.35">
      <c r="A1403">
        <v>2010</v>
      </c>
      <c r="B1403" t="s">
        <v>249</v>
      </c>
      <c r="C1403" t="s">
        <v>154</v>
      </c>
      <c r="D1403" t="s">
        <v>160</v>
      </c>
      <c r="E1403" s="23">
        <v>3955226.91</v>
      </c>
      <c r="F1403" s="23">
        <v>18460196.329999998</v>
      </c>
      <c r="G1403" s="23">
        <v>1487281.37</v>
      </c>
      <c r="H1403" s="23">
        <v>12002876.59</v>
      </c>
    </row>
    <row r="1404" spans="1:8" x14ac:dyDescent="0.35">
      <c r="A1404">
        <v>2010</v>
      </c>
      <c r="B1404" t="s">
        <v>252</v>
      </c>
      <c r="C1404" t="s">
        <v>154</v>
      </c>
      <c r="D1404" t="s">
        <v>160</v>
      </c>
      <c r="E1404" s="23">
        <v>0</v>
      </c>
      <c r="F1404" s="23">
        <v>0</v>
      </c>
      <c r="G1404" s="23">
        <v>10465.36</v>
      </c>
      <c r="H1404" s="23">
        <v>0</v>
      </c>
    </row>
    <row r="1405" spans="1:8" x14ac:dyDescent="0.35">
      <c r="A1405">
        <v>2010</v>
      </c>
      <c r="B1405" t="s">
        <v>253</v>
      </c>
      <c r="C1405" t="s">
        <v>154</v>
      </c>
      <c r="D1405" t="s">
        <v>160</v>
      </c>
      <c r="E1405" s="23">
        <v>0</v>
      </c>
      <c r="F1405" s="23">
        <v>0</v>
      </c>
      <c r="G1405" s="23">
        <v>229048.25</v>
      </c>
      <c r="H1405" s="23">
        <v>972214.04</v>
      </c>
    </row>
    <row r="1406" spans="1:8" x14ac:dyDescent="0.35">
      <c r="A1406">
        <v>2010</v>
      </c>
      <c r="B1406" t="s">
        <v>255</v>
      </c>
      <c r="C1406" t="s">
        <v>154</v>
      </c>
      <c r="D1406" t="s">
        <v>160</v>
      </c>
      <c r="E1406" s="23">
        <v>33677.480000000003</v>
      </c>
      <c r="F1406" s="23">
        <v>111.48</v>
      </c>
      <c r="G1406" s="23">
        <v>32177.48</v>
      </c>
      <c r="H1406" s="23">
        <v>111.48</v>
      </c>
    </row>
    <row r="1407" spans="1:8" x14ac:dyDescent="0.35">
      <c r="A1407">
        <v>2010</v>
      </c>
      <c r="B1407" t="s">
        <v>257</v>
      </c>
      <c r="C1407" t="s">
        <v>154</v>
      </c>
      <c r="D1407" t="s">
        <v>160</v>
      </c>
      <c r="E1407" s="23">
        <v>464391.05</v>
      </c>
      <c r="F1407" s="23">
        <v>1578366.23</v>
      </c>
      <c r="G1407" s="23">
        <v>46154.239999999998</v>
      </c>
      <c r="H1407" s="23">
        <v>79536.81</v>
      </c>
    </row>
    <row r="1408" spans="1:8" x14ac:dyDescent="0.35">
      <c r="A1408">
        <v>2010</v>
      </c>
      <c r="B1408" t="s">
        <v>258</v>
      </c>
      <c r="C1408" t="s">
        <v>154</v>
      </c>
      <c r="D1408" t="s">
        <v>160</v>
      </c>
      <c r="E1408" s="23">
        <v>270949.18</v>
      </c>
      <c r="F1408" s="23">
        <v>455224.18</v>
      </c>
      <c r="G1408" s="23">
        <v>132748.79</v>
      </c>
      <c r="H1408" s="23">
        <v>185541.08</v>
      </c>
    </row>
    <row r="1409" spans="1:8" x14ac:dyDescent="0.35">
      <c r="A1409">
        <v>2010</v>
      </c>
      <c r="B1409" t="s">
        <v>261</v>
      </c>
      <c r="C1409" t="s">
        <v>154</v>
      </c>
      <c r="D1409" t="s">
        <v>158</v>
      </c>
      <c r="E1409" s="23">
        <v>332483.52</v>
      </c>
      <c r="F1409" s="23">
        <v>268980.94</v>
      </c>
      <c r="G1409" s="23">
        <v>104517</v>
      </c>
      <c r="H1409" s="23">
        <v>25717.63</v>
      </c>
    </row>
    <row r="1410" spans="1:8" x14ac:dyDescent="0.35">
      <c r="A1410">
        <v>2010</v>
      </c>
      <c r="B1410" t="s">
        <v>262</v>
      </c>
      <c r="C1410" t="s">
        <v>154</v>
      </c>
      <c r="D1410" t="s">
        <v>155</v>
      </c>
      <c r="E1410" s="23">
        <v>14299.67</v>
      </c>
      <c r="F1410" s="23">
        <v>560.37</v>
      </c>
      <c r="G1410" s="23">
        <v>8391.17</v>
      </c>
      <c r="H1410" s="23">
        <v>560.37</v>
      </c>
    </row>
    <row r="1411" spans="1:8" x14ac:dyDescent="0.35">
      <c r="A1411">
        <v>2010</v>
      </c>
      <c r="B1411" t="s">
        <v>264</v>
      </c>
      <c r="C1411" t="s">
        <v>154</v>
      </c>
      <c r="D1411" t="s">
        <v>160</v>
      </c>
      <c r="E1411" s="23">
        <v>1141864.76</v>
      </c>
      <c r="F1411" s="23">
        <v>508345.24</v>
      </c>
      <c r="G1411" s="23">
        <v>432344.68</v>
      </c>
      <c r="H1411" s="23">
        <v>117865.32</v>
      </c>
    </row>
    <row r="1412" spans="1:8" x14ac:dyDescent="0.35">
      <c r="A1412">
        <v>2010</v>
      </c>
      <c r="B1412" t="s">
        <v>266</v>
      </c>
      <c r="C1412" t="s">
        <v>154</v>
      </c>
      <c r="D1412" t="s">
        <v>158</v>
      </c>
      <c r="E1412" s="23">
        <v>1055614.04</v>
      </c>
      <c r="F1412" s="23">
        <v>517006.43</v>
      </c>
      <c r="G1412" s="23">
        <v>41000</v>
      </c>
      <c r="H1412" s="23">
        <v>0</v>
      </c>
    </row>
    <row r="1413" spans="1:8" x14ac:dyDescent="0.35">
      <c r="A1413">
        <v>2010</v>
      </c>
      <c r="B1413" t="s">
        <v>267</v>
      </c>
      <c r="C1413" t="s">
        <v>154</v>
      </c>
      <c r="D1413" t="s">
        <v>160</v>
      </c>
      <c r="E1413" s="23">
        <v>498432.86</v>
      </c>
      <c r="F1413" s="23">
        <v>281557.59999999998</v>
      </c>
      <c r="G1413" s="23">
        <v>16922.5</v>
      </c>
      <c r="H1413" s="23">
        <v>1022.5</v>
      </c>
    </row>
    <row r="1414" spans="1:8" x14ac:dyDescent="0.35">
      <c r="A1414">
        <v>2010</v>
      </c>
      <c r="B1414" t="s">
        <v>298</v>
      </c>
      <c r="C1414" t="s">
        <v>154</v>
      </c>
      <c r="D1414" t="s">
        <v>160</v>
      </c>
      <c r="E1414" s="23">
        <v>14731.99</v>
      </c>
      <c r="F1414" s="23">
        <v>133013.51999999999</v>
      </c>
      <c r="G1414" s="23">
        <v>14731.99</v>
      </c>
      <c r="H1414" s="23">
        <v>86013.52</v>
      </c>
    </row>
    <row r="1415" spans="1:8" x14ac:dyDescent="0.35">
      <c r="A1415">
        <v>2010</v>
      </c>
      <c r="B1415" t="s">
        <v>268</v>
      </c>
      <c r="C1415" t="s">
        <v>154</v>
      </c>
      <c r="D1415" t="s">
        <v>160</v>
      </c>
      <c r="E1415" s="23">
        <v>0</v>
      </c>
      <c r="F1415" s="23">
        <v>0</v>
      </c>
      <c r="G1415" s="23">
        <v>82450.69</v>
      </c>
      <c r="H1415" s="23">
        <v>301875.8</v>
      </c>
    </row>
    <row r="1416" spans="1:8" x14ac:dyDescent="0.35">
      <c r="A1416">
        <v>2010</v>
      </c>
      <c r="B1416" t="s">
        <v>272</v>
      </c>
      <c r="C1416" t="s">
        <v>154</v>
      </c>
      <c r="D1416" t="s">
        <v>160</v>
      </c>
      <c r="E1416" s="23">
        <v>554969.51</v>
      </c>
      <c r="F1416" s="23">
        <v>1043711.01</v>
      </c>
      <c r="G1416" s="23">
        <v>63786.54</v>
      </c>
      <c r="H1416" s="23">
        <v>262355.95</v>
      </c>
    </row>
    <row r="1417" spans="1:8" x14ac:dyDescent="0.35">
      <c r="A1417">
        <v>2010</v>
      </c>
      <c r="B1417" t="s">
        <v>273</v>
      </c>
      <c r="C1417" t="s">
        <v>154</v>
      </c>
      <c r="D1417" t="s">
        <v>155</v>
      </c>
      <c r="E1417" s="23">
        <v>1054467.1499999999</v>
      </c>
      <c r="F1417" s="23">
        <v>4692181.82</v>
      </c>
      <c r="G1417" s="23">
        <v>333838.89</v>
      </c>
      <c r="H1417" s="23">
        <v>835463.81</v>
      </c>
    </row>
    <row r="1418" spans="1:8" x14ac:dyDescent="0.35">
      <c r="A1418">
        <v>2010</v>
      </c>
      <c r="B1418" t="s">
        <v>275</v>
      </c>
      <c r="C1418" t="s">
        <v>154</v>
      </c>
      <c r="D1418" t="s">
        <v>160</v>
      </c>
      <c r="E1418" s="23">
        <v>0</v>
      </c>
      <c r="F1418" s="23">
        <v>0</v>
      </c>
      <c r="G1418" s="23">
        <v>13334</v>
      </c>
      <c r="H1418" s="23">
        <v>94805.39</v>
      </c>
    </row>
    <row r="1419" spans="1:8" x14ac:dyDescent="0.35">
      <c r="A1419">
        <v>2010</v>
      </c>
      <c r="B1419" t="s">
        <v>278</v>
      </c>
      <c r="C1419" t="s">
        <v>154</v>
      </c>
      <c r="D1419" t="s">
        <v>155</v>
      </c>
      <c r="E1419" s="23">
        <v>180631.54</v>
      </c>
      <c r="F1419" s="23">
        <v>29533.16</v>
      </c>
      <c r="G1419" s="23">
        <v>1534.4</v>
      </c>
      <c r="H1419" s="23">
        <v>11023.86</v>
      </c>
    </row>
    <row r="1420" spans="1:8" x14ac:dyDescent="0.35">
      <c r="A1420">
        <v>2010</v>
      </c>
      <c r="B1420" t="s">
        <v>279</v>
      </c>
      <c r="C1420" t="s">
        <v>154</v>
      </c>
      <c r="D1420" t="s">
        <v>155</v>
      </c>
      <c r="E1420" s="23">
        <v>1242753.31</v>
      </c>
      <c r="F1420" s="23">
        <v>1978189.53</v>
      </c>
      <c r="G1420" s="23">
        <v>361421.79</v>
      </c>
      <c r="H1420" s="23">
        <v>700320.69</v>
      </c>
    </row>
    <row r="1421" spans="1:8" x14ac:dyDescent="0.35">
      <c r="A1421">
        <v>2010</v>
      </c>
      <c r="B1421" t="s">
        <v>280</v>
      </c>
      <c r="C1421" t="s">
        <v>154</v>
      </c>
      <c r="D1421" t="s">
        <v>160</v>
      </c>
      <c r="E1421" s="23">
        <v>242619.26</v>
      </c>
      <c r="F1421" s="23">
        <v>370483.12</v>
      </c>
      <c r="G1421" s="23">
        <v>127724.15</v>
      </c>
      <c r="H1421" s="23">
        <v>78875.350000000006</v>
      </c>
    </row>
    <row r="1422" spans="1:8" x14ac:dyDescent="0.35">
      <c r="A1422">
        <v>2010</v>
      </c>
      <c r="B1422" t="s">
        <v>282</v>
      </c>
      <c r="C1422" t="s">
        <v>154</v>
      </c>
      <c r="D1422" t="s">
        <v>160</v>
      </c>
      <c r="E1422" s="23">
        <v>4413839.99</v>
      </c>
      <c r="F1422" s="23">
        <v>7809536.4900000002</v>
      </c>
      <c r="G1422" s="23">
        <v>920501.74</v>
      </c>
      <c r="H1422" s="23">
        <v>4975065.09</v>
      </c>
    </row>
    <row r="1423" spans="1:8" x14ac:dyDescent="0.35">
      <c r="A1423">
        <v>2010</v>
      </c>
      <c r="B1423" t="s">
        <v>285</v>
      </c>
      <c r="C1423" t="s">
        <v>154</v>
      </c>
      <c r="D1423" t="s">
        <v>155</v>
      </c>
      <c r="E1423" s="23">
        <v>1537867.7</v>
      </c>
      <c r="F1423" s="23">
        <v>4943034.7699999996</v>
      </c>
      <c r="G1423" s="23">
        <v>230277.5</v>
      </c>
      <c r="H1423" s="23">
        <v>43126</v>
      </c>
    </row>
    <row r="1424" spans="1:8" x14ac:dyDescent="0.35">
      <c r="A1424">
        <v>2010</v>
      </c>
      <c r="B1424" t="s">
        <v>287</v>
      </c>
      <c r="C1424" t="s">
        <v>154</v>
      </c>
      <c r="D1424" t="s">
        <v>158</v>
      </c>
      <c r="E1424" s="23">
        <v>1181553.82</v>
      </c>
      <c r="F1424" s="23">
        <v>674953.86</v>
      </c>
      <c r="G1424" s="23">
        <v>44396.33</v>
      </c>
      <c r="H1424" s="23">
        <v>6583.62</v>
      </c>
    </row>
    <row r="1425" spans="1:8" x14ac:dyDescent="0.35">
      <c r="A1425">
        <v>2010</v>
      </c>
      <c r="B1425" t="s">
        <v>291</v>
      </c>
      <c r="C1425" t="s">
        <v>154</v>
      </c>
      <c r="D1425" t="s">
        <v>158</v>
      </c>
      <c r="E1425" s="23">
        <v>1325950.2439999999</v>
      </c>
      <c r="F1425" s="23">
        <v>3056992.29</v>
      </c>
      <c r="G1425" s="23">
        <v>219489.24</v>
      </c>
      <c r="H1425" s="23">
        <v>512762.56</v>
      </c>
    </row>
    <row r="1426" spans="1:8" x14ac:dyDescent="0.35">
      <c r="A1426">
        <v>2010</v>
      </c>
      <c r="B1426" t="s">
        <v>296</v>
      </c>
      <c r="C1426" t="s">
        <v>154</v>
      </c>
      <c r="D1426" t="s">
        <v>155</v>
      </c>
      <c r="E1426" s="23">
        <v>791023.38</v>
      </c>
      <c r="F1426" s="23">
        <v>8022932.2199999997</v>
      </c>
      <c r="G1426" s="23">
        <v>291192.89</v>
      </c>
      <c r="H1426" s="23">
        <v>6822270.2199999997</v>
      </c>
    </row>
    <row r="1427" spans="1:8" x14ac:dyDescent="0.35">
      <c r="A1427">
        <v>2010</v>
      </c>
      <c r="B1427" t="s">
        <v>293</v>
      </c>
      <c r="C1427" t="s">
        <v>154</v>
      </c>
      <c r="D1427" t="s">
        <v>158</v>
      </c>
      <c r="E1427" s="23">
        <v>427576.68</v>
      </c>
      <c r="F1427" s="23">
        <v>433393.15</v>
      </c>
      <c r="G1427" s="23">
        <v>0</v>
      </c>
      <c r="H1427" s="23">
        <v>7686.63</v>
      </c>
    </row>
    <row r="1428" spans="1:8" x14ac:dyDescent="0.35">
      <c r="A1428">
        <v>2010</v>
      </c>
      <c r="B1428" t="s">
        <v>295</v>
      </c>
      <c r="C1428" t="s">
        <v>154</v>
      </c>
      <c r="D1428" t="s">
        <v>158</v>
      </c>
      <c r="E1428" s="23">
        <v>5665760.2199999997</v>
      </c>
      <c r="F1428" s="23">
        <v>6060662.1200000001</v>
      </c>
      <c r="G1428" s="23">
        <v>593152.17000000004</v>
      </c>
      <c r="H1428" s="23">
        <v>504834.61</v>
      </c>
    </row>
    <row r="1429" spans="1:8" x14ac:dyDescent="0.35">
      <c r="A1429">
        <v>2009</v>
      </c>
      <c r="B1429" t="s">
        <v>153</v>
      </c>
      <c r="C1429" t="s">
        <v>154</v>
      </c>
      <c r="D1429" t="s">
        <v>155</v>
      </c>
      <c r="E1429" s="23">
        <v>818480.68</v>
      </c>
      <c r="F1429" s="23">
        <v>794139.58</v>
      </c>
      <c r="G1429" s="23">
        <v>285731.40999999997</v>
      </c>
      <c r="H1429" s="23">
        <v>333885.08</v>
      </c>
    </row>
    <row r="1430" spans="1:8" x14ac:dyDescent="0.35">
      <c r="A1430">
        <v>2009</v>
      </c>
      <c r="B1430" t="s">
        <v>164</v>
      </c>
      <c r="C1430" t="s">
        <v>154</v>
      </c>
      <c r="D1430" t="s">
        <v>165</v>
      </c>
      <c r="E1430" s="23">
        <v>1128776.18</v>
      </c>
      <c r="F1430" s="23">
        <v>1589110.92</v>
      </c>
      <c r="G1430" s="23">
        <v>-50296.94</v>
      </c>
      <c r="H1430" s="23">
        <v>243680.21</v>
      </c>
    </row>
    <row r="1431" spans="1:8" x14ac:dyDescent="0.35">
      <c r="A1431">
        <v>2009</v>
      </c>
      <c r="B1431" t="s">
        <v>167</v>
      </c>
      <c r="C1431" t="s">
        <v>154</v>
      </c>
      <c r="D1431" t="s">
        <v>155</v>
      </c>
      <c r="E1431" s="23">
        <v>1509628.33</v>
      </c>
      <c r="F1431" s="23">
        <v>3459128.58</v>
      </c>
      <c r="G1431" s="23">
        <v>105737.01</v>
      </c>
      <c r="H1431" s="23">
        <v>986871.28</v>
      </c>
    </row>
    <row r="1432" spans="1:8" x14ac:dyDescent="0.35">
      <c r="A1432">
        <v>2009</v>
      </c>
      <c r="B1432" t="s">
        <v>168</v>
      </c>
      <c r="C1432" t="s">
        <v>154</v>
      </c>
      <c r="D1432" t="s">
        <v>158</v>
      </c>
      <c r="E1432" s="23">
        <v>1128353.57</v>
      </c>
      <c r="F1432" s="23">
        <v>3936335.93</v>
      </c>
      <c r="G1432" s="23">
        <v>21738.61</v>
      </c>
      <c r="H1432" s="23">
        <v>792268</v>
      </c>
    </row>
    <row r="1433" spans="1:8" x14ac:dyDescent="0.35">
      <c r="A1433">
        <v>2009</v>
      </c>
      <c r="B1433" t="s">
        <v>169</v>
      </c>
      <c r="C1433" t="s">
        <v>154</v>
      </c>
      <c r="D1433" t="s">
        <v>160</v>
      </c>
      <c r="E1433" s="23">
        <v>134289.49</v>
      </c>
      <c r="F1433" s="23">
        <v>8864.9500000000007</v>
      </c>
      <c r="G1433" s="23">
        <v>52413.47</v>
      </c>
      <c r="H1433" s="23">
        <v>7183.15</v>
      </c>
    </row>
    <row r="1434" spans="1:8" x14ac:dyDescent="0.35">
      <c r="A1434">
        <v>2009</v>
      </c>
      <c r="B1434" t="s">
        <v>170</v>
      </c>
      <c r="C1434" t="s">
        <v>154</v>
      </c>
      <c r="D1434" t="s">
        <v>160</v>
      </c>
      <c r="E1434" s="23">
        <v>1567432.28</v>
      </c>
      <c r="F1434" s="23">
        <v>2648598.9900000002</v>
      </c>
      <c r="G1434" s="23">
        <v>109552.8</v>
      </c>
      <c r="H1434" s="23">
        <v>442099.83</v>
      </c>
    </row>
    <row r="1435" spans="1:8" x14ac:dyDescent="0.35">
      <c r="A1435">
        <v>2009</v>
      </c>
      <c r="B1435" t="s">
        <v>299</v>
      </c>
      <c r="C1435" t="s">
        <v>154</v>
      </c>
      <c r="D1435" t="s">
        <v>158</v>
      </c>
      <c r="E1435" s="23">
        <v>0</v>
      </c>
      <c r="F1435" s="23">
        <v>0</v>
      </c>
      <c r="G1435" s="23">
        <v>155946.72</v>
      </c>
      <c r="H1435" s="23">
        <v>19758.599999999999</v>
      </c>
    </row>
    <row r="1436" spans="1:8" x14ac:dyDescent="0.35">
      <c r="A1436">
        <v>2009</v>
      </c>
      <c r="B1436" t="s">
        <v>174</v>
      </c>
      <c r="C1436" t="s">
        <v>154</v>
      </c>
      <c r="D1436" t="s">
        <v>160</v>
      </c>
      <c r="E1436" s="23">
        <v>3345267.51</v>
      </c>
      <c r="F1436" s="23">
        <v>15697468.039999999</v>
      </c>
      <c r="G1436" s="23">
        <v>161750</v>
      </c>
      <c r="H1436" s="23">
        <v>0</v>
      </c>
    </row>
    <row r="1437" spans="1:8" x14ac:dyDescent="0.35">
      <c r="A1437">
        <v>2009</v>
      </c>
      <c r="B1437" t="s">
        <v>177</v>
      </c>
      <c r="C1437" t="s">
        <v>154</v>
      </c>
      <c r="D1437" t="s">
        <v>160</v>
      </c>
      <c r="E1437" s="23">
        <v>3162208.3627999998</v>
      </c>
      <c r="F1437" s="23">
        <v>11230035.582699999</v>
      </c>
      <c r="G1437" s="23">
        <v>130809.5</v>
      </c>
      <c r="H1437" s="23">
        <v>154638.26999999999</v>
      </c>
    </row>
    <row r="1438" spans="1:8" x14ac:dyDescent="0.35">
      <c r="A1438">
        <v>2009</v>
      </c>
      <c r="B1438" t="s">
        <v>178</v>
      </c>
      <c r="C1438" t="s">
        <v>154</v>
      </c>
      <c r="D1438" t="s">
        <v>155</v>
      </c>
      <c r="E1438" s="23">
        <v>515142.67</v>
      </c>
      <c r="F1438" s="23">
        <v>1448445.86</v>
      </c>
      <c r="G1438" s="23">
        <v>89860.7</v>
      </c>
      <c r="H1438" s="23">
        <v>103090.95</v>
      </c>
    </row>
    <row r="1439" spans="1:8" x14ac:dyDescent="0.35">
      <c r="A1439">
        <v>2009</v>
      </c>
      <c r="B1439" t="s">
        <v>180</v>
      </c>
      <c r="C1439" t="s">
        <v>154</v>
      </c>
      <c r="D1439" t="s">
        <v>160</v>
      </c>
      <c r="E1439" s="23">
        <v>1542037.66</v>
      </c>
      <c r="F1439" s="23">
        <v>4266016.33</v>
      </c>
      <c r="G1439" s="23">
        <v>390369.9</v>
      </c>
      <c r="H1439" s="23">
        <v>3108816.44</v>
      </c>
    </row>
    <row r="1440" spans="1:8" x14ac:dyDescent="0.35">
      <c r="A1440">
        <v>2009</v>
      </c>
      <c r="B1440" t="s">
        <v>181</v>
      </c>
      <c r="C1440" t="s">
        <v>154</v>
      </c>
      <c r="D1440" t="s">
        <v>155</v>
      </c>
      <c r="E1440" s="23">
        <v>2216308.75</v>
      </c>
      <c r="F1440" s="23">
        <v>2878276.81</v>
      </c>
      <c r="G1440" s="23">
        <v>684831.83</v>
      </c>
      <c r="H1440" s="23">
        <v>1257471.99</v>
      </c>
    </row>
    <row r="1441" spans="1:8" x14ac:dyDescent="0.35">
      <c r="A1441">
        <v>2009</v>
      </c>
      <c r="B1441" t="s">
        <v>182</v>
      </c>
      <c r="C1441" t="s">
        <v>154</v>
      </c>
      <c r="D1441" t="s">
        <v>158</v>
      </c>
      <c r="E1441" s="23">
        <v>0</v>
      </c>
      <c r="F1441" s="23">
        <v>0</v>
      </c>
      <c r="G1441" s="23">
        <v>0</v>
      </c>
      <c r="H1441" s="23">
        <v>293783.64</v>
      </c>
    </row>
    <row r="1442" spans="1:8" x14ac:dyDescent="0.35">
      <c r="A1442">
        <v>2009</v>
      </c>
      <c r="B1442" t="s">
        <v>184</v>
      </c>
      <c r="C1442" t="s">
        <v>154</v>
      </c>
      <c r="D1442" t="s">
        <v>155</v>
      </c>
      <c r="E1442" s="23">
        <v>3918818.85</v>
      </c>
      <c r="F1442" s="23">
        <v>10656622.26</v>
      </c>
      <c r="G1442" s="23">
        <v>296124.12</v>
      </c>
      <c r="H1442" s="23">
        <v>1337350.31</v>
      </c>
    </row>
    <row r="1443" spans="1:8" x14ac:dyDescent="0.35">
      <c r="A1443">
        <v>2009</v>
      </c>
      <c r="B1443" t="s">
        <v>186</v>
      </c>
      <c r="C1443" t="s">
        <v>154</v>
      </c>
      <c r="D1443" t="s">
        <v>158</v>
      </c>
      <c r="E1443" s="23">
        <v>1778675.14</v>
      </c>
      <c r="F1443" s="23">
        <v>3977392.01</v>
      </c>
      <c r="G1443" s="23">
        <v>243189.69</v>
      </c>
      <c r="H1443" s="23">
        <v>805650.83</v>
      </c>
    </row>
    <row r="1444" spans="1:8" x14ac:dyDescent="0.35">
      <c r="A1444">
        <v>2009</v>
      </c>
      <c r="B1444" t="s">
        <v>188</v>
      </c>
      <c r="C1444" t="s">
        <v>154</v>
      </c>
      <c r="D1444" t="s">
        <v>155</v>
      </c>
      <c r="E1444" s="23">
        <v>11519590.144400001</v>
      </c>
      <c r="F1444" s="23">
        <v>43652699.375500001</v>
      </c>
      <c r="G1444" s="23">
        <v>5331066.8077999996</v>
      </c>
      <c r="H1444" s="23">
        <v>23314461.7731</v>
      </c>
    </row>
    <row r="1445" spans="1:8" x14ac:dyDescent="0.35">
      <c r="A1445">
        <v>2009</v>
      </c>
      <c r="B1445" t="s">
        <v>189</v>
      </c>
      <c r="C1445" t="s">
        <v>154</v>
      </c>
      <c r="D1445" t="s">
        <v>158</v>
      </c>
      <c r="E1445" s="23">
        <v>4566050.33</v>
      </c>
      <c r="F1445" s="23">
        <v>18966761.620000001</v>
      </c>
      <c r="G1445" s="23">
        <v>83579.399999999994</v>
      </c>
      <c r="H1445" s="23">
        <v>489736.92</v>
      </c>
    </row>
    <row r="1446" spans="1:8" x14ac:dyDescent="0.35">
      <c r="A1446">
        <v>2009</v>
      </c>
      <c r="B1446" t="s">
        <v>190</v>
      </c>
      <c r="C1446" t="s">
        <v>154</v>
      </c>
      <c r="D1446" t="s">
        <v>155</v>
      </c>
      <c r="E1446" s="23">
        <v>523154.65</v>
      </c>
      <c r="F1446" s="23">
        <v>2450265.63</v>
      </c>
      <c r="G1446" s="23">
        <v>71136.5</v>
      </c>
      <c r="H1446" s="23">
        <v>137333.01</v>
      </c>
    </row>
    <row r="1447" spans="1:8" x14ac:dyDescent="0.35">
      <c r="A1447">
        <v>2009</v>
      </c>
      <c r="B1447" t="s">
        <v>300</v>
      </c>
      <c r="C1447" t="s">
        <v>154</v>
      </c>
      <c r="D1447" t="s">
        <v>158</v>
      </c>
      <c r="E1447" s="23">
        <v>30038496.210000001</v>
      </c>
      <c r="F1447" s="23">
        <v>13965266.76</v>
      </c>
      <c r="G1447" s="23">
        <v>0</v>
      </c>
      <c r="H1447" s="23">
        <v>0</v>
      </c>
    </row>
    <row r="1448" spans="1:8" x14ac:dyDescent="0.35">
      <c r="A1448">
        <v>2009</v>
      </c>
      <c r="B1448" t="s">
        <v>192</v>
      </c>
      <c r="C1448" t="s">
        <v>154</v>
      </c>
      <c r="D1448" t="s">
        <v>160</v>
      </c>
      <c r="E1448" s="23">
        <v>1046940</v>
      </c>
      <c r="F1448" s="23">
        <v>601454.59</v>
      </c>
      <c r="G1448" s="23">
        <v>731766</v>
      </c>
      <c r="H1448" s="23">
        <v>323834.25</v>
      </c>
    </row>
    <row r="1449" spans="1:8" x14ac:dyDescent="0.35">
      <c r="A1449">
        <v>2009</v>
      </c>
      <c r="B1449" t="s">
        <v>196</v>
      </c>
      <c r="C1449" t="s">
        <v>154</v>
      </c>
      <c r="D1449" t="s">
        <v>155</v>
      </c>
      <c r="E1449" s="23">
        <v>220989.77</v>
      </c>
      <c r="F1449" s="23">
        <v>439051.6</v>
      </c>
      <c r="G1449" s="23">
        <v>0</v>
      </c>
      <c r="H1449" s="23">
        <v>0</v>
      </c>
    </row>
    <row r="1450" spans="1:8" x14ac:dyDescent="0.35">
      <c r="A1450">
        <v>2009</v>
      </c>
      <c r="B1450" t="s">
        <v>197</v>
      </c>
      <c r="C1450" t="s">
        <v>154</v>
      </c>
      <c r="D1450" t="s">
        <v>160</v>
      </c>
      <c r="E1450" s="23">
        <v>145329.44</v>
      </c>
      <c r="F1450" s="23">
        <v>210697.63</v>
      </c>
      <c r="G1450" s="23">
        <v>51756.56</v>
      </c>
      <c r="H1450" s="23">
        <v>122621.97</v>
      </c>
    </row>
    <row r="1451" spans="1:8" x14ac:dyDescent="0.35">
      <c r="A1451">
        <v>2009</v>
      </c>
      <c r="B1451" t="s">
        <v>198</v>
      </c>
      <c r="C1451" t="s">
        <v>154</v>
      </c>
      <c r="D1451" t="s">
        <v>160</v>
      </c>
      <c r="E1451" s="23">
        <v>2656366.86</v>
      </c>
      <c r="F1451" s="23">
        <v>11698157.68</v>
      </c>
      <c r="G1451" s="23">
        <v>5268.85</v>
      </c>
      <c r="H1451" s="23">
        <v>29384.5</v>
      </c>
    </row>
    <row r="1452" spans="1:8" x14ac:dyDescent="0.35">
      <c r="A1452">
        <v>2009</v>
      </c>
      <c r="B1452" t="s">
        <v>199</v>
      </c>
      <c r="C1452" t="s">
        <v>154</v>
      </c>
      <c r="D1452" t="s">
        <v>160</v>
      </c>
      <c r="E1452" s="23">
        <v>1146135.5900000001</v>
      </c>
      <c r="F1452" s="23">
        <v>5857437.9299999997</v>
      </c>
      <c r="G1452" s="23">
        <v>50919.09</v>
      </c>
      <c r="H1452" s="23">
        <v>482394.37</v>
      </c>
    </row>
    <row r="1453" spans="1:8" x14ac:dyDescent="0.35">
      <c r="A1453">
        <v>2009</v>
      </c>
      <c r="B1453" t="s">
        <v>201</v>
      </c>
      <c r="C1453" t="s">
        <v>154</v>
      </c>
      <c r="D1453" t="s">
        <v>160</v>
      </c>
      <c r="E1453" s="23">
        <v>0</v>
      </c>
      <c r="F1453" s="23">
        <v>0</v>
      </c>
      <c r="G1453" s="23">
        <v>148180.26</v>
      </c>
      <c r="H1453" s="23">
        <v>119053.33</v>
      </c>
    </row>
    <row r="1454" spans="1:8" x14ac:dyDescent="0.35">
      <c r="A1454">
        <v>2009</v>
      </c>
      <c r="B1454" t="s">
        <v>202</v>
      </c>
      <c r="C1454" t="s">
        <v>154</v>
      </c>
      <c r="D1454" t="s">
        <v>155</v>
      </c>
      <c r="E1454" s="23">
        <v>1280372.54</v>
      </c>
      <c r="F1454" s="23">
        <v>890173.9</v>
      </c>
      <c r="G1454" s="23">
        <v>70787.87</v>
      </c>
      <c r="H1454" s="23">
        <v>7710.72</v>
      </c>
    </row>
    <row r="1455" spans="1:8" x14ac:dyDescent="0.35">
      <c r="A1455">
        <v>2009</v>
      </c>
      <c r="B1455" t="s">
        <v>203</v>
      </c>
      <c r="C1455" t="s">
        <v>154</v>
      </c>
      <c r="D1455" t="s">
        <v>160</v>
      </c>
      <c r="E1455" s="23">
        <v>2182617.64</v>
      </c>
      <c r="F1455" s="23">
        <v>29298008.579999998</v>
      </c>
      <c r="G1455" s="23">
        <v>473030.23</v>
      </c>
      <c r="H1455" s="23">
        <v>15700446.460000001</v>
      </c>
    </row>
    <row r="1456" spans="1:8" x14ac:dyDescent="0.35">
      <c r="A1456">
        <v>2009</v>
      </c>
      <c r="B1456" t="s">
        <v>204</v>
      </c>
      <c r="C1456" t="s">
        <v>154</v>
      </c>
      <c r="D1456" t="s">
        <v>158</v>
      </c>
      <c r="E1456" s="23">
        <v>1276267.67</v>
      </c>
      <c r="F1456" s="23">
        <v>4357148.95</v>
      </c>
      <c r="G1456" s="23">
        <v>95121.06</v>
      </c>
      <c r="H1456" s="23">
        <v>952897.78</v>
      </c>
    </row>
    <row r="1457" spans="1:8" x14ac:dyDescent="0.35">
      <c r="A1457">
        <v>2009</v>
      </c>
      <c r="B1457" t="s">
        <v>205</v>
      </c>
      <c r="C1457" t="s">
        <v>154</v>
      </c>
      <c r="D1457" t="s">
        <v>160</v>
      </c>
      <c r="E1457" s="23">
        <v>331511.24</v>
      </c>
      <c r="F1457" s="23">
        <v>285975.7</v>
      </c>
      <c r="G1457" s="23">
        <v>78837.17</v>
      </c>
      <c r="H1457" s="23">
        <v>230742.11</v>
      </c>
    </row>
    <row r="1458" spans="1:8" x14ac:dyDescent="0.35">
      <c r="A1458">
        <v>2009</v>
      </c>
      <c r="B1458" t="s">
        <v>206</v>
      </c>
      <c r="C1458" t="s">
        <v>154</v>
      </c>
      <c r="D1458" t="s">
        <v>158</v>
      </c>
      <c r="E1458" s="23">
        <v>517850.55</v>
      </c>
      <c r="F1458" s="23">
        <v>296519.11</v>
      </c>
      <c r="G1458" s="23">
        <v>107357.96</v>
      </c>
      <c r="H1458" s="23">
        <v>264796</v>
      </c>
    </row>
    <row r="1459" spans="1:8" x14ac:dyDescent="0.35">
      <c r="A1459">
        <v>2009</v>
      </c>
      <c r="B1459" t="s">
        <v>209</v>
      </c>
      <c r="C1459" t="s">
        <v>154</v>
      </c>
      <c r="D1459" t="s">
        <v>158</v>
      </c>
      <c r="E1459" s="23">
        <v>991618.05</v>
      </c>
      <c r="F1459" s="23">
        <v>1209693.1299999999</v>
      </c>
      <c r="G1459" s="23">
        <v>48230.78</v>
      </c>
      <c r="H1459" s="23">
        <v>7572.15</v>
      </c>
    </row>
    <row r="1460" spans="1:8" x14ac:dyDescent="0.35">
      <c r="A1460">
        <v>2009</v>
      </c>
      <c r="B1460" t="s">
        <v>210</v>
      </c>
      <c r="C1460" t="s">
        <v>154</v>
      </c>
      <c r="D1460" t="s">
        <v>158</v>
      </c>
      <c r="E1460" s="23">
        <v>542984.35</v>
      </c>
      <c r="F1460" s="23">
        <v>1303512.6000000001</v>
      </c>
      <c r="G1460" s="23">
        <v>91884.73</v>
      </c>
      <c r="H1460" s="23">
        <v>574504.91</v>
      </c>
    </row>
    <row r="1461" spans="1:8" x14ac:dyDescent="0.35">
      <c r="A1461">
        <v>2009</v>
      </c>
      <c r="B1461" t="s">
        <v>212</v>
      </c>
      <c r="C1461" t="s">
        <v>154</v>
      </c>
      <c r="D1461" t="s">
        <v>160</v>
      </c>
      <c r="E1461" s="23">
        <v>612627.64</v>
      </c>
      <c r="F1461" s="23">
        <v>211935.64</v>
      </c>
      <c r="G1461" s="23">
        <v>44112.160000000003</v>
      </c>
      <c r="H1461" s="23">
        <v>965.44</v>
      </c>
    </row>
    <row r="1462" spans="1:8" x14ac:dyDescent="0.35">
      <c r="A1462">
        <v>2009</v>
      </c>
      <c r="B1462" t="s">
        <v>215</v>
      </c>
      <c r="C1462" t="s">
        <v>154</v>
      </c>
      <c r="D1462" t="s">
        <v>160</v>
      </c>
      <c r="E1462" s="23">
        <v>0</v>
      </c>
      <c r="F1462" s="23">
        <v>0</v>
      </c>
      <c r="G1462" s="23">
        <v>112053.54</v>
      </c>
      <c r="H1462" s="23">
        <v>114400.43</v>
      </c>
    </row>
    <row r="1463" spans="1:8" x14ac:dyDescent="0.35">
      <c r="A1463">
        <v>2009</v>
      </c>
      <c r="B1463" t="s">
        <v>220</v>
      </c>
      <c r="C1463" t="s">
        <v>154</v>
      </c>
      <c r="D1463" t="s">
        <v>158</v>
      </c>
      <c r="E1463" s="23">
        <v>1552323.8644000001</v>
      </c>
      <c r="F1463" s="23">
        <v>2515178.87</v>
      </c>
      <c r="G1463" s="23">
        <v>220436.51</v>
      </c>
      <c r="H1463" s="23">
        <v>896499.62</v>
      </c>
    </row>
    <row r="1464" spans="1:8" x14ac:dyDescent="0.35">
      <c r="A1464">
        <v>2009</v>
      </c>
      <c r="B1464" t="s">
        <v>221</v>
      </c>
      <c r="C1464" t="s">
        <v>154</v>
      </c>
      <c r="D1464" t="s">
        <v>165</v>
      </c>
      <c r="E1464" s="23">
        <v>1051676.43</v>
      </c>
      <c r="F1464" s="23">
        <v>3001499.8</v>
      </c>
      <c r="G1464" s="23">
        <v>108387.32</v>
      </c>
      <c r="H1464" s="23">
        <v>436477.23</v>
      </c>
    </row>
    <row r="1465" spans="1:8" x14ac:dyDescent="0.35">
      <c r="A1465">
        <v>2009</v>
      </c>
      <c r="B1465" t="s">
        <v>223</v>
      </c>
      <c r="C1465" t="s">
        <v>163</v>
      </c>
      <c r="D1465" t="s">
        <v>160</v>
      </c>
      <c r="E1465" s="23">
        <v>72362.16</v>
      </c>
      <c r="F1465" s="23">
        <v>61463.76</v>
      </c>
      <c r="G1465" s="23">
        <v>4655</v>
      </c>
      <c r="H1465" s="23">
        <v>37437.360000000001</v>
      </c>
    </row>
    <row r="1466" spans="1:8" x14ac:dyDescent="0.35">
      <c r="A1466">
        <v>2009</v>
      </c>
      <c r="B1466" t="s">
        <v>224</v>
      </c>
      <c r="C1466" t="s">
        <v>154</v>
      </c>
      <c r="D1466" t="s">
        <v>158</v>
      </c>
      <c r="E1466" s="23">
        <v>583081.64</v>
      </c>
      <c r="F1466" s="23">
        <v>1904466.09</v>
      </c>
      <c r="G1466" s="23">
        <v>0</v>
      </c>
      <c r="H1466" s="23">
        <v>0</v>
      </c>
    </row>
    <row r="1467" spans="1:8" x14ac:dyDescent="0.35">
      <c r="A1467">
        <v>2009</v>
      </c>
      <c r="B1467" t="s">
        <v>225</v>
      </c>
      <c r="C1467" t="s">
        <v>154</v>
      </c>
      <c r="D1467" t="s">
        <v>160</v>
      </c>
      <c r="E1467" s="23">
        <v>0</v>
      </c>
      <c r="F1467" s="23">
        <v>0</v>
      </c>
      <c r="G1467" s="23">
        <v>39998</v>
      </c>
      <c r="H1467" s="23">
        <v>0</v>
      </c>
    </row>
    <row r="1468" spans="1:8" x14ac:dyDescent="0.35">
      <c r="A1468">
        <v>2009</v>
      </c>
      <c r="B1468" t="s">
        <v>226</v>
      </c>
      <c r="C1468" t="s">
        <v>154</v>
      </c>
      <c r="D1468" t="s">
        <v>155</v>
      </c>
      <c r="E1468" s="23">
        <v>0</v>
      </c>
      <c r="F1468" s="23">
        <v>0</v>
      </c>
      <c r="G1468" s="23">
        <v>6386.95</v>
      </c>
      <c r="H1468" s="23">
        <v>1764.06</v>
      </c>
    </row>
    <row r="1469" spans="1:8" x14ac:dyDescent="0.35">
      <c r="A1469">
        <v>2009</v>
      </c>
      <c r="B1469" t="s">
        <v>227</v>
      </c>
      <c r="C1469" t="s">
        <v>154</v>
      </c>
      <c r="D1469" t="s">
        <v>158</v>
      </c>
      <c r="E1469" s="23">
        <v>0</v>
      </c>
      <c r="F1469" s="23">
        <v>0</v>
      </c>
      <c r="G1469" s="23">
        <v>547308.1</v>
      </c>
      <c r="H1469" s="23">
        <v>789745.04</v>
      </c>
    </row>
    <row r="1470" spans="1:8" x14ac:dyDescent="0.35">
      <c r="A1470">
        <v>2009</v>
      </c>
      <c r="B1470" t="s">
        <v>228</v>
      </c>
      <c r="C1470" t="s">
        <v>154</v>
      </c>
      <c r="D1470" t="s">
        <v>160</v>
      </c>
      <c r="E1470" s="23">
        <v>368576.29</v>
      </c>
      <c r="F1470" s="23">
        <v>703998.08</v>
      </c>
      <c r="G1470" s="23">
        <v>7838.88</v>
      </c>
      <c r="H1470" s="23">
        <v>58049.09</v>
      </c>
    </row>
    <row r="1471" spans="1:8" x14ac:dyDescent="0.35">
      <c r="A1471">
        <v>2009</v>
      </c>
      <c r="B1471" t="s">
        <v>232</v>
      </c>
      <c r="C1471" t="s">
        <v>154</v>
      </c>
      <c r="D1471" t="s">
        <v>165</v>
      </c>
      <c r="E1471" s="23">
        <v>678897.2</v>
      </c>
      <c r="F1471" s="23">
        <v>1474847.23</v>
      </c>
      <c r="G1471" s="23">
        <v>303481.99</v>
      </c>
      <c r="H1471" s="23">
        <v>419172.72</v>
      </c>
    </row>
    <row r="1472" spans="1:8" x14ac:dyDescent="0.35">
      <c r="A1472">
        <v>2009</v>
      </c>
      <c r="B1472" t="s">
        <v>233</v>
      </c>
      <c r="C1472" t="s">
        <v>154</v>
      </c>
      <c r="D1472" t="s">
        <v>155</v>
      </c>
      <c r="E1472" s="23">
        <v>776430.14</v>
      </c>
      <c r="F1472" s="23">
        <v>831085.76</v>
      </c>
      <c r="G1472" s="23">
        <v>146364.78</v>
      </c>
      <c r="H1472" s="23">
        <v>671712.13</v>
      </c>
    </row>
    <row r="1473" spans="1:8" x14ac:dyDescent="0.35">
      <c r="A1473">
        <v>2009</v>
      </c>
      <c r="B1473" t="s">
        <v>234</v>
      </c>
      <c r="C1473" t="s">
        <v>154</v>
      </c>
      <c r="D1473" t="s">
        <v>160</v>
      </c>
      <c r="E1473" s="23">
        <v>6198380.7707000002</v>
      </c>
      <c r="F1473" s="23">
        <v>31354767.208099999</v>
      </c>
      <c r="G1473" s="23">
        <v>1897381.1853</v>
      </c>
      <c r="H1473" s="23">
        <v>8018177.6867000004</v>
      </c>
    </row>
    <row r="1474" spans="1:8" x14ac:dyDescent="0.35">
      <c r="A1474">
        <v>2009</v>
      </c>
      <c r="B1474" t="s">
        <v>235</v>
      </c>
      <c r="C1474" t="s">
        <v>154</v>
      </c>
      <c r="D1474" t="s">
        <v>160</v>
      </c>
      <c r="E1474" s="23">
        <v>130611.48</v>
      </c>
      <c r="F1474" s="23">
        <v>534.94000000000005</v>
      </c>
      <c r="G1474" s="23">
        <v>30515.06</v>
      </c>
      <c r="H1474" s="23">
        <v>534.94000000000005</v>
      </c>
    </row>
    <row r="1475" spans="1:8" x14ac:dyDescent="0.35">
      <c r="A1475">
        <v>2009</v>
      </c>
      <c r="B1475" t="s">
        <v>236</v>
      </c>
      <c r="C1475" t="s">
        <v>154</v>
      </c>
      <c r="D1475" t="s">
        <v>160</v>
      </c>
      <c r="E1475" s="23">
        <v>334738.08</v>
      </c>
      <c r="F1475" s="23">
        <v>1783215.95</v>
      </c>
      <c r="G1475" s="23">
        <v>67198.75</v>
      </c>
      <c r="H1475" s="23">
        <v>191876.24</v>
      </c>
    </row>
    <row r="1476" spans="1:8" x14ac:dyDescent="0.35">
      <c r="A1476">
        <v>2009</v>
      </c>
      <c r="B1476" t="s">
        <v>238</v>
      </c>
      <c r="C1476" t="s">
        <v>154</v>
      </c>
      <c r="D1476" t="s">
        <v>155</v>
      </c>
      <c r="E1476" s="23">
        <v>0</v>
      </c>
      <c r="F1476" s="23">
        <v>0</v>
      </c>
      <c r="G1476" s="23">
        <v>149218.35999999999</v>
      </c>
      <c r="H1476" s="23">
        <v>15245.12</v>
      </c>
    </row>
    <row r="1477" spans="1:8" x14ac:dyDescent="0.35">
      <c r="A1477">
        <v>2009</v>
      </c>
      <c r="B1477" t="s">
        <v>239</v>
      </c>
      <c r="C1477" t="s">
        <v>154</v>
      </c>
      <c r="D1477" t="s">
        <v>158</v>
      </c>
      <c r="E1477" s="23">
        <v>577108.06999999995</v>
      </c>
      <c r="F1477" s="23">
        <v>1770139.26</v>
      </c>
      <c r="G1477" s="23">
        <v>254307.81</v>
      </c>
      <c r="H1477" s="23">
        <v>978119.54</v>
      </c>
    </row>
    <row r="1478" spans="1:8" x14ac:dyDescent="0.35">
      <c r="A1478">
        <v>2009</v>
      </c>
      <c r="B1478" t="s">
        <v>243</v>
      </c>
      <c r="C1478" t="s">
        <v>154</v>
      </c>
      <c r="D1478" t="s">
        <v>165</v>
      </c>
      <c r="E1478" s="23">
        <v>309756.3</v>
      </c>
      <c r="F1478" s="23">
        <v>374148.24</v>
      </c>
      <c r="G1478" s="23">
        <v>100432.13</v>
      </c>
      <c r="H1478" s="23">
        <v>137382.14000000001</v>
      </c>
    </row>
    <row r="1479" spans="1:8" x14ac:dyDescent="0.35">
      <c r="A1479">
        <v>2009</v>
      </c>
      <c r="B1479" t="s">
        <v>247</v>
      </c>
      <c r="C1479" t="s">
        <v>154</v>
      </c>
      <c r="D1479" t="s">
        <v>160</v>
      </c>
      <c r="E1479" s="23">
        <v>12589032.58</v>
      </c>
      <c r="F1479" s="23">
        <v>7875670.0674999999</v>
      </c>
      <c r="G1479" s="23">
        <v>3292962.66</v>
      </c>
      <c r="H1479" s="23">
        <v>305211.33</v>
      </c>
    </row>
    <row r="1480" spans="1:8" x14ac:dyDescent="0.35">
      <c r="A1480">
        <v>2009</v>
      </c>
      <c r="B1480" t="s">
        <v>249</v>
      </c>
      <c r="C1480" t="s">
        <v>154</v>
      </c>
      <c r="D1480" t="s">
        <v>160</v>
      </c>
      <c r="E1480" s="23">
        <v>3677813.45</v>
      </c>
      <c r="F1480" s="23">
        <v>9883666.1099999994</v>
      </c>
      <c r="G1480" s="23">
        <v>603007.92000000004</v>
      </c>
      <c r="H1480" s="23">
        <v>1114809.06</v>
      </c>
    </row>
    <row r="1481" spans="1:8" x14ac:dyDescent="0.35">
      <c r="A1481">
        <v>2009</v>
      </c>
      <c r="B1481" t="s">
        <v>252</v>
      </c>
      <c r="C1481" t="s">
        <v>154</v>
      </c>
      <c r="D1481" t="s">
        <v>160</v>
      </c>
      <c r="E1481" s="23">
        <v>0</v>
      </c>
      <c r="F1481" s="23">
        <v>0</v>
      </c>
      <c r="G1481" s="23">
        <v>146601.53</v>
      </c>
      <c r="H1481" s="23">
        <v>225539.96</v>
      </c>
    </row>
    <row r="1482" spans="1:8" x14ac:dyDescent="0.35">
      <c r="A1482">
        <v>2009</v>
      </c>
      <c r="B1482" t="s">
        <v>253</v>
      </c>
      <c r="C1482" t="s">
        <v>154</v>
      </c>
      <c r="D1482" t="s">
        <v>160</v>
      </c>
      <c r="E1482" s="23">
        <v>0</v>
      </c>
      <c r="F1482" s="23">
        <v>0</v>
      </c>
      <c r="G1482" s="23">
        <v>79344.97</v>
      </c>
      <c r="H1482" s="23">
        <v>119921.86</v>
      </c>
    </row>
    <row r="1483" spans="1:8" x14ac:dyDescent="0.35">
      <c r="A1483">
        <v>2009</v>
      </c>
      <c r="B1483" t="s">
        <v>257</v>
      </c>
      <c r="C1483" t="s">
        <v>154</v>
      </c>
      <c r="D1483" t="s">
        <v>160</v>
      </c>
      <c r="E1483" s="23">
        <v>783580.14</v>
      </c>
      <c r="F1483" s="23">
        <v>0</v>
      </c>
      <c r="G1483" s="23">
        <v>23037.78</v>
      </c>
      <c r="H1483" s="23">
        <v>0</v>
      </c>
    </row>
    <row r="1484" spans="1:8" x14ac:dyDescent="0.35">
      <c r="A1484">
        <v>2009</v>
      </c>
      <c r="B1484" t="s">
        <v>258</v>
      </c>
      <c r="C1484" t="s">
        <v>154</v>
      </c>
      <c r="D1484" t="s">
        <v>160</v>
      </c>
      <c r="E1484" s="23">
        <v>669603.55000000005</v>
      </c>
      <c r="F1484" s="23">
        <v>1019255.44</v>
      </c>
      <c r="G1484" s="23">
        <v>271456.67</v>
      </c>
      <c r="H1484" s="23">
        <v>992409.65</v>
      </c>
    </row>
    <row r="1485" spans="1:8" x14ac:dyDescent="0.35">
      <c r="A1485">
        <v>2009</v>
      </c>
      <c r="B1485" t="s">
        <v>261</v>
      </c>
      <c r="C1485" t="s">
        <v>154</v>
      </c>
      <c r="D1485" t="s">
        <v>158</v>
      </c>
      <c r="E1485" s="23">
        <v>856212.52</v>
      </c>
      <c r="F1485" s="23">
        <v>7504015.5499999998</v>
      </c>
      <c r="G1485" s="23">
        <v>23055</v>
      </c>
      <c r="H1485" s="23">
        <v>0</v>
      </c>
    </row>
    <row r="1486" spans="1:8" x14ac:dyDescent="0.35">
      <c r="A1486">
        <v>2009</v>
      </c>
      <c r="B1486" t="s">
        <v>262</v>
      </c>
      <c r="C1486" t="s">
        <v>154</v>
      </c>
      <c r="D1486" t="s">
        <v>155</v>
      </c>
      <c r="E1486" s="23">
        <v>103418.49</v>
      </c>
      <c r="F1486" s="23">
        <v>39486.22</v>
      </c>
      <c r="G1486" s="23">
        <v>47472.46</v>
      </c>
      <c r="H1486" s="23">
        <v>22960.35</v>
      </c>
    </row>
    <row r="1487" spans="1:8" x14ac:dyDescent="0.35">
      <c r="A1487">
        <v>2009</v>
      </c>
      <c r="B1487" t="s">
        <v>264</v>
      </c>
      <c r="C1487" t="s">
        <v>154</v>
      </c>
      <c r="D1487" t="s">
        <v>160</v>
      </c>
      <c r="E1487" s="23">
        <v>23479.200000000001</v>
      </c>
      <c r="F1487" s="23">
        <v>219340</v>
      </c>
      <c r="G1487" s="23">
        <v>10200</v>
      </c>
      <c r="H1487" s="23">
        <v>0</v>
      </c>
    </row>
    <row r="1488" spans="1:8" x14ac:dyDescent="0.35">
      <c r="A1488">
        <v>2009</v>
      </c>
      <c r="B1488" t="s">
        <v>266</v>
      </c>
      <c r="C1488" t="s">
        <v>154</v>
      </c>
      <c r="D1488" t="s">
        <v>158</v>
      </c>
      <c r="E1488" s="23">
        <v>947826.32</v>
      </c>
      <c r="F1488" s="23">
        <v>230879.21</v>
      </c>
      <c r="G1488" s="23">
        <v>0</v>
      </c>
      <c r="H1488" s="23">
        <v>0</v>
      </c>
    </row>
    <row r="1489" spans="1:8" x14ac:dyDescent="0.35">
      <c r="A1489">
        <v>2009</v>
      </c>
      <c r="B1489" t="s">
        <v>267</v>
      </c>
      <c r="C1489" t="s">
        <v>154</v>
      </c>
      <c r="D1489" t="s">
        <v>160</v>
      </c>
      <c r="E1489" s="23">
        <v>1033661.47</v>
      </c>
      <c r="F1489" s="23">
        <v>1645011.87</v>
      </c>
      <c r="G1489" s="23">
        <v>51613.38</v>
      </c>
      <c r="H1489" s="23">
        <v>101380.9</v>
      </c>
    </row>
    <row r="1490" spans="1:8" x14ac:dyDescent="0.35">
      <c r="A1490">
        <v>2009</v>
      </c>
      <c r="B1490" t="s">
        <v>298</v>
      </c>
      <c r="C1490" t="s">
        <v>154</v>
      </c>
      <c r="D1490" t="s">
        <v>160</v>
      </c>
      <c r="E1490" s="23">
        <v>166119.67999999999</v>
      </c>
      <c r="F1490" s="23">
        <v>3340</v>
      </c>
      <c r="G1490" s="23">
        <v>35798.400000000001</v>
      </c>
      <c r="H1490" s="23">
        <v>0</v>
      </c>
    </row>
    <row r="1491" spans="1:8" x14ac:dyDescent="0.35">
      <c r="A1491">
        <v>2009</v>
      </c>
      <c r="B1491" t="s">
        <v>268</v>
      </c>
      <c r="C1491" t="s">
        <v>154</v>
      </c>
      <c r="D1491" t="s">
        <v>160</v>
      </c>
      <c r="E1491" s="23">
        <v>0</v>
      </c>
      <c r="F1491" s="23">
        <v>0</v>
      </c>
      <c r="G1491" s="23">
        <v>18169.169999999998</v>
      </c>
      <c r="H1491" s="23">
        <v>31801.34</v>
      </c>
    </row>
    <row r="1492" spans="1:8" x14ac:dyDescent="0.35">
      <c r="A1492">
        <v>2009</v>
      </c>
      <c r="B1492" t="s">
        <v>272</v>
      </c>
      <c r="C1492" t="s">
        <v>154</v>
      </c>
      <c r="D1492" t="s">
        <v>160</v>
      </c>
      <c r="E1492" s="23">
        <v>876253.74</v>
      </c>
      <c r="F1492" s="23">
        <v>2526910.41</v>
      </c>
      <c r="G1492" s="23">
        <v>108511.71</v>
      </c>
      <c r="H1492" s="23">
        <v>948321.95</v>
      </c>
    </row>
    <row r="1493" spans="1:8" x14ac:dyDescent="0.35">
      <c r="A1493">
        <v>2009</v>
      </c>
      <c r="B1493" t="s">
        <v>273</v>
      </c>
      <c r="C1493" t="s">
        <v>154</v>
      </c>
      <c r="D1493" t="s">
        <v>155</v>
      </c>
      <c r="E1493" s="23">
        <v>1539814.76</v>
      </c>
      <c r="F1493" s="23">
        <v>3033714.91</v>
      </c>
      <c r="G1493" s="23">
        <v>478958.32</v>
      </c>
      <c r="H1493" s="23">
        <v>2196795.23</v>
      </c>
    </row>
    <row r="1494" spans="1:8" x14ac:dyDescent="0.35">
      <c r="A1494">
        <v>2009</v>
      </c>
      <c r="B1494" t="s">
        <v>275</v>
      </c>
      <c r="C1494" t="s">
        <v>154</v>
      </c>
      <c r="D1494" t="s">
        <v>160</v>
      </c>
      <c r="E1494" s="23">
        <v>0</v>
      </c>
      <c r="F1494" s="23">
        <v>0</v>
      </c>
      <c r="G1494" s="23">
        <v>20217.02</v>
      </c>
      <c r="H1494" s="23">
        <v>566001.12</v>
      </c>
    </row>
    <row r="1495" spans="1:8" x14ac:dyDescent="0.35">
      <c r="A1495">
        <v>2009</v>
      </c>
      <c r="B1495" t="s">
        <v>278</v>
      </c>
      <c r="C1495" t="s">
        <v>154</v>
      </c>
      <c r="D1495" t="s">
        <v>155</v>
      </c>
      <c r="E1495" s="23">
        <v>93134.97</v>
      </c>
      <c r="F1495" s="23">
        <v>119200.95</v>
      </c>
      <c r="G1495" s="23">
        <v>-21883.5</v>
      </c>
      <c r="H1495" s="23">
        <v>27864.79</v>
      </c>
    </row>
    <row r="1496" spans="1:8" x14ac:dyDescent="0.35">
      <c r="A1496">
        <v>2009</v>
      </c>
      <c r="B1496" t="s">
        <v>279</v>
      </c>
      <c r="C1496" t="s">
        <v>154</v>
      </c>
      <c r="D1496" t="s">
        <v>155</v>
      </c>
      <c r="E1496" s="23">
        <v>1455830.64</v>
      </c>
      <c r="F1496" s="23">
        <v>2638642.44</v>
      </c>
      <c r="G1496" s="23">
        <v>342332.79</v>
      </c>
      <c r="H1496" s="23">
        <v>844270.54</v>
      </c>
    </row>
    <row r="1497" spans="1:8" x14ac:dyDescent="0.35">
      <c r="A1497">
        <v>2009</v>
      </c>
      <c r="B1497" t="s">
        <v>280</v>
      </c>
      <c r="C1497" t="s">
        <v>154</v>
      </c>
      <c r="D1497" t="s">
        <v>160</v>
      </c>
      <c r="E1497" s="23">
        <v>488888.52</v>
      </c>
      <c r="F1497" s="23">
        <v>617297.5</v>
      </c>
      <c r="G1497" s="23">
        <v>11794.52</v>
      </c>
      <c r="H1497" s="23">
        <v>0</v>
      </c>
    </row>
    <row r="1498" spans="1:8" x14ac:dyDescent="0.35">
      <c r="A1498">
        <v>2009</v>
      </c>
      <c r="B1498" t="s">
        <v>282</v>
      </c>
      <c r="C1498" t="s">
        <v>154</v>
      </c>
      <c r="D1498" t="s">
        <v>160</v>
      </c>
      <c r="E1498" s="23">
        <v>1821578.39</v>
      </c>
      <c r="F1498" s="23">
        <v>4483510.9000000004</v>
      </c>
      <c r="G1498" s="23">
        <v>441854.43</v>
      </c>
      <c r="H1498" s="23">
        <v>2100276.3199999998</v>
      </c>
    </row>
    <row r="1499" spans="1:8" x14ac:dyDescent="0.35">
      <c r="A1499">
        <v>2009</v>
      </c>
      <c r="B1499" t="s">
        <v>285</v>
      </c>
      <c r="C1499" t="s">
        <v>154</v>
      </c>
      <c r="D1499" t="s">
        <v>155</v>
      </c>
      <c r="E1499" s="23">
        <v>4026981.31</v>
      </c>
      <c r="F1499" s="23">
        <v>2802171.55</v>
      </c>
      <c r="G1499" s="23">
        <v>1625346.76</v>
      </c>
      <c r="H1499" s="23">
        <v>183914.62</v>
      </c>
    </row>
    <row r="1500" spans="1:8" x14ac:dyDescent="0.35">
      <c r="A1500">
        <v>2009</v>
      </c>
      <c r="B1500" t="s">
        <v>287</v>
      </c>
      <c r="C1500" t="s">
        <v>154</v>
      </c>
      <c r="D1500" t="s">
        <v>158</v>
      </c>
      <c r="E1500" s="23">
        <v>419991.09</v>
      </c>
      <c r="F1500" s="23">
        <v>1179432.67</v>
      </c>
      <c r="G1500" s="23">
        <v>23699</v>
      </c>
      <c r="H1500" s="23">
        <v>0</v>
      </c>
    </row>
    <row r="1501" spans="1:8" x14ac:dyDescent="0.35">
      <c r="A1501">
        <v>2009</v>
      </c>
      <c r="B1501" t="s">
        <v>291</v>
      </c>
      <c r="C1501" t="s">
        <v>154</v>
      </c>
      <c r="D1501" t="s">
        <v>158</v>
      </c>
      <c r="E1501" s="23">
        <v>550382.18000000005</v>
      </c>
      <c r="F1501" s="23">
        <v>2075591.65</v>
      </c>
      <c r="G1501" s="23">
        <v>116738.53</v>
      </c>
      <c r="H1501" s="23">
        <v>1544036.15</v>
      </c>
    </row>
    <row r="1502" spans="1:8" x14ac:dyDescent="0.35">
      <c r="A1502">
        <v>2009</v>
      </c>
      <c r="B1502" t="s">
        <v>296</v>
      </c>
      <c r="C1502" t="s">
        <v>154</v>
      </c>
      <c r="D1502" t="s">
        <v>155</v>
      </c>
      <c r="E1502" s="23">
        <v>880747.42</v>
      </c>
      <c r="F1502" s="23">
        <v>1139639.6200000001</v>
      </c>
      <c r="G1502" s="23">
        <v>122605.24</v>
      </c>
      <c r="H1502" s="23">
        <v>1139639.6200000001</v>
      </c>
    </row>
    <row r="1503" spans="1:8" x14ac:dyDescent="0.35">
      <c r="A1503">
        <v>2009</v>
      </c>
      <c r="B1503" t="s">
        <v>293</v>
      </c>
      <c r="C1503" t="s">
        <v>154</v>
      </c>
      <c r="D1503" t="s">
        <v>158</v>
      </c>
      <c r="E1503" s="23">
        <v>33122.74</v>
      </c>
      <c r="F1503" s="23">
        <v>19276.32</v>
      </c>
      <c r="G1503" s="23">
        <v>17313.330000000002</v>
      </c>
      <c r="H1503" s="23">
        <v>0</v>
      </c>
    </row>
    <row r="1504" spans="1:8" x14ac:dyDescent="0.35">
      <c r="A1504">
        <v>2009</v>
      </c>
      <c r="B1504" t="s">
        <v>295</v>
      </c>
      <c r="C1504" t="s">
        <v>154</v>
      </c>
      <c r="D1504" t="s">
        <v>158</v>
      </c>
      <c r="E1504" s="23">
        <v>10009285.42</v>
      </c>
      <c r="F1504" s="23">
        <v>14392003.43</v>
      </c>
      <c r="G1504" s="23">
        <v>1914008.4</v>
      </c>
      <c r="H1504" s="23">
        <v>2313938.1</v>
      </c>
    </row>
    <row r="1505" spans="1:8" x14ac:dyDescent="0.35">
      <c r="A1505">
        <v>2008</v>
      </c>
      <c r="B1505" t="s">
        <v>153</v>
      </c>
      <c r="C1505" t="s">
        <v>154</v>
      </c>
      <c r="D1505" t="s">
        <v>155</v>
      </c>
      <c r="E1505" s="23">
        <v>2147775.61</v>
      </c>
      <c r="F1505" s="23">
        <v>1962227.57</v>
      </c>
      <c r="G1505" s="23">
        <v>354946</v>
      </c>
      <c r="H1505" s="23">
        <v>1605115.56</v>
      </c>
    </row>
    <row r="1506" spans="1:8" x14ac:dyDescent="0.35">
      <c r="A1506">
        <v>2008</v>
      </c>
      <c r="B1506" t="s">
        <v>164</v>
      </c>
      <c r="C1506" t="s">
        <v>154</v>
      </c>
      <c r="D1506" t="s">
        <v>165</v>
      </c>
      <c r="E1506" s="23">
        <v>3647734.33</v>
      </c>
      <c r="F1506" s="23">
        <v>852171.83</v>
      </c>
      <c r="G1506" s="23">
        <v>913735.03</v>
      </c>
      <c r="H1506" s="23">
        <v>99100.78</v>
      </c>
    </row>
    <row r="1507" spans="1:8" x14ac:dyDescent="0.35">
      <c r="A1507">
        <v>2008</v>
      </c>
      <c r="B1507" t="s">
        <v>167</v>
      </c>
      <c r="C1507" t="s">
        <v>154</v>
      </c>
      <c r="D1507" t="s">
        <v>155</v>
      </c>
      <c r="E1507" s="23">
        <v>1674460.44</v>
      </c>
      <c r="F1507" s="23">
        <v>5790638.7000000002</v>
      </c>
      <c r="G1507" s="23">
        <v>851990.52</v>
      </c>
      <c r="H1507" s="23">
        <v>5485195.0199999996</v>
      </c>
    </row>
    <row r="1508" spans="1:8" x14ac:dyDescent="0.35">
      <c r="A1508">
        <v>2008</v>
      </c>
      <c r="B1508" t="s">
        <v>168</v>
      </c>
      <c r="C1508" t="s">
        <v>154</v>
      </c>
      <c r="D1508" t="s">
        <v>158</v>
      </c>
      <c r="E1508" s="23">
        <v>1611469.43</v>
      </c>
      <c r="F1508" s="23">
        <v>3285507.45</v>
      </c>
      <c r="G1508" s="23">
        <v>176571.49</v>
      </c>
      <c r="H1508" s="23">
        <v>758653.14</v>
      </c>
    </row>
    <row r="1509" spans="1:8" x14ac:dyDescent="0.35">
      <c r="A1509">
        <v>2008</v>
      </c>
      <c r="B1509" t="s">
        <v>169</v>
      </c>
      <c r="C1509" t="s">
        <v>154</v>
      </c>
      <c r="D1509" t="s">
        <v>160</v>
      </c>
      <c r="E1509" s="23">
        <v>1023256.71</v>
      </c>
      <c r="F1509" s="23">
        <v>1614037.06</v>
      </c>
      <c r="G1509" s="23">
        <v>90636.23</v>
      </c>
      <c r="H1509" s="23">
        <v>1008447.2</v>
      </c>
    </row>
    <row r="1510" spans="1:8" x14ac:dyDescent="0.35">
      <c r="A1510">
        <v>2008</v>
      </c>
      <c r="B1510" t="s">
        <v>170</v>
      </c>
      <c r="C1510" t="s">
        <v>154</v>
      </c>
      <c r="D1510" t="s">
        <v>160</v>
      </c>
      <c r="E1510" s="23">
        <v>1879489.99</v>
      </c>
      <c r="F1510" s="23">
        <v>1317681.7</v>
      </c>
      <c r="G1510" s="23">
        <v>271304.18</v>
      </c>
      <c r="H1510" s="23">
        <v>28100.18</v>
      </c>
    </row>
    <row r="1511" spans="1:8" x14ac:dyDescent="0.35">
      <c r="A1511">
        <v>2008</v>
      </c>
      <c r="B1511" t="s">
        <v>299</v>
      </c>
      <c r="C1511" t="s">
        <v>154</v>
      </c>
      <c r="D1511" t="s">
        <v>158</v>
      </c>
      <c r="E1511" s="23">
        <v>0</v>
      </c>
      <c r="F1511" s="23">
        <v>0</v>
      </c>
      <c r="G1511" s="23">
        <v>11625</v>
      </c>
      <c r="H1511" s="23">
        <v>0</v>
      </c>
    </row>
    <row r="1512" spans="1:8" x14ac:dyDescent="0.35">
      <c r="A1512">
        <v>2008</v>
      </c>
      <c r="B1512" t="s">
        <v>174</v>
      </c>
      <c r="C1512" t="s">
        <v>154</v>
      </c>
      <c r="D1512" t="s">
        <v>160</v>
      </c>
      <c r="E1512" s="23">
        <v>4034855.72</v>
      </c>
      <c r="F1512" s="23">
        <v>9936889.3300000001</v>
      </c>
      <c r="G1512" s="23">
        <v>195274</v>
      </c>
      <c r="H1512" s="23">
        <v>0</v>
      </c>
    </row>
    <row r="1513" spans="1:8" x14ac:dyDescent="0.35">
      <c r="A1513">
        <v>2008</v>
      </c>
      <c r="B1513" t="s">
        <v>177</v>
      </c>
      <c r="C1513" t="s">
        <v>154</v>
      </c>
      <c r="D1513" t="s">
        <v>160</v>
      </c>
      <c r="E1513" s="23">
        <v>4696847.01</v>
      </c>
      <c r="F1513" s="23">
        <v>6757835.2599999998</v>
      </c>
      <c r="G1513" s="23">
        <v>32686.17</v>
      </c>
      <c r="H1513" s="23">
        <v>384419.4</v>
      </c>
    </row>
    <row r="1514" spans="1:8" x14ac:dyDescent="0.35">
      <c r="A1514">
        <v>2008</v>
      </c>
      <c r="B1514" t="s">
        <v>178</v>
      </c>
      <c r="C1514" t="s">
        <v>154</v>
      </c>
      <c r="D1514" t="s">
        <v>155</v>
      </c>
      <c r="E1514" s="23">
        <v>412384.55</v>
      </c>
      <c r="F1514" s="23">
        <v>2185924</v>
      </c>
      <c r="G1514" s="23">
        <v>76792.69</v>
      </c>
      <c r="H1514" s="23">
        <v>1451495.78</v>
      </c>
    </row>
    <row r="1515" spans="1:8" x14ac:dyDescent="0.35">
      <c r="A1515">
        <v>2008</v>
      </c>
      <c r="B1515" t="s">
        <v>180</v>
      </c>
      <c r="C1515" t="s">
        <v>154</v>
      </c>
      <c r="D1515" t="s">
        <v>160</v>
      </c>
      <c r="E1515" s="23">
        <v>574792.81000000006</v>
      </c>
      <c r="F1515" s="23">
        <v>328223.34999999998</v>
      </c>
      <c r="G1515" s="23">
        <v>30895.25</v>
      </c>
      <c r="H1515" s="23">
        <v>65532.75</v>
      </c>
    </row>
    <row r="1516" spans="1:8" x14ac:dyDescent="0.35">
      <c r="A1516">
        <v>2008</v>
      </c>
      <c r="B1516" t="s">
        <v>181</v>
      </c>
      <c r="C1516" t="s">
        <v>154</v>
      </c>
      <c r="D1516" t="s">
        <v>155</v>
      </c>
      <c r="E1516" s="23">
        <v>2867877</v>
      </c>
      <c r="F1516" s="23">
        <v>2188763.6</v>
      </c>
      <c r="G1516" s="23">
        <v>899202.36</v>
      </c>
      <c r="H1516" s="23">
        <v>793599.5</v>
      </c>
    </row>
    <row r="1517" spans="1:8" x14ac:dyDescent="0.35">
      <c r="A1517">
        <v>2008</v>
      </c>
      <c r="B1517" t="s">
        <v>182</v>
      </c>
      <c r="C1517" t="s">
        <v>154</v>
      </c>
      <c r="D1517" t="s">
        <v>158</v>
      </c>
      <c r="E1517" s="23">
        <v>0</v>
      </c>
      <c r="F1517" s="23">
        <v>0</v>
      </c>
      <c r="G1517" s="23">
        <v>0</v>
      </c>
      <c r="H1517" s="23">
        <v>0</v>
      </c>
    </row>
    <row r="1518" spans="1:8" x14ac:dyDescent="0.35">
      <c r="A1518">
        <v>2008</v>
      </c>
      <c r="B1518" t="s">
        <v>184</v>
      </c>
      <c r="C1518" t="s">
        <v>154</v>
      </c>
      <c r="D1518" t="s">
        <v>155</v>
      </c>
      <c r="E1518" s="23">
        <v>3244026.48</v>
      </c>
      <c r="F1518" s="23">
        <v>3567308.15</v>
      </c>
      <c r="G1518" s="23">
        <v>997421.25</v>
      </c>
      <c r="H1518" s="23">
        <v>269861.5</v>
      </c>
    </row>
    <row r="1519" spans="1:8" x14ac:dyDescent="0.35">
      <c r="A1519">
        <v>2008</v>
      </c>
      <c r="B1519" t="s">
        <v>186</v>
      </c>
      <c r="C1519" t="s">
        <v>154</v>
      </c>
      <c r="D1519" t="s">
        <v>158</v>
      </c>
      <c r="E1519" s="23">
        <v>3454815.61</v>
      </c>
      <c r="F1519" s="23">
        <v>3943574.14</v>
      </c>
      <c r="G1519" s="23">
        <v>498707.18</v>
      </c>
      <c r="H1519" s="23">
        <v>1683487.35</v>
      </c>
    </row>
    <row r="1520" spans="1:8" x14ac:dyDescent="0.35">
      <c r="A1520">
        <v>2008</v>
      </c>
      <c r="B1520" t="s">
        <v>188</v>
      </c>
      <c r="C1520" t="s">
        <v>154</v>
      </c>
      <c r="D1520" t="s">
        <v>155</v>
      </c>
      <c r="E1520" s="23">
        <v>1147319.18</v>
      </c>
      <c r="F1520" s="23">
        <v>5385325.6100000003</v>
      </c>
      <c r="G1520" s="23">
        <v>0</v>
      </c>
      <c r="H1520" s="23">
        <v>0</v>
      </c>
    </row>
    <row r="1521" spans="1:8" x14ac:dyDescent="0.35">
      <c r="A1521">
        <v>2008</v>
      </c>
      <c r="B1521" t="s">
        <v>189</v>
      </c>
      <c r="C1521" t="s">
        <v>154</v>
      </c>
      <c r="D1521" t="s">
        <v>158</v>
      </c>
      <c r="E1521" s="23">
        <v>1882872.22</v>
      </c>
      <c r="F1521" s="23">
        <v>4066472.05</v>
      </c>
      <c r="G1521" s="23">
        <v>0</v>
      </c>
      <c r="H1521" s="23">
        <v>84036.75</v>
      </c>
    </row>
    <row r="1522" spans="1:8" x14ac:dyDescent="0.35">
      <c r="A1522">
        <v>2008</v>
      </c>
      <c r="B1522" t="s">
        <v>190</v>
      </c>
      <c r="C1522" t="s">
        <v>154</v>
      </c>
      <c r="D1522" t="s">
        <v>155</v>
      </c>
      <c r="E1522" s="23">
        <v>113014.64</v>
      </c>
      <c r="F1522" s="23">
        <v>209451.41</v>
      </c>
      <c r="G1522" s="23">
        <v>12610.95</v>
      </c>
      <c r="H1522" s="23">
        <v>63066.06</v>
      </c>
    </row>
    <row r="1523" spans="1:8" x14ac:dyDescent="0.35">
      <c r="A1523">
        <v>2008</v>
      </c>
      <c r="B1523" t="s">
        <v>300</v>
      </c>
      <c r="C1523" t="s">
        <v>154</v>
      </c>
      <c r="D1523" t="s">
        <v>158</v>
      </c>
      <c r="E1523" s="23">
        <v>4500</v>
      </c>
      <c r="F1523" s="23">
        <v>0</v>
      </c>
      <c r="G1523" s="23">
        <v>0</v>
      </c>
      <c r="H1523" s="23">
        <v>0</v>
      </c>
    </row>
    <row r="1524" spans="1:8" x14ac:dyDescent="0.35">
      <c r="A1524">
        <v>2008</v>
      </c>
      <c r="B1524" t="s">
        <v>192</v>
      </c>
      <c r="C1524" t="s">
        <v>154</v>
      </c>
      <c r="D1524" t="s">
        <v>160</v>
      </c>
      <c r="E1524" s="23">
        <v>848886.2</v>
      </c>
      <c r="F1524" s="23">
        <v>2582279.38</v>
      </c>
      <c r="G1524" s="23">
        <v>481910.74</v>
      </c>
      <c r="H1524" s="23">
        <v>1279148.45</v>
      </c>
    </row>
    <row r="1525" spans="1:8" x14ac:dyDescent="0.35">
      <c r="A1525">
        <v>2008</v>
      </c>
      <c r="B1525" t="s">
        <v>197</v>
      </c>
      <c r="C1525" t="s">
        <v>154</v>
      </c>
      <c r="D1525" t="s">
        <v>160</v>
      </c>
      <c r="E1525" s="23">
        <v>203848.15</v>
      </c>
      <c r="F1525" s="23">
        <v>434321.28</v>
      </c>
      <c r="G1525" s="23">
        <v>59786</v>
      </c>
      <c r="H1525" s="23">
        <v>282295.7</v>
      </c>
    </row>
    <row r="1526" spans="1:8" x14ac:dyDescent="0.35">
      <c r="A1526">
        <v>2008</v>
      </c>
      <c r="B1526" t="s">
        <v>198</v>
      </c>
      <c r="C1526" t="s">
        <v>154</v>
      </c>
      <c r="D1526" t="s">
        <v>160</v>
      </c>
      <c r="E1526" s="23">
        <v>10311980.65</v>
      </c>
      <c r="F1526" s="23">
        <v>18846527.899999999</v>
      </c>
      <c r="G1526" s="23">
        <v>240459.24</v>
      </c>
      <c r="H1526" s="23">
        <v>1200639.05</v>
      </c>
    </row>
    <row r="1527" spans="1:8" x14ac:dyDescent="0.35">
      <c r="A1527">
        <v>2008</v>
      </c>
      <c r="B1527" t="s">
        <v>199</v>
      </c>
      <c r="C1527" t="s">
        <v>154</v>
      </c>
      <c r="D1527" t="s">
        <v>160</v>
      </c>
      <c r="E1527" s="23">
        <v>2001834.43</v>
      </c>
      <c r="F1527" s="23">
        <v>3200274.98</v>
      </c>
      <c r="G1527" s="23">
        <v>313143.38</v>
      </c>
      <c r="H1527" s="23">
        <v>137157.59</v>
      </c>
    </row>
    <row r="1528" spans="1:8" x14ac:dyDescent="0.35">
      <c r="A1528">
        <v>2008</v>
      </c>
      <c r="B1528" t="s">
        <v>201</v>
      </c>
      <c r="C1528" t="s">
        <v>154</v>
      </c>
      <c r="D1528" t="s">
        <v>160</v>
      </c>
      <c r="E1528" s="23">
        <v>0</v>
      </c>
      <c r="F1528" s="23">
        <v>0</v>
      </c>
      <c r="G1528" s="23">
        <v>131103.12</v>
      </c>
      <c r="H1528" s="23">
        <v>82914.67</v>
      </c>
    </row>
    <row r="1529" spans="1:8" x14ac:dyDescent="0.35">
      <c r="A1529">
        <v>2008</v>
      </c>
      <c r="B1529" t="s">
        <v>202</v>
      </c>
      <c r="C1529" t="s">
        <v>154</v>
      </c>
      <c r="D1529" t="s">
        <v>155</v>
      </c>
      <c r="E1529" s="23">
        <v>2249035.96</v>
      </c>
      <c r="F1529" s="23">
        <v>2159355.9900000002</v>
      </c>
      <c r="G1529" s="23">
        <v>409390.11</v>
      </c>
      <c r="H1529" s="23">
        <v>849609.33</v>
      </c>
    </row>
    <row r="1530" spans="1:8" x14ac:dyDescent="0.35">
      <c r="A1530">
        <v>2008</v>
      </c>
      <c r="B1530" t="s">
        <v>203</v>
      </c>
      <c r="C1530" t="s">
        <v>154</v>
      </c>
      <c r="D1530" t="s">
        <v>160</v>
      </c>
      <c r="E1530" s="23">
        <v>2272964.2799999998</v>
      </c>
      <c r="F1530" s="23">
        <v>2360498.58</v>
      </c>
      <c r="G1530" s="23">
        <v>32428.79</v>
      </c>
      <c r="H1530" s="23">
        <v>0</v>
      </c>
    </row>
    <row r="1531" spans="1:8" x14ac:dyDescent="0.35">
      <c r="A1531">
        <v>2008</v>
      </c>
      <c r="B1531" t="s">
        <v>204</v>
      </c>
      <c r="C1531" t="s">
        <v>154</v>
      </c>
      <c r="D1531" t="s">
        <v>158</v>
      </c>
      <c r="E1531" s="23">
        <v>1728742.22</v>
      </c>
      <c r="F1531" s="23">
        <v>12945771.75</v>
      </c>
      <c r="G1531" s="23">
        <v>743007.44</v>
      </c>
      <c r="H1531" s="23">
        <v>11307859.189999999</v>
      </c>
    </row>
    <row r="1532" spans="1:8" x14ac:dyDescent="0.35">
      <c r="A1532">
        <v>2008</v>
      </c>
      <c r="B1532" t="s">
        <v>205</v>
      </c>
      <c r="C1532" t="s">
        <v>154</v>
      </c>
      <c r="D1532" t="s">
        <v>160</v>
      </c>
      <c r="E1532" s="23">
        <v>233485.55</v>
      </c>
      <c r="F1532" s="23">
        <v>162639.72</v>
      </c>
      <c r="G1532" s="23">
        <v>86018.83</v>
      </c>
      <c r="H1532" s="23">
        <v>89961.14</v>
      </c>
    </row>
    <row r="1533" spans="1:8" x14ac:dyDescent="0.35">
      <c r="A1533">
        <v>2008</v>
      </c>
      <c r="B1533" t="s">
        <v>206</v>
      </c>
      <c r="C1533" t="s">
        <v>154</v>
      </c>
      <c r="D1533" t="s">
        <v>158</v>
      </c>
      <c r="E1533" s="23">
        <v>652539.67000000004</v>
      </c>
      <c r="F1533" s="23">
        <v>600959.15</v>
      </c>
      <c r="G1533" s="23">
        <v>117721.06</v>
      </c>
      <c r="H1533" s="23">
        <v>42259.75</v>
      </c>
    </row>
    <row r="1534" spans="1:8" x14ac:dyDescent="0.35">
      <c r="A1534">
        <v>2008</v>
      </c>
      <c r="B1534" t="s">
        <v>209</v>
      </c>
      <c r="C1534" t="s">
        <v>154</v>
      </c>
      <c r="D1534" t="s">
        <v>158</v>
      </c>
      <c r="E1534" s="23">
        <v>3208748.92</v>
      </c>
      <c r="F1534" s="23">
        <v>1233801.01</v>
      </c>
      <c r="G1534" s="23">
        <v>276641.75</v>
      </c>
      <c r="H1534" s="23">
        <v>165628.01</v>
      </c>
    </row>
    <row r="1535" spans="1:8" x14ac:dyDescent="0.35">
      <c r="A1535">
        <v>2008</v>
      </c>
      <c r="B1535" t="s">
        <v>210</v>
      </c>
      <c r="C1535" t="s">
        <v>154</v>
      </c>
      <c r="D1535" t="s">
        <v>158</v>
      </c>
      <c r="E1535" s="23">
        <v>772560.44</v>
      </c>
      <c r="F1535" s="23">
        <v>154721.19</v>
      </c>
      <c r="G1535" s="23">
        <v>186610.36</v>
      </c>
      <c r="H1535" s="23">
        <v>42058.06</v>
      </c>
    </row>
    <row r="1536" spans="1:8" x14ac:dyDescent="0.35">
      <c r="A1536">
        <v>2008</v>
      </c>
      <c r="B1536" t="s">
        <v>215</v>
      </c>
      <c r="C1536" t="s">
        <v>154</v>
      </c>
      <c r="D1536" t="s">
        <v>160</v>
      </c>
      <c r="E1536" s="23">
        <v>0</v>
      </c>
      <c r="F1536" s="23">
        <v>0</v>
      </c>
      <c r="G1536" s="23">
        <v>85359.62</v>
      </c>
      <c r="H1536" s="23">
        <v>16028.51</v>
      </c>
    </row>
    <row r="1537" spans="1:8" x14ac:dyDescent="0.35">
      <c r="A1537">
        <v>2008</v>
      </c>
      <c r="B1537" t="s">
        <v>220</v>
      </c>
      <c r="C1537" t="s">
        <v>154</v>
      </c>
      <c r="D1537" t="s">
        <v>158</v>
      </c>
      <c r="E1537" s="23">
        <v>32050</v>
      </c>
      <c r="F1537" s="23">
        <v>0</v>
      </c>
      <c r="G1537" s="23">
        <v>0</v>
      </c>
      <c r="H1537" s="23">
        <v>0</v>
      </c>
    </row>
    <row r="1538" spans="1:8" x14ac:dyDescent="0.35">
      <c r="A1538">
        <v>2008</v>
      </c>
      <c r="B1538" t="s">
        <v>221</v>
      </c>
      <c r="C1538" t="s">
        <v>154</v>
      </c>
      <c r="D1538" t="s">
        <v>165</v>
      </c>
      <c r="E1538" s="23">
        <v>1345199.77</v>
      </c>
      <c r="F1538" s="23">
        <v>2064072.45</v>
      </c>
      <c r="G1538" s="23">
        <v>338913.51</v>
      </c>
      <c r="H1538" s="23">
        <v>902289.04</v>
      </c>
    </row>
    <row r="1539" spans="1:8" x14ac:dyDescent="0.35">
      <c r="A1539">
        <v>2008</v>
      </c>
      <c r="B1539" t="s">
        <v>223</v>
      </c>
      <c r="C1539" t="s">
        <v>163</v>
      </c>
      <c r="D1539" t="s">
        <v>160</v>
      </c>
      <c r="E1539" s="23">
        <v>1395954.0663999999</v>
      </c>
      <c r="F1539" s="23">
        <v>5131133.5259999996</v>
      </c>
      <c r="G1539" s="23">
        <v>915668.72640000004</v>
      </c>
      <c r="H1539" s="23">
        <v>4588405.3159999996</v>
      </c>
    </row>
    <row r="1540" spans="1:8" x14ac:dyDescent="0.35">
      <c r="A1540">
        <v>2008</v>
      </c>
      <c r="B1540" t="s">
        <v>224</v>
      </c>
      <c r="C1540" t="s">
        <v>154</v>
      </c>
      <c r="D1540" t="s">
        <v>158</v>
      </c>
      <c r="E1540" s="23">
        <v>607636.51</v>
      </c>
      <c r="F1540" s="23">
        <v>1557896.38</v>
      </c>
      <c r="G1540" s="23">
        <v>52000</v>
      </c>
      <c r="H1540" s="23">
        <v>0</v>
      </c>
    </row>
    <row r="1541" spans="1:8" x14ac:dyDescent="0.35">
      <c r="A1541">
        <v>2008</v>
      </c>
      <c r="B1541" t="s">
        <v>225</v>
      </c>
      <c r="C1541" t="s">
        <v>154</v>
      </c>
      <c r="D1541" t="s">
        <v>160</v>
      </c>
      <c r="E1541" s="23">
        <v>0</v>
      </c>
      <c r="F1541" s="23">
        <v>0</v>
      </c>
      <c r="G1541" s="23">
        <v>97532.2</v>
      </c>
      <c r="H1541" s="23">
        <v>84813.68</v>
      </c>
    </row>
    <row r="1542" spans="1:8" x14ac:dyDescent="0.35">
      <c r="A1542">
        <v>2008</v>
      </c>
      <c r="B1542" t="s">
        <v>226</v>
      </c>
      <c r="C1542" t="s">
        <v>154</v>
      </c>
      <c r="D1542" t="s">
        <v>155</v>
      </c>
      <c r="E1542" s="23">
        <v>0</v>
      </c>
      <c r="F1542" s="23">
        <v>0</v>
      </c>
      <c r="G1542" s="23">
        <v>129821.67</v>
      </c>
      <c r="H1542" s="23">
        <v>1377160.79</v>
      </c>
    </row>
    <row r="1543" spans="1:8" x14ac:dyDescent="0.35">
      <c r="A1543">
        <v>2008</v>
      </c>
      <c r="B1543" t="s">
        <v>227</v>
      </c>
      <c r="C1543" t="s">
        <v>154</v>
      </c>
      <c r="D1543" t="s">
        <v>158</v>
      </c>
      <c r="E1543" s="23">
        <v>0</v>
      </c>
      <c r="F1543" s="23">
        <v>0</v>
      </c>
      <c r="G1543" s="23">
        <v>223712.5</v>
      </c>
      <c r="H1543" s="23">
        <v>594293.36</v>
      </c>
    </row>
    <row r="1544" spans="1:8" x14ac:dyDescent="0.35">
      <c r="A1544">
        <v>2008</v>
      </c>
      <c r="B1544" t="s">
        <v>232</v>
      </c>
      <c r="C1544" t="s">
        <v>154</v>
      </c>
      <c r="D1544" t="s">
        <v>165</v>
      </c>
      <c r="E1544" s="23">
        <v>1004817.07</v>
      </c>
      <c r="F1544" s="23">
        <v>1401759.78</v>
      </c>
      <c r="G1544" s="23">
        <v>772108.66</v>
      </c>
      <c r="H1544" s="23">
        <v>1398604.17</v>
      </c>
    </row>
    <row r="1545" spans="1:8" x14ac:dyDescent="0.35">
      <c r="A1545">
        <v>2008</v>
      </c>
      <c r="B1545" t="s">
        <v>233</v>
      </c>
      <c r="C1545" t="s">
        <v>154</v>
      </c>
      <c r="D1545" t="s">
        <v>155</v>
      </c>
      <c r="E1545" s="23">
        <v>993650.21</v>
      </c>
      <c r="F1545" s="23">
        <v>468907.63</v>
      </c>
      <c r="G1545" s="23">
        <v>174132.61</v>
      </c>
      <c r="H1545" s="23">
        <v>254367.34</v>
      </c>
    </row>
    <row r="1546" spans="1:8" x14ac:dyDescent="0.35">
      <c r="A1546">
        <v>2008</v>
      </c>
      <c r="B1546" t="s">
        <v>234</v>
      </c>
      <c r="C1546" t="s">
        <v>154</v>
      </c>
      <c r="D1546" t="s">
        <v>160</v>
      </c>
      <c r="E1546" s="23">
        <v>5971181.5855999999</v>
      </c>
      <c r="F1546" s="23">
        <v>32530238.262800001</v>
      </c>
      <c r="G1546" s="23">
        <v>2927848.9656000002</v>
      </c>
      <c r="H1546" s="23">
        <v>13980901.5528</v>
      </c>
    </row>
    <row r="1547" spans="1:8" x14ac:dyDescent="0.35">
      <c r="A1547">
        <v>2008</v>
      </c>
      <c r="B1547" t="s">
        <v>235</v>
      </c>
      <c r="C1547" t="s">
        <v>154</v>
      </c>
      <c r="D1547" t="s">
        <v>160</v>
      </c>
      <c r="E1547" s="23">
        <v>224213.74</v>
      </c>
      <c r="F1547" s="23">
        <v>372327.02</v>
      </c>
      <c r="G1547" s="23">
        <v>214630.74</v>
      </c>
      <c r="H1547" s="23">
        <v>370378.91</v>
      </c>
    </row>
    <row r="1548" spans="1:8" x14ac:dyDescent="0.35">
      <c r="A1548">
        <v>2008</v>
      </c>
      <c r="B1548" t="s">
        <v>236</v>
      </c>
      <c r="C1548" t="s">
        <v>154</v>
      </c>
      <c r="D1548" t="s">
        <v>160</v>
      </c>
      <c r="E1548" s="23">
        <v>526782.86</v>
      </c>
      <c r="F1548" s="23">
        <v>3024884.16</v>
      </c>
      <c r="G1548" s="23">
        <v>13818.7</v>
      </c>
      <c r="H1548" s="23">
        <v>87546.8</v>
      </c>
    </row>
    <row r="1549" spans="1:8" x14ac:dyDescent="0.35">
      <c r="A1549">
        <v>2008</v>
      </c>
      <c r="B1549" t="s">
        <v>238</v>
      </c>
      <c r="C1549" t="s">
        <v>154</v>
      </c>
      <c r="D1549" t="s">
        <v>155</v>
      </c>
      <c r="E1549" s="23">
        <v>0</v>
      </c>
      <c r="F1549" s="23">
        <v>0</v>
      </c>
      <c r="G1549" s="23">
        <v>36559.08</v>
      </c>
      <c r="H1549" s="23">
        <v>115634.97</v>
      </c>
    </row>
    <row r="1550" spans="1:8" x14ac:dyDescent="0.35">
      <c r="A1550">
        <v>2008</v>
      </c>
      <c r="B1550" t="s">
        <v>239</v>
      </c>
      <c r="C1550" t="s">
        <v>154</v>
      </c>
      <c r="D1550" t="s">
        <v>158</v>
      </c>
      <c r="E1550" s="23">
        <v>616746.78</v>
      </c>
      <c r="F1550" s="23">
        <v>1160348.79</v>
      </c>
      <c r="G1550" s="23">
        <v>156159.39000000001</v>
      </c>
      <c r="H1550" s="23">
        <v>769054.55</v>
      </c>
    </row>
    <row r="1551" spans="1:8" x14ac:dyDescent="0.35">
      <c r="A1551">
        <v>2008</v>
      </c>
      <c r="B1551" t="s">
        <v>243</v>
      </c>
      <c r="C1551" t="s">
        <v>154</v>
      </c>
      <c r="D1551" t="s">
        <v>165</v>
      </c>
      <c r="E1551" s="23">
        <v>9864616.6999999993</v>
      </c>
      <c r="F1551" s="23">
        <v>20875037.57</v>
      </c>
      <c r="G1551" s="23">
        <v>6861155.6399999997</v>
      </c>
      <c r="H1551" s="23">
        <v>12248792.82</v>
      </c>
    </row>
    <row r="1552" spans="1:8" x14ac:dyDescent="0.35">
      <c r="A1552">
        <v>2008</v>
      </c>
      <c r="B1552" t="s">
        <v>247</v>
      </c>
      <c r="C1552" t="s">
        <v>154</v>
      </c>
      <c r="D1552" t="s">
        <v>160</v>
      </c>
      <c r="E1552" s="23">
        <v>33407386.34</v>
      </c>
      <c r="F1552" s="23">
        <v>93574265.599999994</v>
      </c>
      <c r="G1552" s="23">
        <v>23937910.800000001</v>
      </c>
      <c r="H1552" s="23">
        <v>41091943.450000003</v>
      </c>
    </row>
    <row r="1553" spans="1:8" x14ac:dyDescent="0.35">
      <c r="A1553">
        <v>2008</v>
      </c>
      <c r="B1553" t="s">
        <v>249</v>
      </c>
      <c r="C1553" t="s">
        <v>154</v>
      </c>
      <c r="D1553" t="s">
        <v>160</v>
      </c>
      <c r="E1553" s="23">
        <v>11671648.42</v>
      </c>
      <c r="F1553" s="23">
        <v>22451572.09</v>
      </c>
      <c r="G1553" s="23">
        <v>548950.04</v>
      </c>
      <c r="H1553" s="23">
        <v>3736444.34</v>
      </c>
    </row>
    <row r="1554" spans="1:8" x14ac:dyDescent="0.35">
      <c r="A1554">
        <v>2008</v>
      </c>
      <c r="B1554" t="s">
        <v>252</v>
      </c>
      <c r="C1554" t="s">
        <v>154</v>
      </c>
      <c r="D1554" t="s">
        <v>160</v>
      </c>
      <c r="E1554" s="23">
        <v>0</v>
      </c>
      <c r="F1554" s="23">
        <v>0</v>
      </c>
      <c r="G1554" s="23">
        <v>516112.81</v>
      </c>
      <c r="H1554" s="23">
        <v>622815.93000000005</v>
      </c>
    </row>
    <row r="1555" spans="1:8" x14ac:dyDescent="0.35">
      <c r="A1555">
        <v>2008</v>
      </c>
      <c r="B1555" t="s">
        <v>253</v>
      </c>
      <c r="C1555" t="s">
        <v>154</v>
      </c>
      <c r="D1555" t="s">
        <v>160</v>
      </c>
      <c r="E1555" s="23">
        <v>0</v>
      </c>
      <c r="F1555" s="23">
        <v>0</v>
      </c>
      <c r="G1555" s="23">
        <v>124313.77</v>
      </c>
      <c r="H1555" s="23">
        <v>345189.35</v>
      </c>
    </row>
    <row r="1556" spans="1:8" x14ac:dyDescent="0.35">
      <c r="A1556">
        <v>2008</v>
      </c>
      <c r="B1556" t="s">
        <v>257</v>
      </c>
      <c r="C1556" t="s">
        <v>154</v>
      </c>
      <c r="D1556" t="s">
        <v>160</v>
      </c>
      <c r="E1556" s="23">
        <v>797316.52</v>
      </c>
      <c r="F1556" s="23">
        <v>164483.92000000001</v>
      </c>
      <c r="G1556" s="23">
        <v>26911.52</v>
      </c>
      <c r="H1556" s="23">
        <v>164483.92000000001</v>
      </c>
    </row>
    <row r="1557" spans="1:8" x14ac:dyDescent="0.35">
      <c r="A1557">
        <v>2008</v>
      </c>
      <c r="B1557" t="s">
        <v>258</v>
      </c>
      <c r="C1557" t="s">
        <v>154</v>
      </c>
      <c r="D1557" t="s">
        <v>160</v>
      </c>
      <c r="E1557" s="23">
        <v>1167912.8899999999</v>
      </c>
      <c r="F1557" s="23">
        <v>72117.55</v>
      </c>
      <c r="G1557" s="23">
        <v>1146809.8899999999</v>
      </c>
      <c r="H1557" s="23">
        <v>72117.55</v>
      </c>
    </row>
    <row r="1558" spans="1:8" x14ac:dyDescent="0.35">
      <c r="A1558">
        <v>2008</v>
      </c>
      <c r="B1558" t="s">
        <v>261</v>
      </c>
      <c r="C1558" t="s">
        <v>154</v>
      </c>
      <c r="D1558" t="s">
        <v>158</v>
      </c>
      <c r="E1558" s="23">
        <v>675697.02</v>
      </c>
      <c r="F1558" s="23">
        <v>1272212.07</v>
      </c>
      <c r="G1558" s="23">
        <v>151818.71</v>
      </c>
      <c r="H1558" s="23">
        <v>103002.34</v>
      </c>
    </row>
    <row r="1559" spans="1:8" x14ac:dyDescent="0.35">
      <c r="A1559">
        <v>2008</v>
      </c>
      <c r="B1559" t="s">
        <v>262</v>
      </c>
      <c r="C1559" t="s">
        <v>154</v>
      </c>
      <c r="D1559" t="s">
        <v>155</v>
      </c>
      <c r="E1559" s="23">
        <v>201222.3</v>
      </c>
      <c r="F1559" s="23">
        <v>48932.82</v>
      </c>
      <c r="G1559" s="23">
        <v>189397.38</v>
      </c>
      <c r="H1559" s="23">
        <v>8526.07</v>
      </c>
    </row>
    <row r="1560" spans="1:8" x14ac:dyDescent="0.35">
      <c r="A1560">
        <v>2008</v>
      </c>
      <c r="B1560" t="s">
        <v>264</v>
      </c>
      <c r="C1560" t="s">
        <v>154</v>
      </c>
      <c r="D1560" t="s">
        <v>160</v>
      </c>
      <c r="E1560" s="23">
        <v>343237</v>
      </c>
      <c r="F1560" s="23">
        <v>453835</v>
      </c>
      <c r="G1560" s="23">
        <v>179975</v>
      </c>
      <c r="H1560" s="23">
        <v>124085</v>
      </c>
    </row>
    <row r="1561" spans="1:8" x14ac:dyDescent="0.35">
      <c r="A1561">
        <v>2008</v>
      </c>
      <c r="B1561" t="s">
        <v>266</v>
      </c>
      <c r="C1561" t="s">
        <v>154</v>
      </c>
      <c r="D1561" t="s">
        <v>158</v>
      </c>
      <c r="E1561" s="23">
        <v>364600.07</v>
      </c>
      <c r="F1561" s="23">
        <v>14527799.66</v>
      </c>
      <c r="G1561" s="23">
        <v>7220</v>
      </c>
      <c r="H1561" s="23">
        <v>0</v>
      </c>
    </row>
    <row r="1562" spans="1:8" x14ac:dyDescent="0.35">
      <c r="A1562">
        <v>2008</v>
      </c>
      <c r="B1562" t="s">
        <v>267</v>
      </c>
      <c r="C1562" t="s">
        <v>154</v>
      </c>
      <c r="D1562" t="s">
        <v>160</v>
      </c>
      <c r="E1562" s="23">
        <v>543066.12</v>
      </c>
      <c r="F1562" s="23">
        <v>105275.58</v>
      </c>
      <c r="G1562" s="23">
        <v>13898.33</v>
      </c>
      <c r="H1562" s="23">
        <v>8000</v>
      </c>
    </row>
    <row r="1563" spans="1:8" x14ac:dyDescent="0.35">
      <c r="A1563">
        <v>2008</v>
      </c>
      <c r="B1563" t="s">
        <v>298</v>
      </c>
      <c r="C1563" t="s">
        <v>154</v>
      </c>
      <c r="D1563" t="s">
        <v>160</v>
      </c>
      <c r="E1563" s="23">
        <v>41813.64</v>
      </c>
      <c r="F1563" s="23">
        <v>87347.7</v>
      </c>
      <c r="G1563" s="23">
        <v>18768.919999999998</v>
      </c>
      <c r="H1563" s="23">
        <v>87347.7</v>
      </c>
    </row>
    <row r="1564" spans="1:8" x14ac:dyDescent="0.35">
      <c r="A1564">
        <v>2008</v>
      </c>
      <c r="B1564" t="s">
        <v>268</v>
      </c>
      <c r="C1564" t="s">
        <v>154</v>
      </c>
      <c r="D1564" t="s">
        <v>160</v>
      </c>
      <c r="E1564" s="23">
        <v>0</v>
      </c>
      <c r="F1564" s="23">
        <v>0</v>
      </c>
      <c r="G1564" s="23">
        <v>33768.35</v>
      </c>
      <c r="H1564" s="23">
        <v>161585.65</v>
      </c>
    </row>
    <row r="1565" spans="1:8" x14ac:dyDescent="0.35">
      <c r="A1565">
        <v>2008</v>
      </c>
      <c r="B1565" t="s">
        <v>272</v>
      </c>
      <c r="C1565" t="s">
        <v>154</v>
      </c>
      <c r="D1565" t="s">
        <v>160</v>
      </c>
      <c r="E1565" s="23">
        <v>494498.58</v>
      </c>
      <c r="F1565" s="23">
        <v>1105575.95</v>
      </c>
      <c r="G1565" s="23">
        <v>171092.8</v>
      </c>
      <c r="H1565" s="23">
        <v>34173.699999999997</v>
      </c>
    </row>
    <row r="1566" spans="1:8" x14ac:dyDescent="0.35">
      <c r="A1566">
        <v>2008</v>
      </c>
      <c r="B1566" t="s">
        <v>273</v>
      </c>
      <c r="C1566" t="s">
        <v>154</v>
      </c>
      <c r="D1566" t="s">
        <v>155</v>
      </c>
      <c r="E1566" s="23">
        <v>53758712.479999997</v>
      </c>
      <c r="F1566" s="23">
        <v>9334883.5700000003</v>
      </c>
      <c r="G1566" s="23">
        <v>51746133.32</v>
      </c>
      <c r="H1566" s="23">
        <v>2771663.16</v>
      </c>
    </row>
    <row r="1567" spans="1:8" x14ac:dyDescent="0.35">
      <c r="A1567">
        <v>2008</v>
      </c>
      <c r="B1567" t="s">
        <v>275</v>
      </c>
      <c r="C1567" t="s">
        <v>154</v>
      </c>
      <c r="D1567" t="s">
        <v>160</v>
      </c>
      <c r="E1567" s="23">
        <v>0</v>
      </c>
      <c r="F1567" s="23">
        <v>0</v>
      </c>
      <c r="G1567" s="23">
        <v>16611.560000000001</v>
      </c>
      <c r="H1567" s="23">
        <v>175822.16</v>
      </c>
    </row>
    <row r="1568" spans="1:8" x14ac:dyDescent="0.35">
      <c r="A1568">
        <v>2008</v>
      </c>
      <c r="B1568" t="s">
        <v>278</v>
      </c>
      <c r="C1568" t="s">
        <v>154</v>
      </c>
      <c r="D1568" t="s">
        <v>155</v>
      </c>
      <c r="E1568" s="23">
        <v>377513.79</v>
      </c>
      <c r="F1568" s="23">
        <v>1878176.3</v>
      </c>
      <c r="G1568" s="23">
        <v>36137.17</v>
      </c>
      <c r="H1568" s="23">
        <v>1351676.3</v>
      </c>
    </row>
    <row r="1569" spans="1:8" x14ac:dyDescent="0.35">
      <c r="A1569">
        <v>2008</v>
      </c>
      <c r="B1569" t="s">
        <v>279</v>
      </c>
      <c r="C1569" t="s">
        <v>154</v>
      </c>
      <c r="D1569" t="s">
        <v>155</v>
      </c>
      <c r="E1569" s="23">
        <v>1695519.52</v>
      </c>
      <c r="F1569" s="23">
        <v>1193911.68</v>
      </c>
      <c r="G1569" s="23">
        <v>482844.12</v>
      </c>
      <c r="H1569" s="23">
        <v>503045.23</v>
      </c>
    </row>
    <row r="1570" spans="1:8" x14ac:dyDescent="0.35">
      <c r="A1570">
        <v>2008</v>
      </c>
      <c r="B1570" t="s">
        <v>280</v>
      </c>
      <c r="C1570" t="s">
        <v>154</v>
      </c>
      <c r="D1570" t="s">
        <v>160</v>
      </c>
      <c r="E1570" s="23">
        <v>155003.93</v>
      </c>
      <c r="F1570" s="23">
        <v>591613.25</v>
      </c>
      <c r="G1570" s="23">
        <v>-5885.21</v>
      </c>
      <c r="H1570" s="23">
        <v>8771.89</v>
      </c>
    </row>
    <row r="1571" spans="1:8" x14ac:dyDescent="0.35">
      <c r="A1571">
        <v>2008</v>
      </c>
      <c r="B1571" t="s">
        <v>282</v>
      </c>
      <c r="C1571" t="s">
        <v>154</v>
      </c>
      <c r="D1571" t="s">
        <v>160</v>
      </c>
      <c r="E1571" s="23">
        <v>5568215.6500000004</v>
      </c>
      <c r="F1571" s="23">
        <v>5694292.0999999996</v>
      </c>
      <c r="G1571" s="23">
        <v>809818.26</v>
      </c>
      <c r="H1571" s="23">
        <v>79843.399999999994</v>
      </c>
    </row>
    <row r="1572" spans="1:8" x14ac:dyDescent="0.35">
      <c r="A1572">
        <v>2008</v>
      </c>
      <c r="B1572" t="s">
        <v>285</v>
      </c>
      <c r="C1572" t="s">
        <v>154</v>
      </c>
      <c r="D1572" t="s">
        <v>155</v>
      </c>
      <c r="E1572" s="23">
        <v>3207713.4</v>
      </c>
      <c r="F1572" s="23">
        <v>6286028.7000000002</v>
      </c>
      <c r="G1572" s="23">
        <v>144369</v>
      </c>
      <c r="H1572" s="23">
        <v>8844</v>
      </c>
    </row>
    <row r="1573" spans="1:8" x14ac:dyDescent="0.35">
      <c r="A1573">
        <v>2008</v>
      </c>
      <c r="B1573" t="s">
        <v>287</v>
      </c>
      <c r="C1573" t="s">
        <v>154</v>
      </c>
      <c r="D1573" t="s">
        <v>158</v>
      </c>
      <c r="E1573" s="23">
        <v>729164.71</v>
      </c>
      <c r="F1573" s="23">
        <v>1214788.97</v>
      </c>
      <c r="G1573" s="23">
        <v>5970.05</v>
      </c>
      <c r="H1573" s="23">
        <v>11097</v>
      </c>
    </row>
    <row r="1574" spans="1:8" x14ac:dyDescent="0.35">
      <c r="A1574">
        <v>2008</v>
      </c>
      <c r="B1574" t="s">
        <v>291</v>
      </c>
      <c r="C1574" t="s">
        <v>154</v>
      </c>
      <c r="D1574" t="s">
        <v>158</v>
      </c>
      <c r="E1574" s="23">
        <v>1508482.79</v>
      </c>
      <c r="F1574" s="23">
        <v>2225747.83</v>
      </c>
      <c r="G1574" s="23">
        <v>430916.76</v>
      </c>
      <c r="H1574" s="23">
        <v>1071457.1599999999</v>
      </c>
    </row>
    <row r="1575" spans="1:8" x14ac:dyDescent="0.35">
      <c r="A1575">
        <v>2008</v>
      </c>
      <c r="B1575" t="s">
        <v>296</v>
      </c>
      <c r="C1575" t="s">
        <v>154</v>
      </c>
      <c r="D1575" t="s">
        <v>155</v>
      </c>
      <c r="E1575" s="23">
        <v>426246.11</v>
      </c>
      <c r="F1575" s="23">
        <v>835332.58</v>
      </c>
      <c r="G1575" s="23">
        <v>253747.45</v>
      </c>
      <c r="H1575" s="23">
        <v>790728.58</v>
      </c>
    </row>
    <row r="1576" spans="1:8" x14ac:dyDescent="0.35">
      <c r="A1576">
        <v>2008</v>
      </c>
      <c r="B1576" t="s">
        <v>295</v>
      </c>
      <c r="C1576" t="s">
        <v>154</v>
      </c>
      <c r="D1576" t="s">
        <v>158</v>
      </c>
      <c r="E1576" s="23">
        <v>16683395.43</v>
      </c>
      <c r="F1576" s="23">
        <v>13689559.390000001</v>
      </c>
      <c r="G1576" s="23">
        <v>12717775.91</v>
      </c>
      <c r="H1576" s="23">
        <v>872055.34</v>
      </c>
    </row>
    <row r="1577" spans="1:8" x14ac:dyDescent="0.35">
      <c r="A1577">
        <v>2007</v>
      </c>
      <c r="B1577" t="s">
        <v>153</v>
      </c>
      <c r="C1577" t="s">
        <v>154</v>
      </c>
      <c r="D1577" t="s">
        <v>155</v>
      </c>
      <c r="E1577" s="23">
        <v>1526133.56</v>
      </c>
      <c r="F1577" s="23">
        <v>1257743.27</v>
      </c>
      <c r="G1577" s="23">
        <v>37536.75</v>
      </c>
      <c r="H1577" s="23">
        <v>59267.28</v>
      </c>
    </row>
    <row r="1578" spans="1:8" x14ac:dyDescent="0.35">
      <c r="A1578">
        <v>2007</v>
      </c>
      <c r="B1578" t="s">
        <v>164</v>
      </c>
      <c r="C1578" t="s">
        <v>154</v>
      </c>
      <c r="D1578" t="s">
        <v>165</v>
      </c>
      <c r="E1578" s="23">
        <v>1810120.43</v>
      </c>
      <c r="F1578" s="23">
        <v>506135.69</v>
      </c>
      <c r="G1578" s="23">
        <v>454901.63</v>
      </c>
      <c r="H1578" s="23">
        <v>325809.34000000003</v>
      </c>
    </row>
    <row r="1579" spans="1:8" x14ac:dyDescent="0.35">
      <c r="A1579">
        <v>2007</v>
      </c>
      <c r="B1579" t="s">
        <v>167</v>
      </c>
      <c r="C1579" t="s">
        <v>154</v>
      </c>
      <c r="D1579" t="s">
        <v>155</v>
      </c>
      <c r="E1579" s="23">
        <v>1174078.8500000001</v>
      </c>
      <c r="F1579" s="23">
        <v>2775360.29</v>
      </c>
      <c r="G1579" s="23">
        <v>467017.19</v>
      </c>
      <c r="H1579" s="23">
        <v>416235.74</v>
      </c>
    </row>
    <row r="1580" spans="1:8" x14ac:dyDescent="0.35">
      <c r="A1580">
        <v>2007</v>
      </c>
      <c r="B1580" t="s">
        <v>169</v>
      </c>
      <c r="C1580" t="s">
        <v>154</v>
      </c>
      <c r="D1580" t="s">
        <v>160</v>
      </c>
      <c r="E1580" s="23">
        <v>233744.39</v>
      </c>
      <c r="F1580" s="23">
        <v>57548.08</v>
      </c>
      <c r="G1580" s="23">
        <v>132468.69</v>
      </c>
      <c r="H1580" s="23">
        <v>33857.26</v>
      </c>
    </row>
    <row r="1581" spans="1:8" x14ac:dyDescent="0.35">
      <c r="A1581">
        <v>2007</v>
      </c>
      <c r="B1581" t="s">
        <v>170</v>
      </c>
      <c r="C1581" t="s">
        <v>154</v>
      </c>
      <c r="D1581" t="s">
        <v>160</v>
      </c>
      <c r="E1581" s="23">
        <v>841808.84</v>
      </c>
      <c r="F1581" s="23">
        <v>2397622.83</v>
      </c>
      <c r="G1581" s="23">
        <v>59447.05</v>
      </c>
      <c r="H1581" s="23">
        <v>51049.41</v>
      </c>
    </row>
    <row r="1582" spans="1:8" x14ac:dyDescent="0.35">
      <c r="A1582">
        <v>2007</v>
      </c>
      <c r="B1582" t="s">
        <v>299</v>
      </c>
      <c r="C1582" t="s">
        <v>154</v>
      </c>
      <c r="D1582" t="s">
        <v>158</v>
      </c>
      <c r="E1582" s="23">
        <v>0</v>
      </c>
      <c r="F1582" s="23">
        <v>0</v>
      </c>
      <c r="G1582" s="23">
        <v>17362.5</v>
      </c>
      <c r="H1582" s="23">
        <v>443271.98</v>
      </c>
    </row>
    <row r="1583" spans="1:8" x14ac:dyDescent="0.35">
      <c r="A1583">
        <v>2007</v>
      </c>
      <c r="B1583" t="s">
        <v>174</v>
      </c>
      <c r="C1583" t="s">
        <v>154</v>
      </c>
      <c r="D1583" t="s">
        <v>160</v>
      </c>
      <c r="E1583" s="23">
        <v>3164314.25</v>
      </c>
      <c r="F1583" s="23">
        <v>3747098.25</v>
      </c>
      <c r="G1583" s="23">
        <v>97906</v>
      </c>
      <c r="H1583" s="23">
        <v>0</v>
      </c>
    </row>
    <row r="1584" spans="1:8" x14ac:dyDescent="0.35">
      <c r="A1584">
        <v>2007</v>
      </c>
      <c r="B1584" t="s">
        <v>177</v>
      </c>
      <c r="C1584" t="s">
        <v>154</v>
      </c>
      <c r="D1584" t="s">
        <v>160</v>
      </c>
      <c r="E1584" s="23">
        <v>2941609.98</v>
      </c>
      <c r="F1584" s="23">
        <v>13858904.029999999</v>
      </c>
      <c r="G1584" s="23">
        <v>867.75</v>
      </c>
      <c r="H1584" s="23">
        <v>25116.59</v>
      </c>
    </row>
    <row r="1585" spans="1:8" x14ac:dyDescent="0.35">
      <c r="A1585">
        <v>2007</v>
      </c>
      <c r="B1585" t="s">
        <v>178</v>
      </c>
      <c r="C1585" t="s">
        <v>154</v>
      </c>
      <c r="D1585" t="s">
        <v>155</v>
      </c>
      <c r="E1585" s="23">
        <v>468395.09</v>
      </c>
      <c r="F1585" s="23">
        <v>1849934.53</v>
      </c>
      <c r="G1585" s="23">
        <v>120173.97</v>
      </c>
      <c r="H1585" s="23">
        <v>247447.41</v>
      </c>
    </row>
    <row r="1586" spans="1:8" x14ac:dyDescent="0.35">
      <c r="A1586">
        <v>2007</v>
      </c>
      <c r="B1586" t="s">
        <v>180</v>
      </c>
      <c r="C1586" t="s">
        <v>154</v>
      </c>
      <c r="D1586" t="s">
        <v>160</v>
      </c>
      <c r="E1586" s="23">
        <v>1671260.8</v>
      </c>
      <c r="F1586" s="23">
        <v>10341440.4</v>
      </c>
      <c r="G1586" s="23">
        <v>227014.51</v>
      </c>
      <c r="H1586" s="23">
        <v>6601778.1200000001</v>
      </c>
    </row>
    <row r="1587" spans="1:8" x14ac:dyDescent="0.35">
      <c r="A1587">
        <v>2007</v>
      </c>
      <c r="B1587" t="s">
        <v>181</v>
      </c>
      <c r="C1587" t="s">
        <v>154</v>
      </c>
      <c r="D1587" t="s">
        <v>155</v>
      </c>
      <c r="E1587" s="23">
        <v>4974306.2819999997</v>
      </c>
      <c r="F1587" s="23">
        <v>22167382.079999998</v>
      </c>
      <c r="G1587" s="23">
        <v>1274851.46</v>
      </c>
      <c r="H1587" s="23">
        <v>825700.49</v>
      </c>
    </row>
    <row r="1588" spans="1:8" x14ac:dyDescent="0.35">
      <c r="A1588">
        <v>2007</v>
      </c>
      <c r="B1588" t="s">
        <v>184</v>
      </c>
      <c r="C1588" t="s">
        <v>154</v>
      </c>
      <c r="D1588" t="s">
        <v>155</v>
      </c>
      <c r="E1588" s="23">
        <v>8257985.7300000004</v>
      </c>
      <c r="F1588" s="23">
        <v>22154141.379999999</v>
      </c>
      <c r="G1588" s="23">
        <v>1847906.6</v>
      </c>
      <c r="H1588" s="23">
        <v>2215142.9900000002</v>
      </c>
    </row>
    <row r="1589" spans="1:8" x14ac:dyDescent="0.35">
      <c r="A1589">
        <v>2007</v>
      </c>
      <c r="B1589" t="s">
        <v>186</v>
      </c>
      <c r="C1589" t="s">
        <v>154</v>
      </c>
      <c r="D1589" t="s">
        <v>158</v>
      </c>
      <c r="E1589" s="23">
        <v>1703519.08</v>
      </c>
      <c r="F1589" s="23">
        <v>1235263.02</v>
      </c>
      <c r="G1589" s="23">
        <v>90066.42</v>
      </c>
      <c r="H1589" s="23">
        <v>22074.01</v>
      </c>
    </row>
    <row r="1590" spans="1:8" x14ac:dyDescent="0.35">
      <c r="A1590">
        <v>2007</v>
      </c>
      <c r="B1590" t="s">
        <v>188</v>
      </c>
      <c r="C1590" t="s">
        <v>154</v>
      </c>
      <c r="D1590" t="s">
        <v>155</v>
      </c>
      <c r="E1590" s="23">
        <v>1098566.67</v>
      </c>
      <c r="F1590" s="23">
        <v>5519984.9000000004</v>
      </c>
      <c r="G1590" s="23">
        <v>0</v>
      </c>
      <c r="H1590" s="23">
        <v>0</v>
      </c>
    </row>
    <row r="1591" spans="1:8" x14ac:dyDescent="0.35">
      <c r="A1591">
        <v>2007</v>
      </c>
      <c r="B1591" t="s">
        <v>189</v>
      </c>
      <c r="C1591" t="s">
        <v>154</v>
      </c>
      <c r="D1591" t="s">
        <v>158</v>
      </c>
      <c r="E1591" s="23">
        <v>2057672.9</v>
      </c>
      <c r="F1591" s="23">
        <v>4514160.17</v>
      </c>
      <c r="G1591" s="23">
        <v>49570</v>
      </c>
      <c r="H1591" s="23">
        <v>84773</v>
      </c>
    </row>
    <row r="1592" spans="1:8" x14ac:dyDescent="0.35">
      <c r="A1592">
        <v>2007</v>
      </c>
      <c r="B1592" t="s">
        <v>190</v>
      </c>
      <c r="C1592" t="s">
        <v>154</v>
      </c>
      <c r="D1592" t="s">
        <v>155</v>
      </c>
      <c r="E1592" s="23">
        <v>379455.38</v>
      </c>
      <c r="F1592" s="23">
        <v>429054</v>
      </c>
      <c r="G1592" s="23">
        <v>363753.84</v>
      </c>
      <c r="H1592" s="23">
        <v>428098.54</v>
      </c>
    </row>
    <row r="1593" spans="1:8" x14ac:dyDescent="0.35">
      <c r="A1593">
        <v>2007</v>
      </c>
      <c r="B1593" t="s">
        <v>300</v>
      </c>
      <c r="C1593" t="s">
        <v>154</v>
      </c>
      <c r="D1593" t="s">
        <v>158</v>
      </c>
      <c r="E1593" s="23">
        <v>177340</v>
      </c>
      <c r="F1593" s="23">
        <v>116660</v>
      </c>
      <c r="G1593" s="23">
        <v>0</v>
      </c>
      <c r="H1593" s="23">
        <v>0</v>
      </c>
    </row>
    <row r="1594" spans="1:8" x14ac:dyDescent="0.35">
      <c r="A1594">
        <v>2007</v>
      </c>
      <c r="B1594" t="s">
        <v>192</v>
      </c>
      <c r="C1594" t="s">
        <v>154</v>
      </c>
      <c r="D1594" t="s">
        <v>160</v>
      </c>
      <c r="E1594" s="23">
        <v>744395.39</v>
      </c>
      <c r="F1594" s="23">
        <v>2948236.5532999998</v>
      </c>
      <c r="G1594" s="23">
        <v>563643.68999999994</v>
      </c>
      <c r="H1594" s="23">
        <v>2421090.0299999998</v>
      </c>
    </row>
    <row r="1595" spans="1:8" x14ac:dyDescent="0.35">
      <c r="A1595">
        <v>2007</v>
      </c>
      <c r="B1595" t="s">
        <v>197</v>
      </c>
      <c r="C1595" t="s">
        <v>154</v>
      </c>
      <c r="D1595" t="s">
        <v>160</v>
      </c>
      <c r="E1595" s="23">
        <v>148483.93</v>
      </c>
      <c r="F1595" s="23">
        <v>415114.43</v>
      </c>
      <c r="G1595" s="23">
        <v>38243.660000000003</v>
      </c>
      <c r="H1595" s="23">
        <v>175010</v>
      </c>
    </row>
    <row r="1596" spans="1:8" x14ac:dyDescent="0.35">
      <c r="A1596">
        <v>2007</v>
      </c>
      <c r="B1596" t="s">
        <v>198</v>
      </c>
      <c r="C1596" t="s">
        <v>154</v>
      </c>
      <c r="D1596" t="s">
        <v>160</v>
      </c>
      <c r="E1596" s="23">
        <v>1547888.8</v>
      </c>
      <c r="F1596" s="23">
        <v>3986649.46</v>
      </c>
      <c r="G1596" s="23">
        <v>462520.71</v>
      </c>
      <c r="H1596" s="23">
        <v>55429.07</v>
      </c>
    </row>
    <row r="1597" spans="1:8" x14ac:dyDescent="0.35">
      <c r="A1597">
        <v>2007</v>
      </c>
      <c r="B1597" t="s">
        <v>199</v>
      </c>
      <c r="C1597" t="s">
        <v>154</v>
      </c>
      <c r="D1597" t="s">
        <v>160</v>
      </c>
      <c r="E1597" s="23">
        <v>757429.5</v>
      </c>
      <c r="F1597" s="23">
        <v>2870855.98</v>
      </c>
      <c r="G1597" s="23">
        <v>47437.42</v>
      </c>
      <c r="H1597" s="23">
        <v>1230136.1100000001</v>
      </c>
    </row>
    <row r="1598" spans="1:8" x14ac:dyDescent="0.35">
      <c r="A1598">
        <v>2007</v>
      </c>
      <c r="B1598" t="s">
        <v>201</v>
      </c>
      <c r="C1598" t="s">
        <v>154</v>
      </c>
      <c r="D1598" t="s">
        <v>160</v>
      </c>
      <c r="E1598" s="23">
        <v>0</v>
      </c>
      <c r="F1598" s="23">
        <v>0</v>
      </c>
      <c r="G1598" s="23">
        <v>359011.82</v>
      </c>
      <c r="H1598" s="23">
        <v>547515.93999999994</v>
      </c>
    </row>
    <row r="1599" spans="1:8" x14ac:dyDescent="0.35">
      <c r="A1599">
        <v>2007</v>
      </c>
      <c r="B1599" t="s">
        <v>202</v>
      </c>
      <c r="C1599" t="s">
        <v>154</v>
      </c>
      <c r="D1599" t="s">
        <v>155</v>
      </c>
      <c r="E1599" s="23">
        <v>1049757.54</v>
      </c>
      <c r="F1599" s="23">
        <v>678051.5</v>
      </c>
      <c r="G1599" s="23">
        <v>76334.06</v>
      </c>
      <c r="H1599" s="23">
        <v>215155.89</v>
      </c>
    </row>
    <row r="1600" spans="1:8" x14ac:dyDescent="0.35">
      <c r="A1600">
        <v>2007</v>
      </c>
      <c r="B1600" t="s">
        <v>203</v>
      </c>
      <c r="C1600" t="s">
        <v>154</v>
      </c>
      <c r="D1600" t="s">
        <v>160</v>
      </c>
      <c r="E1600" s="23">
        <v>1471628.2239999999</v>
      </c>
      <c r="F1600" s="23">
        <v>1207291.8759999999</v>
      </c>
      <c r="G1600" s="23">
        <v>0</v>
      </c>
      <c r="H1600" s="23">
        <v>4025</v>
      </c>
    </row>
    <row r="1601" spans="1:8" x14ac:dyDescent="0.35">
      <c r="A1601">
        <v>2007</v>
      </c>
      <c r="B1601" t="s">
        <v>204</v>
      </c>
      <c r="C1601" t="s">
        <v>154</v>
      </c>
      <c r="D1601" t="s">
        <v>158</v>
      </c>
      <c r="E1601" s="23">
        <v>1341321.1000000001</v>
      </c>
      <c r="F1601" s="23">
        <v>1039732.39</v>
      </c>
      <c r="G1601" s="23">
        <v>265623.95</v>
      </c>
      <c r="H1601" s="23">
        <v>591674.02</v>
      </c>
    </row>
    <row r="1602" spans="1:8" x14ac:dyDescent="0.35">
      <c r="A1602">
        <v>2007</v>
      </c>
      <c r="B1602" t="s">
        <v>205</v>
      </c>
      <c r="C1602" t="s">
        <v>154</v>
      </c>
      <c r="D1602" t="s">
        <v>160</v>
      </c>
      <c r="E1602" s="23">
        <v>357294.21</v>
      </c>
      <c r="F1602" s="23">
        <v>370694.56</v>
      </c>
      <c r="G1602" s="23">
        <v>21316.79</v>
      </c>
      <c r="H1602" s="23">
        <v>49370.07</v>
      </c>
    </row>
    <row r="1603" spans="1:8" x14ac:dyDescent="0.35">
      <c r="A1603">
        <v>2007</v>
      </c>
      <c r="B1603" t="s">
        <v>206</v>
      </c>
      <c r="C1603" t="s">
        <v>154</v>
      </c>
      <c r="D1603" t="s">
        <v>158</v>
      </c>
      <c r="E1603" s="23">
        <v>2745108.6510000001</v>
      </c>
      <c r="F1603" s="23">
        <v>2841602.74</v>
      </c>
      <c r="G1603" s="23">
        <v>81839.649999999994</v>
      </c>
      <c r="H1603" s="23">
        <v>3762.26</v>
      </c>
    </row>
    <row r="1604" spans="1:8" x14ac:dyDescent="0.35">
      <c r="A1604">
        <v>2007</v>
      </c>
      <c r="B1604" t="s">
        <v>209</v>
      </c>
      <c r="C1604" t="s">
        <v>154</v>
      </c>
      <c r="D1604" t="s">
        <v>158</v>
      </c>
      <c r="E1604" s="23">
        <v>5560302.0999999996</v>
      </c>
      <c r="F1604" s="23">
        <v>2147485.27</v>
      </c>
      <c r="G1604" s="23">
        <v>710137.23</v>
      </c>
      <c r="H1604" s="23">
        <v>516696.74</v>
      </c>
    </row>
    <row r="1605" spans="1:8" x14ac:dyDescent="0.35">
      <c r="A1605">
        <v>2007</v>
      </c>
      <c r="B1605" t="s">
        <v>210</v>
      </c>
      <c r="C1605" t="s">
        <v>154</v>
      </c>
      <c r="D1605" t="s">
        <v>158</v>
      </c>
      <c r="E1605" s="23">
        <v>423810.77</v>
      </c>
      <c r="F1605" s="23">
        <v>1635823.32</v>
      </c>
      <c r="G1605" s="23">
        <v>80322.59</v>
      </c>
      <c r="H1605" s="23">
        <v>965592.74</v>
      </c>
    </row>
    <row r="1606" spans="1:8" x14ac:dyDescent="0.35">
      <c r="A1606">
        <v>2007</v>
      </c>
      <c r="B1606" t="s">
        <v>215</v>
      </c>
      <c r="C1606" t="s">
        <v>154</v>
      </c>
      <c r="D1606" t="s">
        <v>160</v>
      </c>
      <c r="E1606" s="23">
        <v>0</v>
      </c>
      <c r="F1606" s="23">
        <v>0</v>
      </c>
      <c r="G1606" s="23">
        <v>11862.1</v>
      </c>
      <c r="H1606" s="23">
        <v>0</v>
      </c>
    </row>
    <row r="1607" spans="1:8" x14ac:dyDescent="0.35">
      <c r="A1607">
        <v>2007</v>
      </c>
      <c r="B1607" t="s">
        <v>221</v>
      </c>
      <c r="C1607" t="s">
        <v>154</v>
      </c>
      <c r="D1607" t="s">
        <v>165</v>
      </c>
      <c r="E1607" s="23">
        <v>1594861.07</v>
      </c>
      <c r="F1607" s="23">
        <v>1105444.49</v>
      </c>
      <c r="G1607" s="23">
        <v>218075.72</v>
      </c>
      <c r="H1607" s="23">
        <v>642881.93000000005</v>
      </c>
    </row>
    <row r="1608" spans="1:8" x14ac:dyDescent="0.35">
      <c r="A1608">
        <v>2007</v>
      </c>
      <c r="B1608" t="s">
        <v>223</v>
      </c>
      <c r="C1608" t="s">
        <v>163</v>
      </c>
      <c r="D1608" t="s">
        <v>160</v>
      </c>
      <c r="E1608" s="23">
        <v>869570.59</v>
      </c>
      <c r="F1608" s="23">
        <v>4840580.66</v>
      </c>
      <c r="G1608" s="23">
        <v>11434.75</v>
      </c>
      <c r="H1608" s="23">
        <v>-2096.4</v>
      </c>
    </row>
    <row r="1609" spans="1:8" x14ac:dyDescent="0.35">
      <c r="A1609">
        <v>2007</v>
      </c>
      <c r="B1609" t="s">
        <v>224</v>
      </c>
      <c r="C1609" t="s">
        <v>154</v>
      </c>
      <c r="D1609" t="s">
        <v>158</v>
      </c>
      <c r="E1609" s="23">
        <v>667332.87</v>
      </c>
      <c r="F1609" s="23">
        <v>2517118.9900000002</v>
      </c>
      <c r="G1609" s="23">
        <v>0</v>
      </c>
      <c r="H1609" s="23">
        <v>0</v>
      </c>
    </row>
    <row r="1610" spans="1:8" x14ac:dyDescent="0.35">
      <c r="A1610">
        <v>2007</v>
      </c>
      <c r="B1610" t="s">
        <v>225</v>
      </c>
      <c r="C1610" t="s">
        <v>154</v>
      </c>
      <c r="D1610" t="s">
        <v>160</v>
      </c>
      <c r="E1610" s="23">
        <v>0</v>
      </c>
      <c r="F1610" s="23">
        <v>0</v>
      </c>
      <c r="G1610" s="23">
        <v>107565</v>
      </c>
      <c r="H1610" s="23">
        <v>16778.2</v>
      </c>
    </row>
    <row r="1611" spans="1:8" x14ac:dyDescent="0.35">
      <c r="A1611">
        <v>2007</v>
      </c>
      <c r="B1611" t="s">
        <v>226</v>
      </c>
      <c r="C1611" t="s">
        <v>154</v>
      </c>
      <c r="D1611" t="s">
        <v>155</v>
      </c>
      <c r="E1611" s="23">
        <v>0</v>
      </c>
      <c r="F1611" s="23">
        <v>0</v>
      </c>
      <c r="G1611" s="23">
        <v>68089.5</v>
      </c>
      <c r="H1611" s="23">
        <v>1228946.51</v>
      </c>
    </row>
    <row r="1612" spans="1:8" x14ac:dyDescent="0.35">
      <c r="A1612">
        <v>2007</v>
      </c>
      <c r="B1612" t="s">
        <v>227</v>
      </c>
      <c r="C1612" t="s">
        <v>154</v>
      </c>
      <c r="D1612" t="s">
        <v>158</v>
      </c>
      <c r="E1612" s="23">
        <v>0</v>
      </c>
      <c r="F1612" s="23">
        <v>0</v>
      </c>
      <c r="G1612" s="23">
        <v>256084.5</v>
      </c>
      <c r="H1612" s="23">
        <v>197764.87</v>
      </c>
    </row>
    <row r="1613" spans="1:8" x14ac:dyDescent="0.35">
      <c r="A1613">
        <v>2007</v>
      </c>
      <c r="B1613" t="s">
        <v>232</v>
      </c>
      <c r="C1613" t="s">
        <v>154</v>
      </c>
      <c r="D1613" t="s">
        <v>165</v>
      </c>
      <c r="E1613" s="23">
        <v>1107982.52</v>
      </c>
      <c r="F1613" s="23">
        <v>627218.76</v>
      </c>
      <c r="G1613" s="23">
        <v>847535.03</v>
      </c>
      <c r="H1613" s="23">
        <v>580228.52</v>
      </c>
    </row>
    <row r="1614" spans="1:8" x14ac:dyDescent="0.35">
      <c r="A1614">
        <v>2007</v>
      </c>
      <c r="B1614" t="s">
        <v>233</v>
      </c>
      <c r="C1614" t="s">
        <v>154</v>
      </c>
      <c r="D1614" t="s">
        <v>155</v>
      </c>
      <c r="E1614" s="23">
        <v>1065131.7</v>
      </c>
      <c r="F1614" s="23">
        <v>1663353.77</v>
      </c>
      <c r="G1614" s="23">
        <v>104121.05</v>
      </c>
      <c r="H1614" s="23">
        <v>1161290.2</v>
      </c>
    </row>
    <row r="1615" spans="1:8" x14ac:dyDescent="0.35">
      <c r="A1615">
        <v>2007</v>
      </c>
      <c r="B1615" t="s">
        <v>234</v>
      </c>
      <c r="C1615" t="s">
        <v>154</v>
      </c>
      <c r="D1615" t="s">
        <v>160</v>
      </c>
      <c r="E1615" s="23">
        <v>5442616.7249999996</v>
      </c>
      <c r="F1615" s="23">
        <v>97509311.034999996</v>
      </c>
      <c r="G1615" s="23">
        <v>6651.1</v>
      </c>
      <c r="H1615" s="23">
        <v>24682.02</v>
      </c>
    </row>
    <row r="1616" spans="1:8" x14ac:dyDescent="0.35">
      <c r="A1616">
        <v>2007</v>
      </c>
      <c r="B1616" t="s">
        <v>235</v>
      </c>
      <c r="C1616" t="s">
        <v>154</v>
      </c>
      <c r="D1616" t="s">
        <v>160</v>
      </c>
      <c r="E1616" s="23">
        <v>376794.91</v>
      </c>
      <c r="F1616" s="23">
        <v>3469186.42</v>
      </c>
      <c r="G1616" s="23">
        <v>192741.51</v>
      </c>
      <c r="H1616" s="23">
        <v>3290894.3</v>
      </c>
    </row>
    <row r="1617" spans="1:8" x14ac:dyDescent="0.35">
      <c r="A1617">
        <v>2007</v>
      </c>
      <c r="B1617" t="s">
        <v>236</v>
      </c>
      <c r="C1617" t="s">
        <v>154</v>
      </c>
      <c r="D1617" t="s">
        <v>160</v>
      </c>
      <c r="E1617" s="23">
        <v>952141.76</v>
      </c>
      <c r="F1617" s="23">
        <v>3007664.73</v>
      </c>
      <c r="G1617" s="23">
        <v>193766.06</v>
      </c>
      <c r="H1617" s="23">
        <v>166268.92000000001</v>
      </c>
    </row>
    <row r="1618" spans="1:8" x14ac:dyDescent="0.35">
      <c r="A1618">
        <v>2007</v>
      </c>
      <c r="B1618" t="s">
        <v>238</v>
      </c>
      <c r="C1618" t="s">
        <v>154</v>
      </c>
      <c r="D1618" t="s">
        <v>155</v>
      </c>
      <c r="E1618" s="23">
        <v>0</v>
      </c>
      <c r="F1618" s="23">
        <v>0</v>
      </c>
      <c r="G1618" s="23">
        <v>208122.25</v>
      </c>
      <c r="H1618" s="23">
        <v>315477.7</v>
      </c>
    </row>
    <row r="1619" spans="1:8" x14ac:dyDescent="0.35">
      <c r="A1619">
        <v>2007</v>
      </c>
      <c r="B1619" t="s">
        <v>239</v>
      </c>
      <c r="C1619" t="s">
        <v>154</v>
      </c>
      <c r="D1619" t="s">
        <v>158</v>
      </c>
      <c r="E1619" s="23">
        <v>2560958.39</v>
      </c>
      <c r="F1619" s="23">
        <v>2807198.19</v>
      </c>
      <c r="G1619" s="23">
        <v>137624.32000000001</v>
      </c>
      <c r="H1619" s="23">
        <v>171912.99</v>
      </c>
    </row>
    <row r="1620" spans="1:8" x14ac:dyDescent="0.35">
      <c r="A1620">
        <v>2007</v>
      </c>
      <c r="B1620" t="s">
        <v>243</v>
      </c>
      <c r="C1620" t="s">
        <v>154</v>
      </c>
      <c r="D1620" t="s">
        <v>165</v>
      </c>
      <c r="E1620" s="23">
        <v>7969626.0839999998</v>
      </c>
      <c r="F1620" s="23">
        <v>17459749.91</v>
      </c>
      <c r="G1620" s="23">
        <v>3327415.79</v>
      </c>
      <c r="H1620" s="23">
        <v>3633077.81</v>
      </c>
    </row>
    <row r="1621" spans="1:8" x14ac:dyDescent="0.35">
      <c r="A1621">
        <v>2007</v>
      </c>
      <c r="B1621" t="s">
        <v>247</v>
      </c>
      <c r="C1621" t="s">
        <v>154</v>
      </c>
      <c r="D1621" t="s">
        <v>160</v>
      </c>
      <c r="E1621" s="23">
        <v>55568564.735799998</v>
      </c>
      <c r="F1621" s="23">
        <v>337817241.86500001</v>
      </c>
      <c r="G1621" s="23">
        <v>45597462.719999999</v>
      </c>
      <c r="H1621" s="23">
        <v>59174371.700000003</v>
      </c>
    </row>
    <row r="1622" spans="1:8" x14ac:dyDescent="0.35">
      <c r="A1622">
        <v>2007</v>
      </c>
      <c r="B1622" t="s">
        <v>249</v>
      </c>
      <c r="C1622" t="s">
        <v>154</v>
      </c>
      <c r="D1622" t="s">
        <v>160</v>
      </c>
      <c r="E1622" s="23">
        <v>6022014.7300000004</v>
      </c>
      <c r="F1622" s="23">
        <v>21793675.77</v>
      </c>
      <c r="G1622" s="23">
        <v>573346.1</v>
      </c>
      <c r="H1622" s="23">
        <v>782485.66</v>
      </c>
    </row>
    <row r="1623" spans="1:8" x14ac:dyDescent="0.35">
      <c r="A1623">
        <v>2007</v>
      </c>
      <c r="B1623" t="s">
        <v>252</v>
      </c>
      <c r="C1623" t="s">
        <v>154</v>
      </c>
      <c r="D1623" t="s">
        <v>160</v>
      </c>
      <c r="E1623" s="23">
        <v>0</v>
      </c>
      <c r="F1623" s="23">
        <v>0</v>
      </c>
      <c r="G1623" s="23">
        <v>343701.42</v>
      </c>
      <c r="H1623" s="23">
        <v>898668.41</v>
      </c>
    </row>
    <row r="1624" spans="1:8" x14ac:dyDescent="0.35">
      <c r="A1624">
        <v>2007</v>
      </c>
      <c r="B1624" t="s">
        <v>253</v>
      </c>
      <c r="C1624" t="s">
        <v>154</v>
      </c>
      <c r="D1624" t="s">
        <v>160</v>
      </c>
      <c r="E1624" s="23">
        <v>0</v>
      </c>
      <c r="F1624" s="23">
        <v>0</v>
      </c>
      <c r="G1624" s="23">
        <v>258517.44</v>
      </c>
      <c r="H1624" s="23">
        <v>144724.99</v>
      </c>
    </row>
    <row r="1625" spans="1:8" x14ac:dyDescent="0.35">
      <c r="A1625">
        <v>2007</v>
      </c>
      <c r="B1625" t="s">
        <v>257</v>
      </c>
      <c r="C1625" t="s">
        <v>154</v>
      </c>
      <c r="D1625" t="s">
        <v>160</v>
      </c>
      <c r="E1625" s="23">
        <v>1148843.72</v>
      </c>
      <c r="F1625" s="23">
        <v>8380880.9299999997</v>
      </c>
      <c r="G1625" s="23">
        <v>122732.31</v>
      </c>
      <c r="H1625" s="23">
        <v>356034.93</v>
      </c>
    </row>
    <row r="1626" spans="1:8" x14ac:dyDescent="0.35">
      <c r="A1626">
        <v>2007</v>
      </c>
      <c r="B1626" t="s">
        <v>258</v>
      </c>
      <c r="C1626" t="s">
        <v>154</v>
      </c>
      <c r="D1626" t="s">
        <v>160</v>
      </c>
      <c r="E1626" s="23">
        <v>821951.73</v>
      </c>
      <c r="F1626" s="23">
        <v>776406.73</v>
      </c>
      <c r="G1626" s="23">
        <v>152121.85</v>
      </c>
      <c r="H1626" s="23">
        <v>236178.73</v>
      </c>
    </row>
    <row r="1627" spans="1:8" x14ac:dyDescent="0.35">
      <c r="A1627">
        <v>2007</v>
      </c>
      <c r="B1627" t="s">
        <v>261</v>
      </c>
      <c r="C1627" t="s">
        <v>154</v>
      </c>
      <c r="D1627" t="s">
        <v>158</v>
      </c>
      <c r="E1627" s="23">
        <v>361821.62</v>
      </c>
      <c r="F1627" s="23">
        <v>534414.76</v>
      </c>
      <c r="G1627" s="23">
        <v>58077.13</v>
      </c>
      <c r="H1627" s="23">
        <v>8236.18</v>
      </c>
    </row>
    <row r="1628" spans="1:8" x14ac:dyDescent="0.35">
      <c r="A1628">
        <v>2007</v>
      </c>
      <c r="B1628" t="s">
        <v>262</v>
      </c>
      <c r="C1628" t="s">
        <v>154</v>
      </c>
      <c r="D1628" t="s">
        <v>155</v>
      </c>
      <c r="E1628" s="23">
        <v>225059.22</v>
      </c>
      <c r="F1628" s="23">
        <v>706599.28</v>
      </c>
      <c r="G1628" s="23">
        <v>146773.98000000001</v>
      </c>
      <c r="H1628" s="23">
        <v>134776.54</v>
      </c>
    </row>
    <row r="1629" spans="1:8" x14ac:dyDescent="0.35">
      <c r="A1629">
        <v>2007</v>
      </c>
      <c r="B1629" t="s">
        <v>264</v>
      </c>
      <c r="C1629" t="s">
        <v>154</v>
      </c>
      <c r="D1629" t="s">
        <v>160</v>
      </c>
      <c r="E1629" s="23">
        <v>650000</v>
      </c>
      <c r="F1629" s="23">
        <v>285000</v>
      </c>
      <c r="G1629" s="23">
        <v>324850</v>
      </c>
      <c r="H1629" s="23">
        <v>30150</v>
      </c>
    </row>
    <row r="1630" spans="1:8" x14ac:dyDescent="0.35">
      <c r="A1630">
        <v>2007</v>
      </c>
      <c r="B1630" t="s">
        <v>266</v>
      </c>
      <c r="C1630" t="s">
        <v>154</v>
      </c>
      <c r="D1630" t="s">
        <v>158</v>
      </c>
      <c r="E1630" s="23">
        <v>438674.25</v>
      </c>
      <c r="F1630" s="23">
        <v>512098.94</v>
      </c>
      <c r="G1630" s="23">
        <v>0</v>
      </c>
      <c r="H1630" s="23">
        <v>0</v>
      </c>
    </row>
    <row r="1631" spans="1:8" x14ac:dyDescent="0.35">
      <c r="A1631">
        <v>2007</v>
      </c>
      <c r="B1631" t="s">
        <v>267</v>
      </c>
      <c r="C1631" t="s">
        <v>154</v>
      </c>
      <c r="D1631" t="s">
        <v>160</v>
      </c>
      <c r="E1631" s="23">
        <v>483337.86</v>
      </c>
      <c r="F1631" s="23">
        <v>1262461.26</v>
      </c>
      <c r="G1631" s="23">
        <v>22982.400000000001</v>
      </c>
      <c r="H1631" s="23">
        <v>225246.45</v>
      </c>
    </row>
    <row r="1632" spans="1:8" x14ac:dyDescent="0.35">
      <c r="A1632">
        <v>2007</v>
      </c>
      <c r="B1632" t="s">
        <v>298</v>
      </c>
      <c r="C1632" t="s">
        <v>154</v>
      </c>
      <c r="D1632" t="s">
        <v>160</v>
      </c>
      <c r="E1632" s="23">
        <v>582915.19999999995</v>
      </c>
      <c r="F1632" s="23">
        <v>3730565.67</v>
      </c>
      <c r="G1632" s="23">
        <v>121876.28</v>
      </c>
      <c r="H1632" s="23">
        <v>1376024.5</v>
      </c>
    </row>
    <row r="1633" spans="1:8" x14ac:dyDescent="0.35">
      <c r="A1633">
        <v>2007</v>
      </c>
      <c r="B1633" t="s">
        <v>268</v>
      </c>
      <c r="C1633" t="s">
        <v>154</v>
      </c>
      <c r="D1633" t="s">
        <v>160</v>
      </c>
      <c r="E1633" s="23">
        <v>0</v>
      </c>
      <c r="F1633" s="23">
        <v>0</v>
      </c>
      <c r="G1633" s="23">
        <v>24411.9</v>
      </c>
      <c r="H1633" s="23">
        <v>239650.75</v>
      </c>
    </row>
    <row r="1634" spans="1:8" x14ac:dyDescent="0.35">
      <c r="A1634">
        <v>2007</v>
      </c>
      <c r="B1634" t="s">
        <v>272</v>
      </c>
      <c r="C1634" t="s">
        <v>154</v>
      </c>
      <c r="D1634" t="s">
        <v>160</v>
      </c>
      <c r="E1634" s="23">
        <v>682222.19</v>
      </c>
      <c r="F1634" s="23">
        <v>4154022.3</v>
      </c>
      <c r="G1634" s="23">
        <v>202109.34</v>
      </c>
      <c r="H1634" s="23">
        <v>457577.08</v>
      </c>
    </row>
    <row r="1635" spans="1:8" x14ac:dyDescent="0.35">
      <c r="A1635">
        <v>2007</v>
      </c>
      <c r="B1635" t="s">
        <v>273</v>
      </c>
      <c r="C1635" t="s">
        <v>154</v>
      </c>
      <c r="D1635" t="s">
        <v>155</v>
      </c>
      <c r="E1635" s="23">
        <v>3025113.86</v>
      </c>
      <c r="F1635" s="23">
        <v>18838727.309999999</v>
      </c>
      <c r="G1635" s="23">
        <v>955635.36</v>
      </c>
      <c r="H1635" s="23">
        <v>4048575.87</v>
      </c>
    </row>
    <row r="1636" spans="1:8" x14ac:dyDescent="0.35">
      <c r="A1636">
        <v>2007</v>
      </c>
      <c r="B1636" t="s">
        <v>275</v>
      </c>
      <c r="C1636" t="s">
        <v>154</v>
      </c>
      <c r="D1636" t="s">
        <v>160</v>
      </c>
      <c r="E1636" s="23">
        <v>0</v>
      </c>
      <c r="F1636" s="23">
        <v>0</v>
      </c>
      <c r="G1636" s="23">
        <v>62445.53</v>
      </c>
      <c r="H1636" s="23">
        <v>460788.98</v>
      </c>
    </row>
    <row r="1637" spans="1:8" x14ac:dyDescent="0.35">
      <c r="A1637">
        <v>2007</v>
      </c>
      <c r="B1637" t="s">
        <v>278</v>
      </c>
      <c r="C1637" t="s">
        <v>154</v>
      </c>
      <c r="D1637" t="s">
        <v>155</v>
      </c>
      <c r="E1637" s="23">
        <v>77852.92</v>
      </c>
      <c r="F1637" s="23">
        <v>40091.410000000003</v>
      </c>
      <c r="G1637" s="23">
        <v>21775.52</v>
      </c>
      <c r="H1637" s="23">
        <v>39994.910000000003</v>
      </c>
    </row>
    <row r="1638" spans="1:8" x14ac:dyDescent="0.35">
      <c r="A1638">
        <v>2007</v>
      </c>
      <c r="B1638" t="s">
        <v>279</v>
      </c>
      <c r="C1638" t="s">
        <v>154</v>
      </c>
      <c r="D1638" t="s">
        <v>155</v>
      </c>
      <c r="E1638" s="23">
        <v>1887476.52</v>
      </c>
      <c r="F1638" s="23">
        <v>1464218.48</v>
      </c>
      <c r="G1638" s="23">
        <v>224894.58</v>
      </c>
      <c r="H1638" s="23">
        <v>1131696.06</v>
      </c>
    </row>
    <row r="1639" spans="1:8" x14ac:dyDescent="0.35">
      <c r="A1639">
        <v>2007</v>
      </c>
      <c r="B1639" t="s">
        <v>280</v>
      </c>
      <c r="C1639" t="s">
        <v>154</v>
      </c>
      <c r="D1639" t="s">
        <v>160</v>
      </c>
      <c r="E1639" s="23">
        <v>68288.2</v>
      </c>
      <c r="F1639" s="23">
        <v>0</v>
      </c>
      <c r="G1639" s="23">
        <v>0</v>
      </c>
      <c r="H1639" s="23">
        <v>0</v>
      </c>
    </row>
    <row r="1640" spans="1:8" x14ac:dyDescent="0.35">
      <c r="A1640">
        <v>2007</v>
      </c>
      <c r="B1640" t="s">
        <v>282</v>
      </c>
      <c r="C1640" t="s">
        <v>154</v>
      </c>
      <c r="D1640" t="s">
        <v>160</v>
      </c>
      <c r="E1640" s="23">
        <v>9031011.75</v>
      </c>
      <c r="F1640" s="23">
        <v>11833347</v>
      </c>
      <c r="G1640" s="23">
        <v>6451455.0700000003</v>
      </c>
      <c r="H1640" s="23">
        <v>8654371.6500000004</v>
      </c>
    </row>
    <row r="1641" spans="1:8" x14ac:dyDescent="0.35">
      <c r="A1641">
        <v>2007</v>
      </c>
      <c r="B1641" t="s">
        <v>285</v>
      </c>
      <c r="C1641" t="s">
        <v>154</v>
      </c>
      <c r="D1641" t="s">
        <v>155</v>
      </c>
      <c r="E1641" s="23">
        <v>5517514.96</v>
      </c>
      <c r="F1641" s="23">
        <v>18684302.649999999</v>
      </c>
      <c r="G1641" s="23">
        <v>1205610.22</v>
      </c>
      <c r="H1641" s="23">
        <v>4356244</v>
      </c>
    </row>
    <row r="1642" spans="1:8" x14ac:dyDescent="0.35">
      <c r="A1642">
        <v>2007</v>
      </c>
      <c r="B1642" t="s">
        <v>287</v>
      </c>
      <c r="C1642" t="s">
        <v>154</v>
      </c>
      <c r="D1642" t="s">
        <v>158</v>
      </c>
      <c r="E1642" s="23">
        <v>1662052.65</v>
      </c>
      <c r="F1642" s="23">
        <v>3081532.53</v>
      </c>
      <c r="G1642" s="23">
        <v>138380.79</v>
      </c>
      <c r="H1642" s="23">
        <v>487334.95</v>
      </c>
    </row>
    <row r="1643" spans="1:8" x14ac:dyDescent="0.35">
      <c r="A1643">
        <v>2007</v>
      </c>
      <c r="B1643" t="s">
        <v>291</v>
      </c>
      <c r="C1643" t="s">
        <v>154</v>
      </c>
      <c r="D1643" t="s">
        <v>158</v>
      </c>
      <c r="E1643" s="23">
        <v>421287.25</v>
      </c>
      <c r="F1643" s="23">
        <v>2228181.42</v>
      </c>
      <c r="G1643" s="23">
        <v>25898</v>
      </c>
      <c r="H1643" s="23">
        <v>4587</v>
      </c>
    </row>
    <row r="1644" spans="1:8" x14ac:dyDescent="0.35">
      <c r="A1644">
        <v>2007</v>
      </c>
      <c r="B1644" t="s">
        <v>296</v>
      </c>
      <c r="C1644" t="s">
        <v>154</v>
      </c>
      <c r="D1644" t="s">
        <v>155</v>
      </c>
      <c r="E1644" s="23">
        <v>2746112.93</v>
      </c>
      <c r="F1644" s="23">
        <v>2742302.31</v>
      </c>
      <c r="G1644" s="23">
        <v>272130.71999999997</v>
      </c>
      <c r="H1644" s="23">
        <v>1078749.44</v>
      </c>
    </row>
    <row r="1645" spans="1:8" x14ac:dyDescent="0.35">
      <c r="A1645">
        <v>2007</v>
      </c>
      <c r="B1645" t="s">
        <v>295</v>
      </c>
      <c r="C1645" t="s">
        <v>154</v>
      </c>
      <c r="D1645" t="s">
        <v>158</v>
      </c>
      <c r="E1645" s="23">
        <v>27957636.920000002</v>
      </c>
      <c r="F1645" s="23">
        <v>42391790.469999999</v>
      </c>
      <c r="G1645" s="23">
        <v>20705022.699999999</v>
      </c>
      <c r="H1645" s="23">
        <v>29630013.670000002</v>
      </c>
    </row>
    <row r="1646" spans="1:8" x14ac:dyDescent="0.35">
      <c r="A1646">
        <v>2006</v>
      </c>
      <c r="B1646" t="s">
        <v>153</v>
      </c>
      <c r="C1646" t="s">
        <v>154</v>
      </c>
      <c r="D1646" t="s">
        <v>155</v>
      </c>
      <c r="E1646" s="23">
        <v>729662.22</v>
      </c>
      <c r="F1646" s="23">
        <v>496986.23</v>
      </c>
      <c r="G1646" s="23">
        <v>146126.65</v>
      </c>
      <c r="H1646" s="23">
        <v>17178.759999999998</v>
      </c>
    </row>
    <row r="1647" spans="1:8" x14ac:dyDescent="0.35">
      <c r="A1647">
        <v>2006</v>
      </c>
      <c r="B1647" t="s">
        <v>164</v>
      </c>
      <c r="C1647" t="s">
        <v>154</v>
      </c>
      <c r="D1647" t="s">
        <v>165</v>
      </c>
      <c r="E1647" s="23">
        <v>2080129.07</v>
      </c>
      <c r="F1647" s="23">
        <v>3730828.34</v>
      </c>
      <c r="G1647" s="23">
        <v>550706.79</v>
      </c>
      <c r="H1647" s="23">
        <v>55801.85</v>
      </c>
    </row>
    <row r="1648" spans="1:8" x14ac:dyDescent="0.35">
      <c r="A1648">
        <v>2006</v>
      </c>
      <c r="B1648" t="s">
        <v>167</v>
      </c>
      <c r="C1648" t="s">
        <v>154</v>
      </c>
      <c r="D1648" t="s">
        <v>155</v>
      </c>
      <c r="E1648" s="23">
        <v>610200.52</v>
      </c>
      <c r="F1648" s="23">
        <v>606058.67000000004</v>
      </c>
      <c r="G1648" s="23">
        <v>33138.61</v>
      </c>
      <c r="H1648" s="23">
        <v>106878.47</v>
      </c>
    </row>
    <row r="1649" spans="1:8" x14ac:dyDescent="0.35">
      <c r="A1649">
        <v>2006</v>
      </c>
      <c r="B1649" t="s">
        <v>169</v>
      </c>
      <c r="C1649" t="s">
        <v>154</v>
      </c>
      <c r="D1649" t="s">
        <v>160</v>
      </c>
      <c r="E1649" s="23">
        <v>703926.17</v>
      </c>
      <c r="F1649" s="23">
        <v>274998.81</v>
      </c>
      <c r="G1649" s="23">
        <v>126833.37</v>
      </c>
      <c r="H1649" s="23">
        <v>147223.37</v>
      </c>
    </row>
    <row r="1650" spans="1:8" x14ac:dyDescent="0.35">
      <c r="A1650">
        <v>2006</v>
      </c>
      <c r="B1650" t="s">
        <v>170</v>
      </c>
      <c r="C1650" t="s">
        <v>154</v>
      </c>
      <c r="D1650" t="s">
        <v>160</v>
      </c>
      <c r="E1650" s="23">
        <v>1980395.22</v>
      </c>
      <c r="F1650" s="23">
        <v>3493427.68</v>
      </c>
      <c r="G1650" s="23">
        <v>183149.63</v>
      </c>
      <c r="H1650" s="23">
        <v>828838.74</v>
      </c>
    </row>
    <row r="1651" spans="1:8" x14ac:dyDescent="0.35">
      <c r="A1651">
        <v>2006</v>
      </c>
      <c r="B1651" t="s">
        <v>299</v>
      </c>
      <c r="C1651" t="s">
        <v>154</v>
      </c>
      <c r="D1651" t="s">
        <v>158</v>
      </c>
      <c r="E1651" s="23">
        <v>0</v>
      </c>
      <c r="F1651" s="23">
        <v>0</v>
      </c>
      <c r="G1651" s="23">
        <v>1390.89</v>
      </c>
      <c r="H1651" s="23">
        <v>22046.11</v>
      </c>
    </row>
    <row r="1652" spans="1:8" x14ac:dyDescent="0.35">
      <c r="A1652">
        <v>2006</v>
      </c>
      <c r="B1652" t="s">
        <v>174</v>
      </c>
      <c r="C1652" t="s">
        <v>154</v>
      </c>
      <c r="D1652" t="s">
        <v>160</v>
      </c>
      <c r="E1652" s="23">
        <v>0.01</v>
      </c>
      <c r="F1652" s="23">
        <v>0</v>
      </c>
      <c r="G1652" s="23">
        <v>0</v>
      </c>
      <c r="H1652" s="23">
        <v>0</v>
      </c>
    </row>
    <row r="1653" spans="1:8" x14ac:dyDescent="0.35">
      <c r="A1653">
        <v>2006</v>
      </c>
      <c r="B1653" t="s">
        <v>177</v>
      </c>
      <c r="C1653" t="s">
        <v>154</v>
      </c>
      <c r="D1653" t="s">
        <v>160</v>
      </c>
      <c r="E1653" s="23">
        <v>3390598.55</v>
      </c>
      <c r="F1653" s="23">
        <v>8125030.5300000003</v>
      </c>
      <c r="G1653" s="23">
        <v>279923.06</v>
      </c>
      <c r="H1653" s="23">
        <v>0</v>
      </c>
    </row>
    <row r="1654" spans="1:8" x14ac:dyDescent="0.35">
      <c r="A1654">
        <v>2006</v>
      </c>
      <c r="B1654" t="s">
        <v>178</v>
      </c>
      <c r="C1654" t="s">
        <v>154</v>
      </c>
      <c r="D1654" t="s">
        <v>155</v>
      </c>
      <c r="E1654" s="23">
        <v>272463.11</v>
      </c>
      <c r="F1654" s="23">
        <v>2161887.4</v>
      </c>
      <c r="G1654" s="23">
        <v>185692.6</v>
      </c>
      <c r="H1654" s="23">
        <v>2143138.04</v>
      </c>
    </row>
    <row r="1655" spans="1:8" x14ac:dyDescent="0.35">
      <c r="A1655">
        <v>2006</v>
      </c>
      <c r="B1655" t="s">
        <v>180</v>
      </c>
      <c r="C1655" t="s">
        <v>154</v>
      </c>
      <c r="D1655" t="s">
        <v>160</v>
      </c>
      <c r="E1655" s="23">
        <v>272272.8</v>
      </c>
      <c r="F1655" s="23">
        <v>66677.94</v>
      </c>
      <c r="G1655" s="23">
        <v>24268.74</v>
      </c>
      <c r="H1655" s="23">
        <v>63117.94</v>
      </c>
    </row>
    <row r="1656" spans="1:8" x14ac:dyDescent="0.35">
      <c r="A1656">
        <v>2006</v>
      </c>
      <c r="B1656" t="s">
        <v>181</v>
      </c>
      <c r="C1656" t="s">
        <v>154</v>
      </c>
      <c r="D1656" t="s">
        <v>155</v>
      </c>
      <c r="E1656" s="23">
        <v>1848691.98</v>
      </c>
      <c r="F1656" s="23">
        <v>9253786.7599999998</v>
      </c>
      <c r="G1656" s="23">
        <v>516406.99</v>
      </c>
      <c r="H1656" s="23">
        <v>84660.15</v>
      </c>
    </row>
    <row r="1657" spans="1:8" x14ac:dyDescent="0.35">
      <c r="A1657">
        <v>2006</v>
      </c>
      <c r="B1657" t="s">
        <v>184</v>
      </c>
      <c r="C1657" t="s">
        <v>154</v>
      </c>
      <c r="D1657" t="s">
        <v>155</v>
      </c>
      <c r="E1657" s="23">
        <v>8853366.7200000007</v>
      </c>
      <c r="F1657" s="23">
        <v>11393567.6</v>
      </c>
      <c r="G1657" s="23">
        <v>3210139.5</v>
      </c>
      <c r="H1657" s="23">
        <v>756023.76</v>
      </c>
    </row>
    <row r="1658" spans="1:8" x14ac:dyDescent="0.35">
      <c r="A1658">
        <v>2006</v>
      </c>
      <c r="B1658" t="s">
        <v>186</v>
      </c>
      <c r="C1658" t="s">
        <v>154</v>
      </c>
      <c r="D1658" t="s">
        <v>158</v>
      </c>
      <c r="E1658" s="23">
        <v>3974369.67</v>
      </c>
      <c r="F1658" s="23">
        <v>3112323.43</v>
      </c>
      <c r="G1658" s="23">
        <v>575838.9</v>
      </c>
      <c r="H1658" s="23">
        <v>1105839.04</v>
      </c>
    </row>
    <row r="1659" spans="1:8" x14ac:dyDescent="0.35">
      <c r="A1659">
        <v>2006</v>
      </c>
      <c r="B1659" t="s">
        <v>189</v>
      </c>
      <c r="C1659" t="s">
        <v>154</v>
      </c>
      <c r="D1659" t="s">
        <v>158</v>
      </c>
      <c r="E1659" s="23">
        <v>2651442</v>
      </c>
      <c r="F1659" s="23">
        <v>7805304.1600000001</v>
      </c>
      <c r="G1659" s="23">
        <v>303236.84000000003</v>
      </c>
      <c r="H1659" s="23">
        <v>2865017.3</v>
      </c>
    </row>
    <row r="1660" spans="1:8" x14ac:dyDescent="0.35">
      <c r="A1660">
        <v>2006</v>
      </c>
      <c r="B1660" t="s">
        <v>300</v>
      </c>
      <c r="C1660" t="s">
        <v>154</v>
      </c>
      <c r="D1660" t="s">
        <v>158</v>
      </c>
      <c r="E1660" s="23">
        <v>68216.91</v>
      </c>
      <c r="F1660" s="23">
        <v>0</v>
      </c>
      <c r="G1660" s="23">
        <v>0</v>
      </c>
      <c r="H1660" s="23">
        <v>0</v>
      </c>
    </row>
    <row r="1661" spans="1:8" x14ac:dyDescent="0.35">
      <c r="A1661">
        <v>2006</v>
      </c>
      <c r="B1661" t="s">
        <v>192</v>
      </c>
      <c r="C1661" t="s">
        <v>154</v>
      </c>
      <c r="D1661" t="s">
        <v>160</v>
      </c>
      <c r="E1661" s="23">
        <v>500967.89</v>
      </c>
      <c r="F1661" s="23">
        <v>831006.34</v>
      </c>
      <c r="G1661" s="23">
        <v>301897.83</v>
      </c>
      <c r="H1661" s="23">
        <v>728476.18</v>
      </c>
    </row>
    <row r="1662" spans="1:8" x14ac:dyDescent="0.35">
      <c r="A1662">
        <v>2006</v>
      </c>
      <c r="B1662" t="s">
        <v>197</v>
      </c>
      <c r="C1662" t="s">
        <v>154</v>
      </c>
      <c r="D1662" t="s">
        <v>160</v>
      </c>
      <c r="E1662" s="23">
        <v>205985.36</v>
      </c>
      <c r="F1662" s="23">
        <v>607919.57999999996</v>
      </c>
      <c r="G1662" s="23">
        <v>108554.6</v>
      </c>
      <c r="H1662" s="23">
        <v>264994.84000000003</v>
      </c>
    </row>
    <row r="1663" spans="1:8" x14ac:dyDescent="0.35">
      <c r="A1663">
        <v>2006</v>
      </c>
      <c r="B1663" t="s">
        <v>198</v>
      </c>
      <c r="C1663" t="s">
        <v>154</v>
      </c>
      <c r="D1663" t="s">
        <v>160</v>
      </c>
      <c r="E1663" s="23">
        <v>3160665.8</v>
      </c>
      <c r="F1663" s="23">
        <v>10511102.82</v>
      </c>
      <c r="G1663" s="23">
        <v>666383.53</v>
      </c>
      <c r="H1663" s="23">
        <v>2509733.52</v>
      </c>
    </row>
    <row r="1664" spans="1:8" x14ac:dyDescent="0.35">
      <c r="A1664">
        <v>2006</v>
      </c>
      <c r="B1664" t="s">
        <v>199</v>
      </c>
      <c r="C1664" t="s">
        <v>154</v>
      </c>
      <c r="D1664" t="s">
        <v>160</v>
      </c>
      <c r="E1664" s="23">
        <v>1502636.77</v>
      </c>
      <c r="F1664" s="23">
        <v>2157128.75</v>
      </c>
      <c r="G1664" s="23">
        <v>71015.31</v>
      </c>
      <c r="H1664" s="23">
        <v>237348.3</v>
      </c>
    </row>
    <row r="1665" spans="1:8" x14ac:dyDescent="0.35">
      <c r="A1665">
        <v>2006</v>
      </c>
      <c r="B1665" t="s">
        <v>201</v>
      </c>
      <c r="C1665" t="s">
        <v>154</v>
      </c>
      <c r="D1665" t="s">
        <v>160</v>
      </c>
      <c r="E1665" s="23">
        <v>0</v>
      </c>
      <c r="F1665" s="23">
        <v>0</v>
      </c>
      <c r="G1665" s="23">
        <v>2297861.5099999998</v>
      </c>
      <c r="H1665" s="23">
        <v>853163.2</v>
      </c>
    </row>
    <row r="1666" spans="1:8" x14ac:dyDescent="0.35">
      <c r="A1666">
        <v>2006</v>
      </c>
      <c r="B1666" t="s">
        <v>202</v>
      </c>
      <c r="C1666" t="s">
        <v>154</v>
      </c>
      <c r="D1666" t="s">
        <v>155</v>
      </c>
      <c r="E1666" s="23">
        <v>3845919.5</v>
      </c>
      <c r="F1666" s="23">
        <v>10725548.27</v>
      </c>
      <c r="G1666" s="23">
        <v>738456.93</v>
      </c>
      <c r="H1666" s="23">
        <v>975075</v>
      </c>
    </row>
    <row r="1667" spans="1:8" x14ac:dyDescent="0.35">
      <c r="A1667">
        <v>2006</v>
      </c>
      <c r="B1667" t="s">
        <v>203</v>
      </c>
      <c r="C1667" t="s">
        <v>154</v>
      </c>
      <c r="D1667" t="s">
        <v>160</v>
      </c>
      <c r="E1667" s="23">
        <v>1255467.52</v>
      </c>
      <c r="F1667" s="23">
        <v>1782232.35</v>
      </c>
      <c r="G1667" s="23">
        <v>33398.160000000003</v>
      </c>
      <c r="H1667" s="23">
        <v>1011747.94</v>
      </c>
    </row>
    <row r="1668" spans="1:8" x14ac:dyDescent="0.35">
      <c r="A1668">
        <v>2006</v>
      </c>
      <c r="B1668" t="s">
        <v>204</v>
      </c>
      <c r="C1668" t="s">
        <v>154</v>
      </c>
      <c r="D1668" t="s">
        <v>158</v>
      </c>
      <c r="E1668" s="23">
        <v>2876755.03</v>
      </c>
      <c r="F1668" s="23">
        <v>3930427.91</v>
      </c>
      <c r="G1668" s="23">
        <v>957904.76</v>
      </c>
      <c r="H1668" s="23">
        <v>1709884.65</v>
      </c>
    </row>
    <row r="1669" spans="1:8" x14ac:dyDescent="0.35">
      <c r="A1669">
        <v>2006</v>
      </c>
      <c r="B1669" t="s">
        <v>205</v>
      </c>
      <c r="C1669" t="s">
        <v>154</v>
      </c>
      <c r="D1669" t="s">
        <v>160</v>
      </c>
      <c r="E1669" s="23">
        <v>237273.36</v>
      </c>
      <c r="F1669" s="23">
        <v>97413.74</v>
      </c>
      <c r="G1669" s="23">
        <v>136320.63</v>
      </c>
      <c r="H1669" s="23">
        <v>96413.74</v>
      </c>
    </row>
    <row r="1670" spans="1:8" x14ac:dyDescent="0.35">
      <c r="A1670">
        <v>2006</v>
      </c>
      <c r="B1670" t="s">
        <v>206</v>
      </c>
      <c r="C1670" t="s">
        <v>154</v>
      </c>
      <c r="D1670" t="s">
        <v>158</v>
      </c>
      <c r="E1670" s="23">
        <v>548136.17000000004</v>
      </c>
      <c r="F1670" s="23">
        <v>692368.87</v>
      </c>
      <c r="G1670" s="23">
        <v>18154.98</v>
      </c>
      <c r="H1670" s="23">
        <v>103930.47</v>
      </c>
    </row>
    <row r="1671" spans="1:8" x14ac:dyDescent="0.35">
      <c r="A1671">
        <v>2006</v>
      </c>
      <c r="B1671" t="s">
        <v>209</v>
      </c>
      <c r="C1671" t="s">
        <v>154</v>
      </c>
      <c r="D1671" t="s">
        <v>158</v>
      </c>
      <c r="E1671" s="23">
        <v>6702364.5099999998</v>
      </c>
      <c r="F1671" s="23">
        <v>3015950.74</v>
      </c>
      <c r="G1671" s="23">
        <v>1948698.18</v>
      </c>
      <c r="H1671" s="23">
        <v>1419138.52</v>
      </c>
    </row>
    <row r="1672" spans="1:8" x14ac:dyDescent="0.35">
      <c r="A1672">
        <v>2006</v>
      </c>
      <c r="B1672" t="s">
        <v>210</v>
      </c>
      <c r="C1672" t="s">
        <v>154</v>
      </c>
      <c r="D1672" t="s">
        <v>158</v>
      </c>
      <c r="E1672" s="23">
        <v>943582.56</v>
      </c>
      <c r="F1672" s="23">
        <v>341456.28</v>
      </c>
      <c r="G1672" s="23">
        <v>12743.18</v>
      </c>
      <c r="H1672" s="23">
        <v>173957.15</v>
      </c>
    </row>
    <row r="1673" spans="1:8" x14ac:dyDescent="0.35">
      <c r="A1673">
        <v>2006</v>
      </c>
      <c r="B1673" t="s">
        <v>215</v>
      </c>
      <c r="C1673" t="s">
        <v>154</v>
      </c>
      <c r="D1673" t="s">
        <v>160</v>
      </c>
      <c r="E1673" s="23">
        <v>0</v>
      </c>
      <c r="F1673" s="23">
        <v>0</v>
      </c>
      <c r="G1673" s="23">
        <v>14738.06</v>
      </c>
      <c r="H1673" s="23">
        <v>8247</v>
      </c>
    </row>
    <row r="1674" spans="1:8" x14ac:dyDescent="0.35">
      <c r="A1674">
        <v>2006</v>
      </c>
      <c r="B1674" t="s">
        <v>221</v>
      </c>
      <c r="C1674" t="s">
        <v>154</v>
      </c>
      <c r="D1674" t="s">
        <v>165</v>
      </c>
      <c r="E1674" s="23">
        <v>2120040.8199999998</v>
      </c>
      <c r="F1674" s="23">
        <v>1554660.56</v>
      </c>
      <c r="G1674" s="23">
        <v>567542.72</v>
      </c>
      <c r="H1674" s="23">
        <v>1366738.32</v>
      </c>
    </row>
    <row r="1675" spans="1:8" x14ac:dyDescent="0.35">
      <c r="A1675">
        <v>2006</v>
      </c>
      <c r="B1675" t="s">
        <v>223</v>
      </c>
      <c r="C1675" t="s">
        <v>163</v>
      </c>
      <c r="D1675" t="s">
        <v>160</v>
      </c>
      <c r="E1675" s="23">
        <v>288190.19</v>
      </c>
      <c r="F1675" s="23">
        <v>215988.26</v>
      </c>
      <c r="G1675" s="23">
        <v>109340.27</v>
      </c>
      <c r="H1675" s="23">
        <v>131730.72</v>
      </c>
    </row>
    <row r="1676" spans="1:8" x14ac:dyDescent="0.35">
      <c r="A1676">
        <v>2006</v>
      </c>
      <c r="B1676" t="s">
        <v>224</v>
      </c>
      <c r="C1676" t="s">
        <v>154</v>
      </c>
      <c r="D1676" t="s">
        <v>158</v>
      </c>
      <c r="E1676" s="23">
        <v>1244346.1200000001</v>
      </c>
      <c r="F1676" s="23">
        <v>2351550.5499999998</v>
      </c>
      <c r="G1676" s="23">
        <v>31003</v>
      </c>
      <c r="H1676" s="23">
        <v>0</v>
      </c>
    </row>
    <row r="1677" spans="1:8" x14ac:dyDescent="0.35">
      <c r="A1677">
        <v>2006</v>
      </c>
      <c r="B1677" t="s">
        <v>225</v>
      </c>
      <c r="C1677" t="s">
        <v>154</v>
      </c>
      <c r="D1677" t="s">
        <v>160</v>
      </c>
      <c r="E1677" s="23">
        <v>0</v>
      </c>
      <c r="F1677" s="23">
        <v>0</v>
      </c>
      <c r="G1677" s="23">
        <v>53596</v>
      </c>
      <c r="H1677" s="23">
        <v>25460</v>
      </c>
    </row>
    <row r="1678" spans="1:8" x14ac:dyDescent="0.35">
      <c r="A1678">
        <v>2006</v>
      </c>
      <c r="B1678" t="s">
        <v>226</v>
      </c>
      <c r="C1678" t="s">
        <v>154</v>
      </c>
      <c r="D1678" t="s">
        <v>155</v>
      </c>
      <c r="E1678" s="23">
        <v>0</v>
      </c>
      <c r="F1678" s="23">
        <v>0</v>
      </c>
      <c r="G1678" s="23">
        <v>28812.93</v>
      </c>
      <c r="H1678" s="23">
        <v>759512.57</v>
      </c>
    </row>
    <row r="1679" spans="1:8" x14ac:dyDescent="0.35">
      <c r="A1679">
        <v>2006</v>
      </c>
      <c r="B1679" t="s">
        <v>227</v>
      </c>
      <c r="C1679" t="s">
        <v>154</v>
      </c>
      <c r="D1679" t="s">
        <v>158</v>
      </c>
      <c r="E1679" s="23">
        <v>0</v>
      </c>
      <c r="F1679" s="23">
        <v>0</v>
      </c>
      <c r="G1679" s="23">
        <v>163047.74</v>
      </c>
      <c r="H1679" s="23">
        <v>808763.2</v>
      </c>
    </row>
    <row r="1680" spans="1:8" x14ac:dyDescent="0.35">
      <c r="A1680">
        <v>2006</v>
      </c>
      <c r="B1680" t="s">
        <v>232</v>
      </c>
      <c r="C1680" t="s">
        <v>154</v>
      </c>
      <c r="D1680" t="s">
        <v>165</v>
      </c>
      <c r="E1680" s="23">
        <v>1058911.7</v>
      </c>
      <c r="F1680" s="23">
        <v>642335.28</v>
      </c>
      <c r="G1680" s="23">
        <v>778215.92</v>
      </c>
      <c r="H1680" s="23">
        <v>426532.16</v>
      </c>
    </row>
    <row r="1681" spans="1:8" x14ac:dyDescent="0.35">
      <c r="A1681">
        <v>2006</v>
      </c>
      <c r="B1681" t="s">
        <v>233</v>
      </c>
      <c r="C1681" t="s">
        <v>154</v>
      </c>
      <c r="D1681" t="s">
        <v>155</v>
      </c>
      <c r="E1681" s="23">
        <v>1904579.66</v>
      </c>
      <c r="F1681" s="23">
        <v>2323166.0099999998</v>
      </c>
      <c r="G1681" s="23">
        <v>259770.75</v>
      </c>
      <c r="H1681" s="23">
        <v>200283.59</v>
      </c>
    </row>
    <row r="1682" spans="1:8" x14ac:dyDescent="0.35">
      <c r="A1682">
        <v>2006</v>
      </c>
      <c r="B1682" t="s">
        <v>234</v>
      </c>
      <c r="C1682" t="s">
        <v>154</v>
      </c>
      <c r="D1682" t="s">
        <v>160</v>
      </c>
      <c r="E1682" s="23">
        <v>8173032.6299999999</v>
      </c>
      <c r="F1682" s="23">
        <v>14028287.109999999</v>
      </c>
      <c r="G1682" s="23">
        <v>6416546.46</v>
      </c>
      <c r="H1682" s="23">
        <v>1350019.9</v>
      </c>
    </row>
    <row r="1683" spans="1:8" x14ac:dyDescent="0.35">
      <c r="A1683">
        <v>2006</v>
      </c>
      <c r="B1683" t="s">
        <v>235</v>
      </c>
      <c r="C1683" t="s">
        <v>154</v>
      </c>
      <c r="D1683" t="s">
        <v>160</v>
      </c>
      <c r="E1683" s="23">
        <v>324035.48</v>
      </c>
      <c r="F1683" s="23">
        <v>1792153.87</v>
      </c>
      <c r="G1683" s="23">
        <v>296795.28999999998</v>
      </c>
      <c r="H1683" s="23">
        <v>1790582.67</v>
      </c>
    </row>
    <row r="1684" spans="1:8" x14ac:dyDescent="0.35">
      <c r="A1684">
        <v>2006</v>
      </c>
      <c r="B1684" t="s">
        <v>236</v>
      </c>
      <c r="C1684" t="s">
        <v>154</v>
      </c>
      <c r="D1684" t="s">
        <v>160</v>
      </c>
      <c r="E1684" s="23">
        <v>217217.79</v>
      </c>
      <c r="F1684" s="23">
        <v>918134.1</v>
      </c>
      <c r="G1684" s="23">
        <v>19881.830000000002</v>
      </c>
      <c r="H1684" s="23">
        <v>18999.22</v>
      </c>
    </row>
    <row r="1685" spans="1:8" x14ac:dyDescent="0.35">
      <c r="A1685">
        <v>2006</v>
      </c>
      <c r="B1685" t="s">
        <v>238</v>
      </c>
      <c r="C1685" t="s">
        <v>154</v>
      </c>
      <c r="D1685" t="s">
        <v>155</v>
      </c>
      <c r="E1685" s="23">
        <v>0</v>
      </c>
      <c r="F1685" s="23">
        <v>0</v>
      </c>
      <c r="G1685" s="23">
        <v>672217.91</v>
      </c>
      <c r="H1685" s="23">
        <v>1671250.43</v>
      </c>
    </row>
    <row r="1686" spans="1:8" x14ac:dyDescent="0.35">
      <c r="A1686">
        <v>2006</v>
      </c>
      <c r="B1686" t="s">
        <v>239</v>
      </c>
      <c r="C1686" t="s">
        <v>154</v>
      </c>
      <c r="D1686" t="s">
        <v>158</v>
      </c>
      <c r="E1686" s="23">
        <v>3848085.36</v>
      </c>
      <c r="F1686" s="23">
        <v>1597221.69</v>
      </c>
      <c r="G1686" s="23">
        <v>21665.7</v>
      </c>
      <c r="H1686" s="23">
        <v>127983.6</v>
      </c>
    </row>
    <row r="1687" spans="1:8" x14ac:dyDescent="0.35">
      <c r="A1687">
        <v>2006</v>
      </c>
      <c r="B1687" t="s">
        <v>243</v>
      </c>
      <c r="C1687" t="s">
        <v>154</v>
      </c>
      <c r="D1687" t="s">
        <v>165</v>
      </c>
      <c r="E1687" s="23">
        <v>4683277.66</v>
      </c>
      <c r="F1687" s="23">
        <v>5385471.8899999997</v>
      </c>
      <c r="G1687" s="23">
        <v>2755370.86</v>
      </c>
      <c r="H1687" s="23">
        <v>1174468.8899999999</v>
      </c>
    </row>
    <row r="1688" spans="1:8" x14ac:dyDescent="0.35">
      <c r="A1688">
        <v>2006</v>
      </c>
      <c r="B1688" t="s">
        <v>247</v>
      </c>
      <c r="C1688" t="s">
        <v>154</v>
      </c>
      <c r="D1688" t="s">
        <v>160</v>
      </c>
      <c r="E1688" s="23">
        <v>21027111.239999998</v>
      </c>
      <c r="F1688" s="23">
        <v>17634801.140000001</v>
      </c>
      <c r="G1688" s="23">
        <v>12853819.460000001</v>
      </c>
      <c r="H1688" s="23">
        <v>9737833.7100000009</v>
      </c>
    </row>
    <row r="1689" spans="1:8" x14ac:dyDescent="0.35">
      <c r="A1689">
        <v>2006</v>
      </c>
      <c r="B1689" t="s">
        <v>249</v>
      </c>
      <c r="C1689" t="s">
        <v>154</v>
      </c>
      <c r="D1689" t="s">
        <v>160</v>
      </c>
      <c r="E1689" s="23">
        <v>5752603.6600000001</v>
      </c>
      <c r="F1689" s="23">
        <v>8644268.0800000001</v>
      </c>
      <c r="G1689" s="23">
        <v>1113041.8999999999</v>
      </c>
      <c r="H1689" s="23">
        <v>1627914.78</v>
      </c>
    </row>
    <row r="1690" spans="1:8" x14ac:dyDescent="0.35">
      <c r="A1690">
        <v>2006</v>
      </c>
      <c r="B1690" t="s">
        <v>252</v>
      </c>
      <c r="C1690" t="s">
        <v>154</v>
      </c>
      <c r="D1690" t="s">
        <v>160</v>
      </c>
      <c r="E1690" s="23">
        <v>0</v>
      </c>
      <c r="F1690" s="23">
        <v>0</v>
      </c>
      <c r="G1690" s="23">
        <v>202702.44</v>
      </c>
      <c r="H1690" s="23">
        <v>32340.54</v>
      </c>
    </row>
    <row r="1691" spans="1:8" x14ac:dyDescent="0.35">
      <c r="A1691">
        <v>2006</v>
      </c>
      <c r="B1691" t="s">
        <v>253</v>
      </c>
      <c r="C1691" t="s">
        <v>154</v>
      </c>
      <c r="D1691" t="s">
        <v>160</v>
      </c>
      <c r="E1691" s="23">
        <v>0</v>
      </c>
      <c r="F1691" s="23">
        <v>0</v>
      </c>
      <c r="G1691" s="23">
        <v>361958.21</v>
      </c>
      <c r="H1691" s="23">
        <v>199350.28</v>
      </c>
    </row>
    <row r="1692" spans="1:8" x14ac:dyDescent="0.35">
      <c r="A1692">
        <v>2006</v>
      </c>
      <c r="B1692" t="s">
        <v>257</v>
      </c>
      <c r="C1692" t="s">
        <v>154</v>
      </c>
      <c r="D1692" t="s">
        <v>160</v>
      </c>
      <c r="E1692" s="23">
        <v>308089.11</v>
      </c>
      <c r="F1692" s="23">
        <v>248644.15</v>
      </c>
      <c r="G1692" s="23">
        <v>133211.78</v>
      </c>
      <c r="H1692" s="23">
        <v>13470.01</v>
      </c>
    </row>
    <row r="1693" spans="1:8" x14ac:dyDescent="0.35">
      <c r="A1693">
        <v>2006</v>
      </c>
      <c r="B1693" t="s">
        <v>258</v>
      </c>
      <c r="C1693" t="s">
        <v>154</v>
      </c>
      <c r="D1693" t="s">
        <v>160</v>
      </c>
      <c r="E1693" s="23">
        <v>4529131.12</v>
      </c>
      <c r="F1693" s="23">
        <v>759619.5</v>
      </c>
      <c r="G1693" s="23">
        <v>964055.03</v>
      </c>
      <c r="H1693" s="23">
        <v>454975.54</v>
      </c>
    </row>
    <row r="1694" spans="1:8" x14ac:dyDescent="0.35">
      <c r="A1694">
        <v>2006</v>
      </c>
      <c r="B1694" t="s">
        <v>261</v>
      </c>
      <c r="C1694" t="s">
        <v>154</v>
      </c>
      <c r="D1694" t="s">
        <v>158</v>
      </c>
      <c r="E1694" s="23">
        <v>671949.93</v>
      </c>
      <c r="F1694" s="23">
        <v>221596.97</v>
      </c>
      <c r="G1694" s="23">
        <v>630</v>
      </c>
      <c r="H1694" s="23">
        <v>27844</v>
      </c>
    </row>
    <row r="1695" spans="1:8" x14ac:dyDescent="0.35">
      <c r="A1695">
        <v>2006</v>
      </c>
      <c r="B1695" t="s">
        <v>262</v>
      </c>
      <c r="C1695" t="s">
        <v>154</v>
      </c>
      <c r="D1695" t="s">
        <v>155</v>
      </c>
      <c r="E1695" s="23">
        <v>223173.55</v>
      </c>
      <c r="F1695" s="23">
        <v>1018217.73</v>
      </c>
      <c r="G1695" s="23">
        <v>53759.8</v>
      </c>
      <c r="H1695" s="23">
        <v>5872.16</v>
      </c>
    </row>
    <row r="1696" spans="1:8" x14ac:dyDescent="0.35">
      <c r="A1696">
        <v>2006</v>
      </c>
      <c r="B1696" t="s">
        <v>264</v>
      </c>
      <c r="C1696" t="s">
        <v>154</v>
      </c>
      <c r="D1696" t="s">
        <v>160</v>
      </c>
      <c r="E1696" s="23">
        <v>934909.6</v>
      </c>
      <c r="F1696" s="23">
        <v>297885.5</v>
      </c>
      <c r="G1696" s="23">
        <v>496650</v>
      </c>
      <c r="H1696" s="23">
        <v>155350</v>
      </c>
    </row>
    <row r="1697" spans="1:8" x14ac:dyDescent="0.35">
      <c r="A1697">
        <v>2006</v>
      </c>
      <c r="B1697" t="s">
        <v>266</v>
      </c>
      <c r="C1697" t="s">
        <v>154</v>
      </c>
      <c r="D1697" t="s">
        <v>158</v>
      </c>
      <c r="E1697" s="23">
        <v>884429</v>
      </c>
      <c r="F1697" s="23">
        <v>238116.7</v>
      </c>
      <c r="G1697" s="23">
        <v>0</v>
      </c>
      <c r="H1697" s="23">
        <v>0</v>
      </c>
    </row>
    <row r="1698" spans="1:8" x14ac:dyDescent="0.35">
      <c r="A1698">
        <v>2006</v>
      </c>
      <c r="B1698" t="s">
        <v>267</v>
      </c>
      <c r="C1698" t="s">
        <v>154</v>
      </c>
      <c r="D1698" t="s">
        <v>160</v>
      </c>
      <c r="E1698" s="23">
        <v>433387.3</v>
      </c>
      <c r="F1698" s="23">
        <v>550643.01</v>
      </c>
      <c r="G1698" s="23">
        <v>115809.51</v>
      </c>
      <c r="H1698" s="23">
        <v>107994.95</v>
      </c>
    </row>
    <row r="1699" spans="1:8" x14ac:dyDescent="0.35">
      <c r="A1699">
        <v>2006</v>
      </c>
      <c r="B1699" t="s">
        <v>298</v>
      </c>
      <c r="C1699" t="s">
        <v>154</v>
      </c>
      <c r="D1699" t="s">
        <v>160</v>
      </c>
      <c r="E1699" s="23">
        <v>244471.92</v>
      </c>
      <c r="F1699" s="23">
        <v>2362272.83</v>
      </c>
      <c r="G1699" s="23">
        <v>173462.95</v>
      </c>
      <c r="H1699" s="23">
        <v>863227.15</v>
      </c>
    </row>
    <row r="1700" spans="1:8" x14ac:dyDescent="0.35">
      <c r="A1700">
        <v>2006</v>
      </c>
      <c r="B1700" t="s">
        <v>268</v>
      </c>
      <c r="C1700" t="s">
        <v>154</v>
      </c>
      <c r="D1700" t="s">
        <v>160</v>
      </c>
      <c r="E1700" s="23">
        <v>0</v>
      </c>
      <c r="F1700" s="23">
        <v>0</v>
      </c>
      <c r="G1700" s="23">
        <v>22959.919999999998</v>
      </c>
      <c r="H1700" s="23">
        <v>15152.08</v>
      </c>
    </row>
    <row r="1701" spans="1:8" x14ac:dyDescent="0.35">
      <c r="A1701">
        <v>2006</v>
      </c>
      <c r="B1701" t="s">
        <v>272</v>
      </c>
      <c r="C1701" t="s">
        <v>154</v>
      </c>
      <c r="D1701" t="s">
        <v>160</v>
      </c>
      <c r="E1701" s="23">
        <v>250019.49</v>
      </c>
      <c r="F1701" s="23">
        <v>223809.88</v>
      </c>
      <c r="G1701" s="23">
        <v>135148.18</v>
      </c>
      <c r="H1701" s="23">
        <v>48479.23</v>
      </c>
    </row>
    <row r="1702" spans="1:8" x14ac:dyDescent="0.35">
      <c r="A1702">
        <v>2006</v>
      </c>
      <c r="B1702" t="s">
        <v>273</v>
      </c>
      <c r="C1702" t="s">
        <v>154</v>
      </c>
      <c r="D1702" t="s">
        <v>155</v>
      </c>
      <c r="E1702" s="23">
        <v>1589194.48</v>
      </c>
      <c r="F1702" s="23">
        <v>488937.06</v>
      </c>
      <c r="G1702" s="23">
        <v>641668.75</v>
      </c>
      <c r="H1702" s="23">
        <v>260064.55</v>
      </c>
    </row>
    <row r="1703" spans="1:8" x14ac:dyDescent="0.35">
      <c r="A1703">
        <v>2006</v>
      </c>
      <c r="B1703" t="s">
        <v>275</v>
      </c>
      <c r="C1703" t="s">
        <v>154</v>
      </c>
      <c r="D1703" t="s">
        <v>160</v>
      </c>
      <c r="E1703" s="23">
        <v>0</v>
      </c>
      <c r="F1703" s="23">
        <v>0</v>
      </c>
      <c r="G1703" s="23">
        <v>129227.73</v>
      </c>
      <c r="H1703" s="23">
        <v>286346.40999999997</v>
      </c>
    </row>
    <row r="1704" spans="1:8" x14ac:dyDescent="0.35">
      <c r="A1704">
        <v>2006</v>
      </c>
      <c r="B1704" t="s">
        <v>278</v>
      </c>
      <c r="C1704" t="s">
        <v>154</v>
      </c>
      <c r="D1704" t="s">
        <v>155</v>
      </c>
      <c r="E1704" s="23">
        <v>48785.01</v>
      </c>
      <c r="F1704" s="23">
        <v>62546.92</v>
      </c>
      <c r="G1704" s="23">
        <v>-28098.75</v>
      </c>
      <c r="H1704" s="23">
        <v>19121.919999999998</v>
      </c>
    </row>
    <row r="1705" spans="1:8" x14ac:dyDescent="0.35">
      <c r="A1705">
        <v>2006</v>
      </c>
      <c r="B1705" t="s">
        <v>279</v>
      </c>
      <c r="C1705" t="s">
        <v>154</v>
      </c>
      <c r="D1705" t="s">
        <v>155</v>
      </c>
      <c r="E1705" s="23">
        <v>701309.38</v>
      </c>
      <c r="F1705" s="23">
        <v>1425370.06</v>
      </c>
      <c r="G1705" s="23">
        <v>379901.5</v>
      </c>
      <c r="H1705" s="23">
        <v>611908.47</v>
      </c>
    </row>
    <row r="1706" spans="1:8" x14ac:dyDescent="0.35">
      <c r="A1706">
        <v>2006</v>
      </c>
      <c r="B1706" t="s">
        <v>280</v>
      </c>
      <c r="C1706" t="s">
        <v>154</v>
      </c>
      <c r="D1706" t="s">
        <v>160</v>
      </c>
      <c r="E1706" s="23">
        <v>118442.56</v>
      </c>
      <c r="F1706" s="23">
        <v>164434.73000000001</v>
      </c>
      <c r="G1706" s="23">
        <v>72207.5</v>
      </c>
      <c r="H1706" s="23">
        <v>164434.73000000001</v>
      </c>
    </row>
    <row r="1707" spans="1:8" x14ac:dyDescent="0.35">
      <c r="A1707">
        <v>2006</v>
      </c>
      <c r="B1707" t="s">
        <v>282</v>
      </c>
      <c r="C1707" t="s">
        <v>154</v>
      </c>
      <c r="D1707" t="s">
        <v>160</v>
      </c>
      <c r="E1707" s="23">
        <v>5450083.04</v>
      </c>
      <c r="F1707" s="23">
        <v>1521744.81</v>
      </c>
      <c r="G1707" s="23">
        <v>1914701.94</v>
      </c>
      <c r="H1707" s="23">
        <v>254017.54</v>
      </c>
    </row>
    <row r="1708" spans="1:8" x14ac:dyDescent="0.35">
      <c r="A1708">
        <v>2006</v>
      </c>
      <c r="B1708" t="s">
        <v>285</v>
      </c>
      <c r="C1708" t="s">
        <v>154</v>
      </c>
      <c r="D1708" t="s">
        <v>155</v>
      </c>
      <c r="E1708" s="23">
        <v>2434742.91</v>
      </c>
      <c r="F1708" s="23">
        <v>5957561.7000000002</v>
      </c>
      <c r="G1708" s="23">
        <v>249627.66</v>
      </c>
      <c r="H1708" s="23">
        <v>74650.34</v>
      </c>
    </row>
    <row r="1709" spans="1:8" x14ac:dyDescent="0.35">
      <c r="A1709">
        <v>2006</v>
      </c>
      <c r="B1709" t="s">
        <v>287</v>
      </c>
      <c r="C1709" t="s">
        <v>154</v>
      </c>
      <c r="D1709" t="s">
        <v>158</v>
      </c>
      <c r="E1709" s="23">
        <v>1002401.54</v>
      </c>
      <c r="F1709" s="23">
        <v>6150194.7300000004</v>
      </c>
      <c r="G1709" s="23">
        <v>256466.35</v>
      </c>
      <c r="H1709" s="23">
        <v>1466104.86</v>
      </c>
    </row>
    <row r="1710" spans="1:8" x14ac:dyDescent="0.35">
      <c r="A1710">
        <v>2006</v>
      </c>
      <c r="B1710" t="s">
        <v>291</v>
      </c>
      <c r="C1710" t="s">
        <v>154</v>
      </c>
      <c r="D1710" t="s">
        <v>158</v>
      </c>
      <c r="E1710" s="23">
        <v>431894.4</v>
      </c>
      <c r="F1710" s="23">
        <v>372551.47</v>
      </c>
      <c r="G1710" s="23">
        <v>46954.07</v>
      </c>
      <c r="H1710" s="23">
        <v>109891.37</v>
      </c>
    </row>
    <row r="1711" spans="1:8" x14ac:dyDescent="0.35">
      <c r="A1711">
        <v>2006</v>
      </c>
      <c r="B1711" t="s">
        <v>296</v>
      </c>
      <c r="C1711" t="s">
        <v>154</v>
      </c>
      <c r="D1711" t="s">
        <v>155</v>
      </c>
      <c r="E1711" s="23">
        <v>1293216.92</v>
      </c>
      <c r="F1711" s="23">
        <v>1454177.62</v>
      </c>
      <c r="G1711" s="23">
        <v>305716.71999999997</v>
      </c>
      <c r="H1711" s="23">
        <v>684882.9</v>
      </c>
    </row>
    <row r="1712" spans="1:8" x14ac:dyDescent="0.35">
      <c r="A1712">
        <v>2006</v>
      </c>
      <c r="B1712" t="s">
        <v>295</v>
      </c>
      <c r="C1712" t="s">
        <v>154</v>
      </c>
      <c r="D1712" t="s">
        <v>158</v>
      </c>
      <c r="E1712" s="23">
        <v>11723272.02</v>
      </c>
      <c r="F1712" s="23">
        <v>26522217.969999999</v>
      </c>
      <c r="G1712" s="23">
        <v>357434.3</v>
      </c>
      <c r="H1712" s="23">
        <v>149204.43</v>
      </c>
    </row>
    <row r="1713" spans="1:8" x14ac:dyDescent="0.35">
      <c r="A1713">
        <v>2005</v>
      </c>
      <c r="B1713" t="s">
        <v>153</v>
      </c>
      <c r="C1713" t="s">
        <v>154</v>
      </c>
      <c r="D1713" t="s">
        <v>155</v>
      </c>
      <c r="E1713" s="23">
        <v>1025744.21</v>
      </c>
      <c r="F1713" s="23">
        <v>4429631.47</v>
      </c>
      <c r="G1713" s="23">
        <v>78572.800000000003</v>
      </c>
      <c r="H1713" s="23">
        <v>195016.86</v>
      </c>
    </row>
    <row r="1714" spans="1:8" x14ac:dyDescent="0.35">
      <c r="A1714">
        <v>2005</v>
      </c>
      <c r="B1714" t="s">
        <v>164</v>
      </c>
      <c r="C1714" t="s">
        <v>154</v>
      </c>
      <c r="D1714" t="s">
        <v>165</v>
      </c>
      <c r="E1714" s="23">
        <v>2117449.13</v>
      </c>
      <c r="F1714" s="23">
        <v>578795.94999999995</v>
      </c>
      <c r="G1714" s="23">
        <v>245494.86</v>
      </c>
      <c r="H1714" s="23">
        <v>26254.25</v>
      </c>
    </row>
    <row r="1715" spans="1:8" x14ac:dyDescent="0.35">
      <c r="A1715">
        <v>2005</v>
      </c>
      <c r="B1715" t="s">
        <v>167</v>
      </c>
      <c r="C1715" t="s">
        <v>154</v>
      </c>
      <c r="D1715" t="s">
        <v>155</v>
      </c>
      <c r="E1715" s="23">
        <v>1556085.02</v>
      </c>
      <c r="F1715" s="23">
        <v>1249111.94</v>
      </c>
      <c r="G1715" s="23">
        <v>400144.87</v>
      </c>
      <c r="H1715" s="23">
        <v>39917.03</v>
      </c>
    </row>
    <row r="1716" spans="1:8" x14ac:dyDescent="0.35">
      <c r="A1716">
        <v>2005</v>
      </c>
      <c r="B1716" t="s">
        <v>169</v>
      </c>
      <c r="C1716" t="s">
        <v>154</v>
      </c>
      <c r="D1716" t="s">
        <v>160</v>
      </c>
      <c r="E1716" s="23">
        <v>421618.35</v>
      </c>
      <c r="F1716" s="23">
        <v>641447.38</v>
      </c>
      <c r="G1716" s="23">
        <v>320563.32</v>
      </c>
      <c r="H1716" s="23">
        <v>639505.67000000004</v>
      </c>
    </row>
    <row r="1717" spans="1:8" x14ac:dyDescent="0.35">
      <c r="A1717">
        <v>2005</v>
      </c>
      <c r="B1717" t="s">
        <v>299</v>
      </c>
      <c r="C1717" t="s">
        <v>154</v>
      </c>
      <c r="D1717" t="s">
        <v>158</v>
      </c>
      <c r="E1717" s="23">
        <v>0</v>
      </c>
      <c r="F1717" s="23">
        <v>0</v>
      </c>
      <c r="G1717" s="23">
        <v>52422.18</v>
      </c>
      <c r="H1717" s="23">
        <v>472421.56</v>
      </c>
    </row>
    <row r="1718" spans="1:8" x14ac:dyDescent="0.35">
      <c r="A1718">
        <v>2005</v>
      </c>
      <c r="B1718" t="s">
        <v>177</v>
      </c>
      <c r="C1718" t="s">
        <v>154</v>
      </c>
      <c r="D1718" t="s">
        <v>160</v>
      </c>
      <c r="E1718" s="23">
        <v>899911.29</v>
      </c>
      <c r="F1718" s="23">
        <v>7702482.2400000002</v>
      </c>
      <c r="G1718" s="23">
        <v>14050.76</v>
      </c>
      <c r="H1718" s="23">
        <v>949.24</v>
      </c>
    </row>
    <row r="1719" spans="1:8" x14ac:dyDescent="0.35">
      <c r="A1719">
        <v>2005</v>
      </c>
      <c r="B1719" t="s">
        <v>178</v>
      </c>
      <c r="C1719" t="s">
        <v>154</v>
      </c>
      <c r="D1719" t="s">
        <v>155</v>
      </c>
      <c r="E1719" s="23">
        <v>852655.74</v>
      </c>
      <c r="F1719" s="23">
        <v>468438.44</v>
      </c>
      <c r="G1719" s="23">
        <v>336160.21</v>
      </c>
      <c r="H1719" s="23">
        <v>377165.75</v>
      </c>
    </row>
    <row r="1720" spans="1:8" x14ac:dyDescent="0.35">
      <c r="A1720">
        <v>2005</v>
      </c>
      <c r="B1720" t="s">
        <v>180</v>
      </c>
      <c r="C1720" t="s">
        <v>154</v>
      </c>
      <c r="D1720" t="s">
        <v>160</v>
      </c>
      <c r="E1720" s="23">
        <v>169464.18</v>
      </c>
      <c r="F1720" s="23">
        <v>33967.82</v>
      </c>
      <c r="G1720" s="23">
        <v>158254.18</v>
      </c>
      <c r="H1720" s="23">
        <v>33967.82</v>
      </c>
    </row>
    <row r="1721" spans="1:8" x14ac:dyDescent="0.35">
      <c r="A1721">
        <v>2005</v>
      </c>
      <c r="B1721" t="s">
        <v>181</v>
      </c>
      <c r="C1721" t="s">
        <v>154</v>
      </c>
      <c r="D1721" t="s">
        <v>155</v>
      </c>
      <c r="E1721" s="23">
        <v>1964611.54</v>
      </c>
      <c r="F1721" s="23">
        <v>2713210.19</v>
      </c>
      <c r="G1721" s="23">
        <v>91159</v>
      </c>
      <c r="H1721" s="23">
        <v>126419.5</v>
      </c>
    </row>
    <row r="1722" spans="1:8" x14ac:dyDescent="0.35">
      <c r="A1722">
        <v>2005</v>
      </c>
      <c r="B1722" t="s">
        <v>184</v>
      </c>
      <c r="C1722" t="s">
        <v>154</v>
      </c>
      <c r="D1722" t="s">
        <v>155</v>
      </c>
      <c r="E1722" s="23">
        <v>1091548.05</v>
      </c>
      <c r="F1722" s="23">
        <v>1194686.02</v>
      </c>
      <c r="G1722" s="23">
        <v>294796.09999999998</v>
      </c>
      <c r="H1722" s="23">
        <v>739534.73</v>
      </c>
    </row>
    <row r="1723" spans="1:8" x14ac:dyDescent="0.35">
      <c r="A1723">
        <v>2005</v>
      </c>
      <c r="B1723" t="s">
        <v>186</v>
      </c>
      <c r="C1723" t="s">
        <v>154</v>
      </c>
      <c r="D1723" t="s">
        <v>158</v>
      </c>
      <c r="E1723" s="23">
        <v>1673799.63</v>
      </c>
      <c r="F1723" s="23">
        <v>4648908.9800000004</v>
      </c>
      <c r="G1723" s="23">
        <v>529489.56000000006</v>
      </c>
      <c r="H1723" s="23">
        <v>2306851.27</v>
      </c>
    </row>
    <row r="1724" spans="1:8" x14ac:dyDescent="0.35">
      <c r="A1724">
        <v>2005</v>
      </c>
      <c r="B1724" t="s">
        <v>189</v>
      </c>
      <c r="C1724" t="s">
        <v>154</v>
      </c>
      <c r="D1724" t="s">
        <v>158</v>
      </c>
      <c r="E1724" s="23">
        <v>1937478.43</v>
      </c>
      <c r="F1724" s="23">
        <v>1475885.81</v>
      </c>
      <c r="G1724" s="23">
        <v>195015.63</v>
      </c>
      <c r="H1724" s="23">
        <v>120150.87</v>
      </c>
    </row>
    <row r="1725" spans="1:8" x14ac:dyDescent="0.35">
      <c r="A1725">
        <v>2005</v>
      </c>
      <c r="B1725" t="s">
        <v>300</v>
      </c>
      <c r="C1725" t="s">
        <v>154</v>
      </c>
      <c r="D1725" t="s">
        <v>158</v>
      </c>
      <c r="E1725" s="23">
        <v>21707.78</v>
      </c>
      <c r="F1725" s="23">
        <v>3042</v>
      </c>
      <c r="G1725" s="23">
        <v>0</v>
      </c>
      <c r="H1725" s="23">
        <v>0</v>
      </c>
    </row>
    <row r="1726" spans="1:8" x14ac:dyDescent="0.35">
      <c r="A1726">
        <v>2005</v>
      </c>
      <c r="B1726" t="s">
        <v>192</v>
      </c>
      <c r="C1726" t="s">
        <v>154</v>
      </c>
      <c r="D1726" t="s">
        <v>160</v>
      </c>
      <c r="E1726" s="23">
        <v>625090.80000000005</v>
      </c>
      <c r="F1726" s="23">
        <v>518211.17</v>
      </c>
      <c r="G1726" s="23">
        <v>237909.74</v>
      </c>
      <c r="H1726" s="23">
        <v>437102.27</v>
      </c>
    </row>
    <row r="1727" spans="1:8" x14ac:dyDescent="0.35">
      <c r="A1727">
        <v>2005</v>
      </c>
      <c r="B1727" t="s">
        <v>197</v>
      </c>
      <c r="C1727" t="s">
        <v>154</v>
      </c>
      <c r="D1727" t="s">
        <v>160</v>
      </c>
      <c r="E1727" s="23">
        <v>220533.27</v>
      </c>
      <c r="F1727" s="23">
        <v>314617.59000000003</v>
      </c>
      <c r="G1727" s="23">
        <v>73119.3</v>
      </c>
      <c r="H1727" s="23">
        <v>26339.52</v>
      </c>
    </row>
    <row r="1728" spans="1:8" x14ac:dyDescent="0.35">
      <c r="A1728">
        <v>2005</v>
      </c>
      <c r="B1728" t="s">
        <v>198</v>
      </c>
      <c r="C1728" t="s">
        <v>154</v>
      </c>
      <c r="D1728" t="s">
        <v>160</v>
      </c>
      <c r="E1728" s="23">
        <v>2006923.9</v>
      </c>
      <c r="F1728" s="23">
        <v>8341109.4500000002</v>
      </c>
      <c r="G1728" s="23">
        <v>657943.43999999994</v>
      </c>
      <c r="H1728" s="23">
        <v>3120918.81</v>
      </c>
    </row>
    <row r="1729" spans="1:8" x14ac:dyDescent="0.35">
      <c r="A1729">
        <v>2005</v>
      </c>
      <c r="B1729" t="s">
        <v>199</v>
      </c>
      <c r="C1729" t="s">
        <v>154</v>
      </c>
      <c r="D1729" t="s">
        <v>160</v>
      </c>
      <c r="E1729" s="23">
        <v>979499.37</v>
      </c>
      <c r="F1729" s="23">
        <v>1731586.55</v>
      </c>
      <c r="G1729" s="23">
        <v>142548.96</v>
      </c>
      <c r="H1729" s="23">
        <v>119374.7</v>
      </c>
    </row>
    <row r="1730" spans="1:8" x14ac:dyDescent="0.35">
      <c r="A1730">
        <v>2005</v>
      </c>
      <c r="B1730" t="s">
        <v>201</v>
      </c>
      <c r="C1730" t="s">
        <v>154</v>
      </c>
      <c r="D1730" t="s">
        <v>160</v>
      </c>
      <c r="E1730" s="23">
        <v>0</v>
      </c>
      <c r="F1730" s="23">
        <v>0</v>
      </c>
      <c r="G1730" s="23">
        <v>78691</v>
      </c>
      <c r="H1730" s="23">
        <v>260735.76</v>
      </c>
    </row>
    <row r="1731" spans="1:8" x14ac:dyDescent="0.35">
      <c r="A1731">
        <v>2005</v>
      </c>
      <c r="B1731" t="s">
        <v>202</v>
      </c>
      <c r="C1731" t="s">
        <v>154</v>
      </c>
      <c r="D1731" t="s">
        <v>155</v>
      </c>
      <c r="E1731" s="23">
        <v>2471299.34</v>
      </c>
      <c r="F1731" s="23">
        <v>8542172.5399999991</v>
      </c>
      <c r="G1731" s="23">
        <v>148992.29</v>
      </c>
      <c r="H1731" s="23">
        <v>117625.73</v>
      </c>
    </row>
    <row r="1732" spans="1:8" x14ac:dyDescent="0.35">
      <c r="A1732">
        <v>2005</v>
      </c>
      <c r="B1732" t="s">
        <v>203</v>
      </c>
      <c r="C1732" t="s">
        <v>154</v>
      </c>
      <c r="D1732" t="s">
        <v>160</v>
      </c>
      <c r="E1732" s="23">
        <v>2181398.77</v>
      </c>
      <c r="F1732" s="23">
        <v>10960119.699999999</v>
      </c>
      <c r="G1732" s="23">
        <v>63904.6</v>
      </c>
      <c r="H1732" s="23">
        <v>2255870.96</v>
      </c>
    </row>
    <row r="1733" spans="1:8" x14ac:dyDescent="0.35">
      <c r="A1733">
        <v>2005</v>
      </c>
      <c r="B1733" t="s">
        <v>204</v>
      </c>
      <c r="C1733" t="s">
        <v>154</v>
      </c>
      <c r="D1733" t="s">
        <v>158</v>
      </c>
      <c r="E1733" s="23">
        <v>2569707.34</v>
      </c>
      <c r="F1733" s="23">
        <v>1692476.83</v>
      </c>
      <c r="G1733" s="23">
        <v>430720.01</v>
      </c>
      <c r="H1733" s="23">
        <v>1290512.97</v>
      </c>
    </row>
    <row r="1734" spans="1:8" x14ac:dyDescent="0.35">
      <c r="A1734">
        <v>2005</v>
      </c>
      <c r="B1734" t="s">
        <v>205</v>
      </c>
      <c r="C1734" t="s">
        <v>154</v>
      </c>
      <c r="D1734" t="s">
        <v>160</v>
      </c>
      <c r="E1734" s="23">
        <v>272109.89</v>
      </c>
      <c r="F1734" s="23">
        <v>395266.11</v>
      </c>
      <c r="G1734" s="23">
        <v>160825.57</v>
      </c>
      <c r="H1734" s="23">
        <v>338670.91</v>
      </c>
    </row>
    <row r="1735" spans="1:8" x14ac:dyDescent="0.35">
      <c r="A1735">
        <v>2005</v>
      </c>
      <c r="B1735" t="s">
        <v>206</v>
      </c>
      <c r="C1735" t="s">
        <v>154</v>
      </c>
      <c r="D1735" t="s">
        <v>158</v>
      </c>
      <c r="E1735" s="23">
        <v>1076573.3</v>
      </c>
      <c r="F1735" s="23">
        <v>3437756.54</v>
      </c>
      <c r="G1735" s="23">
        <v>128356.49</v>
      </c>
      <c r="H1735" s="23">
        <v>236665.29</v>
      </c>
    </row>
    <row r="1736" spans="1:8" x14ac:dyDescent="0.35">
      <c r="A1736">
        <v>2005</v>
      </c>
      <c r="B1736" t="s">
        <v>209</v>
      </c>
      <c r="C1736" t="s">
        <v>154</v>
      </c>
      <c r="D1736" t="s">
        <v>158</v>
      </c>
      <c r="E1736" s="23">
        <v>1927736.08</v>
      </c>
      <c r="F1736" s="23">
        <v>2145355.64</v>
      </c>
      <c r="G1736" s="23">
        <v>594822.78</v>
      </c>
      <c r="H1736" s="23">
        <v>634135.22</v>
      </c>
    </row>
    <row r="1737" spans="1:8" x14ac:dyDescent="0.35">
      <c r="A1737">
        <v>2005</v>
      </c>
      <c r="B1737" t="s">
        <v>210</v>
      </c>
      <c r="C1737" t="s">
        <v>154</v>
      </c>
      <c r="D1737" t="s">
        <v>158</v>
      </c>
      <c r="E1737" s="23">
        <v>104732.19</v>
      </c>
      <c r="F1737" s="23">
        <v>8947.19</v>
      </c>
      <c r="G1737" s="23">
        <v>32041</v>
      </c>
      <c r="H1737" s="23">
        <v>8766.8799999999992</v>
      </c>
    </row>
    <row r="1738" spans="1:8" x14ac:dyDescent="0.35">
      <c r="A1738">
        <v>2005</v>
      </c>
      <c r="B1738" t="s">
        <v>215</v>
      </c>
      <c r="C1738" t="s">
        <v>154</v>
      </c>
      <c r="D1738" t="s">
        <v>160</v>
      </c>
      <c r="E1738" s="23">
        <v>0</v>
      </c>
      <c r="F1738" s="23">
        <v>0</v>
      </c>
      <c r="G1738" s="23">
        <v>10302.09</v>
      </c>
      <c r="H1738" s="23">
        <v>429</v>
      </c>
    </row>
    <row r="1739" spans="1:8" x14ac:dyDescent="0.35">
      <c r="A1739">
        <v>2005</v>
      </c>
      <c r="B1739" t="s">
        <v>221</v>
      </c>
      <c r="C1739" t="s">
        <v>154</v>
      </c>
      <c r="D1739" t="s">
        <v>165</v>
      </c>
      <c r="E1739" s="23">
        <v>1861254.57</v>
      </c>
      <c r="F1739" s="23">
        <v>1882771.7</v>
      </c>
      <c r="G1739" s="23">
        <v>131929.70000000001</v>
      </c>
      <c r="H1739" s="23">
        <v>959187.24</v>
      </c>
    </row>
    <row r="1740" spans="1:8" x14ac:dyDescent="0.35">
      <c r="A1740">
        <v>2005</v>
      </c>
      <c r="B1740" t="s">
        <v>223</v>
      </c>
      <c r="C1740" t="s">
        <v>163</v>
      </c>
      <c r="D1740" t="s">
        <v>160</v>
      </c>
      <c r="E1740" s="23">
        <v>140698.64000000001</v>
      </c>
      <c r="F1740" s="23">
        <v>484938.28</v>
      </c>
      <c r="G1740" s="23">
        <v>66730.37</v>
      </c>
      <c r="H1740" s="23">
        <v>332084.39</v>
      </c>
    </row>
    <row r="1741" spans="1:8" x14ac:dyDescent="0.35">
      <c r="A1741">
        <v>2005</v>
      </c>
      <c r="B1741" t="s">
        <v>224</v>
      </c>
      <c r="C1741" t="s">
        <v>154</v>
      </c>
      <c r="D1741" t="s">
        <v>158</v>
      </c>
      <c r="E1741" s="23">
        <v>1487719.71</v>
      </c>
      <c r="F1741" s="23">
        <v>5492089.7000000002</v>
      </c>
      <c r="G1741" s="23">
        <v>78263.75</v>
      </c>
      <c r="H1741" s="23">
        <v>2281239.7400000002</v>
      </c>
    </row>
    <row r="1742" spans="1:8" x14ac:dyDescent="0.35">
      <c r="A1742">
        <v>2005</v>
      </c>
      <c r="B1742" t="s">
        <v>225</v>
      </c>
      <c r="C1742" t="s">
        <v>154</v>
      </c>
      <c r="D1742" t="s">
        <v>160</v>
      </c>
      <c r="E1742" s="23">
        <v>0</v>
      </c>
      <c r="F1742" s="23">
        <v>0</v>
      </c>
      <c r="G1742" s="23">
        <v>59394</v>
      </c>
      <c r="H1742" s="23">
        <v>3022.5</v>
      </c>
    </row>
    <row r="1743" spans="1:8" x14ac:dyDescent="0.35">
      <c r="A1743">
        <v>2005</v>
      </c>
      <c r="B1743" t="s">
        <v>226</v>
      </c>
      <c r="C1743" t="s">
        <v>154</v>
      </c>
      <c r="D1743" t="s">
        <v>155</v>
      </c>
      <c r="E1743" s="23">
        <v>0</v>
      </c>
      <c r="F1743" s="23">
        <v>0</v>
      </c>
      <c r="G1743" s="23">
        <v>2651.74</v>
      </c>
      <c r="H1743" s="23">
        <v>2654.47</v>
      </c>
    </row>
    <row r="1744" spans="1:8" x14ac:dyDescent="0.35">
      <c r="A1744">
        <v>2005</v>
      </c>
      <c r="B1744" t="s">
        <v>227</v>
      </c>
      <c r="C1744" t="s">
        <v>154</v>
      </c>
      <c r="D1744" t="s">
        <v>158</v>
      </c>
      <c r="E1744" s="23">
        <v>0</v>
      </c>
      <c r="F1744" s="23">
        <v>0</v>
      </c>
      <c r="G1744" s="23">
        <v>561750.34</v>
      </c>
      <c r="H1744" s="23">
        <v>31822.3</v>
      </c>
    </row>
    <row r="1745" spans="1:8" x14ac:dyDescent="0.35">
      <c r="A1745">
        <v>2005</v>
      </c>
      <c r="B1745" t="s">
        <v>233</v>
      </c>
      <c r="C1745" t="s">
        <v>154</v>
      </c>
      <c r="D1745" t="s">
        <v>155</v>
      </c>
      <c r="E1745" s="23">
        <v>401106.16</v>
      </c>
      <c r="F1745" s="23">
        <v>467209.21</v>
      </c>
      <c r="G1745" s="23">
        <v>63724.91</v>
      </c>
      <c r="H1745" s="23">
        <v>412366.01</v>
      </c>
    </row>
    <row r="1746" spans="1:8" x14ac:dyDescent="0.35">
      <c r="A1746">
        <v>2005</v>
      </c>
      <c r="B1746" t="s">
        <v>234</v>
      </c>
      <c r="C1746" t="s">
        <v>154</v>
      </c>
      <c r="D1746" t="s">
        <v>160</v>
      </c>
      <c r="E1746" s="23">
        <v>1315433.76</v>
      </c>
      <c r="F1746" s="23">
        <v>108708929.52</v>
      </c>
      <c r="G1746" s="23">
        <v>743395.55</v>
      </c>
      <c r="H1746" s="23">
        <v>3834755.39</v>
      </c>
    </row>
    <row r="1747" spans="1:8" x14ac:dyDescent="0.35">
      <c r="A1747">
        <v>2005</v>
      </c>
      <c r="B1747" t="s">
        <v>235</v>
      </c>
      <c r="C1747" t="s">
        <v>154</v>
      </c>
      <c r="D1747" t="s">
        <v>160</v>
      </c>
      <c r="E1747" s="23">
        <v>78929.570000000007</v>
      </c>
      <c r="F1747" s="23">
        <v>910862.3</v>
      </c>
      <c r="G1747" s="23">
        <v>33043.879999999997</v>
      </c>
      <c r="H1747" s="23">
        <v>812732.86</v>
      </c>
    </row>
    <row r="1748" spans="1:8" x14ac:dyDescent="0.35">
      <c r="A1748">
        <v>2005</v>
      </c>
      <c r="B1748" t="s">
        <v>236</v>
      </c>
      <c r="C1748" t="s">
        <v>154</v>
      </c>
      <c r="D1748" t="s">
        <v>160</v>
      </c>
      <c r="E1748" s="23">
        <v>154688.67000000001</v>
      </c>
      <c r="F1748" s="23">
        <v>208685.13</v>
      </c>
      <c r="G1748" s="23">
        <v>51866.13</v>
      </c>
      <c r="H1748" s="23">
        <v>53604.49</v>
      </c>
    </row>
    <row r="1749" spans="1:8" x14ac:dyDescent="0.35">
      <c r="A1749">
        <v>2005</v>
      </c>
      <c r="B1749" t="s">
        <v>238</v>
      </c>
      <c r="C1749" t="s">
        <v>154</v>
      </c>
      <c r="D1749" t="s">
        <v>155</v>
      </c>
      <c r="E1749" s="23">
        <v>0</v>
      </c>
      <c r="F1749" s="23">
        <v>0</v>
      </c>
      <c r="G1749" s="23">
        <v>0</v>
      </c>
      <c r="H1749" s="23">
        <v>142020</v>
      </c>
    </row>
    <row r="1750" spans="1:8" x14ac:dyDescent="0.35">
      <c r="A1750">
        <v>2005</v>
      </c>
      <c r="B1750" t="s">
        <v>239</v>
      </c>
      <c r="C1750" t="s">
        <v>154</v>
      </c>
      <c r="D1750" t="s">
        <v>158</v>
      </c>
      <c r="E1750" s="23">
        <v>1923084.95</v>
      </c>
      <c r="F1750" s="23">
        <v>2565634.69</v>
      </c>
      <c r="G1750" s="23">
        <v>339858.64</v>
      </c>
      <c r="H1750" s="23">
        <v>417544.83</v>
      </c>
    </row>
    <row r="1751" spans="1:8" x14ac:dyDescent="0.35">
      <c r="A1751">
        <v>2005</v>
      </c>
      <c r="B1751" t="s">
        <v>243</v>
      </c>
      <c r="C1751" t="s">
        <v>154</v>
      </c>
      <c r="D1751" t="s">
        <v>165</v>
      </c>
      <c r="E1751" s="23">
        <v>949781.44</v>
      </c>
      <c r="F1751" s="23">
        <v>471797.29</v>
      </c>
      <c r="G1751" s="23">
        <v>274148.24</v>
      </c>
      <c r="H1751" s="23">
        <v>285730.13</v>
      </c>
    </row>
    <row r="1752" spans="1:8" x14ac:dyDescent="0.35">
      <c r="A1752">
        <v>2005</v>
      </c>
      <c r="B1752" t="s">
        <v>247</v>
      </c>
      <c r="C1752" t="s">
        <v>154</v>
      </c>
      <c r="D1752" t="s">
        <v>160</v>
      </c>
      <c r="E1752" s="23">
        <v>11704328.609999999</v>
      </c>
      <c r="F1752" s="23">
        <v>4494031.32</v>
      </c>
      <c r="G1752" s="23">
        <v>2790265.27</v>
      </c>
      <c r="H1752" s="23">
        <v>2876989.35</v>
      </c>
    </row>
    <row r="1753" spans="1:8" x14ac:dyDescent="0.35">
      <c r="A1753">
        <v>2005</v>
      </c>
      <c r="B1753" t="s">
        <v>249</v>
      </c>
      <c r="C1753" t="s">
        <v>154</v>
      </c>
      <c r="D1753" t="s">
        <v>160</v>
      </c>
      <c r="E1753" s="23">
        <v>6566026.5</v>
      </c>
      <c r="F1753" s="23">
        <v>13267731.609999999</v>
      </c>
      <c r="G1753" s="23">
        <v>1108441.1200000001</v>
      </c>
      <c r="H1753" s="23">
        <v>1819822.55</v>
      </c>
    </row>
    <row r="1754" spans="1:8" x14ac:dyDescent="0.35">
      <c r="A1754">
        <v>2005</v>
      </c>
      <c r="B1754" t="s">
        <v>252</v>
      </c>
      <c r="C1754" t="s">
        <v>154</v>
      </c>
      <c r="D1754" t="s">
        <v>160</v>
      </c>
      <c r="E1754" s="23">
        <v>0</v>
      </c>
      <c r="F1754" s="23">
        <v>0</v>
      </c>
      <c r="G1754" s="23">
        <v>493028.14</v>
      </c>
      <c r="H1754" s="23">
        <v>230214.5</v>
      </c>
    </row>
    <row r="1755" spans="1:8" x14ac:dyDescent="0.35">
      <c r="A1755">
        <v>2005</v>
      </c>
      <c r="B1755" t="s">
        <v>253</v>
      </c>
      <c r="C1755" t="s">
        <v>154</v>
      </c>
      <c r="D1755" t="s">
        <v>160</v>
      </c>
      <c r="E1755" s="23">
        <v>0</v>
      </c>
      <c r="F1755" s="23">
        <v>0</v>
      </c>
      <c r="G1755" s="23">
        <v>572688.97</v>
      </c>
      <c r="H1755" s="23">
        <v>480693.04</v>
      </c>
    </row>
    <row r="1756" spans="1:8" x14ac:dyDescent="0.35">
      <c r="A1756">
        <v>2005</v>
      </c>
      <c r="B1756" t="s">
        <v>257</v>
      </c>
      <c r="C1756" t="s">
        <v>154</v>
      </c>
      <c r="D1756" t="s">
        <v>160</v>
      </c>
      <c r="E1756" s="23">
        <v>126500</v>
      </c>
      <c r="F1756" s="23">
        <v>61895</v>
      </c>
      <c r="G1756" s="23">
        <v>0</v>
      </c>
      <c r="H1756" s="23">
        <v>0</v>
      </c>
    </row>
    <row r="1757" spans="1:8" x14ac:dyDescent="0.35">
      <c r="A1757">
        <v>2005</v>
      </c>
      <c r="B1757" t="s">
        <v>258</v>
      </c>
      <c r="C1757" t="s">
        <v>154</v>
      </c>
      <c r="D1757" t="s">
        <v>160</v>
      </c>
      <c r="E1757" s="23">
        <v>1342467.38</v>
      </c>
      <c r="F1757" s="23">
        <v>754290.13</v>
      </c>
      <c r="G1757" s="23">
        <v>231401.19</v>
      </c>
      <c r="H1757" s="23">
        <v>388173.73</v>
      </c>
    </row>
    <row r="1758" spans="1:8" x14ac:dyDescent="0.35">
      <c r="A1758">
        <v>2005</v>
      </c>
      <c r="B1758" t="s">
        <v>261</v>
      </c>
      <c r="C1758" t="s">
        <v>154</v>
      </c>
      <c r="D1758" t="s">
        <v>158</v>
      </c>
      <c r="E1758" s="23">
        <v>256675.26</v>
      </c>
      <c r="F1758" s="23">
        <v>766066.2</v>
      </c>
      <c r="G1758" s="23">
        <v>88539.99</v>
      </c>
      <c r="H1758" s="23">
        <v>277710.45</v>
      </c>
    </row>
    <row r="1759" spans="1:8" x14ac:dyDescent="0.35">
      <c r="A1759">
        <v>2005</v>
      </c>
      <c r="B1759" t="s">
        <v>262</v>
      </c>
      <c r="C1759" t="s">
        <v>154</v>
      </c>
      <c r="D1759" t="s">
        <v>155</v>
      </c>
      <c r="E1759" s="23">
        <v>305967.44</v>
      </c>
      <c r="F1759" s="23">
        <v>477670.66</v>
      </c>
      <c r="G1759" s="23">
        <v>271928.7</v>
      </c>
      <c r="H1759" s="23">
        <v>465636.14</v>
      </c>
    </row>
    <row r="1760" spans="1:8" x14ac:dyDescent="0.35">
      <c r="A1760">
        <v>2005</v>
      </c>
      <c r="B1760" t="s">
        <v>264</v>
      </c>
      <c r="C1760" t="s">
        <v>154</v>
      </c>
      <c r="D1760" t="s">
        <v>160</v>
      </c>
      <c r="E1760" s="23">
        <v>502184.18</v>
      </c>
      <c r="F1760" s="23">
        <v>738471.6</v>
      </c>
      <c r="G1760" s="23">
        <v>269021</v>
      </c>
      <c r="H1760" s="23">
        <v>445275</v>
      </c>
    </row>
    <row r="1761" spans="1:8" x14ac:dyDescent="0.35">
      <c r="A1761">
        <v>2005</v>
      </c>
      <c r="B1761" t="s">
        <v>266</v>
      </c>
      <c r="C1761" t="s">
        <v>154</v>
      </c>
      <c r="D1761" t="s">
        <v>158</v>
      </c>
      <c r="E1761" s="23">
        <v>439905.9</v>
      </c>
      <c r="F1761" s="23">
        <v>443120.37</v>
      </c>
      <c r="G1761" s="23">
        <v>0</v>
      </c>
      <c r="H1761" s="23">
        <v>0</v>
      </c>
    </row>
    <row r="1762" spans="1:8" x14ac:dyDescent="0.35">
      <c r="A1762">
        <v>2005</v>
      </c>
      <c r="B1762" t="s">
        <v>267</v>
      </c>
      <c r="C1762" t="s">
        <v>154</v>
      </c>
      <c r="D1762" t="s">
        <v>160</v>
      </c>
      <c r="E1762" s="23">
        <v>207067.56</v>
      </c>
      <c r="F1762" s="23">
        <v>915754.38</v>
      </c>
      <c r="G1762" s="23">
        <v>60300</v>
      </c>
      <c r="H1762" s="23">
        <v>644418.05000000005</v>
      </c>
    </row>
    <row r="1763" spans="1:8" x14ac:dyDescent="0.35">
      <c r="A1763">
        <v>2005</v>
      </c>
      <c r="B1763" t="s">
        <v>298</v>
      </c>
      <c r="C1763" t="s">
        <v>154</v>
      </c>
      <c r="D1763" t="s">
        <v>160</v>
      </c>
      <c r="E1763" s="23">
        <v>681.21</v>
      </c>
      <c r="F1763" s="23">
        <v>-6265.32</v>
      </c>
      <c r="G1763" s="23">
        <v>0</v>
      </c>
      <c r="H1763" s="23">
        <v>-6265.32</v>
      </c>
    </row>
    <row r="1764" spans="1:8" x14ac:dyDescent="0.35">
      <c r="A1764">
        <v>2005</v>
      </c>
      <c r="B1764" t="s">
        <v>268</v>
      </c>
      <c r="C1764" t="s">
        <v>154</v>
      </c>
      <c r="D1764" t="s">
        <v>160</v>
      </c>
      <c r="E1764" s="23">
        <v>0</v>
      </c>
      <c r="F1764" s="23">
        <v>0</v>
      </c>
      <c r="G1764" s="23">
        <v>23476.87</v>
      </c>
      <c r="H1764" s="23">
        <v>542505.94999999995</v>
      </c>
    </row>
    <row r="1765" spans="1:8" x14ac:dyDescent="0.35">
      <c r="A1765">
        <v>2005</v>
      </c>
      <c r="B1765" t="s">
        <v>272</v>
      </c>
      <c r="C1765" t="s">
        <v>154</v>
      </c>
      <c r="D1765" t="s">
        <v>160</v>
      </c>
      <c r="E1765" s="23">
        <v>291958.63</v>
      </c>
      <c r="F1765" s="23">
        <v>78091.05</v>
      </c>
      <c r="G1765" s="23">
        <v>191242.28</v>
      </c>
      <c r="H1765" s="23">
        <v>77248.3</v>
      </c>
    </row>
    <row r="1766" spans="1:8" x14ac:dyDescent="0.35">
      <c r="A1766">
        <v>2005</v>
      </c>
      <c r="B1766" t="s">
        <v>273</v>
      </c>
      <c r="C1766" t="s">
        <v>154</v>
      </c>
      <c r="D1766" t="s">
        <v>155</v>
      </c>
      <c r="E1766" s="23">
        <v>792891.64</v>
      </c>
      <c r="F1766" s="23">
        <v>3178544.89</v>
      </c>
      <c r="G1766" s="23">
        <v>473335.42</v>
      </c>
      <c r="H1766" s="23">
        <v>3172862.68</v>
      </c>
    </row>
    <row r="1767" spans="1:8" x14ac:dyDescent="0.35">
      <c r="A1767">
        <v>2005</v>
      </c>
      <c r="B1767" t="s">
        <v>275</v>
      </c>
      <c r="C1767" t="s">
        <v>154</v>
      </c>
      <c r="D1767" t="s">
        <v>160</v>
      </c>
      <c r="E1767" s="23">
        <v>0</v>
      </c>
      <c r="F1767" s="23">
        <v>0</v>
      </c>
      <c r="G1767" s="23">
        <v>584091.80000000005</v>
      </c>
      <c r="H1767" s="23">
        <v>2748914.6</v>
      </c>
    </row>
    <row r="1768" spans="1:8" x14ac:dyDescent="0.35">
      <c r="A1768">
        <v>2005</v>
      </c>
      <c r="B1768" t="s">
        <v>278</v>
      </c>
      <c r="C1768" t="s">
        <v>154</v>
      </c>
      <c r="D1768" t="s">
        <v>155</v>
      </c>
      <c r="E1768" s="23">
        <v>80293.03</v>
      </c>
      <c r="F1768" s="23">
        <v>403550.11</v>
      </c>
      <c r="G1768" s="23">
        <v>9483.68</v>
      </c>
      <c r="H1768" s="23">
        <v>31349.439999999999</v>
      </c>
    </row>
    <row r="1769" spans="1:8" x14ac:dyDescent="0.35">
      <c r="A1769">
        <v>2005</v>
      </c>
      <c r="B1769" t="s">
        <v>279</v>
      </c>
      <c r="C1769" t="s">
        <v>154</v>
      </c>
      <c r="D1769" t="s">
        <v>155</v>
      </c>
      <c r="E1769" s="23">
        <v>1384345.27</v>
      </c>
      <c r="F1769" s="23">
        <v>2949159.39</v>
      </c>
      <c r="G1769" s="23">
        <v>616090.26</v>
      </c>
      <c r="H1769" s="23">
        <v>1438288.23</v>
      </c>
    </row>
    <row r="1770" spans="1:8" x14ac:dyDescent="0.35">
      <c r="A1770">
        <v>2005</v>
      </c>
      <c r="B1770" t="s">
        <v>280</v>
      </c>
      <c r="C1770" t="s">
        <v>154</v>
      </c>
      <c r="D1770" t="s">
        <v>160</v>
      </c>
      <c r="E1770" s="23">
        <v>202869.97</v>
      </c>
      <c r="F1770" s="23">
        <v>815524.57</v>
      </c>
      <c r="G1770" s="23">
        <v>141999.98000000001</v>
      </c>
      <c r="H1770" s="23">
        <v>815309.57</v>
      </c>
    </row>
    <row r="1771" spans="1:8" x14ac:dyDescent="0.35">
      <c r="A1771">
        <v>2005</v>
      </c>
      <c r="B1771" t="s">
        <v>282</v>
      </c>
      <c r="C1771" t="s">
        <v>154</v>
      </c>
      <c r="D1771" t="s">
        <v>160</v>
      </c>
      <c r="E1771" s="23">
        <v>4258358.83</v>
      </c>
      <c r="F1771" s="23">
        <v>4687765.99</v>
      </c>
      <c r="G1771" s="23">
        <v>639060</v>
      </c>
      <c r="H1771" s="23">
        <v>855154.5</v>
      </c>
    </row>
    <row r="1772" spans="1:8" x14ac:dyDescent="0.35">
      <c r="A1772">
        <v>2005</v>
      </c>
      <c r="B1772" t="s">
        <v>285</v>
      </c>
      <c r="C1772" t="s">
        <v>154</v>
      </c>
      <c r="D1772" t="s">
        <v>155</v>
      </c>
      <c r="E1772" s="23">
        <v>207254</v>
      </c>
      <c r="F1772" s="23">
        <v>2500</v>
      </c>
      <c r="G1772" s="23">
        <v>43350</v>
      </c>
      <c r="H1772" s="23">
        <v>2500</v>
      </c>
    </row>
    <row r="1773" spans="1:8" x14ac:dyDescent="0.35">
      <c r="A1773">
        <v>2005</v>
      </c>
      <c r="B1773" t="s">
        <v>287</v>
      </c>
      <c r="C1773" t="s">
        <v>154</v>
      </c>
      <c r="D1773" t="s">
        <v>158</v>
      </c>
      <c r="E1773" s="23">
        <v>410992.17</v>
      </c>
      <c r="F1773" s="23">
        <v>1876794.73</v>
      </c>
      <c r="G1773" s="23">
        <v>239507.52</v>
      </c>
      <c r="H1773" s="23">
        <v>1348702.17</v>
      </c>
    </row>
    <row r="1774" spans="1:8" x14ac:dyDescent="0.35">
      <c r="A1774">
        <v>2005</v>
      </c>
      <c r="B1774" t="s">
        <v>291</v>
      </c>
      <c r="C1774" t="s">
        <v>154</v>
      </c>
      <c r="D1774" t="s">
        <v>158</v>
      </c>
      <c r="E1774" s="23">
        <v>493329.15</v>
      </c>
      <c r="F1774" s="23">
        <v>1008558.78</v>
      </c>
      <c r="G1774" s="23">
        <v>56225.83</v>
      </c>
      <c r="H1774" s="23">
        <v>561751.31999999995</v>
      </c>
    </row>
    <row r="1775" spans="1:8" x14ac:dyDescent="0.35">
      <c r="A1775">
        <v>2005</v>
      </c>
      <c r="B1775" t="s">
        <v>296</v>
      </c>
      <c r="C1775" t="s">
        <v>154</v>
      </c>
      <c r="D1775" t="s">
        <v>155</v>
      </c>
      <c r="E1775" s="23">
        <v>608651.15</v>
      </c>
      <c r="F1775" s="23">
        <v>1971564.8</v>
      </c>
      <c r="G1775" s="23">
        <v>162884.29999999999</v>
      </c>
      <c r="H1775" s="23">
        <v>1391760.65</v>
      </c>
    </row>
    <row r="1776" spans="1:8" x14ac:dyDescent="0.35">
      <c r="A1776">
        <v>2005</v>
      </c>
      <c r="B1776" t="s">
        <v>295</v>
      </c>
      <c r="C1776" t="s">
        <v>154</v>
      </c>
      <c r="D1776" t="s">
        <v>158</v>
      </c>
      <c r="E1776" s="23">
        <v>1719375.07</v>
      </c>
      <c r="F1776" s="23">
        <v>5290310.55</v>
      </c>
      <c r="G1776" s="23">
        <v>106304.15</v>
      </c>
      <c r="H1776" s="23">
        <v>66724.47</v>
      </c>
    </row>
    <row r="1777" spans="1:8" x14ac:dyDescent="0.35">
      <c r="A1777">
        <v>2004</v>
      </c>
      <c r="B1777" t="s">
        <v>153</v>
      </c>
      <c r="C1777" t="s">
        <v>154</v>
      </c>
      <c r="D1777" t="s">
        <v>155</v>
      </c>
      <c r="E1777" s="23">
        <v>467356.67</v>
      </c>
      <c r="F1777" s="23">
        <v>473346.87</v>
      </c>
      <c r="G1777" s="23">
        <v>123158.91</v>
      </c>
      <c r="H1777" s="23">
        <v>70791.789999999994</v>
      </c>
    </row>
    <row r="1778" spans="1:8" x14ac:dyDescent="0.35">
      <c r="A1778">
        <v>2004</v>
      </c>
      <c r="B1778" t="s">
        <v>164</v>
      </c>
      <c r="C1778" t="s">
        <v>154</v>
      </c>
      <c r="D1778" t="s">
        <v>165</v>
      </c>
      <c r="E1778" s="23">
        <v>1432340.12</v>
      </c>
      <c r="F1778" s="23">
        <v>1373460.24</v>
      </c>
      <c r="G1778" s="23">
        <v>399247.5</v>
      </c>
      <c r="H1778" s="23">
        <v>142302.73000000001</v>
      </c>
    </row>
    <row r="1779" spans="1:8" x14ac:dyDescent="0.35">
      <c r="A1779">
        <v>2004</v>
      </c>
      <c r="B1779" t="s">
        <v>167</v>
      </c>
      <c r="C1779" t="s">
        <v>154</v>
      </c>
      <c r="D1779" t="s">
        <v>155</v>
      </c>
      <c r="E1779" s="23">
        <v>8901638.3000000007</v>
      </c>
      <c r="F1779" s="23">
        <v>20514311.27</v>
      </c>
      <c r="G1779" s="23">
        <v>911857</v>
      </c>
      <c r="H1779" s="23">
        <v>3636832</v>
      </c>
    </row>
    <row r="1780" spans="1:8" x14ac:dyDescent="0.35">
      <c r="A1780">
        <v>2004</v>
      </c>
      <c r="B1780" t="s">
        <v>169</v>
      </c>
      <c r="C1780" t="s">
        <v>154</v>
      </c>
      <c r="D1780" t="s">
        <v>160</v>
      </c>
      <c r="E1780" s="23">
        <v>280605.40999999997</v>
      </c>
      <c r="F1780" s="23">
        <v>558763.97</v>
      </c>
      <c r="G1780" s="23">
        <v>104811.96</v>
      </c>
      <c r="H1780" s="23">
        <v>394682.64</v>
      </c>
    </row>
    <row r="1781" spans="1:8" x14ac:dyDescent="0.35">
      <c r="A1781">
        <v>2004</v>
      </c>
      <c r="B1781" t="s">
        <v>299</v>
      </c>
      <c r="C1781" t="s">
        <v>154</v>
      </c>
      <c r="D1781" t="s">
        <v>158</v>
      </c>
      <c r="E1781" s="23">
        <v>0</v>
      </c>
      <c r="F1781" s="23">
        <v>0</v>
      </c>
      <c r="G1781" s="23">
        <v>30708.02</v>
      </c>
      <c r="H1781" s="23">
        <v>141359.84</v>
      </c>
    </row>
    <row r="1782" spans="1:8" x14ac:dyDescent="0.35">
      <c r="A1782">
        <v>2004</v>
      </c>
      <c r="B1782" t="s">
        <v>178</v>
      </c>
      <c r="C1782" t="s">
        <v>154</v>
      </c>
      <c r="D1782" t="s">
        <v>155</v>
      </c>
      <c r="E1782" s="23">
        <v>441889.94</v>
      </c>
      <c r="F1782" s="23">
        <v>4677468.6399999997</v>
      </c>
      <c r="G1782" s="23">
        <v>382728.56</v>
      </c>
      <c r="H1782" s="23">
        <v>4676968.6399999997</v>
      </c>
    </row>
    <row r="1783" spans="1:8" x14ac:dyDescent="0.35">
      <c r="A1783">
        <v>2004</v>
      </c>
      <c r="B1783" t="s">
        <v>181</v>
      </c>
      <c r="C1783" t="s">
        <v>154</v>
      </c>
      <c r="D1783" t="s">
        <v>155</v>
      </c>
      <c r="E1783" s="23">
        <v>2581012.12</v>
      </c>
      <c r="F1783" s="23">
        <v>285205.59999999998</v>
      </c>
      <c r="G1783" s="23">
        <v>266125.43</v>
      </c>
      <c r="H1783" s="23">
        <v>103788.1</v>
      </c>
    </row>
    <row r="1784" spans="1:8" x14ac:dyDescent="0.35">
      <c r="A1784">
        <v>2004</v>
      </c>
      <c r="B1784" t="s">
        <v>184</v>
      </c>
      <c r="C1784" t="s">
        <v>154</v>
      </c>
      <c r="D1784" t="s">
        <v>155</v>
      </c>
      <c r="E1784" s="23">
        <v>3360310.49</v>
      </c>
      <c r="F1784" s="23">
        <v>7435977.9100000001</v>
      </c>
      <c r="G1784" s="23">
        <v>1053070.05</v>
      </c>
      <c r="H1784" s="23">
        <v>3498981.9</v>
      </c>
    </row>
    <row r="1785" spans="1:8" x14ac:dyDescent="0.35">
      <c r="A1785">
        <v>2004</v>
      </c>
      <c r="B1785" t="s">
        <v>186</v>
      </c>
      <c r="C1785" t="s">
        <v>154</v>
      </c>
      <c r="D1785" t="s">
        <v>158</v>
      </c>
      <c r="E1785" s="23">
        <v>2360795.79</v>
      </c>
      <c r="F1785" s="23">
        <v>10648021.609999999</v>
      </c>
      <c r="G1785" s="23">
        <v>511577.28</v>
      </c>
      <c r="H1785" s="23">
        <v>4363419.28</v>
      </c>
    </row>
    <row r="1786" spans="1:8" x14ac:dyDescent="0.35">
      <c r="A1786">
        <v>2004</v>
      </c>
      <c r="B1786" t="s">
        <v>189</v>
      </c>
      <c r="C1786" t="s">
        <v>154</v>
      </c>
      <c r="D1786" t="s">
        <v>158</v>
      </c>
      <c r="E1786" s="23">
        <v>2099338.94</v>
      </c>
      <c r="F1786" s="23">
        <v>4718893.38</v>
      </c>
      <c r="G1786" s="23">
        <v>428579.8</v>
      </c>
      <c r="H1786" s="23">
        <v>2671888.79</v>
      </c>
    </row>
    <row r="1787" spans="1:8" x14ac:dyDescent="0.35">
      <c r="A1787">
        <v>2004</v>
      </c>
      <c r="B1787" t="s">
        <v>300</v>
      </c>
      <c r="C1787" t="s">
        <v>154</v>
      </c>
      <c r="D1787" t="s">
        <v>158</v>
      </c>
      <c r="E1787" s="23">
        <v>48033.919999999998</v>
      </c>
      <c r="F1787" s="23">
        <v>3029.28</v>
      </c>
      <c r="G1787" s="23">
        <v>491.88</v>
      </c>
      <c r="H1787" s="23">
        <v>1508.12</v>
      </c>
    </row>
    <row r="1788" spans="1:8" x14ac:dyDescent="0.35">
      <c r="A1788">
        <v>2004</v>
      </c>
      <c r="B1788" t="s">
        <v>192</v>
      </c>
      <c r="C1788" t="s">
        <v>154</v>
      </c>
      <c r="D1788" t="s">
        <v>160</v>
      </c>
      <c r="E1788" s="23">
        <v>955254.82</v>
      </c>
      <c r="F1788" s="23">
        <v>1452245.57</v>
      </c>
      <c r="G1788" s="23">
        <v>383524.64</v>
      </c>
      <c r="H1788" s="23">
        <v>882885.47</v>
      </c>
    </row>
    <row r="1789" spans="1:8" x14ac:dyDescent="0.35">
      <c r="A1789">
        <v>2004</v>
      </c>
      <c r="B1789" t="s">
        <v>197</v>
      </c>
      <c r="C1789" t="s">
        <v>154</v>
      </c>
      <c r="D1789" t="s">
        <v>160</v>
      </c>
      <c r="E1789" s="23">
        <v>297620.21000000002</v>
      </c>
      <c r="F1789" s="23">
        <v>907113.58</v>
      </c>
      <c r="G1789" s="23">
        <v>143691.10999999999</v>
      </c>
      <c r="H1789" s="23">
        <v>506720.43</v>
      </c>
    </row>
    <row r="1790" spans="1:8" x14ac:dyDescent="0.35">
      <c r="A1790">
        <v>2004</v>
      </c>
      <c r="B1790" t="s">
        <v>198</v>
      </c>
      <c r="C1790" t="s">
        <v>154</v>
      </c>
      <c r="D1790" t="s">
        <v>160</v>
      </c>
      <c r="E1790" s="23">
        <v>6934032.3300000001</v>
      </c>
      <c r="F1790" s="23">
        <v>17165544.75</v>
      </c>
      <c r="G1790" s="23">
        <v>3650</v>
      </c>
      <c r="H1790" s="23">
        <v>9473.58</v>
      </c>
    </row>
    <row r="1791" spans="1:8" x14ac:dyDescent="0.35">
      <c r="A1791">
        <v>2004</v>
      </c>
      <c r="B1791" t="s">
        <v>199</v>
      </c>
      <c r="C1791" t="s">
        <v>154</v>
      </c>
      <c r="D1791" t="s">
        <v>160</v>
      </c>
      <c r="E1791" s="23">
        <v>970326.57</v>
      </c>
      <c r="F1791" s="23">
        <v>1973927.57</v>
      </c>
      <c r="G1791" s="23">
        <v>345648.32</v>
      </c>
      <c r="H1791" s="23">
        <v>845328.85</v>
      </c>
    </row>
    <row r="1792" spans="1:8" x14ac:dyDescent="0.35">
      <c r="A1792">
        <v>2004</v>
      </c>
      <c r="B1792" t="s">
        <v>201</v>
      </c>
      <c r="C1792" t="s">
        <v>154</v>
      </c>
      <c r="D1792" t="s">
        <v>160</v>
      </c>
      <c r="E1792" s="23">
        <v>0</v>
      </c>
      <c r="F1792" s="23">
        <v>0</v>
      </c>
      <c r="G1792" s="23">
        <v>743574.73</v>
      </c>
      <c r="H1792" s="23">
        <v>518377.99</v>
      </c>
    </row>
    <row r="1793" spans="1:8" x14ac:dyDescent="0.35">
      <c r="A1793">
        <v>2004</v>
      </c>
      <c r="B1793" t="s">
        <v>202</v>
      </c>
      <c r="C1793" t="s">
        <v>154</v>
      </c>
      <c r="D1793" t="s">
        <v>155</v>
      </c>
      <c r="E1793" s="23">
        <v>1531363.44</v>
      </c>
      <c r="F1793" s="23">
        <v>10355648.289999999</v>
      </c>
      <c r="G1793" s="23">
        <v>218073.69</v>
      </c>
      <c r="H1793" s="23">
        <v>1379685.7</v>
      </c>
    </row>
    <row r="1794" spans="1:8" x14ac:dyDescent="0.35">
      <c r="A1794">
        <v>2004</v>
      </c>
      <c r="B1794" t="s">
        <v>203</v>
      </c>
      <c r="C1794" t="s">
        <v>154</v>
      </c>
      <c r="D1794" t="s">
        <v>160</v>
      </c>
      <c r="E1794" s="23">
        <v>2058933.33</v>
      </c>
      <c r="F1794" s="23">
        <v>3740425.61</v>
      </c>
      <c r="G1794" s="23">
        <v>49861.25</v>
      </c>
      <c r="H1794" s="23">
        <v>767717.77</v>
      </c>
    </row>
    <row r="1795" spans="1:8" x14ac:dyDescent="0.35">
      <c r="A1795">
        <v>2004</v>
      </c>
      <c r="B1795" t="s">
        <v>204</v>
      </c>
      <c r="C1795" t="s">
        <v>154</v>
      </c>
      <c r="D1795" t="s">
        <v>158</v>
      </c>
      <c r="E1795" s="23">
        <v>842254.79</v>
      </c>
      <c r="F1795" s="23">
        <v>2707613.07</v>
      </c>
      <c r="G1795" s="23">
        <v>369441.29</v>
      </c>
      <c r="H1795" s="23">
        <v>2674403.0699999998</v>
      </c>
    </row>
    <row r="1796" spans="1:8" x14ac:dyDescent="0.35">
      <c r="A1796">
        <v>2004</v>
      </c>
      <c r="B1796" t="s">
        <v>205</v>
      </c>
      <c r="C1796" t="s">
        <v>154</v>
      </c>
      <c r="D1796" t="s">
        <v>160</v>
      </c>
      <c r="E1796" s="23">
        <v>295712.59000000003</v>
      </c>
      <c r="F1796" s="23">
        <v>581503.46</v>
      </c>
      <c r="G1796" s="23">
        <v>116215.31</v>
      </c>
      <c r="H1796" s="23">
        <v>496265.13</v>
      </c>
    </row>
    <row r="1797" spans="1:8" x14ac:dyDescent="0.35">
      <c r="A1797">
        <v>2004</v>
      </c>
      <c r="B1797" t="s">
        <v>206</v>
      </c>
      <c r="C1797" t="s">
        <v>154</v>
      </c>
      <c r="D1797" t="s">
        <v>158</v>
      </c>
      <c r="E1797" s="23">
        <v>255695.24</v>
      </c>
      <c r="F1797" s="23">
        <v>110628.19</v>
      </c>
      <c r="G1797" s="23">
        <v>184002.12</v>
      </c>
      <c r="H1797" s="23">
        <v>110628.19</v>
      </c>
    </row>
    <row r="1798" spans="1:8" x14ac:dyDescent="0.35">
      <c r="A1798">
        <v>2004</v>
      </c>
      <c r="B1798" t="s">
        <v>215</v>
      </c>
      <c r="C1798" t="s">
        <v>154</v>
      </c>
      <c r="D1798" t="s">
        <v>160</v>
      </c>
      <c r="E1798" s="23">
        <v>0</v>
      </c>
      <c r="F1798" s="23">
        <v>0</v>
      </c>
      <c r="G1798" s="23">
        <v>0</v>
      </c>
      <c r="H1798" s="23">
        <v>0</v>
      </c>
    </row>
    <row r="1799" spans="1:8" x14ac:dyDescent="0.35">
      <c r="A1799">
        <v>2004</v>
      </c>
      <c r="B1799" t="s">
        <v>221</v>
      </c>
      <c r="C1799" t="s">
        <v>154</v>
      </c>
      <c r="D1799" t="s">
        <v>165</v>
      </c>
      <c r="E1799" s="23">
        <v>1618637.58</v>
      </c>
      <c r="F1799" s="23">
        <v>2244881.2000000002</v>
      </c>
      <c r="G1799" s="23">
        <v>181263.92</v>
      </c>
      <c r="H1799" s="23">
        <v>272796.81</v>
      </c>
    </row>
    <row r="1800" spans="1:8" x14ac:dyDescent="0.35">
      <c r="A1800">
        <v>2004</v>
      </c>
      <c r="B1800" t="s">
        <v>223</v>
      </c>
      <c r="C1800" t="s">
        <v>163</v>
      </c>
      <c r="D1800" t="s">
        <v>160</v>
      </c>
      <c r="E1800" s="23">
        <v>1185427.74</v>
      </c>
      <c r="F1800" s="23">
        <v>1382177.25</v>
      </c>
      <c r="G1800" s="23">
        <v>951525.98</v>
      </c>
      <c r="H1800" s="23">
        <v>1310630.45</v>
      </c>
    </row>
    <row r="1801" spans="1:8" x14ac:dyDescent="0.35">
      <c r="A1801">
        <v>2004</v>
      </c>
      <c r="B1801" t="s">
        <v>224</v>
      </c>
      <c r="C1801" t="s">
        <v>154</v>
      </c>
      <c r="D1801" t="s">
        <v>158</v>
      </c>
      <c r="E1801" s="23">
        <v>925606.34</v>
      </c>
      <c r="F1801" s="23">
        <v>1641281.37</v>
      </c>
      <c r="G1801" s="23">
        <v>12104.29</v>
      </c>
      <c r="H1801" s="23">
        <v>17895.71</v>
      </c>
    </row>
    <row r="1802" spans="1:8" x14ac:dyDescent="0.35">
      <c r="A1802">
        <v>2004</v>
      </c>
      <c r="B1802" t="s">
        <v>225</v>
      </c>
      <c r="C1802" t="s">
        <v>154</v>
      </c>
      <c r="D1802" t="s">
        <v>160</v>
      </c>
      <c r="E1802" s="23">
        <v>0</v>
      </c>
      <c r="F1802" s="23">
        <v>0</v>
      </c>
      <c r="G1802" s="23">
        <v>6190</v>
      </c>
      <c r="H1802" s="23">
        <v>0</v>
      </c>
    </row>
    <row r="1803" spans="1:8" x14ac:dyDescent="0.35">
      <c r="A1803">
        <v>2004</v>
      </c>
      <c r="B1803" t="s">
        <v>226</v>
      </c>
      <c r="C1803" t="s">
        <v>154</v>
      </c>
      <c r="D1803" t="s">
        <v>155</v>
      </c>
      <c r="E1803" s="23">
        <v>0</v>
      </c>
      <c r="F1803" s="23">
        <v>0</v>
      </c>
      <c r="G1803" s="23">
        <v>53811.93</v>
      </c>
      <c r="H1803" s="23">
        <v>1098089.6000000001</v>
      </c>
    </row>
    <row r="1804" spans="1:8" x14ac:dyDescent="0.35">
      <c r="A1804">
        <v>2004</v>
      </c>
      <c r="B1804" t="s">
        <v>233</v>
      </c>
      <c r="C1804" t="s">
        <v>154</v>
      </c>
      <c r="D1804" t="s">
        <v>155</v>
      </c>
      <c r="E1804" s="23">
        <v>1137090.3799999999</v>
      </c>
      <c r="F1804" s="23">
        <v>2118141.7000000002</v>
      </c>
      <c r="G1804" s="23">
        <v>831678.74</v>
      </c>
      <c r="H1804" s="23">
        <v>1786210.7</v>
      </c>
    </row>
    <row r="1805" spans="1:8" x14ac:dyDescent="0.35">
      <c r="A1805">
        <v>2004</v>
      </c>
      <c r="B1805" t="s">
        <v>234</v>
      </c>
      <c r="C1805" t="s">
        <v>154</v>
      </c>
      <c r="D1805" t="s">
        <v>160</v>
      </c>
      <c r="E1805" s="23">
        <v>3258117.56</v>
      </c>
      <c r="F1805" s="23">
        <v>10867292.33</v>
      </c>
      <c r="G1805" s="23">
        <v>1405299.32</v>
      </c>
      <c r="H1805" s="23">
        <v>1365913.28</v>
      </c>
    </row>
    <row r="1806" spans="1:8" x14ac:dyDescent="0.35">
      <c r="A1806">
        <v>2004</v>
      </c>
      <c r="B1806" t="s">
        <v>235</v>
      </c>
      <c r="C1806" t="s">
        <v>154</v>
      </c>
      <c r="D1806" t="s">
        <v>160</v>
      </c>
      <c r="E1806" s="23">
        <v>75771.5</v>
      </c>
      <c r="F1806" s="23">
        <v>101010.54</v>
      </c>
      <c r="G1806" s="23">
        <v>61623.5</v>
      </c>
      <c r="H1806" s="23">
        <v>100649.54</v>
      </c>
    </row>
    <row r="1807" spans="1:8" x14ac:dyDescent="0.35">
      <c r="A1807">
        <v>2004</v>
      </c>
      <c r="B1807" t="s">
        <v>236</v>
      </c>
      <c r="C1807" t="s">
        <v>154</v>
      </c>
      <c r="D1807" t="s">
        <v>160</v>
      </c>
      <c r="E1807" s="23">
        <v>431570.88</v>
      </c>
      <c r="F1807" s="23">
        <v>903566.15</v>
      </c>
      <c r="G1807" s="23">
        <v>106867.71</v>
      </c>
      <c r="H1807" s="23">
        <v>638305.81000000006</v>
      </c>
    </row>
    <row r="1808" spans="1:8" x14ac:dyDescent="0.35">
      <c r="A1808">
        <v>2004</v>
      </c>
      <c r="B1808" t="s">
        <v>238</v>
      </c>
      <c r="C1808" t="s">
        <v>154</v>
      </c>
      <c r="D1808" t="s">
        <v>155</v>
      </c>
      <c r="E1808" s="23">
        <v>0</v>
      </c>
      <c r="F1808" s="23">
        <v>0</v>
      </c>
      <c r="G1808" s="23">
        <v>274662.01</v>
      </c>
      <c r="H1808" s="23">
        <v>2359370.25</v>
      </c>
    </row>
    <row r="1809" spans="1:8" x14ac:dyDescent="0.35">
      <c r="A1809">
        <v>2004</v>
      </c>
      <c r="B1809" t="s">
        <v>239</v>
      </c>
      <c r="C1809" t="s">
        <v>154</v>
      </c>
      <c r="D1809" t="s">
        <v>158</v>
      </c>
      <c r="E1809" s="23">
        <v>1952243.91</v>
      </c>
      <c r="F1809" s="23">
        <v>5154586.32</v>
      </c>
      <c r="G1809" s="23">
        <v>535169.42000000004</v>
      </c>
      <c r="H1809" s="23">
        <v>3261438.2</v>
      </c>
    </row>
    <row r="1810" spans="1:8" x14ac:dyDescent="0.35">
      <c r="A1810">
        <v>2004</v>
      </c>
      <c r="B1810" t="s">
        <v>243</v>
      </c>
      <c r="C1810" t="s">
        <v>154</v>
      </c>
      <c r="D1810" t="s">
        <v>165</v>
      </c>
      <c r="E1810" s="23">
        <v>4774416</v>
      </c>
      <c r="F1810" s="23">
        <v>917742.42</v>
      </c>
      <c r="G1810" s="23">
        <v>829044.9</v>
      </c>
      <c r="H1810" s="23">
        <v>364574.92</v>
      </c>
    </row>
    <row r="1811" spans="1:8" x14ac:dyDescent="0.35">
      <c r="A1811">
        <v>2004</v>
      </c>
      <c r="B1811" t="s">
        <v>247</v>
      </c>
      <c r="C1811" t="s">
        <v>154</v>
      </c>
      <c r="D1811" t="s">
        <v>160</v>
      </c>
      <c r="E1811" s="23">
        <v>15052921.060000001</v>
      </c>
      <c r="F1811" s="23">
        <v>38475412.380000003</v>
      </c>
      <c r="G1811" s="23">
        <v>5126569.53</v>
      </c>
      <c r="H1811" s="23">
        <v>11232322.09</v>
      </c>
    </row>
    <row r="1812" spans="1:8" x14ac:dyDescent="0.35">
      <c r="A1812">
        <v>2004</v>
      </c>
      <c r="B1812" t="s">
        <v>249</v>
      </c>
      <c r="C1812" t="s">
        <v>154</v>
      </c>
      <c r="D1812" t="s">
        <v>160</v>
      </c>
      <c r="E1812" s="23">
        <v>6449350.5300000003</v>
      </c>
      <c r="F1812" s="23">
        <v>9464224.8699999992</v>
      </c>
      <c r="G1812" s="23">
        <v>1624013.94</v>
      </c>
      <c r="H1812" s="23">
        <v>3177563.67</v>
      </c>
    </row>
    <row r="1813" spans="1:8" x14ac:dyDescent="0.35">
      <c r="A1813">
        <v>2004</v>
      </c>
      <c r="B1813" t="s">
        <v>252</v>
      </c>
      <c r="C1813" t="s">
        <v>154</v>
      </c>
      <c r="D1813" t="s">
        <v>160</v>
      </c>
      <c r="E1813" s="23">
        <v>0</v>
      </c>
      <c r="F1813" s="23">
        <v>0</v>
      </c>
      <c r="G1813" s="23">
        <v>0</v>
      </c>
      <c r="H1813" s="23">
        <v>0</v>
      </c>
    </row>
    <row r="1814" spans="1:8" x14ac:dyDescent="0.35">
      <c r="A1814">
        <v>2004</v>
      </c>
      <c r="B1814" t="s">
        <v>253</v>
      </c>
      <c r="C1814" t="s">
        <v>154</v>
      </c>
      <c r="D1814" t="s">
        <v>160</v>
      </c>
      <c r="E1814" s="23">
        <v>0</v>
      </c>
      <c r="F1814" s="23">
        <v>0</v>
      </c>
      <c r="G1814" s="23">
        <v>1041548.07</v>
      </c>
      <c r="H1814" s="23">
        <v>780318.79</v>
      </c>
    </row>
    <row r="1815" spans="1:8" x14ac:dyDescent="0.35">
      <c r="A1815">
        <v>2004</v>
      </c>
      <c r="B1815" t="s">
        <v>257</v>
      </c>
      <c r="C1815" t="s">
        <v>154</v>
      </c>
      <c r="D1815" t="s">
        <v>160</v>
      </c>
      <c r="E1815" s="23">
        <v>535470.5</v>
      </c>
      <c r="F1815" s="23">
        <v>1568665.34</v>
      </c>
      <c r="G1815" s="23">
        <v>0</v>
      </c>
      <c r="H1815" s="23">
        <v>0</v>
      </c>
    </row>
    <row r="1816" spans="1:8" x14ac:dyDescent="0.35">
      <c r="A1816">
        <v>2004</v>
      </c>
      <c r="B1816" t="s">
        <v>258</v>
      </c>
      <c r="C1816" t="s">
        <v>154</v>
      </c>
      <c r="D1816" t="s">
        <v>160</v>
      </c>
      <c r="E1816" s="23">
        <v>2263329.7200000002</v>
      </c>
      <c r="F1816" s="23">
        <v>1328730.6100000001</v>
      </c>
      <c r="G1816" s="23">
        <v>261617.53</v>
      </c>
      <c r="H1816" s="23">
        <v>97915.61</v>
      </c>
    </row>
    <row r="1817" spans="1:8" x14ac:dyDescent="0.35">
      <c r="A1817">
        <v>2004</v>
      </c>
      <c r="B1817" t="s">
        <v>261</v>
      </c>
      <c r="C1817" t="s">
        <v>154</v>
      </c>
      <c r="D1817" t="s">
        <v>158</v>
      </c>
      <c r="E1817" s="23">
        <v>391740.33</v>
      </c>
      <c r="F1817" s="23">
        <v>1247755.67</v>
      </c>
      <c r="G1817" s="23">
        <v>46543.94</v>
      </c>
      <c r="H1817" s="23">
        <v>0</v>
      </c>
    </row>
    <row r="1818" spans="1:8" x14ac:dyDescent="0.35">
      <c r="A1818">
        <v>2004</v>
      </c>
      <c r="B1818" t="s">
        <v>262</v>
      </c>
      <c r="C1818" t="s">
        <v>154</v>
      </c>
      <c r="D1818" t="s">
        <v>155</v>
      </c>
      <c r="E1818" s="23">
        <v>253496.51</v>
      </c>
      <c r="F1818" s="23">
        <v>176803.08</v>
      </c>
      <c r="G1818" s="23">
        <v>114750.01</v>
      </c>
      <c r="H1818" s="23">
        <v>170483.08</v>
      </c>
    </row>
    <row r="1819" spans="1:8" x14ac:dyDescent="0.35">
      <c r="A1819">
        <v>2004</v>
      </c>
      <c r="B1819" t="s">
        <v>266</v>
      </c>
      <c r="C1819" t="s">
        <v>154</v>
      </c>
      <c r="D1819" t="s">
        <v>158</v>
      </c>
      <c r="E1819" s="23">
        <v>199774.48</v>
      </c>
      <c r="F1819" s="23">
        <v>346203.5</v>
      </c>
      <c r="G1819" s="23">
        <v>0</v>
      </c>
      <c r="H1819" s="23">
        <v>0</v>
      </c>
    </row>
    <row r="1820" spans="1:8" x14ac:dyDescent="0.35">
      <c r="A1820">
        <v>2004</v>
      </c>
      <c r="B1820" t="s">
        <v>267</v>
      </c>
      <c r="C1820" t="s">
        <v>154</v>
      </c>
      <c r="D1820" t="s">
        <v>160</v>
      </c>
      <c r="E1820" s="23">
        <v>633973.63</v>
      </c>
      <c r="F1820" s="23">
        <v>869320.25</v>
      </c>
      <c r="G1820" s="23">
        <v>29562.639999999999</v>
      </c>
      <c r="H1820" s="23">
        <v>347813.08</v>
      </c>
    </row>
    <row r="1821" spans="1:8" x14ac:dyDescent="0.35">
      <c r="A1821">
        <v>2004</v>
      </c>
      <c r="B1821" t="s">
        <v>298</v>
      </c>
      <c r="C1821" t="s">
        <v>154</v>
      </c>
      <c r="D1821" t="s">
        <v>160</v>
      </c>
      <c r="E1821" s="23">
        <v>553430.56999999995</v>
      </c>
      <c r="F1821" s="23">
        <v>897886.7</v>
      </c>
      <c r="G1821" s="23">
        <v>478770.57</v>
      </c>
      <c r="H1821" s="23">
        <v>637959.03</v>
      </c>
    </row>
    <row r="1822" spans="1:8" x14ac:dyDescent="0.35">
      <c r="A1822">
        <v>2004</v>
      </c>
      <c r="B1822" t="s">
        <v>268</v>
      </c>
      <c r="C1822" t="s">
        <v>154</v>
      </c>
      <c r="D1822" t="s">
        <v>160</v>
      </c>
      <c r="E1822" s="23">
        <v>0</v>
      </c>
      <c r="F1822" s="23">
        <v>0</v>
      </c>
      <c r="G1822" s="23">
        <v>31253.67</v>
      </c>
      <c r="H1822" s="23">
        <v>118746.33</v>
      </c>
    </row>
    <row r="1823" spans="1:8" x14ac:dyDescent="0.35">
      <c r="A1823">
        <v>2004</v>
      </c>
      <c r="B1823" t="s">
        <v>272</v>
      </c>
      <c r="C1823" t="s">
        <v>154</v>
      </c>
      <c r="D1823" t="s">
        <v>160</v>
      </c>
      <c r="E1823" s="23">
        <v>891519.89</v>
      </c>
      <c r="F1823" s="23">
        <v>1012295.34</v>
      </c>
      <c r="G1823" s="23">
        <v>225886.63</v>
      </c>
      <c r="H1823" s="23">
        <v>279619.08</v>
      </c>
    </row>
    <row r="1824" spans="1:8" x14ac:dyDescent="0.35">
      <c r="A1824">
        <v>2004</v>
      </c>
      <c r="B1824" t="s">
        <v>273</v>
      </c>
      <c r="C1824" t="s">
        <v>154</v>
      </c>
      <c r="D1824" t="s">
        <v>155</v>
      </c>
      <c r="E1824" s="23">
        <v>2392791.5299999998</v>
      </c>
      <c r="F1824" s="23">
        <v>4086728.96</v>
      </c>
      <c r="G1824" s="23">
        <v>1896268.31</v>
      </c>
      <c r="H1824" s="23">
        <v>4036405.63</v>
      </c>
    </row>
    <row r="1825" spans="1:8" x14ac:dyDescent="0.35">
      <c r="A1825">
        <v>2004</v>
      </c>
      <c r="B1825" t="s">
        <v>275</v>
      </c>
      <c r="C1825" t="s">
        <v>154</v>
      </c>
      <c r="D1825" t="s">
        <v>160</v>
      </c>
      <c r="E1825" s="23">
        <v>0</v>
      </c>
      <c r="F1825" s="23">
        <v>0</v>
      </c>
      <c r="G1825" s="23">
        <v>86293.47</v>
      </c>
      <c r="H1825" s="23">
        <v>403560.5</v>
      </c>
    </row>
    <row r="1826" spans="1:8" x14ac:dyDescent="0.35">
      <c r="A1826">
        <v>2004</v>
      </c>
      <c r="B1826" t="s">
        <v>278</v>
      </c>
      <c r="C1826" t="s">
        <v>154</v>
      </c>
      <c r="D1826" t="s">
        <v>155</v>
      </c>
      <c r="E1826" s="23">
        <v>315720.75</v>
      </c>
      <c r="F1826" s="23">
        <v>295609.36</v>
      </c>
      <c r="G1826" s="23">
        <v>295579.83</v>
      </c>
      <c r="H1826" s="23">
        <v>295609.36</v>
      </c>
    </row>
    <row r="1827" spans="1:8" x14ac:dyDescent="0.35">
      <c r="A1827">
        <v>2004</v>
      </c>
      <c r="B1827" t="s">
        <v>279</v>
      </c>
      <c r="C1827" t="s">
        <v>154</v>
      </c>
      <c r="D1827" t="s">
        <v>155</v>
      </c>
      <c r="E1827" s="23">
        <v>1791344.75</v>
      </c>
      <c r="F1827" s="23">
        <v>3901927.49</v>
      </c>
      <c r="G1827" s="23">
        <v>1521611.55</v>
      </c>
      <c r="H1827" s="23">
        <v>3733777.16</v>
      </c>
    </row>
    <row r="1828" spans="1:8" x14ac:dyDescent="0.35">
      <c r="A1828">
        <v>2004</v>
      </c>
      <c r="B1828" t="s">
        <v>280</v>
      </c>
      <c r="C1828" t="s">
        <v>154</v>
      </c>
      <c r="D1828" t="s">
        <v>160</v>
      </c>
      <c r="E1828" s="23">
        <v>296105.68</v>
      </c>
      <c r="F1828" s="23">
        <v>791808.2</v>
      </c>
      <c r="G1828" s="23">
        <v>287523.68</v>
      </c>
      <c r="H1828" s="23">
        <v>777647.6</v>
      </c>
    </row>
    <row r="1829" spans="1:8" x14ac:dyDescent="0.35">
      <c r="A1829">
        <v>2004</v>
      </c>
      <c r="B1829" t="s">
        <v>282</v>
      </c>
      <c r="C1829" t="s">
        <v>154</v>
      </c>
      <c r="D1829" t="s">
        <v>160</v>
      </c>
      <c r="E1829" s="23">
        <v>2486944.4700000002</v>
      </c>
      <c r="F1829" s="23">
        <v>4653497.33</v>
      </c>
      <c r="G1829" s="23">
        <v>781440.54</v>
      </c>
      <c r="H1829" s="23">
        <v>2559062.98</v>
      </c>
    </row>
    <row r="1830" spans="1:8" x14ac:dyDescent="0.35">
      <c r="A1830">
        <v>2004</v>
      </c>
      <c r="B1830" t="s">
        <v>287</v>
      </c>
      <c r="C1830" t="s">
        <v>154</v>
      </c>
      <c r="D1830" t="s">
        <v>158</v>
      </c>
      <c r="E1830" s="23">
        <v>279845.43</v>
      </c>
      <c r="F1830" s="23">
        <v>208361.23</v>
      </c>
      <c r="G1830" s="23">
        <v>74516.31</v>
      </c>
      <c r="H1830" s="23">
        <v>112903.23</v>
      </c>
    </row>
    <row r="1831" spans="1:8" x14ac:dyDescent="0.35">
      <c r="A1831">
        <v>2004</v>
      </c>
      <c r="B1831" t="s">
        <v>291</v>
      </c>
      <c r="C1831" t="s">
        <v>154</v>
      </c>
      <c r="D1831" t="s">
        <v>158</v>
      </c>
      <c r="E1831" s="23">
        <v>519790.7</v>
      </c>
      <c r="F1831" s="23">
        <v>2926622.24</v>
      </c>
      <c r="G1831" s="23">
        <v>256799.28</v>
      </c>
      <c r="H1831" s="23">
        <v>2925900.24</v>
      </c>
    </row>
    <row r="1832" spans="1:8" x14ac:dyDescent="0.35">
      <c r="A1832">
        <v>2004</v>
      </c>
      <c r="B1832" t="s">
        <v>296</v>
      </c>
      <c r="C1832" t="s">
        <v>154</v>
      </c>
      <c r="D1832" t="s">
        <v>155</v>
      </c>
      <c r="E1832" s="23">
        <v>727077</v>
      </c>
      <c r="F1832" s="23">
        <v>1416616.86</v>
      </c>
      <c r="G1832" s="23">
        <v>558765.21</v>
      </c>
      <c r="H1832" s="23">
        <v>1192129.3600000001</v>
      </c>
    </row>
    <row r="1833" spans="1:8" x14ac:dyDescent="0.35">
      <c r="A1833">
        <v>2004</v>
      </c>
      <c r="B1833" t="s">
        <v>295</v>
      </c>
      <c r="C1833" t="s">
        <v>154</v>
      </c>
      <c r="D1833" t="s">
        <v>158</v>
      </c>
      <c r="E1833" s="23">
        <v>1576819.55</v>
      </c>
      <c r="F1833" s="23">
        <v>5105677.99</v>
      </c>
      <c r="G1833" s="23">
        <v>131491.14000000001</v>
      </c>
      <c r="H1833" s="23">
        <v>1193855.46</v>
      </c>
    </row>
    <row r="1834" spans="1:8" x14ac:dyDescent="0.35">
      <c r="A1834">
        <v>2003</v>
      </c>
      <c r="B1834" t="s">
        <v>153</v>
      </c>
      <c r="C1834" t="s">
        <v>154</v>
      </c>
      <c r="D1834" t="s">
        <v>155</v>
      </c>
      <c r="E1834" s="23">
        <v>192950</v>
      </c>
      <c r="F1834" s="23">
        <v>697050</v>
      </c>
      <c r="G1834" s="23">
        <v>100000</v>
      </c>
      <c r="H1834" s="23">
        <v>0</v>
      </c>
    </row>
    <row r="1835" spans="1:8" x14ac:dyDescent="0.35">
      <c r="A1835">
        <v>2003</v>
      </c>
      <c r="B1835" t="s">
        <v>164</v>
      </c>
      <c r="C1835" t="s">
        <v>154</v>
      </c>
      <c r="D1835" t="s">
        <v>165</v>
      </c>
      <c r="E1835" s="23">
        <v>1171595.28</v>
      </c>
      <c r="F1835" s="23">
        <v>877078.04</v>
      </c>
      <c r="G1835" s="23">
        <v>352382.97</v>
      </c>
      <c r="H1835" s="23">
        <v>862170.04</v>
      </c>
    </row>
    <row r="1836" spans="1:8" x14ac:dyDescent="0.35">
      <c r="A1836">
        <v>2003</v>
      </c>
      <c r="B1836" t="s">
        <v>167</v>
      </c>
      <c r="C1836" t="s">
        <v>154</v>
      </c>
      <c r="D1836" t="s">
        <v>155</v>
      </c>
      <c r="E1836" s="23">
        <v>1125263.45</v>
      </c>
      <c r="F1836" s="23">
        <v>569265.22</v>
      </c>
      <c r="G1836" s="23">
        <v>606452.29</v>
      </c>
      <c r="H1836" s="23">
        <v>157767.01</v>
      </c>
    </row>
    <row r="1837" spans="1:8" x14ac:dyDescent="0.35">
      <c r="A1837">
        <v>2003</v>
      </c>
      <c r="B1837" t="s">
        <v>169</v>
      </c>
      <c r="C1837" t="s">
        <v>154</v>
      </c>
      <c r="D1837" t="s">
        <v>160</v>
      </c>
      <c r="E1837" s="23">
        <v>670402.80000000005</v>
      </c>
      <c r="F1837" s="23">
        <v>128537.81</v>
      </c>
      <c r="G1837" s="23">
        <v>98592.05</v>
      </c>
      <c r="H1837" s="23">
        <v>92944.98</v>
      </c>
    </row>
    <row r="1838" spans="1:8" x14ac:dyDescent="0.35">
      <c r="A1838">
        <v>2003</v>
      </c>
      <c r="B1838" t="s">
        <v>299</v>
      </c>
      <c r="C1838" t="s">
        <v>154</v>
      </c>
      <c r="D1838" t="s">
        <v>158</v>
      </c>
      <c r="E1838" s="23">
        <v>0</v>
      </c>
      <c r="F1838" s="23">
        <v>0</v>
      </c>
      <c r="G1838" s="23">
        <v>1460229.08</v>
      </c>
      <c r="H1838" s="23">
        <v>6998355.3499999996</v>
      </c>
    </row>
    <row r="1839" spans="1:8" x14ac:dyDescent="0.35">
      <c r="A1839">
        <v>2003</v>
      </c>
      <c r="B1839" t="s">
        <v>178</v>
      </c>
      <c r="C1839" t="s">
        <v>154</v>
      </c>
      <c r="D1839" t="s">
        <v>155</v>
      </c>
      <c r="E1839" s="23">
        <v>295629.06</v>
      </c>
      <c r="F1839" s="23">
        <v>132755.4</v>
      </c>
      <c r="G1839" s="23">
        <v>48366.54</v>
      </c>
      <c r="H1839" s="23">
        <v>56851.4</v>
      </c>
    </row>
    <row r="1840" spans="1:8" x14ac:dyDescent="0.35">
      <c r="A1840">
        <v>2003</v>
      </c>
      <c r="B1840" t="s">
        <v>181</v>
      </c>
      <c r="C1840" t="s">
        <v>154</v>
      </c>
      <c r="D1840" t="s">
        <v>155</v>
      </c>
      <c r="E1840" s="23">
        <v>970675.03</v>
      </c>
      <c r="F1840" s="23">
        <v>323690.90000000002</v>
      </c>
      <c r="G1840" s="23">
        <v>219988.71</v>
      </c>
      <c r="H1840" s="23">
        <v>202349.9</v>
      </c>
    </row>
    <row r="1841" spans="1:8" x14ac:dyDescent="0.35">
      <c r="A1841">
        <v>2003</v>
      </c>
      <c r="B1841" t="s">
        <v>184</v>
      </c>
      <c r="C1841" t="s">
        <v>154</v>
      </c>
      <c r="D1841" t="s">
        <v>155</v>
      </c>
      <c r="E1841" s="23">
        <v>1095155.19</v>
      </c>
      <c r="F1841" s="23">
        <v>2893926.7</v>
      </c>
      <c r="G1841" s="23">
        <v>502285.97</v>
      </c>
      <c r="H1841" s="23">
        <v>1897241.2</v>
      </c>
    </row>
    <row r="1842" spans="1:8" x14ac:dyDescent="0.35">
      <c r="A1842">
        <v>2003</v>
      </c>
      <c r="B1842" t="s">
        <v>186</v>
      </c>
      <c r="C1842" t="s">
        <v>154</v>
      </c>
      <c r="D1842" t="s">
        <v>158</v>
      </c>
      <c r="E1842" s="23">
        <v>636561.65</v>
      </c>
      <c r="F1842" s="23">
        <v>3774103.59</v>
      </c>
      <c r="G1842" s="23">
        <v>423156.15</v>
      </c>
      <c r="H1842" s="23">
        <v>3765606.59</v>
      </c>
    </row>
    <row r="1843" spans="1:8" x14ac:dyDescent="0.35">
      <c r="A1843">
        <v>2003</v>
      </c>
      <c r="B1843" t="s">
        <v>189</v>
      </c>
      <c r="C1843" t="s">
        <v>154</v>
      </c>
      <c r="D1843" t="s">
        <v>158</v>
      </c>
      <c r="E1843" s="23">
        <v>2124522.5099999998</v>
      </c>
      <c r="F1843" s="23">
        <v>13236478.09</v>
      </c>
      <c r="G1843" s="23">
        <v>506141.32</v>
      </c>
      <c r="H1843" s="23">
        <v>4012006.66</v>
      </c>
    </row>
    <row r="1844" spans="1:8" x14ac:dyDescent="0.35">
      <c r="A1844">
        <v>2003</v>
      </c>
      <c r="B1844" t="s">
        <v>300</v>
      </c>
      <c r="C1844" t="s">
        <v>154</v>
      </c>
      <c r="D1844" t="s">
        <v>158</v>
      </c>
      <c r="E1844" s="23">
        <v>331.2</v>
      </c>
      <c r="F1844" s="23">
        <v>0</v>
      </c>
      <c r="G1844" s="23">
        <v>0</v>
      </c>
      <c r="H1844" s="23">
        <v>0</v>
      </c>
    </row>
    <row r="1845" spans="1:8" x14ac:dyDescent="0.35">
      <c r="A1845">
        <v>2003</v>
      </c>
      <c r="B1845" t="s">
        <v>192</v>
      </c>
      <c r="C1845" t="s">
        <v>154</v>
      </c>
      <c r="D1845" t="s">
        <v>160</v>
      </c>
      <c r="E1845" s="23">
        <v>524579.81999999995</v>
      </c>
      <c r="F1845" s="23">
        <v>1581395.05</v>
      </c>
      <c r="G1845" s="23">
        <v>298363.02</v>
      </c>
      <c r="H1845" s="23">
        <v>1552076.05</v>
      </c>
    </row>
    <row r="1846" spans="1:8" x14ac:dyDescent="0.35">
      <c r="A1846">
        <v>2003</v>
      </c>
      <c r="B1846" t="s">
        <v>197</v>
      </c>
      <c r="C1846" t="s">
        <v>154</v>
      </c>
      <c r="D1846" t="s">
        <v>160</v>
      </c>
      <c r="E1846" s="23">
        <v>300946.44</v>
      </c>
      <c r="F1846" s="23">
        <v>706215.43</v>
      </c>
      <c r="G1846" s="23">
        <v>233314.38</v>
      </c>
      <c r="H1846" s="23">
        <v>395447.27</v>
      </c>
    </row>
    <row r="1847" spans="1:8" x14ac:dyDescent="0.35">
      <c r="A1847">
        <v>2003</v>
      </c>
      <c r="B1847" t="s">
        <v>198</v>
      </c>
      <c r="C1847" t="s">
        <v>154</v>
      </c>
      <c r="D1847" t="s">
        <v>160</v>
      </c>
      <c r="E1847" s="23">
        <v>7455806.79</v>
      </c>
      <c r="F1847" s="23">
        <v>9195360.3800000008</v>
      </c>
      <c r="G1847" s="23">
        <v>40966</v>
      </c>
      <c r="H1847" s="23">
        <v>30964</v>
      </c>
    </row>
    <row r="1848" spans="1:8" x14ac:dyDescent="0.35">
      <c r="A1848">
        <v>2003</v>
      </c>
      <c r="B1848" t="s">
        <v>199</v>
      </c>
      <c r="C1848" t="s">
        <v>154</v>
      </c>
      <c r="D1848" t="s">
        <v>160</v>
      </c>
      <c r="E1848" s="23">
        <v>245168.73</v>
      </c>
      <c r="F1848" s="23">
        <v>661771.69999999995</v>
      </c>
      <c r="G1848" s="23">
        <v>134336.95999999999</v>
      </c>
      <c r="H1848" s="23">
        <v>226974.04</v>
      </c>
    </row>
    <row r="1849" spans="1:8" x14ac:dyDescent="0.35">
      <c r="A1849">
        <v>2003</v>
      </c>
      <c r="B1849" t="s">
        <v>201</v>
      </c>
      <c r="C1849" t="s">
        <v>154</v>
      </c>
      <c r="D1849" t="s">
        <v>160</v>
      </c>
      <c r="E1849" s="23">
        <v>0</v>
      </c>
      <c r="F1849" s="23">
        <v>0</v>
      </c>
      <c r="G1849" s="23">
        <v>163156.96</v>
      </c>
      <c r="H1849" s="23">
        <v>174534.59</v>
      </c>
    </row>
    <row r="1850" spans="1:8" x14ac:dyDescent="0.35">
      <c r="A1850">
        <v>2003</v>
      </c>
      <c r="B1850" t="s">
        <v>202</v>
      </c>
      <c r="C1850" t="s">
        <v>154</v>
      </c>
      <c r="D1850" t="s">
        <v>155</v>
      </c>
      <c r="E1850" s="23">
        <v>2557253.88</v>
      </c>
      <c r="F1850" s="23">
        <v>6813398.5</v>
      </c>
      <c r="G1850" s="23">
        <v>314588.55</v>
      </c>
      <c r="H1850" s="23">
        <v>696638.83</v>
      </c>
    </row>
    <row r="1851" spans="1:8" x14ac:dyDescent="0.35">
      <c r="A1851">
        <v>2003</v>
      </c>
      <c r="B1851" t="s">
        <v>203</v>
      </c>
      <c r="C1851" t="s">
        <v>154</v>
      </c>
      <c r="D1851" t="s">
        <v>160</v>
      </c>
      <c r="E1851" s="23">
        <v>1655262.56</v>
      </c>
      <c r="F1851" s="23">
        <v>5494388.2400000002</v>
      </c>
      <c r="G1851" s="23">
        <v>157926.94</v>
      </c>
      <c r="H1851" s="23">
        <v>2247126.5499999998</v>
      </c>
    </row>
    <row r="1852" spans="1:8" x14ac:dyDescent="0.35">
      <c r="A1852">
        <v>2003</v>
      </c>
      <c r="B1852" t="s">
        <v>204</v>
      </c>
      <c r="C1852" t="s">
        <v>154</v>
      </c>
      <c r="D1852" t="s">
        <v>158</v>
      </c>
      <c r="E1852" s="23">
        <v>787817.97</v>
      </c>
      <c r="F1852" s="23">
        <v>2594580.4900000002</v>
      </c>
      <c r="G1852" s="23">
        <v>432850</v>
      </c>
      <c r="H1852" s="23">
        <v>2023483.65</v>
      </c>
    </row>
    <row r="1853" spans="1:8" x14ac:dyDescent="0.35">
      <c r="A1853">
        <v>2003</v>
      </c>
      <c r="B1853" t="s">
        <v>205</v>
      </c>
      <c r="C1853" t="s">
        <v>154</v>
      </c>
      <c r="D1853" t="s">
        <v>160</v>
      </c>
      <c r="E1853" s="23">
        <v>183568.26</v>
      </c>
      <c r="F1853" s="23">
        <v>131818.42000000001</v>
      </c>
      <c r="G1853" s="23">
        <v>58010.46</v>
      </c>
      <c r="H1853" s="23">
        <v>40659.919999999998</v>
      </c>
    </row>
    <row r="1854" spans="1:8" x14ac:dyDescent="0.35">
      <c r="A1854">
        <v>2003</v>
      </c>
      <c r="B1854" t="s">
        <v>206</v>
      </c>
      <c r="C1854" t="s">
        <v>154</v>
      </c>
      <c r="D1854" t="s">
        <v>158</v>
      </c>
      <c r="E1854" s="23">
        <v>185374.47</v>
      </c>
      <c r="F1854" s="23">
        <v>144034</v>
      </c>
      <c r="G1854" s="23">
        <v>68108.63</v>
      </c>
      <c r="H1854" s="23">
        <v>123387</v>
      </c>
    </row>
    <row r="1855" spans="1:8" x14ac:dyDescent="0.35">
      <c r="A1855">
        <v>2003</v>
      </c>
      <c r="B1855" t="s">
        <v>221</v>
      </c>
      <c r="C1855" t="s">
        <v>154</v>
      </c>
      <c r="D1855" t="s">
        <v>165</v>
      </c>
      <c r="E1855" s="23">
        <v>914021.84</v>
      </c>
      <c r="F1855" s="23">
        <v>2020723.62</v>
      </c>
      <c r="G1855" s="23">
        <v>422537.42</v>
      </c>
      <c r="H1855" s="23">
        <v>1773291.12</v>
      </c>
    </row>
    <row r="1856" spans="1:8" x14ac:dyDescent="0.35">
      <c r="A1856">
        <v>2003</v>
      </c>
      <c r="B1856" t="s">
        <v>223</v>
      </c>
      <c r="C1856" t="s">
        <v>163</v>
      </c>
      <c r="D1856" t="s">
        <v>160</v>
      </c>
      <c r="E1856" s="23">
        <v>3312387.64</v>
      </c>
      <c r="F1856" s="23">
        <v>2510928.87</v>
      </c>
      <c r="G1856" s="23">
        <v>2988813.36</v>
      </c>
      <c r="H1856" s="23">
        <v>3074702.25</v>
      </c>
    </row>
    <row r="1857" spans="1:8" x14ac:dyDescent="0.35">
      <c r="A1857">
        <v>2003</v>
      </c>
      <c r="B1857" t="s">
        <v>224</v>
      </c>
      <c r="C1857" t="s">
        <v>154</v>
      </c>
      <c r="D1857" t="s">
        <v>158</v>
      </c>
      <c r="E1857" s="23">
        <v>809347.15</v>
      </c>
      <c r="F1857" s="23">
        <v>-930161.37</v>
      </c>
      <c r="G1857" s="23">
        <v>0</v>
      </c>
      <c r="H1857" s="23">
        <v>0</v>
      </c>
    </row>
    <row r="1858" spans="1:8" x14ac:dyDescent="0.35">
      <c r="A1858">
        <v>2003</v>
      </c>
      <c r="B1858" t="s">
        <v>225</v>
      </c>
      <c r="C1858" t="s">
        <v>154</v>
      </c>
      <c r="D1858" t="s">
        <v>160</v>
      </c>
      <c r="E1858" s="23">
        <v>0</v>
      </c>
      <c r="F1858" s="23">
        <v>0</v>
      </c>
      <c r="G1858" s="23">
        <v>90951.7</v>
      </c>
      <c r="H1858" s="23">
        <v>56913.27</v>
      </c>
    </row>
    <row r="1859" spans="1:8" x14ac:dyDescent="0.35">
      <c r="A1859">
        <v>2003</v>
      </c>
      <c r="B1859" t="s">
        <v>226</v>
      </c>
      <c r="C1859" t="s">
        <v>154</v>
      </c>
      <c r="D1859" t="s">
        <v>155</v>
      </c>
      <c r="E1859" s="23">
        <v>0</v>
      </c>
      <c r="F1859" s="23">
        <v>0</v>
      </c>
      <c r="G1859" s="23">
        <v>74476.55</v>
      </c>
      <c r="H1859" s="23">
        <v>647645.51</v>
      </c>
    </row>
    <row r="1860" spans="1:8" x14ac:dyDescent="0.35">
      <c r="A1860">
        <v>2003</v>
      </c>
      <c r="B1860" t="s">
        <v>233</v>
      </c>
      <c r="C1860" t="s">
        <v>154</v>
      </c>
      <c r="D1860" t="s">
        <v>155</v>
      </c>
      <c r="E1860" s="23">
        <v>1041016.74</v>
      </c>
      <c r="F1860" s="23">
        <v>2411232.06</v>
      </c>
      <c r="G1860" s="23">
        <v>361957.69</v>
      </c>
      <c r="H1860" s="23">
        <v>128005.61</v>
      </c>
    </row>
    <row r="1861" spans="1:8" x14ac:dyDescent="0.35">
      <c r="A1861">
        <v>2003</v>
      </c>
      <c r="B1861" t="s">
        <v>234</v>
      </c>
      <c r="C1861" t="s">
        <v>154</v>
      </c>
      <c r="D1861" t="s">
        <v>160</v>
      </c>
      <c r="E1861" s="23">
        <v>6294763.0199999996</v>
      </c>
      <c r="F1861" s="23">
        <v>3415889.06</v>
      </c>
      <c r="G1861" s="23">
        <v>6115871.8700000001</v>
      </c>
      <c r="H1861" s="23">
        <v>149222.94</v>
      </c>
    </row>
    <row r="1862" spans="1:8" x14ac:dyDescent="0.35">
      <c r="A1862">
        <v>2003</v>
      </c>
      <c r="B1862" t="s">
        <v>235</v>
      </c>
      <c r="C1862" t="s">
        <v>154</v>
      </c>
      <c r="D1862" t="s">
        <v>160</v>
      </c>
      <c r="E1862" s="23">
        <v>150029.35</v>
      </c>
      <c r="F1862" s="23">
        <v>1214711.95</v>
      </c>
      <c r="G1862" s="23">
        <v>112806.75</v>
      </c>
      <c r="H1862" s="23">
        <v>1214349.95</v>
      </c>
    </row>
    <row r="1863" spans="1:8" x14ac:dyDescent="0.35">
      <c r="A1863">
        <v>2003</v>
      </c>
      <c r="B1863" t="s">
        <v>236</v>
      </c>
      <c r="C1863" t="s">
        <v>154</v>
      </c>
      <c r="D1863" t="s">
        <v>160</v>
      </c>
      <c r="E1863" s="23">
        <v>730094.86</v>
      </c>
      <c r="F1863" s="23">
        <v>4255267.6100000003</v>
      </c>
      <c r="G1863" s="23">
        <v>103613.55</v>
      </c>
      <c r="H1863" s="23">
        <v>978352.65</v>
      </c>
    </row>
    <row r="1864" spans="1:8" x14ac:dyDescent="0.35">
      <c r="A1864">
        <v>2003</v>
      </c>
      <c r="B1864" t="s">
        <v>238</v>
      </c>
      <c r="C1864" t="s">
        <v>154</v>
      </c>
      <c r="D1864" t="s">
        <v>155</v>
      </c>
      <c r="E1864" s="23">
        <v>0</v>
      </c>
      <c r="F1864" s="23">
        <v>0</v>
      </c>
      <c r="G1864" s="23">
        <v>766247.53</v>
      </c>
      <c r="H1864" s="23">
        <v>5692631.6900000004</v>
      </c>
    </row>
    <row r="1865" spans="1:8" x14ac:dyDescent="0.35">
      <c r="A1865">
        <v>2003</v>
      </c>
      <c r="B1865" t="s">
        <v>239</v>
      </c>
      <c r="C1865" t="s">
        <v>154</v>
      </c>
      <c r="D1865" t="s">
        <v>158</v>
      </c>
      <c r="E1865" s="23">
        <v>1807072.44</v>
      </c>
      <c r="F1865" s="23">
        <v>5525630.4299999997</v>
      </c>
      <c r="G1865" s="23">
        <v>605285.13</v>
      </c>
      <c r="H1865" s="23">
        <v>3296468.73</v>
      </c>
    </row>
    <row r="1866" spans="1:8" x14ac:dyDescent="0.35">
      <c r="A1866">
        <v>2003</v>
      </c>
      <c r="B1866" t="s">
        <v>243</v>
      </c>
      <c r="C1866" t="s">
        <v>154</v>
      </c>
      <c r="D1866" t="s">
        <v>165</v>
      </c>
      <c r="E1866" s="23">
        <v>832751.98</v>
      </c>
      <c r="F1866" s="23">
        <v>5935545.9800000004</v>
      </c>
      <c r="G1866" s="23">
        <v>210698.16</v>
      </c>
      <c r="H1866" s="23">
        <v>2235713.5499999998</v>
      </c>
    </row>
    <row r="1867" spans="1:8" x14ac:dyDescent="0.35">
      <c r="A1867">
        <v>2003</v>
      </c>
      <c r="B1867" t="s">
        <v>247</v>
      </c>
      <c r="C1867" t="s">
        <v>154</v>
      </c>
      <c r="D1867" t="s">
        <v>160</v>
      </c>
      <c r="E1867" s="23">
        <v>20455260.309999999</v>
      </c>
      <c r="F1867" s="23">
        <v>59058337.32</v>
      </c>
      <c r="G1867" s="23">
        <v>5534552.9500000002</v>
      </c>
      <c r="H1867" s="23">
        <v>7394463.0099999998</v>
      </c>
    </row>
    <row r="1868" spans="1:8" x14ac:dyDescent="0.35">
      <c r="A1868">
        <v>2003</v>
      </c>
      <c r="B1868" t="s">
        <v>249</v>
      </c>
      <c r="C1868" t="s">
        <v>154</v>
      </c>
      <c r="D1868" t="s">
        <v>160</v>
      </c>
      <c r="E1868" s="23">
        <v>10948999.289999999</v>
      </c>
      <c r="F1868" s="23">
        <v>14469017.640000001</v>
      </c>
      <c r="G1868" s="23">
        <v>1796061.39</v>
      </c>
      <c r="H1868" s="23">
        <v>7470130.0899999999</v>
      </c>
    </row>
    <row r="1869" spans="1:8" x14ac:dyDescent="0.35">
      <c r="A1869">
        <v>2003</v>
      </c>
      <c r="B1869" t="s">
        <v>253</v>
      </c>
      <c r="C1869" t="s">
        <v>154</v>
      </c>
      <c r="D1869" t="s">
        <v>160</v>
      </c>
      <c r="E1869" s="23">
        <v>0</v>
      </c>
      <c r="F1869" s="23">
        <v>0</v>
      </c>
      <c r="G1869" s="23">
        <v>1021441.93</v>
      </c>
      <c r="H1869" s="23">
        <v>596608.68999999994</v>
      </c>
    </row>
    <row r="1870" spans="1:8" x14ac:dyDescent="0.35">
      <c r="A1870">
        <v>2003</v>
      </c>
      <c r="B1870" t="s">
        <v>257</v>
      </c>
      <c r="C1870" t="s">
        <v>154</v>
      </c>
      <c r="D1870" t="s">
        <v>160</v>
      </c>
      <c r="E1870" s="23">
        <v>1078203.1599999999</v>
      </c>
      <c r="F1870" s="23">
        <v>984969.47</v>
      </c>
      <c r="G1870" s="23">
        <v>153593.16</v>
      </c>
      <c r="H1870" s="23">
        <v>55219.47</v>
      </c>
    </row>
    <row r="1871" spans="1:8" x14ac:dyDescent="0.35">
      <c r="A1871">
        <v>2003</v>
      </c>
      <c r="B1871" t="s">
        <v>258</v>
      </c>
      <c r="C1871" t="s">
        <v>154</v>
      </c>
      <c r="D1871" t="s">
        <v>160</v>
      </c>
      <c r="E1871" s="23">
        <v>126670.47</v>
      </c>
      <c r="F1871" s="23">
        <v>184479.92</v>
      </c>
      <c r="G1871" s="23">
        <v>102110.21</v>
      </c>
      <c r="H1871" s="23">
        <v>184479.92</v>
      </c>
    </row>
    <row r="1872" spans="1:8" x14ac:dyDescent="0.35">
      <c r="A1872">
        <v>2003</v>
      </c>
      <c r="B1872" t="s">
        <v>261</v>
      </c>
      <c r="C1872" t="s">
        <v>154</v>
      </c>
      <c r="D1872" t="s">
        <v>158</v>
      </c>
      <c r="E1872" s="23">
        <v>382808.52</v>
      </c>
      <c r="F1872" s="23">
        <v>712789.35</v>
      </c>
      <c r="G1872" s="23">
        <v>0</v>
      </c>
      <c r="H1872" s="23">
        <v>9880</v>
      </c>
    </row>
    <row r="1873" spans="1:8" x14ac:dyDescent="0.35">
      <c r="A1873">
        <v>2003</v>
      </c>
      <c r="B1873" t="s">
        <v>262</v>
      </c>
      <c r="C1873" t="s">
        <v>154</v>
      </c>
      <c r="D1873" t="s">
        <v>155</v>
      </c>
      <c r="E1873" s="23">
        <v>199576.7</v>
      </c>
      <c r="F1873" s="23">
        <v>166979.54999999999</v>
      </c>
      <c r="G1873" s="23">
        <v>70691.199999999997</v>
      </c>
      <c r="H1873" s="23">
        <v>126068.55</v>
      </c>
    </row>
    <row r="1874" spans="1:8" x14ac:dyDescent="0.35">
      <c r="A1874">
        <v>2003</v>
      </c>
      <c r="B1874" t="s">
        <v>266</v>
      </c>
      <c r="C1874" t="s">
        <v>154</v>
      </c>
      <c r="D1874" t="s">
        <v>158</v>
      </c>
      <c r="E1874" s="23">
        <v>308342.48</v>
      </c>
      <c r="F1874" s="23">
        <v>3680</v>
      </c>
      <c r="G1874" s="23">
        <v>0</v>
      </c>
      <c r="H1874" s="23">
        <v>0</v>
      </c>
    </row>
    <row r="1875" spans="1:8" x14ac:dyDescent="0.35">
      <c r="A1875">
        <v>2003</v>
      </c>
      <c r="B1875" t="s">
        <v>267</v>
      </c>
      <c r="C1875" t="s">
        <v>154</v>
      </c>
      <c r="D1875" t="s">
        <v>160</v>
      </c>
      <c r="E1875" s="23">
        <v>656017.64</v>
      </c>
      <c r="F1875" s="23">
        <v>722460.51</v>
      </c>
      <c r="G1875" s="23">
        <v>162977.82</v>
      </c>
      <c r="H1875" s="23">
        <v>359416.01</v>
      </c>
    </row>
    <row r="1876" spans="1:8" x14ac:dyDescent="0.35">
      <c r="A1876">
        <v>2003</v>
      </c>
      <c r="B1876" t="s">
        <v>298</v>
      </c>
      <c r="C1876" t="s">
        <v>154</v>
      </c>
      <c r="D1876" t="s">
        <v>160</v>
      </c>
      <c r="E1876" s="23">
        <v>181698.71</v>
      </c>
      <c r="F1876" s="23">
        <v>835374.33</v>
      </c>
      <c r="G1876" s="23">
        <v>0</v>
      </c>
      <c r="H1876" s="23">
        <v>0</v>
      </c>
    </row>
    <row r="1877" spans="1:8" x14ac:dyDescent="0.35">
      <c r="A1877">
        <v>2003</v>
      </c>
      <c r="B1877" t="s">
        <v>268</v>
      </c>
      <c r="C1877" t="s">
        <v>154</v>
      </c>
      <c r="D1877" t="s">
        <v>160</v>
      </c>
      <c r="E1877" s="23">
        <v>0</v>
      </c>
      <c r="F1877" s="23">
        <v>0</v>
      </c>
      <c r="G1877" s="23">
        <v>75939.97</v>
      </c>
      <c r="H1877" s="23">
        <v>246769.45</v>
      </c>
    </row>
    <row r="1878" spans="1:8" x14ac:dyDescent="0.35">
      <c r="A1878">
        <v>2003</v>
      </c>
      <c r="B1878" t="s">
        <v>272</v>
      </c>
      <c r="C1878" t="s">
        <v>154</v>
      </c>
      <c r="D1878" t="s">
        <v>160</v>
      </c>
      <c r="E1878" s="23">
        <v>1364763.29</v>
      </c>
      <c r="F1878" s="23">
        <v>100777.26</v>
      </c>
      <c r="G1878" s="23">
        <v>1284413.2</v>
      </c>
      <c r="H1878" s="23">
        <v>66075.09</v>
      </c>
    </row>
    <row r="1879" spans="1:8" x14ac:dyDescent="0.35">
      <c r="A1879">
        <v>2003</v>
      </c>
      <c r="B1879" t="s">
        <v>273</v>
      </c>
      <c r="C1879" t="s">
        <v>154</v>
      </c>
      <c r="D1879" t="s">
        <v>155</v>
      </c>
      <c r="E1879" s="23">
        <v>1659263.58</v>
      </c>
      <c r="F1879" s="23">
        <v>2083079.88</v>
      </c>
      <c r="G1879" s="23">
        <v>943942.76</v>
      </c>
      <c r="H1879" s="23">
        <v>1097528.3700000001</v>
      </c>
    </row>
    <row r="1880" spans="1:8" x14ac:dyDescent="0.35">
      <c r="A1880">
        <v>2003</v>
      </c>
      <c r="B1880" t="s">
        <v>275</v>
      </c>
      <c r="C1880" t="s">
        <v>154</v>
      </c>
      <c r="D1880" t="s">
        <v>160</v>
      </c>
      <c r="E1880" s="23">
        <v>0</v>
      </c>
      <c r="F1880" s="23">
        <v>0</v>
      </c>
      <c r="G1880" s="23">
        <v>27678.99</v>
      </c>
      <c r="H1880" s="23">
        <v>46614.26</v>
      </c>
    </row>
    <row r="1881" spans="1:8" x14ac:dyDescent="0.35">
      <c r="A1881">
        <v>2003</v>
      </c>
      <c r="B1881" t="s">
        <v>278</v>
      </c>
      <c r="C1881" t="s">
        <v>154</v>
      </c>
      <c r="D1881" t="s">
        <v>155</v>
      </c>
      <c r="E1881" s="23">
        <v>172094.69</v>
      </c>
      <c r="F1881" s="23">
        <v>682586.51</v>
      </c>
      <c r="G1881" s="23">
        <v>45733.13</v>
      </c>
      <c r="H1881" s="23">
        <v>438247.34</v>
      </c>
    </row>
    <row r="1882" spans="1:8" x14ac:dyDescent="0.35">
      <c r="A1882">
        <v>2003</v>
      </c>
      <c r="B1882" t="s">
        <v>279</v>
      </c>
      <c r="C1882" t="s">
        <v>154</v>
      </c>
      <c r="D1882" t="s">
        <v>155</v>
      </c>
      <c r="E1882" s="23">
        <v>470472.55</v>
      </c>
      <c r="F1882" s="23">
        <v>2368407.0299999998</v>
      </c>
      <c r="G1882" s="23">
        <v>219705.11</v>
      </c>
      <c r="H1882" s="23">
        <v>1114829.8500000001</v>
      </c>
    </row>
    <row r="1883" spans="1:8" x14ac:dyDescent="0.35">
      <c r="A1883">
        <v>2003</v>
      </c>
      <c r="B1883" t="s">
        <v>280</v>
      </c>
      <c r="C1883" t="s">
        <v>154</v>
      </c>
      <c r="D1883" t="s">
        <v>160</v>
      </c>
      <c r="E1883" s="23">
        <v>326865.81</v>
      </c>
      <c r="F1883" s="23">
        <v>797361.3</v>
      </c>
      <c r="G1883" s="23">
        <v>144492.79</v>
      </c>
      <c r="H1883" s="23">
        <v>155049.24</v>
      </c>
    </row>
    <row r="1884" spans="1:8" x14ac:dyDescent="0.35">
      <c r="A1884">
        <v>2003</v>
      </c>
      <c r="B1884" t="s">
        <v>282</v>
      </c>
      <c r="C1884" t="s">
        <v>154</v>
      </c>
      <c r="D1884" t="s">
        <v>160</v>
      </c>
      <c r="E1884" s="23">
        <v>2157878.52</v>
      </c>
      <c r="F1884" s="23">
        <v>2855610.24</v>
      </c>
      <c r="G1884" s="23">
        <v>982522.47</v>
      </c>
      <c r="H1884" s="23">
        <v>2229625.2400000002</v>
      </c>
    </row>
    <row r="1885" spans="1:8" x14ac:dyDescent="0.35">
      <c r="A1885">
        <v>2003</v>
      </c>
      <c r="B1885" t="s">
        <v>287</v>
      </c>
      <c r="C1885" t="s">
        <v>154</v>
      </c>
      <c r="D1885" t="s">
        <v>158</v>
      </c>
      <c r="E1885" s="23">
        <v>378174.82</v>
      </c>
      <c r="F1885" s="23">
        <v>302528.15000000002</v>
      </c>
      <c r="G1885" s="23">
        <v>184355.82</v>
      </c>
      <c r="H1885" s="23">
        <v>215533.98</v>
      </c>
    </row>
    <row r="1886" spans="1:8" x14ac:dyDescent="0.35">
      <c r="A1886">
        <v>2003</v>
      </c>
      <c r="B1886" t="s">
        <v>291</v>
      </c>
      <c r="C1886" t="s">
        <v>154</v>
      </c>
      <c r="D1886" t="s">
        <v>158</v>
      </c>
      <c r="E1886" s="23">
        <v>78970.86</v>
      </c>
      <c r="F1886" s="23">
        <v>606519.51</v>
      </c>
      <c r="G1886" s="23">
        <v>36928.449999999997</v>
      </c>
      <c r="H1886" s="23">
        <v>506696.01</v>
      </c>
    </row>
    <row r="1887" spans="1:8" x14ac:dyDescent="0.35">
      <c r="A1887">
        <v>2003</v>
      </c>
      <c r="B1887" t="s">
        <v>296</v>
      </c>
      <c r="C1887" t="s">
        <v>154</v>
      </c>
      <c r="D1887" t="s">
        <v>155</v>
      </c>
      <c r="E1887" s="23">
        <v>288355.07</v>
      </c>
      <c r="F1887" s="23">
        <v>550509.24</v>
      </c>
      <c r="G1887" s="23">
        <v>176446.07</v>
      </c>
      <c r="H1887" s="23">
        <v>550509.24</v>
      </c>
    </row>
    <row r="1888" spans="1:8" x14ac:dyDescent="0.35">
      <c r="A1888">
        <v>2003</v>
      </c>
      <c r="B1888" t="s">
        <v>295</v>
      </c>
      <c r="C1888" t="s">
        <v>154</v>
      </c>
      <c r="D1888" t="s">
        <v>158</v>
      </c>
      <c r="E1888" s="23">
        <v>1409587.7</v>
      </c>
      <c r="F1888" s="23">
        <v>408907.97</v>
      </c>
      <c r="G1888" s="23">
        <v>633037.69999999995</v>
      </c>
      <c r="H1888" s="23">
        <v>160780.18</v>
      </c>
    </row>
    <row r="1889" spans="1:8" x14ac:dyDescent="0.35">
      <c r="A1889">
        <v>2002</v>
      </c>
      <c r="B1889" t="s">
        <v>164</v>
      </c>
      <c r="C1889" t="s">
        <v>154</v>
      </c>
      <c r="D1889" t="s">
        <v>165</v>
      </c>
      <c r="E1889" s="23">
        <v>2368984.16</v>
      </c>
      <c r="F1889" s="23">
        <v>181521</v>
      </c>
      <c r="G1889" s="23">
        <v>300137.43</v>
      </c>
      <c r="H1889" s="23">
        <v>92706</v>
      </c>
    </row>
    <row r="1890" spans="1:8" x14ac:dyDescent="0.35">
      <c r="A1890">
        <v>2002</v>
      </c>
      <c r="B1890" t="s">
        <v>167</v>
      </c>
      <c r="C1890" t="s">
        <v>154</v>
      </c>
      <c r="D1890" t="s">
        <v>155</v>
      </c>
      <c r="E1890" s="23">
        <v>569531.53</v>
      </c>
      <c r="F1890" s="23">
        <v>882669.95</v>
      </c>
      <c r="G1890" s="23">
        <v>495586.03</v>
      </c>
      <c r="H1890" s="23">
        <v>846099.95</v>
      </c>
    </row>
    <row r="1891" spans="1:8" x14ac:dyDescent="0.35">
      <c r="A1891">
        <v>2002</v>
      </c>
      <c r="B1891" t="s">
        <v>169</v>
      </c>
      <c r="C1891" t="s">
        <v>154</v>
      </c>
      <c r="D1891" t="s">
        <v>160</v>
      </c>
      <c r="E1891" s="23">
        <v>785993.5</v>
      </c>
      <c r="F1891" s="23">
        <v>146114.21</v>
      </c>
      <c r="G1891" s="23">
        <v>212378.92</v>
      </c>
      <c r="H1891" s="23">
        <v>38509.21</v>
      </c>
    </row>
    <row r="1892" spans="1:8" x14ac:dyDescent="0.35">
      <c r="A1892">
        <v>2002</v>
      </c>
      <c r="B1892" t="s">
        <v>299</v>
      </c>
      <c r="C1892" t="s">
        <v>154</v>
      </c>
      <c r="D1892" t="s">
        <v>158</v>
      </c>
      <c r="E1892" s="23">
        <v>0</v>
      </c>
      <c r="F1892" s="23">
        <v>0</v>
      </c>
      <c r="G1892" s="23">
        <v>8681.32</v>
      </c>
      <c r="H1892" s="23">
        <v>34123.43</v>
      </c>
    </row>
    <row r="1893" spans="1:8" x14ac:dyDescent="0.35">
      <c r="A1893">
        <v>2002</v>
      </c>
      <c r="B1893" t="s">
        <v>178</v>
      </c>
      <c r="C1893" t="s">
        <v>154</v>
      </c>
      <c r="D1893" t="s">
        <v>155</v>
      </c>
      <c r="E1893" s="23">
        <v>394597.05</v>
      </c>
      <c r="F1893" s="23">
        <v>359922.85</v>
      </c>
      <c r="G1893" s="23">
        <v>98723.55</v>
      </c>
      <c r="H1893" s="23">
        <v>106297.85</v>
      </c>
    </row>
    <row r="1894" spans="1:8" x14ac:dyDescent="0.35">
      <c r="A1894">
        <v>2002</v>
      </c>
      <c r="B1894" t="s">
        <v>181</v>
      </c>
      <c r="C1894" t="s">
        <v>154</v>
      </c>
      <c r="D1894" t="s">
        <v>155</v>
      </c>
      <c r="E1894" s="23">
        <v>2064238</v>
      </c>
      <c r="F1894" s="23">
        <v>562348.77</v>
      </c>
      <c r="G1894" s="23">
        <v>290718.90000000002</v>
      </c>
      <c r="H1894" s="23">
        <v>512934.6</v>
      </c>
    </row>
    <row r="1895" spans="1:8" x14ac:dyDescent="0.35">
      <c r="A1895">
        <v>2002</v>
      </c>
      <c r="B1895" t="s">
        <v>184</v>
      </c>
      <c r="C1895" t="s">
        <v>154</v>
      </c>
      <c r="D1895" t="s">
        <v>155</v>
      </c>
      <c r="E1895" s="23">
        <v>2365622.52</v>
      </c>
      <c r="F1895" s="23">
        <v>2133437</v>
      </c>
      <c r="G1895" s="23">
        <v>498935.02</v>
      </c>
      <c r="H1895" s="23">
        <v>1588325</v>
      </c>
    </row>
    <row r="1896" spans="1:8" x14ac:dyDescent="0.35">
      <c r="A1896">
        <v>2002</v>
      </c>
      <c r="B1896" t="s">
        <v>186</v>
      </c>
      <c r="C1896" t="s">
        <v>154</v>
      </c>
      <c r="D1896" t="s">
        <v>158</v>
      </c>
      <c r="E1896" s="23">
        <v>851511.74</v>
      </c>
      <c r="F1896" s="23">
        <v>2291078.06</v>
      </c>
      <c r="G1896" s="23">
        <v>489448.18</v>
      </c>
      <c r="H1896" s="23">
        <v>2097857.06</v>
      </c>
    </row>
    <row r="1897" spans="1:8" x14ac:dyDescent="0.35">
      <c r="A1897">
        <v>2002</v>
      </c>
      <c r="B1897" t="s">
        <v>189</v>
      </c>
      <c r="C1897" t="s">
        <v>154</v>
      </c>
      <c r="D1897" t="s">
        <v>158</v>
      </c>
      <c r="E1897" s="23">
        <v>2679625.0099999998</v>
      </c>
      <c r="F1897" s="23">
        <v>4120912.71</v>
      </c>
      <c r="G1897" s="23">
        <v>477051.33</v>
      </c>
      <c r="H1897" s="23">
        <v>1174094.18</v>
      </c>
    </row>
    <row r="1898" spans="1:8" x14ac:dyDescent="0.35">
      <c r="A1898">
        <v>2002</v>
      </c>
      <c r="B1898" t="s">
        <v>300</v>
      </c>
      <c r="C1898" t="s">
        <v>154</v>
      </c>
      <c r="D1898" t="s">
        <v>158</v>
      </c>
      <c r="E1898" s="23">
        <v>630633.82999999996</v>
      </c>
      <c r="F1898" s="23">
        <v>2029924.55</v>
      </c>
      <c r="G1898" s="23">
        <v>0</v>
      </c>
      <c r="H1898" s="23">
        <v>0</v>
      </c>
    </row>
    <row r="1899" spans="1:8" x14ac:dyDescent="0.35">
      <c r="A1899">
        <v>2002</v>
      </c>
      <c r="B1899" t="s">
        <v>192</v>
      </c>
      <c r="C1899" t="s">
        <v>154</v>
      </c>
      <c r="D1899" t="s">
        <v>160</v>
      </c>
      <c r="E1899" s="23">
        <v>452521.62</v>
      </c>
      <c r="F1899" s="23">
        <v>770402.59</v>
      </c>
      <c r="G1899" s="23">
        <v>94179.12</v>
      </c>
      <c r="H1899" s="23">
        <v>100350.1</v>
      </c>
    </row>
    <row r="1900" spans="1:8" x14ac:dyDescent="0.35">
      <c r="A1900">
        <v>2002</v>
      </c>
      <c r="B1900" t="s">
        <v>197</v>
      </c>
      <c r="C1900" t="s">
        <v>154</v>
      </c>
      <c r="D1900" t="s">
        <v>160</v>
      </c>
      <c r="E1900" s="23">
        <v>317744.52</v>
      </c>
      <c r="F1900" s="23">
        <v>298868.8</v>
      </c>
      <c r="G1900" s="23">
        <v>253103.42</v>
      </c>
      <c r="H1900" s="23">
        <v>275993.8</v>
      </c>
    </row>
    <row r="1901" spans="1:8" x14ac:dyDescent="0.35">
      <c r="A1901">
        <v>2002</v>
      </c>
      <c r="B1901" t="s">
        <v>198</v>
      </c>
      <c r="C1901" t="s">
        <v>154</v>
      </c>
      <c r="D1901" t="s">
        <v>160</v>
      </c>
      <c r="E1901" s="23">
        <v>257748.09</v>
      </c>
      <c r="F1901" s="23">
        <v>1545526.14</v>
      </c>
      <c r="G1901" s="23">
        <v>14922.23</v>
      </c>
      <c r="H1901" s="23">
        <v>13190.81</v>
      </c>
    </row>
    <row r="1902" spans="1:8" x14ac:dyDescent="0.35">
      <c r="A1902">
        <v>2002</v>
      </c>
      <c r="B1902" t="s">
        <v>201</v>
      </c>
      <c r="C1902" t="s">
        <v>154</v>
      </c>
      <c r="D1902" t="s">
        <v>160</v>
      </c>
      <c r="E1902" s="23">
        <v>0</v>
      </c>
      <c r="F1902" s="23">
        <v>0</v>
      </c>
      <c r="G1902" s="23">
        <v>82912.28</v>
      </c>
      <c r="H1902" s="23">
        <v>1207366.24</v>
      </c>
    </row>
    <row r="1903" spans="1:8" x14ac:dyDescent="0.35">
      <c r="A1903">
        <v>2002</v>
      </c>
      <c r="B1903" t="s">
        <v>202</v>
      </c>
      <c r="C1903" t="s">
        <v>154</v>
      </c>
      <c r="D1903" t="s">
        <v>155</v>
      </c>
      <c r="E1903" s="23">
        <v>1282091.3400000001</v>
      </c>
      <c r="F1903" s="23">
        <v>5419072.3600000003</v>
      </c>
      <c r="G1903" s="23">
        <v>314830.42</v>
      </c>
      <c r="H1903" s="23">
        <v>1033587.15</v>
      </c>
    </row>
    <row r="1904" spans="1:8" x14ac:dyDescent="0.35">
      <c r="A1904">
        <v>2002</v>
      </c>
      <c r="B1904" t="s">
        <v>203</v>
      </c>
      <c r="C1904" t="s">
        <v>154</v>
      </c>
      <c r="D1904" t="s">
        <v>160</v>
      </c>
      <c r="E1904" s="23">
        <v>2827033.19</v>
      </c>
      <c r="F1904" s="23">
        <v>13042076.689999999</v>
      </c>
      <c r="G1904" s="23">
        <v>384552.73</v>
      </c>
      <c r="H1904" s="23">
        <v>8206431.0599999996</v>
      </c>
    </row>
    <row r="1905" spans="1:8" x14ac:dyDescent="0.35">
      <c r="A1905">
        <v>2002</v>
      </c>
      <c r="B1905" t="s">
        <v>204</v>
      </c>
      <c r="C1905" t="s">
        <v>154</v>
      </c>
      <c r="D1905" t="s">
        <v>158</v>
      </c>
      <c r="E1905" s="23">
        <v>1039516.52</v>
      </c>
      <c r="F1905" s="23">
        <v>2585108.62</v>
      </c>
      <c r="G1905" s="23">
        <v>478899.92</v>
      </c>
      <c r="H1905" s="23">
        <v>1374562.95</v>
      </c>
    </row>
    <row r="1906" spans="1:8" x14ac:dyDescent="0.35">
      <c r="A1906">
        <v>2002</v>
      </c>
      <c r="B1906" t="s">
        <v>205</v>
      </c>
      <c r="C1906" t="s">
        <v>154</v>
      </c>
      <c r="D1906" t="s">
        <v>160</v>
      </c>
      <c r="E1906" s="23">
        <v>325265.77</v>
      </c>
      <c r="F1906" s="23">
        <v>392300</v>
      </c>
      <c r="G1906" s="23">
        <v>118615.69</v>
      </c>
      <c r="H1906" s="23">
        <v>81493.5</v>
      </c>
    </row>
    <row r="1907" spans="1:8" x14ac:dyDescent="0.35">
      <c r="A1907">
        <v>2002</v>
      </c>
      <c r="B1907" t="s">
        <v>206</v>
      </c>
      <c r="C1907" t="s">
        <v>154</v>
      </c>
      <c r="D1907" t="s">
        <v>158</v>
      </c>
      <c r="E1907" s="23">
        <v>763589.11</v>
      </c>
      <c r="F1907" s="23">
        <v>805276.5</v>
      </c>
      <c r="G1907" s="23">
        <v>33978.870000000003</v>
      </c>
      <c r="H1907" s="23">
        <v>65451.16</v>
      </c>
    </row>
    <row r="1908" spans="1:8" x14ac:dyDescent="0.35">
      <c r="A1908">
        <v>2002</v>
      </c>
      <c r="B1908" t="s">
        <v>221</v>
      </c>
      <c r="C1908" t="s">
        <v>154</v>
      </c>
      <c r="D1908" t="s">
        <v>165</v>
      </c>
      <c r="E1908" s="23">
        <v>683429.22</v>
      </c>
      <c r="F1908" s="23">
        <v>148201.14000000001</v>
      </c>
      <c r="G1908" s="23">
        <v>290138.62</v>
      </c>
      <c r="H1908" s="23">
        <v>93576.14</v>
      </c>
    </row>
    <row r="1909" spans="1:8" x14ac:dyDescent="0.35">
      <c r="A1909">
        <v>2002</v>
      </c>
      <c r="B1909" t="s">
        <v>223</v>
      </c>
      <c r="C1909" t="s">
        <v>163</v>
      </c>
      <c r="D1909" t="s">
        <v>160</v>
      </c>
      <c r="E1909" s="23">
        <v>1389833.31</v>
      </c>
      <c r="F1909" s="23">
        <v>3047926.92</v>
      </c>
      <c r="G1909" s="23">
        <v>494381.92</v>
      </c>
      <c r="H1909" s="23">
        <v>2107470.54</v>
      </c>
    </row>
    <row r="1910" spans="1:8" x14ac:dyDescent="0.35">
      <c r="A1910">
        <v>2002</v>
      </c>
      <c r="B1910" t="s">
        <v>224</v>
      </c>
      <c r="C1910" t="s">
        <v>154</v>
      </c>
      <c r="D1910" t="s">
        <v>158</v>
      </c>
      <c r="E1910" s="23">
        <v>206316.95</v>
      </c>
      <c r="F1910" s="23">
        <v>1025928.49</v>
      </c>
      <c r="G1910" s="23">
        <v>0</v>
      </c>
      <c r="H1910" s="23">
        <v>0</v>
      </c>
    </row>
    <row r="1911" spans="1:8" x14ac:dyDescent="0.35">
      <c r="A1911">
        <v>2002</v>
      </c>
      <c r="B1911" t="s">
        <v>225</v>
      </c>
      <c r="C1911" t="s">
        <v>154</v>
      </c>
      <c r="D1911" t="s">
        <v>160</v>
      </c>
      <c r="E1911" s="23">
        <v>0</v>
      </c>
      <c r="F1911" s="23">
        <v>0</v>
      </c>
      <c r="G1911" s="23">
        <v>76109.490000000005</v>
      </c>
      <c r="H1911" s="23">
        <v>83550.97</v>
      </c>
    </row>
    <row r="1912" spans="1:8" x14ac:dyDescent="0.35">
      <c r="A1912">
        <v>2002</v>
      </c>
      <c r="B1912" t="s">
        <v>226</v>
      </c>
      <c r="C1912" t="s">
        <v>154</v>
      </c>
      <c r="D1912" t="s">
        <v>155</v>
      </c>
      <c r="E1912" s="23">
        <v>0</v>
      </c>
      <c r="F1912" s="23">
        <v>0</v>
      </c>
      <c r="G1912" s="23">
        <v>82620</v>
      </c>
      <c r="H1912" s="23">
        <v>28702</v>
      </c>
    </row>
    <row r="1913" spans="1:8" x14ac:dyDescent="0.35">
      <c r="A1913">
        <v>2002</v>
      </c>
      <c r="B1913" t="s">
        <v>233</v>
      </c>
      <c r="C1913" t="s">
        <v>154</v>
      </c>
      <c r="D1913" t="s">
        <v>155</v>
      </c>
      <c r="E1913" s="23">
        <v>7017708.1299999999</v>
      </c>
      <c r="F1913" s="23">
        <v>3304221.33</v>
      </c>
      <c r="G1913" s="23">
        <v>6563563.4400000004</v>
      </c>
      <c r="H1913" s="23">
        <v>188512.83</v>
      </c>
    </row>
    <row r="1914" spans="1:8" x14ac:dyDescent="0.35">
      <c r="A1914">
        <v>2002</v>
      </c>
      <c r="B1914" t="s">
        <v>234</v>
      </c>
      <c r="C1914" t="s">
        <v>154</v>
      </c>
      <c r="D1914" t="s">
        <v>160</v>
      </c>
      <c r="E1914" s="23">
        <v>9585572.9900000002</v>
      </c>
      <c r="F1914" s="23">
        <v>2016100.52</v>
      </c>
      <c r="G1914" s="23">
        <v>8737261.4299999997</v>
      </c>
      <c r="H1914" s="23">
        <v>2009193.52</v>
      </c>
    </row>
    <row r="1915" spans="1:8" x14ac:dyDescent="0.35">
      <c r="A1915">
        <v>2002</v>
      </c>
      <c r="B1915" t="s">
        <v>235</v>
      </c>
      <c r="C1915" t="s">
        <v>154</v>
      </c>
      <c r="D1915" t="s">
        <v>160</v>
      </c>
      <c r="E1915" s="23">
        <v>29884.49</v>
      </c>
      <c r="F1915" s="23">
        <v>14211</v>
      </c>
      <c r="G1915" s="23">
        <v>0</v>
      </c>
      <c r="H1915" s="23">
        <v>0</v>
      </c>
    </row>
    <row r="1916" spans="1:8" x14ac:dyDescent="0.35">
      <c r="A1916">
        <v>2002</v>
      </c>
      <c r="B1916" t="s">
        <v>236</v>
      </c>
      <c r="C1916" t="s">
        <v>154</v>
      </c>
      <c r="D1916" t="s">
        <v>160</v>
      </c>
      <c r="E1916" s="23">
        <v>499766.15</v>
      </c>
      <c r="F1916" s="23">
        <v>744913.54</v>
      </c>
      <c r="G1916" s="23">
        <v>224258.95</v>
      </c>
      <c r="H1916" s="23">
        <v>334362.86</v>
      </c>
    </row>
    <row r="1917" spans="1:8" x14ac:dyDescent="0.35">
      <c r="A1917">
        <v>2002</v>
      </c>
      <c r="B1917" t="s">
        <v>238</v>
      </c>
      <c r="C1917" t="s">
        <v>154</v>
      </c>
      <c r="D1917" t="s">
        <v>155</v>
      </c>
      <c r="E1917" s="23">
        <v>0</v>
      </c>
      <c r="F1917" s="23">
        <v>0</v>
      </c>
      <c r="G1917" s="23">
        <v>439694</v>
      </c>
      <c r="H1917" s="23">
        <v>341195</v>
      </c>
    </row>
    <row r="1918" spans="1:8" x14ac:dyDescent="0.35">
      <c r="A1918">
        <v>2002</v>
      </c>
      <c r="B1918" t="s">
        <v>239</v>
      </c>
      <c r="C1918" t="s">
        <v>154</v>
      </c>
      <c r="D1918" t="s">
        <v>158</v>
      </c>
      <c r="E1918" s="23">
        <v>17781225.309999999</v>
      </c>
      <c r="F1918" s="23">
        <v>70669975.930000007</v>
      </c>
      <c r="G1918" s="23">
        <v>56805.22</v>
      </c>
      <c r="H1918" s="23">
        <v>1400944.08</v>
      </c>
    </row>
    <row r="1919" spans="1:8" x14ac:dyDescent="0.35">
      <c r="A1919">
        <v>2002</v>
      </c>
      <c r="B1919" t="s">
        <v>243</v>
      </c>
      <c r="C1919" t="s">
        <v>154</v>
      </c>
      <c r="D1919" t="s">
        <v>165</v>
      </c>
      <c r="E1919" s="23">
        <v>3407306.02</v>
      </c>
      <c r="F1919" s="23">
        <v>3199400</v>
      </c>
      <c r="G1919" s="23">
        <v>450823.27</v>
      </c>
      <c r="H1919" s="23">
        <v>1490676.34</v>
      </c>
    </row>
    <row r="1920" spans="1:8" x14ac:dyDescent="0.35">
      <c r="A1920">
        <v>2002</v>
      </c>
      <c r="B1920" t="s">
        <v>247</v>
      </c>
      <c r="C1920" t="s">
        <v>154</v>
      </c>
      <c r="D1920" t="s">
        <v>160</v>
      </c>
      <c r="E1920" s="23">
        <v>45733596.780000001</v>
      </c>
      <c r="F1920" s="23">
        <v>25457476.629999999</v>
      </c>
      <c r="G1920" s="23">
        <v>15819240.439999999</v>
      </c>
      <c r="H1920" s="23">
        <v>446118.76</v>
      </c>
    </row>
    <row r="1921" spans="1:8" x14ac:dyDescent="0.35">
      <c r="A1921">
        <v>2002</v>
      </c>
      <c r="B1921" t="s">
        <v>249</v>
      </c>
      <c r="C1921" t="s">
        <v>154</v>
      </c>
      <c r="D1921" t="s">
        <v>160</v>
      </c>
      <c r="E1921" s="23">
        <v>9511271.0099999998</v>
      </c>
      <c r="F1921" s="23">
        <v>12930124.57</v>
      </c>
      <c r="G1921" s="23">
        <v>2277800.0099999998</v>
      </c>
      <c r="H1921" s="23">
        <v>3485951.21</v>
      </c>
    </row>
    <row r="1922" spans="1:8" x14ac:dyDescent="0.35">
      <c r="A1922">
        <v>2002</v>
      </c>
      <c r="B1922" t="s">
        <v>253</v>
      </c>
      <c r="C1922" t="s">
        <v>154</v>
      </c>
      <c r="D1922" t="s">
        <v>160</v>
      </c>
      <c r="E1922" s="23">
        <v>0</v>
      </c>
      <c r="F1922" s="23">
        <v>0</v>
      </c>
      <c r="G1922" s="23">
        <v>758377.53</v>
      </c>
      <c r="H1922" s="23">
        <v>1325481.22</v>
      </c>
    </row>
    <row r="1923" spans="1:8" x14ac:dyDescent="0.35">
      <c r="A1923">
        <v>2002</v>
      </c>
      <c r="B1923" t="s">
        <v>257</v>
      </c>
      <c r="C1923" t="s">
        <v>154</v>
      </c>
      <c r="D1923" t="s">
        <v>160</v>
      </c>
      <c r="E1923" s="23">
        <v>2128569.4900000002</v>
      </c>
      <c r="F1923" s="23">
        <v>2622664.4900000002</v>
      </c>
      <c r="G1923" s="23">
        <v>165687.67999999999</v>
      </c>
      <c r="H1923" s="23">
        <v>668338.31999999995</v>
      </c>
    </row>
    <row r="1924" spans="1:8" x14ac:dyDescent="0.35">
      <c r="A1924">
        <v>2002</v>
      </c>
      <c r="B1924" t="s">
        <v>258</v>
      </c>
      <c r="C1924" t="s">
        <v>154</v>
      </c>
      <c r="D1924" t="s">
        <v>160</v>
      </c>
      <c r="E1924" s="23">
        <v>338939.82</v>
      </c>
      <c r="F1924" s="23">
        <v>1669168.16</v>
      </c>
      <c r="G1924" s="23">
        <v>299043.62</v>
      </c>
      <c r="H1924" s="23">
        <v>1667060.16</v>
      </c>
    </row>
    <row r="1925" spans="1:8" x14ac:dyDescent="0.35">
      <c r="A1925">
        <v>2002</v>
      </c>
      <c r="B1925" t="s">
        <v>261</v>
      </c>
      <c r="C1925" t="s">
        <v>154</v>
      </c>
      <c r="D1925" t="s">
        <v>158</v>
      </c>
      <c r="E1925" s="23">
        <v>378578.47</v>
      </c>
      <c r="F1925" s="23">
        <v>734767.84</v>
      </c>
      <c r="G1925" s="23">
        <v>68439.81</v>
      </c>
      <c r="H1925" s="23">
        <v>146427.19</v>
      </c>
    </row>
    <row r="1926" spans="1:8" x14ac:dyDescent="0.35">
      <c r="A1926">
        <v>2002</v>
      </c>
      <c r="B1926" t="s">
        <v>262</v>
      </c>
      <c r="C1926" t="s">
        <v>154</v>
      </c>
      <c r="D1926" t="s">
        <v>155</v>
      </c>
      <c r="E1926" s="23">
        <v>1286216.22</v>
      </c>
      <c r="F1926" s="23">
        <v>502708.69</v>
      </c>
      <c r="G1926" s="23">
        <v>198362</v>
      </c>
      <c r="H1926" s="23">
        <v>502499.69</v>
      </c>
    </row>
    <row r="1927" spans="1:8" x14ac:dyDescent="0.35">
      <c r="A1927">
        <v>2002</v>
      </c>
      <c r="B1927" t="s">
        <v>266</v>
      </c>
      <c r="C1927" t="s">
        <v>154</v>
      </c>
      <c r="D1927" t="s">
        <v>158</v>
      </c>
      <c r="E1927" s="23">
        <v>175962.72</v>
      </c>
      <c r="F1927" s="23">
        <v>0</v>
      </c>
      <c r="G1927" s="23">
        <v>0</v>
      </c>
      <c r="H1927" s="23">
        <v>0</v>
      </c>
    </row>
    <row r="1928" spans="1:8" x14ac:dyDescent="0.35">
      <c r="A1928">
        <v>2002</v>
      </c>
      <c r="B1928" t="s">
        <v>267</v>
      </c>
      <c r="C1928" t="s">
        <v>154</v>
      </c>
      <c r="D1928" t="s">
        <v>160</v>
      </c>
      <c r="E1928" s="23">
        <v>291420.65000000002</v>
      </c>
      <c r="F1928" s="23">
        <v>103921.08</v>
      </c>
      <c r="G1928" s="23">
        <v>22509.47</v>
      </c>
      <c r="H1928" s="23">
        <v>-31681.919999999998</v>
      </c>
    </row>
    <row r="1929" spans="1:8" x14ac:dyDescent="0.35">
      <c r="A1929">
        <v>2002</v>
      </c>
      <c r="B1929" t="s">
        <v>298</v>
      </c>
      <c r="C1929" t="s">
        <v>154</v>
      </c>
      <c r="D1929" t="s">
        <v>160</v>
      </c>
      <c r="E1929" s="23">
        <v>942802.87</v>
      </c>
      <c r="F1929" s="23">
        <v>2309724.9300000002</v>
      </c>
      <c r="G1929" s="23">
        <v>15501.15</v>
      </c>
      <c r="H1929" s="23">
        <v>167875.43</v>
      </c>
    </row>
    <row r="1930" spans="1:8" x14ac:dyDescent="0.35">
      <c r="A1930">
        <v>2002</v>
      </c>
      <c r="B1930" t="s">
        <v>268</v>
      </c>
      <c r="C1930" t="s">
        <v>154</v>
      </c>
      <c r="D1930" t="s">
        <v>160</v>
      </c>
      <c r="E1930" s="23">
        <v>0</v>
      </c>
      <c r="F1930" s="23">
        <v>0</v>
      </c>
      <c r="G1930" s="23">
        <v>124986.75</v>
      </c>
      <c r="H1930" s="23">
        <v>270835.88</v>
      </c>
    </row>
    <row r="1931" spans="1:8" x14ac:dyDescent="0.35">
      <c r="A1931">
        <v>2002</v>
      </c>
      <c r="B1931" t="s">
        <v>272</v>
      </c>
      <c r="C1931" t="s">
        <v>154</v>
      </c>
      <c r="D1931" t="s">
        <v>160</v>
      </c>
      <c r="E1931" s="23">
        <v>269832.23</v>
      </c>
      <c r="F1931" s="23">
        <v>152963.01</v>
      </c>
      <c r="G1931" s="23">
        <v>79789.23</v>
      </c>
      <c r="H1931" s="23">
        <v>56518.01</v>
      </c>
    </row>
    <row r="1932" spans="1:8" x14ac:dyDescent="0.35">
      <c r="A1932">
        <v>2002</v>
      </c>
      <c r="B1932" t="s">
        <v>273</v>
      </c>
      <c r="C1932" t="s">
        <v>154</v>
      </c>
      <c r="D1932" t="s">
        <v>155</v>
      </c>
      <c r="E1932" s="23">
        <v>674708.14</v>
      </c>
      <c r="F1932" s="23">
        <v>3438766.36</v>
      </c>
      <c r="G1932" s="23">
        <v>197812.03</v>
      </c>
      <c r="H1932" s="23">
        <v>3289312.86</v>
      </c>
    </row>
    <row r="1933" spans="1:8" x14ac:dyDescent="0.35">
      <c r="A1933">
        <v>2002</v>
      </c>
      <c r="B1933" t="s">
        <v>275</v>
      </c>
      <c r="C1933" t="s">
        <v>154</v>
      </c>
      <c r="D1933" t="s">
        <v>160</v>
      </c>
      <c r="E1933" s="23">
        <v>0</v>
      </c>
      <c r="F1933" s="23">
        <v>0</v>
      </c>
      <c r="G1933" s="23">
        <v>122901.45</v>
      </c>
      <c r="H1933" s="23">
        <v>109404.55</v>
      </c>
    </row>
    <row r="1934" spans="1:8" x14ac:dyDescent="0.35">
      <c r="A1934">
        <v>2002</v>
      </c>
      <c r="B1934" t="s">
        <v>278</v>
      </c>
      <c r="C1934" t="s">
        <v>154</v>
      </c>
      <c r="D1934" t="s">
        <v>155</v>
      </c>
      <c r="E1934" s="23">
        <v>130203.57</v>
      </c>
      <c r="F1934" s="23">
        <v>511976.94</v>
      </c>
      <c r="G1934" s="23">
        <v>59213.27</v>
      </c>
      <c r="H1934" s="23">
        <v>511976.94</v>
      </c>
    </row>
    <row r="1935" spans="1:8" x14ac:dyDescent="0.35">
      <c r="A1935">
        <v>2002</v>
      </c>
      <c r="B1935" t="s">
        <v>279</v>
      </c>
      <c r="C1935" t="s">
        <v>154</v>
      </c>
      <c r="D1935" t="s">
        <v>155</v>
      </c>
      <c r="E1935" s="23">
        <v>1574538.67</v>
      </c>
      <c r="F1935" s="23">
        <v>4793061.05</v>
      </c>
      <c r="G1935" s="23">
        <v>997133.35</v>
      </c>
      <c r="H1935" s="23">
        <v>602772.55000000005</v>
      </c>
    </row>
    <row r="1936" spans="1:8" x14ac:dyDescent="0.35">
      <c r="A1936">
        <v>2002</v>
      </c>
      <c r="B1936" t="s">
        <v>280</v>
      </c>
      <c r="C1936" t="s">
        <v>154</v>
      </c>
      <c r="D1936" t="s">
        <v>160</v>
      </c>
      <c r="E1936" s="23">
        <v>289173.76000000001</v>
      </c>
      <c r="F1936" s="23">
        <v>488151.89</v>
      </c>
      <c r="G1936" s="23">
        <v>203416.22</v>
      </c>
      <c r="H1936" s="23">
        <v>21341.23</v>
      </c>
    </row>
    <row r="1937" spans="1:8" x14ac:dyDescent="0.35">
      <c r="A1937">
        <v>2002</v>
      </c>
      <c r="B1937" t="s">
        <v>282</v>
      </c>
      <c r="C1937" t="s">
        <v>154</v>
      </c>
      <c r="D1937" t="s">
        <v>160</v>
      </c>
      <c r="E1937" s="23">
        <v>3113998.45</v>
      </c>
      <c r="F1937" s="23">
        <v>3400489.01</v>
      </c>
      <c r="G1937" s="23">
        <v>821298.19</v>
      </c>
      <c r="H1937" s="23">
        <v>1486728.07</v>
      </c>
    </row>
    <row r="1938" spans="1:8" x14ac:dyDescent="0.35">
      <c r="A1938">
        <v>2002</v>
      </c>
      <c r="B1938" t="s">
        <v>287</v>
      </c>
      <c r="C1938" t="s">
        <v>154</v>
      </c>
      <c r="D1938" t="s">
        <v>158</v>
      </c>
      <c r="E1938" s="23">
        <v>570526.06000000006</v>
      </c>
      <c r="F1938" s="23">
        <v>920936.57</v>
      </c>
      <c r="G1938" s="23">
        <v>167352.23000000001</v>
      </c>
      <c r="H1938" s="23">
        <v>75091.740000000005</v>
      </c>
    </row>
    <row r="1939" spans="1:8" x14ac:dyDescent="0.35">
      <c r="A1939">
        <v>2002</v>
      </c>
      <c r="B1939" t="s">
        <v>291</v>
      </c>
      <c r="C1939" t="s">
        <v>154</v>
      </c>
      <c r="D1939" t="s">
        <v>158</v>
      </c>
      <c r="E1939" s="23">
        <v>439941.31</v>
      </c>
      <c r="F1939" s="23">
        <v>1653164.02</v>
      </c>
      <c r="G1939" s="23">
        <v>178595.86</v>
      </c>
      <c r="H1939" s="23">
        <v>488295.97</v>
      </c>
    </row>
    <row r="1940" spans="1:8" x14ac:dyDescent="0.35">
      <c r="A1940">
        <v>2002</v>
      </c>
      <c r="B1940" t="s">
        <v>296</v>
      </c>
      <c r="C1940" t="s">
        <v>154</v>
      </c>
      <c r="D1940" t="s">
        <v>155</v>
      </c>
      <c r="E1940" s="23">
        <v>6337994.4199999999</v>
      </c>
      <c r="F1940" s="23">
        <v>5330303.7699999996</v>
      </c>
      <c r="G1940" s="23">
        <v>1349348.07</v>
      </c>
      <c r="H1940" s="23">
        <v>5092968.6100000003</v>
      </c>
    </row>
    <row r="1941" spans="1:8" x14ac:dyDescent="0.35">
      <c r="A1941">
        <v>2002</v>
      </c>
      <c r="B1941" t="s">
        <v>295</v>
      </c>
      <c r="C1941" t="s">
        <v>154</v>
      </c>
      <c r="D1941" t="s">
        <v>158</v>
      </c>
      <c r="E1941" s="23">
        <v>3318950.71</v>
      </c>
      <c r="F1941" s="23">
        <v>310331.87</v>
      </c>
      <c r="G1941" s="23">
        <v>2220320.7400000002</v>
      </c>
      <c r="H1941" s="23">
        <v>24720.5</v>
      </c>
    </row>
  </sheetData>
  <autoFilter ref="A2:H1941" xr:uid="{1EA08F60-E87E-4C9C-B9FE-CC18F93D10B4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04FD8-CB6C-44ED-8743-07FF6AA7184C}">
  <sheetPr codeName="Sheet3">
    <tabColor theme="4" tint="0.39997558519241921"/>
  </sheetPr>
  <dimension ref="A1:M300"/>
  <sheetViews>
    <sheetView workbookViewId="0">
      <selection activeCell="F2" sqref="F2"/>
    </sheetView>
  </sheetViews>
  <sheetFormatPr defaultRowHeight="14.5" x14ac:dyDescent="0.35"/>
  <cols>
    <col min="1" max="1" width="11.26953125" bestFit="1" customWidth="1"/>
    <col min="2" max="2" width="13.36328125" bestFit="1" customWidth="1"/>
    <col min="3" max="3" width="27.36328125" bestFit="1" customWidth="1"/>
    <col min="4" max="4" width="50.1796875" bestFit="1" customWidth="1"/>
    <col min="5" max="5" width="8.26953125" bestFit="1" customWidth="1"/>
    <col min="6" max="6" width="19.1796875" bestFit="1" customWidth="1"/>
    <col min="7" max="7" width="14.1796875" bestFit="1" customWidth="1"/>
    <col min="8" max="8" width="14.26953125" customWidth="1"/>
  </cols>
  <sheetData>
    <row r="1" spans="1:13" x14ac:dyDescent="0.35">
      <c r="A1" s="17" t="s">
        <v>152</v>
      </c>
    </row>
    <row r="2" spans="1:13" x14ac:dyDescent="0.35">
      <c r="A2" s="10" t="s">
        <v>116</v>
      </c>
      <c r="B2" s="10" t="s">
        <v>123</v>
      </c>
      <c r="C2" s="10" t="s">
        <v>124</v>
      </c>
      <c r="D2" s="10" t="s">
        <v>104</v>
      </c>
      <c r="E2" s="10" t="s">
        <v>118</v>
      </c>
      <c r="F2" s="10" t="s">
        <v>117</v>
      </c>
      <c r="G2" s="10" t="s">
        <v>125</v>
      </c>
      <c r="H2" s="10" t="s">
        <v>126</v>
      </c>
      <c r="K2" s="13"/>
      <c r="L2" s="13"/>
      <c r="M2" s="13"/>
    </row>
    <row r="3" spans="1:13" x14ac:dyDescent="0.35">
      <c r="A3">
        <v>2022</v>
      </c>
      <c r="B3">
        <v>10</v>
      </c>
      <c r="C3" t="s">
        <v>301</v>
      </c>
      <c r="D3" t="s">
        <v>153</v>
      </c>
      <c r="E3" t="s">
        <v>155</v>
      </c>
      <c r="F3" t="s">
        <v>302</v>
      </c>
      <c r="G3" s="23">
        <v>59938.93</v>
      </c>
      <c r="H3" s="23">
        <v>1843.18</v>
      </c>
      <c r="K3" s="13"/>
      <c r="L3" s="13"/>
      <c r="M3" s="13"/>
    </row>
    <row r="4" spans="1:13" x14ac:dyDescent="0.35">
      <c r="A4">
        <v>2022</v>
      </c>
      <c r="B4">
        <v>10</v>
      </c>
      <c r="C4" t="s">
        <v>301</v>
      </c>
      <c r="D4" t="s">
        <v>156</v>
      </c>
      <c r="E4" t="s">
        <v>158</v>
      </c>
      <c r="F4" t="s">
        <v>302</v>
      </c>
      <c r="G4" s="23">
        <v>8403.75</v>
      </c>
      <c r="H4" s="23">
        <v>70960.06</v>
      </c>
      <c r="K4" s="13"/>
      <c r="L4" s="13"/>
      <c r="M4" s="13"/>
    </row>
    <row r="5" spans="1:13" x14ac:dyDescent="0.35">
      <c r="A5">
        <v>2022</v>
      </c>
      <c r="B5">
        <v>10</v>
      </c>
      <c r="C5" t="s">
        <v>301</v>
      </c>
      <c r="D5" t="s">
        <v>161</v>
      </c>
      <c r="E5" t="s">
        <v>158</v>
      </c>
      <c r="F5" t="s">
        <v>303</v>
      </c>
      <c r="G5" s="23">
        <v>17743.650000000001</v>
      </c>
      <c r="H5" s="23">
        <v>0</v>
      </c>
      <c r="K5" s="13"/>
      <c r="L5" s="13"/>
      <c r="M5" s="13"/>
    </row>
    <row r="6" spans="1:13" x14ac:dyDescent="0.35">
      <c r="A6">
        <v>2022</v>
      </c>
      <c r="B6">
        <v>10</v>
      </c>
      <c r="C6" t="s">
        <v>301</v>
      </c>
      <c r="D6" t="s">
        <v>161</v>
      </c>
      <c r="E6" t="s">
        <v>158</v>
      </c>
      <c r="F6" t="s">
        <v>302</v>
      </c>
      <c r="G6" s="23">
        <v>512052.1</v>
      </c>
      <c r="H6" s="23">
        <v>7465596.4900000002</v>
      </c>
      <c r="K6" s="13"/>
      <c r="L6" s="13"/>
      <c r="M6" s="13"/>
    </row>
    <row r="7" spans="1:13" x14ac:dyDescent="0.35">
      <c r="A7">
        <v>2022</v>
      </c>
      <c r="B7">
        <v>10</v>
      </c>
      <c r="C7" t="s">
        <v>301</v>
      </c>
      <c r="D7" t="s">
        <v>161</v>
      </c>
      <c r="E7" t="s">
        <v>158</v>
      </c>
      <c r="F7" t="s">
        <v>304</v>
      </c>
      <c r="G7" s="23">
        <v>20508.150000000001</v>
      </c>
      <c r="H7" s="23">
        <v>231139.15</v>
      </c>
      <c r="K7" s="13"/>
      <c r="L7" s="13"/>
      <c r="M7" s="13"/>
    </row>
    <row r="8" spans="1:13" x14ac:dyDescent="0.35">
      <c r="A8">
        <v>2022</v>
      </c>
      <c r="B8">
        <v>10</v>
      </c>
      <c r="C8" t="s">
        <v>301</v>
      </c>
      <c r="D8" t="s">
        <v>164</v>
      </c>
      <c r="E8" t="s">
        <v>165</v>
      </c>
      <c r="F8" t="s">
        <v>303</v>
      </c>
      <c r="G8" s="23">
        <v>3785.5</v>
      </c>
      <c r="H8" s="23">
        <v>0</v>
      </c>
      <c r="K8" s="13"/>
      <c r="L8" s="13"/>
      <c r="M8" s="13"/>
    </row>
    <row r="9" spans="1:13" x14ac:dyDescent="0.35">
      <c r="A9">
        <v>2022</v>
      </c>
      <c r="B9">
        <v>10</v>
      </c>
      <c r="C9" t="s">
        <v>301</v>
      </c>
      <c r="D9" t="s">
        <v>164</v>
      </c>
      <c r="E9" t="s">
        <v>165</v>
      </c>
      <c r="F9" t="s">
        <v>302</v>
      </c>
      <c r="G9" s="23">
        <v>479483.7</v>
      </c>
      <c r="H9" s="23">
        <v>7787.3</v>
      </c>
      <c r="K9" s="13"/>
      <c r="L9" s="13"/>
      <c r="M9" s="13"/>
    </row>
    <row r="10" spans="1:13" x14ac:dyDescent="0.35">
      <c r="A10">
        <v>2022</v>
      </c>
      <c r="B10">
        <v>10</v>
      </c>
      <c r="C10" t="s">
        <v>301</v>
      </c>
      <c r="D10" t="s">
        <v>167</v>
      </c>
      <c r="E10" t="s">
        <v>155</v>
      </c>
      <c r="F10" t="s">
        <v>303</v>
      </c>
      <c r="G10" s="23">
        <v>80452.63</v>
      </c>
      <c r="H10" s="23">
        <v>0</v>
      </c>
      <c r="K10" s="13"/>
      <c r="L10" s="13"/>
      <c r="M10" s="13"/>
    </row>
    <row r="11" spans="1:13" x14ac:dyDescent="0.35">
      <c r="A11">
        <v>2022</v>
      </c>
      <c r="B11">
        <v>10</v>
      </c>
      <c r="C11" t="s">
        <v>301</v>
      </c>
      <c r="D11" t="s">
        <v>167</v>
      </c>
      <c r="E11" t="s">
        <v>155</v>
      </c>
      <c r="F11" t="s">
        <v>302</v>
      </c>
      <c r="G11" s="23">
        <v>31734.04</v>
      </c>
      <c r="H11" s="23">
        <v>27509.63</v>
      </c>
      <c r="K11" s="13"/>
      <c r="L11" s="13"/>
      <c r="M11" s="13"/>
    </row>
    <row r="12" spans="1:13" x14ac:dyDescent="0.35">
      <c r="A12">
        <v>2022</v>
      </c>
      <c r="B12">
        <v>10</v>
      </c>
      <c r="C12" t="s">
        <v>301</v>
      </c>
      <c r="D12" t="s">
        <v>168</v>
      </c>
      <c r="E12" t="s">
        <v>158</v>
      </c>
      <c r="F12" t="s">
        <v>303</v>
      </c>
      <c r="G12" s="23">
        <v>4800</v>
      </c>
      <c r="H12" s="23">
        <v>0</v>
      </c>
      <c r="K12" s="13"/>
      <c r="L12" s="13"/>
      <c r="M12" s="13"/>
    </row>
    <row r="13" spans="1:13" x14ac:dyDescent="0.35">
      <c r="A13">
        <v>2022</v>
      </c>
      <c r="B13">
        <v>10</v>
      </c>
      <c r="C13" t="s">
        <v>301</v>
      </c>
      <c r="D13" t="s">
        <v>168</v>
      </c>
      <c r="E13" t="s">
        <v>158</v>
      </c>
      <c r="F13" t="s">
        <v>304</v>
      </c>
      <c r="G13" s="23">
        <v>331182.83</v>
      </c>
      <c r="H13" s="23">
        <v>230181.3</v>
      </c>
      <c r="K13" s="13"/>
      <c r="L13" s="13"/>
      <c r="M13" s="13"/>
    </row>
    <row r="14" spans="1:13" x14ac:dyDescent="0.35">
      <c r="A14">
        <v>2022</v>
      </c>
      <c r="B14">
        <v>10</v>
      </c>
      <c r="C14" t="s">
        <v>301</v>
      </c>
      <c r="D14" t="s">
        <v>168</v>
      </c>
      <c r="E14" t="s">
        <v>158</v>
      </c>
      <c r="F14" t="s">
        <v>305</v>
      </c>
      <c r="G14" s="23">
        <v>247956.44</v>
      </c>
      <c r="H14" s="23">
        <v>0</v>
      </c>
      <c r="K14" s="13"/>
      <c r="L14" s="13"/>
      <c r="M14" s="13"/>
    </row>
    <row r="15" spans="1:13" x14ac:dyDescent="0.35">
      <c r="A15">
        <v>2022</v>
      </c>
      <c r="B15">
        <v>10</v>
      </c>
      <c r="C15" t="s">
        <v>301</v>
      </c>
      <c r="D15" t="s">
        <v>169</v>
      </c>
      <c r="E15" t="s">
        <v>160</v>
      </c>
      <c r="F15" t="s">
        <v>304</v>
      </c>
      <c r="G15" s="23">
        <v>4780</v>
      </c>
      <c r="H15" s="23">
        <v>1986</v>
      </c>
      <c r="K15" s="13"/>
      <c r="L15" s="13"/>
      <c r="M15" s="13"/>
    </row>
    <row r="16" spans="1:13" x14ac:dyDescent="0.35">
      <c r="A16">
        <v>2022</v>
      </c>
      <c r="B16">
        <v>10</v>
      </c>
      <c r="C16" t="s">
        <v>301</v>
      </c>
      <c r="D16" t="s">
        <v>170</v>
      </c>
      <c r="E16" t="s">
        <v>160</v>
      </c>
      <c r="F16" t="s">
        <v>88</v>
      </c>
      <c r="G16" s="23">
        <v>250000</v>
      </c>
      <c r="H16" s="23">
        <v>0</v>
      </c>
      <c r="K16" s="13"/>
      <c r="L16" s="13"/>
      <c r="M16" s="13"/>
    </row>
    <row r="17" spans="1:13" x14ac:dyDescent="0.35">
      <c r="A17">
        <v>2022</v>
      </c>
      <c r="B17">
        <v>10</v>
      </c>
      <c r="C17" t="s">
        <v>301</v>
      </c>
      <c r="D17" t="s">
        <v>170</v>
      </c>
      <c r="E17" t="s">
        <v>160</v>
      </c>
      <c r="F17" t="s">
        <v>306</v>
      </c>
      <c r="G17" s="23">
        <v>108000</v>
      </c>
      <c r="H17" s="23">
        <v>4500</v>
      </c>
      <c r="K17" s="13"/>
      <c r="L17" s="13"/>
      <c r="M17" s="13"/>
    </row>
    <row r="18" spans="1:13" x14ac:dyDescent="0.35">
      <c r="A18">
        <v>2022</v>
      </c>
      <c r="B18">
        <v>10</v>
      </c>
      <c r="C18" t="s">
        <v>301</v>
      </c>
      <c r="D18" t="s">
        <v>170</v>
      </c>
      <c r="E18" t="s">
        <v>160</v>
      </c>
      <c r="F18" t="s">
        <v>302</v>
      </c>
      <c r="G18" s="23">
        <v>6187.54</v>
      </c>
      <c r="H18" s="23">
        <v>129063.46</v>
      </c>
      <c r="K18" s="13"/>
      <c r="L18" s="13"/>
      <c r="M18" s="13"/>
    </row>
    <row r="19" spans="1:13" x14ac:dyDescent="0.35">
      <c r="A19">
        <v>2022</v>
      </c>
      <c r="B19">
        <v>10</v>
      </c>
      <c r="C19" t="s">
        <v>301</v>
      </c>
      <c r="D19" t="s">
        <v>170</v>
      </c>
      <c r="E19" t="s">
        <v>160</v>
      </c>
      <c r="F19" t="s">
        <v>304</v>
      </c>
      <c r="G19" s="23">
        <v>302031.78999999998</v>
      </c>
      <c r="H19" s="23">
        <v>1050423.6299999999</v>
      </c>
      <c r="K19" s="13"/>
      <c r="L19" s="13"/>
      <c r="M19" s="13"/>
    </row>
    <row r="20" spans="1:13" x14ac:dyDescent="0.35">
      <c r="A20">
        <v>2022</v>
      </c>
      <c r="B20">
        <v>10</v>
      </c>
      <c r="C20" t="s">
        <v>301</v>
      </c>
      <c r="D20" t="s">
        <v>171</v>
      </c>
      <c r="E20" t="s">
        <v>158</v>
      </c>
      <c r="F20" t="s">
        <v>303</v>
      </c>
      <c r="G20" s="23">
        <v>2519.9499999999998</v>
      </c>
      <c r="H20" s="23">
        <v>0</v>
      </c>
      <c r="K20" s="13"/>
      <c r="L20" s="13"/>
      <c r="M20" s="13"/>
    </row>
    <row r="21" spans="1:13" x14ac:dyDescent="0.35">
      <c r="A21">
        <v>2022</v>
      </c>
      <c r="B21">
        <v>10</v>
      </c>
      <c r="C21" t="s">
        <v>301</v>
      </c>
      <c r="D21" t="s">
        <v>171</v>
      </c>
      <c r="E21" t="s">
        <v>158</v>
      </c>
      <c r="F21" t="s">
        <v>304</v>
      </c>
      <c r="G21" s="23">
        <v>0</v>
      </c>
      <c r="H21" s="23">
        <v>5298.59</v>
      </c>
      <c r="K21" s="13"/>
      <c r="L21" s="13"/>
      <c r="M21" s="13"/>
    </row>
    <row r="22" spans="1:13" x14ac:dyDescent="0.35">
      <c r="A22">
        <v>2022</v>
      </c>
      <c r="B22">
        <v>10</v>
      </c>
      <c r="C22" t="s">
        <v>301</v>
      </c>
      <c r="D22" t="s">
        <v>172</v>
      </c>
      <c r="E22" t="s">
        <v>155</v>
      </c>
      <c r="F22" t="s">
        <v>303</v>
      </c>
      <c r="G22" s="23">
        <v>2876.11</v>
      </c>
      <c r="H22" s="23">
        <v>0</v>
      </c>
      <c r="K22" s="13"/>
      <c r="L22" s="13"/>
      <c r="M22" s="13"/>
    </row>
    <row r="23" spans="1:13" x14ac:dyDescent="0.35">
      <c r="A23">
        <v>2022</v>
      </c>
      <c r="B23">
        <v>10</v>
      </c>
      <c r="C23" t="s">
        <v>301</v>
      </c>
      <c r="D23" t="s">
        <v>172</v>
      </c>
      <c r="E23" t="s">
        <v>155</v>
      </c>
      <c r="F23" t="s">
        <v>302</v>
      </c>
      <c r="G23" s="23">
        <v>-21667.58</v>
      </c>
      <c r="H23" s="23">
        <v>25072.58</v>
      </c>
      <c r="K23" s="13"/>
      <c r="L23" s="13"/>
      <c r="M23" s="13"/>
    </row>
    <row r="24" spans="1:13" x14ac:dyDescent="0.35">
      <c r="A24">
        <v>2022</v>
      </c>
      <c r="B24">
        <v>10</v>
      </c>
      <c r="C24" t="s">
        <v>301</v>
      </c>
      <c r="D24" t="s">
        <v>172</v>
      </c>
      <c r="E24" t="s">
        <v>155</v>
      </c>
      <c r="F24" t="s">
        <v>304</v>
      </c>
      <c r="G24" s="23">
        <v>6500</v>
      </c>
      <c r="H24" s="23">
        <v>4749.75</v>
      </c>
      <c r="K24" s="13"/>
      <c r="L24" s="13"/>
      <c r="M24" s="13"/>
    </row>
    <row r="25" spans="1:13" x14ac:dyDescent="0.35">
      <c r="A25">
        <v>2022</v>
      </c>
      <c r="B25">
        <v>10</v>
      </c>
      <c r="C25" t="s">
        <v>301</v>
      </c>
      <c r="D25" t="s">
        <v>173</v>
      </c>
      <c r="E25" t="s">
        <v>155</v>
      </c>
      <c r="F25" t="s">
        <v>302</v>
      </c>
      <c r="G25" s="23">
        <v>1203.82</v>
      </c>
      <c r="H25" s="23">
        <v>3118</v>
      </c>
    </row>
    <row r="26" spans="1:13" x14ac:dyDescent="0.35">
      <c r="A26">
        <v>2022</v>
      </c>
      <c r="B26">
        <v>10</v>
      </c>
      <c r="C26" t="s">
        <v>301</v>
      </c>
      <c r="D26" t="s">
        <v>174</v>
      </c>
      <c r="E26" t="s">
        <v>160</v>
      </c>
      <c r="F26" t="s">
        <v>304</v>
      </c>
      <c r="G26" s="23">
        <v>311785</v>
      </c>
      <c r="H26" s="23">
        <v>0</v>
      </c>
    </row>
    <row r="27" spans="1:13" x14ac:dyDescent="0.35">
      <c r="A27">
        <v>2022</v>
      </c>
      <c r="B27">
        <v>10</v>
      </c>
      <c r="C27" t="s">
        <v>301</v>
      </c>
      <c r="D27" t="s">
        <v>175</v>
      </c>
      <c r="E27" t="s">
        <v>158</v>
      </c>
      <c r="F27" t="s">
        <v>305</v>
      </c>
      <c r="G27" s="23">
        <v>578565.02</v>
      </c>
      <c r="H27" s="23">
        <v>0</v>
      </c>
    </row>
    <row r="28" spans="1:13" x14ac:dyDescent="0.35">
      <c r="A28">
        <v>2022</v>
      </c>
      <c r="B28">
        <v>10</v>
      </c>
      <c r="C28" t="s">
        <v>301</v>
      </c>
      <c r="D28" t="s">
        <v>176</v>
      </c>
      <c r="E28" t="s">
        <v>160</v>
      </c>
      <c r="F28" t="s">
        <v>302</v>
      </c>
      <c r="G28" s="23">
        <v>13435.1</v>
      </c>
      <c r="H28" s="23">
        <v>57877.69</v>
      </c>
    </row>
    <row r="29" spans="1:13" x14ac:dyDescent="0.35">
      <c r="A29">
        <v>2022</v>
      </c>
      <c r="B29">
        <v>10</v>
      </c>
      <c r="C29" t="s">
        <v>301</v>
      </c>
      <c r="D29" t="s">
        <v>176</v>
      </c>
      <c r="E29" t="s">
        <v>160</v>
      </c>
      <c r="F29" t="s">
        <v>304</v>
      </c>
      <c r="G29" s="23">
        <v>10000</v>
      </c>
      <c r="H29" s="23">
        <v>0</v>
      </c>
    </row>
    <row r="30" spans="1:13" x14ac:dyDescent="0.35">
      <c r="A30">
        <v>2022</v>
      </c>
      <c r="B30">
        <v>10</v>
      </c>
      <c r="C30" t="s">
        <v>301</v>
      </c>
      <c r="D30" t="s">
        <v>177</v>
      </c>
      <c r="E30" t="s">
        <v>160</v>
      </c>
      <c r="F30" t="s">
        <v>306</v>
      </c>
      <c r="G30" s="23">
        <v>293036</v>
      </c>
      <c r="H30" s="23">
        <v>1612</v>
      </c>
    </row>
    <row r="31" spans="1:13" x14ac:dyDescent="0.35">
      <c r="A31">
        <v>2022</v>
      </c>
      <c r="B31">
        <v>10</v>
      </c>
      <c r="C31" t="s">
        <v>301</v>
      </c>
      <c r="D31" t="s">
        <v>177</v>
      </c>
      <c r="E31" t="s">
        <v>160</v>
      </c>
      <c r="F31" t="s">
        <v>303</v>
      </c>
      <c r="G31" s="23">
        <v>12672.26</v>
      </c>
      <c r="H31" s="23">
        <v>0</v>
      </c>
    </row>
    <row r="32" spans="1:13" x14ac:dyDescent="0.35">
      <c r="A32">
        <v>2022</v>
      </c>
      <c r="B32">
        <v>10</v>
      </c>
      <c r="C32" t="s">
        <v>301</v>
      </c>
      <c r="D32" t="s">
        <v>177</v>
      </c>
      <c r="E32" t="s">
        <v>160</v>
      </c>
      <c r="F32" t="s">
        <v>302</v>
      </c>
      <c r="G32" s="23">
        <v>53719.27</v>
      </c>
      <c r="H32" s="23">
        <v>14090</v>
      </c>
    </row>
    <row r="33" spans="1:8" x14ac:dyDescent="0.35">
      <c r="A33">
        <v>2022</v>
      </c>
      <c r="B33">
        <v>10</v>
      </c>
      <c r="C33" t="s">
        <v>301</v>
      </c>
      <c r="D33" t="s">
        <v>177</v>
      </c>
      <c r="E33" t="s">
        <v>160</v>
      </c>
      <c r="F33" t="s">
        <v>304</v>
      </c>
      <c r="G33" s="23">
        <v>53857.81</v>
      </c>
      <c r="H33" s="23">
        <v>16142.19</v>
      </c>
    </row>
    <row r="34" spans="1:8" x14ac:dyDescent="0.35">
      <c r="A34">
        <v>2022</v>
      </c>
      <c r="B34">
        <v>10</v>
      </c>
      <c r="C34" t="s">
        <v>301</v>
      </c>
      <c r="D34" t="s">
        <v>178</v>
      </c>
      <c r="E34" t="s">
        <v>155</v>
      </c>
      <c r="F34" t="s">
        <v>91</v>
      </c>
      <c r="G34" s="23">
        <v>500</v>
      </c>
      <c r="H34" s="23">
        <v>0</v>
      </c>
    </row>
    <row r="35" spans="1:8" x14ac:dyDescent="0.35">
      <c r="A35">
        <v>2022</v>
      </c>
      <c r="B35">
        <v>10</v>
      </c>
      <c r="C35" t="s">
        <v>301</v>
      </c>
      <c r="D35" t="s">
        <v>178</v>
      </c>
      <c r="E35" t="s">
        <v>155</v>
      </c>
      <c r="F35" t="s">
        <v>303</v>
      </c>
      <c r="G35" s="23">
        <v>1142.9000000000001</v>
      </c>
      <c r="H35" s="23">
        <v>0</v>
      </c>
    </row>
    <row r="36" spans="1:8" x14ac:dyDescent="0.35">
      <c r="A36">
        <v>2022</v>
      </c>
      <c r="B36">
        <v>10</v>
      </c>
      <c r="C36" t="s">
        <v>301</v>
      </c>
      <c r="D36" t="s">
        <v>178</v>
      </c>
      <c r="E36" t="s">
        <v>155</v>
      </c>
      <c r="F36" t="s">
        <v>302</v>
      </c>
      <c r="G36" s="23">
        <v>26674.560000000001</v>
      </c>
      <c r="H36" s="23">
        <v>37669.83</v>
      </c>
    </row>
    <row r="37" spans="1:8" x14ac:dyDescent="0.35">
      <c r="A37">
        <v>2022</v>
      </c>
      <c r="B37">
        <v>10</v>
      </c>
      <c r="C37" t="s">
        <v>301</v>
      </c>
      <c r="D37" t="s">
        <v>178</v>
      </c>
      <c r="E37" t="s">
        <v>155</v>
      </c>
      <c r="F37" t="s">
        <v>304</v>
      </c>
      <c r="G37" s="23">
        <v>13354.44</v>
      </c>
      <c r="H37" s="23">
        <v>57286.92</v>
      </c>
    </row>
    <row r="38" spans="1:8" x14ac:dyDescent="0.35">
      <c r="A38">
        <v>2022</v>
      </c>
      <c r="B38">
        <v>10</v>
      </c>
      <c r="C38" t="s">
        <v>301</v>
      </c>
      <c r="D38" t="s">
        <v>179</v>
      </c>
      <c r="E38" t="s">
        <v>160</v>
      </c>
      <c r="F38" t="s">
        <v>302</v>
      </c>
      <c r="G38" s="23">
        <v>1938.72</v>
      </c>
      <c r="H38" s="23">
        <v>0</v>
      </c>
    </row>
    <row r="39" spans="1:8" x14ac:dyDescent="0.35">
      <c r="A39">
        <v>2022</v>
      </c>
      <c r="B39">
        <v>10</v>
      </c>
      <c r="C39" t="s">
        <v>301</v>
      </c>
      <c r="D39" t="s">
        <v>179</v>
      </c>
      <c r="E39" t="s">
        <v>160</v>
      </c>
      <c r="F39" t="s">
        <v>304</v>
      </c>
      <c r="G39" s="23">
        <v>2352.5</v>
      </c>
      <c r="H39" s="23">
        <v>9939.5</v>
      </c>
    </row>
    <row r="40" spans="1:8" x14ac:dyDescent="0.35">
      <c r="A40">
        <v>2022</v>
      </c>
      <c r="B40">
        <v>10</v>
      </c>
      <c r="C40" t="s">
        <v>301</v>
      </c>
      <c r="D40" t="s">
        <v>180</v>
      </c>
      <c r="E40" t="s">
        <v>160</v>
      </c>
      <c r="F40" t="s">
        <v>306</v>
      </c>
      <c r="G40" s="23">
        <v>302652</v>
      </c>
      <c r="H40" s="23">
        <v>248</v>
      </c>
    </row>
    <row r="41" spans="1:8" x14ac:dyDescent="0.35">
      <c r="A41">
        <v>2022</v>
      </c>
      <c r="B41">
        <v>10</v>
      </c>
      <c r="C41" t="s">
        <v>301</v>
      </c>
      <c r="D41" t="s">
        <v>180</v>
      </c>
      <c r="E41" t="s">
        <v>160</v>
      </c>
      <c r="F41" t="s">
        <v>302</v>
      </c>
      <c r="G41" s="23">
        <v>67179</v>
      </c>
      <c r="H41" s="23">
        <v>0</v>
      </c>
    </row>
    <row r="42" spans="1:8" x14ac:dyDescent="0.35">
      <c r="A42">
        <v>2022</v>
      </c>
      <c r="B42">
        <v>10</v>
      </c>
      <c r="C42" t="s">
        <v>301</v>
      </c>
      <c r="D42" t="s">
        <v>181</v>
      </c>
      <c r="E42" t="s">
        <v>155</v>
      </c>
      <c r="F42" t="s">
        <v>303</v>
      </c>
      <c r="G42" s="23">
        <v>30958.560000000001</v>
      </c>
      <c r="H42" s="23">
        <v>0</v>
      </c>
    </row>
    <row r="43" spans="1:8" x14ac:dyDescent="0.35">
      <c r="A43">
        <v>2022</v>
      </c>
      <c r="B43">
        <v>10</v>
      </c>
      <c r="C43" t="s">
        <v>301</v>
      </c>
      <c r="D43" t="s">
        <v>181</v>
      </c>
      <c r="E43" t="s">
        <v>155</v>
      </c>
      <c r="F43" t="s">
        <v>304</v>
      </c>
      <c r="G43" s="23">
        <v>76675</v>
      </c>
      <c r="H43" s="23">
        <v>554224.64000000001</v>
      </c>
    </row>
    <row r="44" spans="1:8" x14ac:dyDescent="0.35">
      <c r="A44">
        <v>2022</v>
      </c>
      <c r="B44">
        <v>10</v>
      </c>
      <c r="C44" t="s">
        <v>301</v>
      </c>
      <c r="D44" t="s">
        <v>182</v>
      </c>
      <c r="E44" t="s">
        <v>158</v>
      </c>
      <c r="F44" t="s">
        <v>91</v>
      </c>
      <c r="G44" s="23">
        <v>8750</v>
      </c>
      <c r="H44" s="23">
        <v>0</v>
      </c>
    </row>
    <row r="45" spans="1:8" x14ac:dyDescent="0.35">
      <c r="A45">
        <v>2022</v>
      </c>
      <c r="B45">
        <v>10</v>
      </c>
      <c r="C45" t="s">
        <v>301</v>
      </c>
      <c r="D45" t="s">
        <v>182</v>
      </c>
      <c r="E45" t="s">
        <v>158</v>
      </c>
      <c r="F45" t="s">
        <v>303</v>
      </c>
      <c r="G45" s="23">
        <v>3830.12</v>
      </c>
      <c r="H45" s="23">
        <v>0</v>
      </c>
    </row>
    <row r="46" spans="1:8" x14ac:dyDescent="0.35">
      <c r="A46">
        <v>2022</v>
      </c>
      <c r="B46">
        <v>10</v>
      </c>
      <c r="C46" t="s">
        <v>301</v>
      </c>
      <c r="D46" t="s">
        <v>182</v>
      </c>
      <c r="E46" t="s">
        <v>158</v>
      </c>
      <c r="F46" t="s">
        <v>302</v>
      </c>
      <c r="G46" s="23">
        <v>367.65</v>
      </c>
      <c r="H46" s="23">
        <v>18632.349999999999</v>
      </c>
    </row>
    <row r="47" spans="1:8" x14ac:dyDescent="0.35">
      <c r="A47">
        <v>2022</v>
      </c>
      <c r="B47">
        <v>10</v>
      </c>
      <c r="C47" t="s">
        <v>301</v>
      </c>
      <c r="D47" t="s">
        <v>182</v>
      </c>
      <c r="E47" t="s">
        <v>158</v>
      </c>
      <c r="F47" t="s">
        <v>304</v>
      </c>
      <c r="G47" s="23">
        <v>51796.59</v>
      </c>
      <c r="H47" s="23">
        <v>1998.03</v>
      </c>
    </row>
    <row r="48" spans="1:8" x14ac:dyDescent="0.35">
      <c r="A48">
        <v>2022</v>
      </c>
      <c r="B48">
        <v>10</v>
      </c>
      <c r="C48" t="s">
        <v>301</v>
      </c>
      <c r="D48" t="s">
        <v>183</v>
      </c>
      <c r="E48" t="s">
        <v>155</v>
      </c>
      <c r="F48" t="s">
        <v>302</v>
      </c>
      <c r="G48" s="23">
        <v>6527.33</v>
      </c>
      <c r="H48" s="23">
        <v>17464.27</v>
      </c>
    </row>
    <row r="49" spans="1:8" x14ac:dyDescent="0.35">
      <c r="A49">
        <v>2022</v>
      </c>
      <c r="B49">
        <v>10</v>
      </c>
      <c r="C49" t="s">
        <v>301</v>
      </c>
      <c r="D49" t="s">
        <v>184</v>
      </c>
      <c r="E49" t="s">
        <v>155</v>
      </c>
      <c r="F49" t="s">
        <v>88</v>
      </c>
      <c r="G49" s="23">
        <v>1295600</v>
      </c>
      <c r="H49" s="23">
        <v>0</v>
      </c>
    </row>
    <row r="50" spans="1:8" x14ac:dyDescent="0.35">
      <c r="A50">
        <v>2022</v>
      </c>
      <c r="B50">
        <v>10</v>
      </c>
      <c r="C50" t="s">
        <v>301</v>
      </c>
      <c r="D50" t="s">
        <v>184</v>
      </c>
      <c r="E50" t="s">
        <v>155</v>
      </c>
      <c r="F50" t="s">
        <v>303</v>
      </c>
      <c r="G50" s="23">
        <v>11103.12</v>
      </c>
      <c r="H50" s="23">
        <v>0</v>
      </c>
    </row>
    <row r="51" spans="1:8" x14ac:dyDescent="0.35">
      <c r="A51">
        <v>2022</v>
      </c>
      <c r="B51">
        <v>10</v>
      </c>
      <c r="C51" t="s">
        <v>301</v>
      </c>
      <c r="D51" t="s">
        <v>184</v>
      </c>
      <c r="E51" t="s">
        <v>155</v>
      </c>
      <c r="F51" t="s">
        <v>302</v>
      </c>
      <c r="G51" s="23">
        <v>4381431.1500000004</v>
      </c>
      <c r="H51" s="23">
        <v>59504060.409999996</v>
      </c>
    </row>
    <row r="52" spans="1:8" x14ac:dyDescent="0.35">
      <c r="A52">
        <v>2022</v>
      </c>
      <c r="B52">
        <v>10</v>
      </c>
      <c r="C52" t="s">
        <v>301</v>
      </c>
      <c r="D52" t="s">
        <v>184</v>
      </c>
      <c r="E52" t="s">
        <v>155</v>
      </c>
      <c r="F52" t="s">
        <v>304</v>
      </c>
      <c r="G52" s="23">
        <v>320332.75</v>
      </c>
      <c r="H52" s="23">
        <v>665016.39</v>
      </c>
    </row>
    <row r="53" spans="1:8" x14ac:dyDescent="0.35">
      <c r="A53">
        <v>2022</v>
      </c>
      <c r="B53">
        <v>10</v>
      </c>
      <c r="C53" t="s">
        <v>301</v>
      </c>
      <c r="D53" t="s">
        <v>184</v>
      </c>
      <c r="E53" t="s">
        <v>155</v>
      </c>
      <c r="F53" t="s">
        <v>305</v>
      </c>
      <c r="G53" s="23">
        <v>38000</v>
      </c>
      <c r="H53" s="23">
        <v>0</v>
      </c>
    </row>
    <row r="54" spans="1:8" x14ac:dyDescent="0.35">
      <c r="A54">
        <v>2022</v>
      </c>
      <c r="B54">
        <v>10</v>
      </c>
      <c r="C54" t="s">
        <v>301</v>
      </c>
      <c r="D54" t="s">
        <v>185</v>
      </c>
      <c r="E54" t="s">
        <v>160</v>
      </c>
      <c r="F54" t="s">
        <v>304</v>
      </c>
      <c r="G54" s="23">
        <v>3650</v>
      </c>
      <c r="H54" s="23">
        <v>0</v>
      </c>
    </row>
    <row r="55" spans="1:8" x14ac:dyDescent="0.35">
      <c r="A55">
        <v>2022</v>
      </c>
      <c r="B55">
        <v>10</v>
      </c>
      <c r="C55" t="s">
        <v>301</v>
      </c>
      <c r="D55" t="s">
        <v>186</v>
      </c>
      <c r="E55" t="s">
        <v>158</v>
      </c>
      <c r="F55" t="s">
        <v>303</v>
      </c>
      <c r="G55" s="23">
        <v>7507.61</v>
      </c>
      <c r="H55" s="23">
        <v>0</v>
      </c>
    </row>
    <row r="56" spans="1:8" x14ac:dyDescent="0.35">
      <c r="A56">
        <v>2022</v>
      </c>
      <c r="B56">
        <v>10</v>
      </c>
      <c r="C56" t="s">
        <v>301</v>
      </c>
      <c r="D56" t="s">
        <v>186</v>
      </c>
      <c r="E56" t="s">
        <v>158</v>
      </c>
      <c r="F56" t="s">
        <v>302</v>
      </c>
      <c r="G56" s="23">
        <v>105116.26</v>
      </c>
      <c r="H56" s="23">
        <v>464223.36</v>
      </c>
    </row>
    <row r="57" spans="1:8" x14ac:dyDescent="0.35">
      <c r="A57">
        <v>2022</v>
      </c>
      <c r="B57">
        <v>10</v>
      </c>
      <c r="C57" t="s">
        <v>301</v>
      </c>
      <c r="D57" t="s">
        <v>186</v>
      </c>
      <c r="E57" t="s">
        <v>158</v>
      </c>
      <c r="F57" t="s">
        <v>304</v>
      </c>
      <c r="G57" s="23">
        <v>2754.5</v>
      </c>
      <c r="H57" s="23">
        <v>20849.2</v>
      </c>
    </row>
    <row r="58" spans="1:8" x14ac:dyDescent="0.35">
      <c r="A58">
        <v>2022</v>
      </c>
      <c r="B58">
        <v>10</v>
      </c>
      <c r="C58" t="s">
        <v>301</v>
      </c>
      <c r="D58" t="s">
        <v>187</v>
      </c>
      <c r="E58" t="s">
        <v>158</v>
      </c>
      <c r="F58" t="s">
        <v>91</v>
      </c>
      <c r="G58" s="23">
        <v>672942.59</v>
      </c>
      <c r="H58" s="23">
        <v>0</v>
      </c>
    </row>
    <row r="59" spans="1:8" x14ac:dyDescent="0.35">
      <c r="A59">
        <v>2022</v>
      </c>
      <c r="B59">
        <v>10</v>
      </c>
      <c r="C59" t="s">
        <v>301</v>
      </c>
      <c r="D59" t="s">
        <v>187</v>
      </c>
      <c r="E59" t="s">
        <v>158</v>
      </c>
      <c r="F59" t="s">
        <v>303</v>
      </c>
      <c r="G59" s="23">
        <v>5256.78</v>
      </c>
      <c r="H59" s="23">
        <v>0</v>
      </c>
    </row>
    <row r="60" spans="1:8" x14ac:dyDescent="0.35">
      <c r="A60">
        <v>2022</v>
      </c>
      <c r="B60">
        <v>10</v>
      </c>
      <c r="C60" t="s">
        <v>301</v>
      </c>
      <c r="D60" t="s">
        <v>187</v>
      </c>
      <c r="E60" t="s">
        <v>158</v>
      </c>
      <c r="F60" t="s">
        <v>304</v>
      </c>
      <c r="G60" s="23">
        <v>109012.17</v>
      </c>
      <c r="H60" s="23">
        <v>900666.85</v>
      </c>
    </row>
    <row r="61" spans="1:8" x14ac:dyDescent="0.35">
      <c r="A61">
        <v>2022</v>
      </c>
      <c r="B61">
        <v>10</v>
      </c>
      <c r="C61" t="s">
        <v>301</v>
      </c>
      <c r="D61" t="s">
        <v>189</v>
      </c>
      <c r="E61" t="s">
        <v>158</v>
      </c>
      <c r="F61" t="s">
        <v>302</v>
      </c>
      <c r="G61" s="23">
        <v>1684.25</v>
      </c>
      <c r="H61" s="23">
        <v>62546.75</v>
      </c>
    </row>
    <row r="62" spans="1:8" x14ac:dyDescent="0.35">
      <c r="A62">
        <v>2022</v>
      </c>
      <c r="B62">
        <v>10</v>
      </c>
      <c r="C62" t="s">
        <v>301</v>
      </c>
      <c r="D62" t="s">
        <v>190</v>
      </c>
      <c r="E62" t="s">
        <v>155</v>
      </c>
      <c r="F62" t="s">
        <v>306</v>
      </c>
      <c r="G62" s="23">
        <v>262600</v>
      </c>
      <c r="H62" s="23">
        <v>737226.99</v>
      </c>
    </row>
    <row r="63" spans="1:8" x14ac:dyDescent="0.35">
      <c r="A63">
        <v>2022</v>
      </c>
      <c r="B63">
        <v>10</v>
      </c>
      <c r="C63" t="s">
        <v>301</v>
      </c>
      <c r="D63" t="s">
        <v>190</v>
      </c>
      <c r="E63" t="s">
        <v>155</v>
      </c>
      <c r="F63" t="s">
        <v>302</v>
      </c>
      <c r="G63" s="23">
        <v>0</v>
      </c>
      <c r="H63" s="23">
        <v>136418</v>
      </c>
    </row>
    <row r="64" spans="1:8" x14ac:dyDescent="0.35">
      <c r="A64">
        <v>2022</v>
      </c>
      <c r="B64">
        <v>10</v>
      </c>
      <c r="C64" t="s">
        <v>301</v>
      </c>
      <c r="D64" t="s">
        <v>191</v>
      </c>
      <c r="E64" t="s">
        <v>160</v>
      </c>
      <c r="F64" t="s">
        <v>306</v>
      </c>
      <c r="G64" s="23">
        <v>0</v>
      </c>
      <c r="H64" s="23">
        <v>0</v>
      </c>
    </row>
    <row r="65" spans="1:8" x14ac:dyDescent="0.35">
      <c r="A65">
        <v>2022</v>
      </c>
      <c r="B65">
        <v>10</v>
      </c>
      <c r="C65" t="s">
        <v>301</v>
      </c>
      <c r="D65" t="s">
        <v>191</v>
      </c>
      <c r="E65" t="s">
        <v>160</v>
      </c>
      <c r="F65" t="s">
        <v>303</v>
      </c>
      <c r="G65" s="23">
        <v>13948.92</v>
      </c>
      <c r="H65" s="23">
        <v>0</v>
      </c>
    </row>
    <row r="66" spans="1:8" x14ac:dyDescent="0.35">
      <c r="A66">
        <v>2022</v>
      </c>
      <c r="B66">
        <v>10</v>
      </c>
      <c r="C66" t="s">
        <v>301</v>
      </c>
      <c r="D66" t="s">
        <v>191</v>
      </c>
      <c r="E66" t="s">
        <v>160</v>
      </c>
      <c r="F66" t="s">
        <v>304</v>
      </c>
      <c r="G66" s="23">
        <v>48988.06</v>
      </c>
      <c r="H66" s="23">
        <v>64963.53</v>
      </c>
    </row>
    <row r="67" spans="1:8" x14ac:dyDescent="0.35">
      <c r="A67">
        <v>2022</v>
      </c>
      <c r="B67">
        <v>10</v>
      </c>
      <c r="C67" t="s">
        <v>301</v>
      </c>
      <c r="D67" t="s">
        <v>191</v>
      </c>
      <c r="E67" t="s">
        <v>160</v>
      </c>
      <c r="F67" t="s">
        <v>305</v>
      </c>
      <c r="G67" s="23">
        <v>20000</v>
      </c>
      <c r="H67" s="23">
        <v>0</v>
      </c>
    </row>
    <row r="68" spans="1:8" x14ac:dyDescent="0.35">
      <c r="A68">
        <v>2022</v>
      </c>
      <c r="B68">
        <v>10</v>
      </c>
      <c r="C68" t="s">
        <v>301</v>
      </c>
      <c r="D68" t="s">
        <v>192</v>
      </c>
      <c r="E68" t="s">
        <v>160</v>
      </c>
      <c r="F68" t="s">
        <v>307</v>
      </c>
      <c r="G68" s="23">
        <v>11293.92</v>
      </c>
      <c r="H68" s="23">
        <v>0</v>
      </c>
    </row>
    <row r="69" spans="1:8" x14ac:dyDescent="0.35">
      <c r="A69">
        <v>2022</v>
      </c>
      <c r="B69">
        <v>10</v>
      </c>
      <c r="C69" t="s">
        <v>301</v>
      </c>
      <c r="D69" t="s">
        <v>192</v>
      </c>
      <c r="E69" t="s">
        <v>160</v>
      </c>
      <c r="F69" t="s">
        <v>302</v>
      </c>
      <c r="G69" s="23">
        <v>639882.1</v>
      </c>
      <c r="H69" s="23">
        <v>73203.95</v>
      </c>
    </row>
    <row r="70" spans="1:8" x14ac:dyDescent="0.35">
      <c r="A70">
        <v>2022</v>
      </c>
      <c r="B70">
        <v>10</v>
      </c>
      <c r="C70" t="s">
        <v>301</v>
      </c>
      <c r="D70" t="s">
        <v>192</v>
      </c>
      <c r="E70" t="s">
        <v>160</v>
      </c>
      <c r="F70" t="s">
        <v>304</v>
      </c>
      <c r="G70" s="23">
        <v>45634.31</v>
      </c>
      <c r="H70" s="23">
        <v>245293.53</v>
      </c>
    </row>
    <row r="71" spans="1:8" x14ac:dyDescent="0.35">
      <c r="A71">
        <v>2022</v>
      </c>
      <c r="B71">
        <v>10</v>
      </c>
      <c r="C71" t="s">
        <v>301</v>
      </c>
      <c r="D71" t="s">
        <v>193</v>
      </c>
      <c r="E71" t="s">
        <v>155</v>
      </c>
      <c r="F71" t="s">
        <v>91</v>
      </c>
      <c r="G71" s="23">
        <v>107394.81</v>
      </c>
      <c r="H71" s="23">
        <v>0</v>
      </c>
    </row>
    <row r="72" spans="1:8" x14ac:dyDescent="0.35">
      <c r="A72">
        <v>2022</v>
      </c>
      <c r="B72">
        <v>10</v>
      </c>
      <c r="C72" t="s">
        <v>301</v>
      </c>
      <c r="D72" t="s">
        <v>195</v>
      </c>
      <c r="E72" t="s">
        <v>160</v>
      </c>
      <c r="F72" t="s">
        <v>303</v>
      </c>
      <c r="G72" s="23">
        <v>4288.75</v>
      </c>
      <c r="H72" s="23">
        <v>0</v>
      </c>
    </row>
    <row r="73" spans="1:8" x14ac:dyDescent="0.35">
      <c r="A73">
        <v>2022</v>
      </c>
      <c r="B73">
        <v>10</v>
      </c>
      <c r="C73" t="s">
        <v>301</v>
      </c>
      <c r="D73" t="s">
        <v>195</v>
      </c>
      <c r="E73" t="s">
        <v>160</v>
      </c>
      <c r="F73" t="s">
        <v>302</v>
      </c>
      <c r="G73" s="23">
        <v>147387.76999999999</v>
      </c>
      <c r="H73" s="23">
        <v>2415.61</v>
      </c>
    </row>
    <row r="74" spans="1:8" x14ac:dyDescent="0.35">
      <c r="A74">
        <v>2022</v>
      </c>
      <c r="B74">
        <v>10</v>
      </c>
      <c r="C74" t="s">
        <v>301</v>
      </c>
      <c r="D74" t="s">
        <v>196</v>
      </c>
      <c r="E74" t="s">
        <v>155</v>
      </c>
      <c r="F74" t="s">
        <v>304</v>
      </c>
      <c r="G74" s="23">
        <v>73092</v>
      </c>
      <c r="H74" s="23">
        <v>412374.25</v>
      </c>
    </row>
    <row r="75" spans="1:8" x14ac:dyDescent="0.35">
      <c r="A75">
        <v>2022</v>
      </c>
      <c r="B75">
        <v>10</v>
      </c>
      <c r="C75" t="s">
        <v>301</v>
      </c>
      <c r="D75" t="s">
        <v>197</v>
      </c>
      <c r="E75" t="s">
        <v>160</v>
      </c>
      <c r="F75" t="s">
        <v>91</v>
      </c>
      <c r="G75" s="23">
        <v>51289.94</v>
      </c>
      <c r="H75" s="23">
        <v>0</v>
      </c>
    </row>
    <row r="76" spans="1:8" x14ac:dyDescent="0.35">
      <c r="A76">
        <v>2022</v>
      </c>
      <c r="B76">
        <v>10</v>
      </c>
      <c r="C76" t="s">
        <v>301</v>
      </c>
      <c r="D76" t="s">
        <v>197</v>
      </c>
      <c r="E76" t="s">
        <v>160</v>
      </c>
      <c r="F76" t="s">
        <v>304</v>
      </c>
      <c r="G76" s="23">
        <v>9700</v>
      </c>
      <c r="H76" s="23">
        <v>3300</v>
      </c>
    </row>
    <row r="77" spans="1:8" x14ac:dyDescent="0.35">
      <c r="A77">
        <v>2022</v>
      </c>
      <c r="B77">
        <v>10</v>
      </c>
      <c r="C77" t="s">
        <v>301</v>
      </c>
      <c r="D77" t="s">
        <v>198</v>
      </c>
      <c r="E77" t="s">
        <v>160</v>
      </c>
      <c r="F77" t="s">
        <v>91</v>
      </c>
      <c r="G77" s="23">
        <v>3300</v>
      </c>
      <c r="H77" s="23">
        <v>0</v>
      </c>
    </row>
    <row r="78" spans="1:8" x14ac:dyDescent="0.35">
      <c r="A78">
        <v>2022</v>
      </c>
      <c r="B78">
        <v>10</v>
      </c>
      <c r="C78" t="s">
        <v>301</v>
      </c>
      <c r="D78" t="s">
        <v>198</v>
      </c>
      <c r="E78" t="s">
        <v>160</v>
      </c>
      <c r="F78" t="s">
        <v>304</v>
      </c>
      <c r="G78" s="23">
        <v>3316</v>
      </c>
      <c r="H78" s="23">
        <v>0</v>
      </c>
    </row>
    <row r="79" spans="1:8" x14ac:dyDescent="0.35">
      <c r="A79">
        <v>2022</v>
      </c>
      <c r="B79">
        <v>10</v>
      </c>
      <c r="C79" t="s">
        <v>301</v>
      </c>
      <c r="D79" t="s">
        <v>199</v>
      </c>
      <c r="E79" t="s">
        <v>160</v>
      </c>
      <c r="F79" t="s">
        <v>304</v>
      </c>
      <c r="G79" s="23">
        <v>40104</v>
      </c>
      <c r="H79" s="23">
        <v>48624.13</v>
      </c>
    </row>
    <row r="80" spans="1:8" x14ac:dyDescent="0.35">
      <c r="A80">
        <v>2022</v>
      </c>
      <c r="B80">
        <v>10</v>
      </c>
      <c r="C80" t="s">
        <v>301</v>
      </c>
      <c r="D80" t="s">
        <v>200</v>
      </c>
      <c r="E80" t="s">
        <v>158</v>
      </c>
      <c r="F80" t="s">
        <v>302</v>
      </c>
      <c r="G80" s="23">
        <v>28140</v>
      </c>
      <c r="H80" s="23">
        <v>33924</v>
      </c>
    </row>
    <row r="81" spans="1:8" x14ac:dyDescent="0.35">
      <c r="A81">
        <v>2022</v>
      </c>
      <c r="B81">
        <v>10</v>
      </c>
      <c r="C81" t="s">
        <v>301</v>
      </c>
      <c r="D81" t="s">
        <v>201</v>
      </c>
      <c r="E81" t="s">
        <v>160</v>
      </c>
      <c r="F81" t="s">
        <v>303</v>
      </c>
      <c r="G81" s="23">
        <v>18648.43</v>
      </c>
      <c r="H81" s="23">
        <v>0</v>
      </c>
    </row>
    <row r="82" spans="1:8" x14ac:dyDescent="0.35">
      <c r="A82">
        <v>2022</v>
      </c>
      <c r="B82">
        <v>10</v>
      </c>
      <c r="C82" t="s">
        <v>301</v>
      </c>
      <c r="D82" t="s">
        <v>201</v>
      </c>
      <c r="E82" t="s">
        <v>160</v>
      </c>
      <c r="F82" t="s">
        <v>302</v>
      </c>
      <c r="G82" s="23">
        <v>28920</v>
      </c>
      <c r="H82" s="23">
        <v>15962.69</v>
      </c>
    </row>
    <row r="83" spans="1:8" x14ac:dyDescent="0.35">
      <c r="A83">
        <v>2022</v>
      </c>
      <c r="B83">
        <v>10</v>
      </c>
      <c r="C83" t="s">
        <v>301</v>
      </c>
      <c r="D83" t="s">
        <v>201</v>
      </c>
      <c r="E83" t="s">
        <v>160</v>
      </c>
      <c r="F83" t="s">
        <v>304</v>
      </c>
      <c r="G83" s="23">
        <v>147380.09</v>
      </c>
      <c r="H83" s="23">
        <v>689105.18</v>
      </c>
    </row>
    <row r="84" spans="1:8" x14ac:dyDescent="0.35">
      <c r="A84">
        <v>2022</v>
      </c>
      <c r="B84">
        <v>10</v>
      </c>
      <c r="C84" t="s">
        <v>301</v>
      </c>
      <c r="D84" t="s">
        <v>201</v>
      </c>
      <c r="E84" t="s">
        <v>160</v>
      </c>
      <c r="F84" t="s">
        <v>305</v>
      </c>
      <c r="G84" s="23">
        <v>185825.77</v>
      </c>
      <c r="H84" s="23">
        <v>845850.27</v>
      </c>
    </row>
    <row r="85" spans="1:8" x14ac:dyDescent="0.35">
      <c r="A85">
        <v>2022</v>
      </c>
      <c r="B85">
        <v>10</v>
      </c>
      <c r="C85" t="s">
        <v>301</v>
      </c>
      <c r="D85" t="s">
        <v>202</v>
      </c>
      <c r="E85" t="s">
        <v>155</v>
      </c>
      <c r="F85" t="s">
        <v>306</v>
      </c>
      <c r="G85" s="23">
        <v>81486.509999999995</v>
      </c>
      <c r="H85" s="23">
        <v>318250</v>
      </c>
    </row>
    <row r="86" spans="1:8" x14ac:dyDescent="0.35">
      <c r="A86">
        <v>2022</v>
      </c>
      <c r="B86">
        <v>10</v>
      </c>
      <c r="C86" t="s">
        <v>301</v>
      </c>
      <c r="D86" t="s">
        <v>202</v>
      </c>
      <c r="E86" t="s">
        <v>155</v>
      </c>
      <c r="F86" t="s">
        <v>303</v>
      </c>
      <c r="G86" s="23">
        <v>7404.28</v>
      </c>
      <c r="H86" s="23">
        <v>0</v>
      </c>
    </row>
    <row r="87" spans="1:8" x14ac:dyDescent="0.35">
      <c r="A87">
        <v>2022</v>
      </c>
      <c r="B87">
        <v>10</v>
      </c>
      <c r="C87" t="s">
        <v>301</v>
      </c>
      <c r="D87" t="s">
        <v>202</v>
      </c>
      <c r="E87" t="s">
        <v>155</v>
      </c>
      <c r="F87" t="s">
        <v>302</v>
      </c>
      <c r="G87" s="23">
        <v>45310.89</v>
      </c>
      <c r="H87" s="23">
        <v>2512</v>
      </c>
    </row>
    <row r="88" spans="1:8" x14ac:dyDescent="0.35">
      <c r="A88">
        <v>2022</v>
      </c>
      <c r="B88">
        <v>10</v>
      </c>
      <c r="C88" t="s">
        <v>301</v>
      </c>
      <c r="D88" t="s">
        <v>202</v>
      </c>
      <c r="E88" t="s">
        <v>155</v>
      </c>
      <c r="F88" t="s">
        <v>304</v>
      </c>
      <c r="G88" s="23">
        <v>153778.35999999999</v>
      </c>
      <c r="H88" s="23">
        <v>805732.49</v>
      </c>
    </row>
    <row r="89" spans="1:8" x14ac:dyDescent="0.35">
      <c r="A89">
        <v>2022</v>
      </c>
      <c r="B89">
        <v>10</v>
      </c>
      <c r="C89" t="s">
        <v>301</v>
      </c>
      <c r="D89" t="s">
        <v>203</v>
      </c>
      <c r="E89" t="s">
        <v>160</v>
      </c>
      <c r="F89" t="s">
        <v>88</v>
      </c>
      <c r="G89" s="23">
        <v>1537050</v>
      </c>
      <c r="H89" s="23">
        <v>1755940.19</v>
      </c>
    </row>
    <row r="90" spans="1:8" x14ac:dyDescent="0.35">
      <c r="A90">
        <v>2022</v>
      </c>
      <c r="B90">
        <v>10</v>
      </c>
      <c r="C90" t="s">
        <v>301</v>
      </c>
      <c r="D90" t="s">
        <v>203</v>
      </c>
      <c r="E90" t="s">
        <v>160</v>
      </c>
      <c r="F90" t="s">
        <v>308</v>
      </c>
      <c r="G90" s="23">
        <v>25.65</v>
      </c>
      <c r="H90" s="23">
        <v>0</v>
      </c>
    </row>
    <row r="91" spans="1:8" x14ac:dyDescent="0.35">
      <c r="A91">
        <v>2022</v>
      </c>
      <c r="B91">
        <v>10</v>
      </c>
      <c r="C91" t="s">
        <v>301</v>
      </c>
      <c r="D91" t="s">
        <v>203</v>
      </c>
      <c r="E91" t="s">
        <v>160</v>
      </c>
      <c r="F91" t="s">
        <v>304</v>
      </c>
      <c r="G91" s="23">
        <v>37403.08</v>
      </c>
      <c r="H91" s="23">
        <v>241358.02</v>
      </c>
    </row>
    <row r="92" spans="1:8" x14ac:dyDescent="0.35">
      <c r="A92">
        <v>2022</v>
      </c>
      <c r="B92">
        <v>10</v>
      </c>
      <c r="C92" t="s">
        <v>301</v>
      </c>
      <c r="D92" t="s">
        <v>204</v>
      </c>
      <c r="E92" t="s">
        <v>158</v>
      </c>
      <c r="F92" t="s">
        <v>306</v>
      </c>
      <c r="G92" s="23">
        <v>260379.76</v>
      </c>
      <c r="H92" s="23">
        <v>928161.88</v>
      </c>
    </row>
    <row r="93" spans="1:8" x14ac:dyDescent="0.35">
      <c r="A93">
        <v>2022</v>
      </c>
      <c r="B93">
        <v>10</v>
      </c>
      <c r="C93" t="s">
        <v>301</v>
      </c>
      <c r="D93" t="s">
        <v>204</v>
      </c>
      <c r="E93" t="s">
        <v>158</v>
      </c>
      <c r="F93" t="s">
        <v>303</v>
      </c>
      <c r="G93" s="23">
        <v>3330.94</v>
      </c>
      <c r="H93" s="23">
        <v>0</v>
      </c>
    </row>
    <row r="94" spans="1:8" x14ac:dyDescent="0.35">
      <c r="A94">
        <v>2022</v>
      </c>
      <c r="B94">
        <v>10</v>
      </c>
      <c r="C94" t="s">
        <v>301</v>
      </c>
      <c r="D94" t="s">
        <v>204</v>
      </c>
      <c r="E94" t="s">
        <v>158</v>
      </c>
      <c r="F94" t="s">
        <v>302</v>
      </c>
      <c r="G94" s="23">
        <v>267771.28999999998</v>
      </c>
      <c r="H94" s="23">
        <v>117538.63</v>
      </c>
    </row>
    <row r="95" spans="1:8" x14ac:dyDescent="0.35">
      <c r="A95">
        <v>2022</v>
      </c>
      <c r="B95">
        <v>10</v>
      </c>
      <c r="C95" t="s">
        <v>301</v>
      </c>
      <c r="D95" t="s">
        <v>204</v>
      </c>
      <c r="E95" t="s">
        <v>158</v>
      </c>
      <c r="F95" t="s">
        <v>304</v>
      </c>
      <c r="G95" s="23">
        <v>371882.28</v>
      </c>
      <c r="H95" s="23">
        <v>1018103.82</v>
      </c>
    </row>
    <row r="96" spans="1:8" x14ac:dyDescent="0.35">
      <c r="A96">
        <v>2022</v>
      </c>
      <c r="B96">
        <v>10</v>
      </c>
      <c r="C96" t="s">
        <v>301</v>
      </c>
      <c r="D96" t="s">
        <v>205</v>
      </c>
      <c r="E96" t="s">
        <v>160</v>
      </c>
      <c r="F96" t="s">
        <v>306</v>
      </c>
      <c r="G96" s="23">
        <v>2500</v>
      </c>
      <c r="H96" s="23">
        <v>0</v>
      </c>
    </row>
    <row r="97" spans="1:8" x14ac:dyDescent="0.35">
      <c r="A97">
        <v>2022</v>
      </c>
      <c r="B97">
        <v>10</v>
      </c>
      <c r="C97" t="s">
        <v>301</v>
      </c>
      <c r="D97" t="s">
        <v>205</v>
      </c>
      <c r="E97" t="s">
        <v>160</v>
      </c>
      <c r="F97" t="s">
        <v>303</v>
      </c>
      <c r="G97" s="23">
        <v>1293.43</v>
      </c>
      <c r="H97" s="23">
        <v>0</v>
      </c>
    </row>
    <row r="98" spans="1:8" x14ac:dyDescent="0.35">
      <c r="A98">
        <v>2022</v>
      </c>
      <c r="B98">
        <v>10</v>
      </c>
      <c r="C98" t="s">
        <v>301</v>
      </c>
      <c r="D98" t="s">
        <v>205</v>
      </c>
      <c r="E98" t="s">
        <v>160</v>
      </c>
      <c r="F98" t="s">
        <v>302</v>
      </c>
      <c r="G98" s="23">
        <v>13681.07</v>
      </c>
      <c r="H98" s="23">
        <v>819.26</v>
      </c>
    </row>
    <row r="99" spans="1:8" x14ac:dyDescent="0.35">
      <c r="A99">
        <v>2022</v>
      </c>
      <c r="B99">
        <v>10</v>
      </c>
      <c r="C99" t="s">
        <v>301</v>
      </c>
      <c r="D99" t="s">
        <v>206</v>
      </c>
      <c r="E99" t="s">
        <v>158</v>
      </c>
      <c r="F99" t="s">
        <v>91</v>
      </c>
      <c r="G99" s="23">
        <v>1034228.12</v>
      </c>
      <c r="H99" s="23">
        <v>0</v>
      </c>
    </row>
    <row r="100" spans="1:8" x14ac:dyDescent="0.35">
      <c r="A100">
        <v>2022</v>
      </c>
      <c r="B100">
        <v>10</v>
      </c>
      <c r="C100" t="s">
        <v>301</v>
      </c>
      <c r="D100" t="s">
        <v>206</v>
      </c>
      <c r="E100" t="s">
        <v>158</v>
      </c>
      <c r="F100" t="s">
        <v>304</v>
      </c>
      <c r="G100" s="23">
        <v>5762</v>
      </c>
      <c r="H100" s="23">
        <v>175398.57</v>
      </c>
    </row>
    <row r="101" spans="1:8" x14ac:dyDescent="0.35">
      <c r="A101">
        <v>2022</v>
      </c>
      <c r="B101">
        <v>10</v>
      </c>
      <c r="C101" t="s">
        <v>301</v>
      </c>
      <c r="D101" t="s">
        <v>208</v>
      </c>
      <c r="E101" t="s">
        <v>160</v>
      </c>
      <c r="F101" t="s">
        <v>304</v>
      </c>
      <c r="G101" s="23">
        <v>4292</v>
      </c>
      <c r="H101" s="23">
        <v>120601.8</v>
      </c>
    </row>
    <row r="102" spans="1:8" x14ac:dyDescent="0.35">
      <c r="A102">
        <v>2022</v>
      </c>
      <c r="B102">
        <v>10</v>
      </c>
      <c r="C102" t="s">
        <v>301</v>
      </c>
      <c r="D102" t="s">
        <v>209</v>
      </c>
      <c r="E102" t="s">
        <v>158</v>
      </c>
      <c r="F102" t="s">
        <v>91</v>
      </c>
      <c r="G102" s="23">
        <v>150000</v>
      </c>
      <c r="H102" s="23">
        <v>0</v>
      </c>
    </row>
    <row r="103" spans="1:8" x14ac:dyDescent="0.35">
      <c r="A103">
        <v>2022</v>
      </c>
      <c r="B103">
        <v>10</v>
      </c>
      <c r="C103" t="s">
        <v>301</v>
      </c>
      <c r="D103" t="s">
        <v>209</v>
      </c>
      <c r="E103" t="s">
        <v>158</v>
      </c>
      <c r="F103" t="s">
        <v>88</v>
      </c>
      <c r="G103" s="23">
        <v>6629560</v>
      </c>
      <c r="H103" s="23">
        <v>37752.089999999997</v>
      </c>
    </row>
    <row r="104" spans="1:8" x14ac:dyDescent="0.35">
      <c r="A104">
        <v>2022</v>
      </c>
      <c r="B104">
        <v>10</v>
      </c>
      <c r="C104" t="s">
        <v>301</v>
      </c>
      <c r="D104" t="s">
        <v>209</v>
      </c>
      <c r="E104" t="s">
        <v>158</v>
      </c>
      <c r="F104" t="s">
        <v>303</v>
      </c>
      <c r="G104" s="23">
        <v>16424.73</v>
      </c>
      <c r="H104" s="23">
        <v>0</v>
      </c>
    </row>
    <row r="105" spans="1:8" x14ac:dyDescent="0.35">
      <c r="A105">
        <v>2022</v>
      </c>
      <c r="B105">
        <v>10</v>
      </c>
      <c r="C105" t="s">
        <v>301</v>
      </c>
      <c r="D105" t="s">
        <v>209</v>
      </c>
      <c r="E105" t="s">
        <v>158</v>
      </c>
      <c r="F105" t="s">
        <v>302</v>
      </c>
      <c r="G105" s="23">
        <v>252399.1</v>
      </c>
      <c r="H105" s="23">
        <v>211659.74</v>
      </c>
    </row>
    <row r="106" spans="1:8" x14ac:dyDescent="0.35">
      <c r="A106">
        <v>2022</v>
      </c>
      <c r="B106">
        <v>10</v>
      </c>
      <c r="C106" t="s">
        <v>301</v>
      </c>
      <c r="D106" t="s">
        <v>209</v>
      </c>
      <c r="E106" t="s">
        <v>158</v>
      </c>
      <c r="F106" t="s">
        <v>304</v>
      </c>
      <c r="G106" s="23">
        <v>199976.01</v>
      </c>
      <c r="H106" s="23">
        <v>605702.5</v>
      </c>
    </row>
    <row r="107" spans="1:8" x14ac:dyDescent="0.35">
      <c r="A107">
        <v>2022</v>
      </c>
      <c r="B107">
        <v>10</v>
      </c>
      <c r="C107" t="s">
        <v>301</v>
      </c>
      <c r="D107" t="s">
        <v>209</v>
      </c>
      <c r="E107" t="s">
        <v>158</v>
      </c>
      <c r="F107" t="s">
        <v>305</v>
      </c>
      <c r="G107" s="23">
        <v>105016.92</v>
      </c>
      <c r="H107" s="23">
        <v>0</v>
      </c>
    </row>
    <row r="108" spans="1:8" x14ac:dyDescent="0.35">
      <c r="A108">
        <v>2022</v>
      </c>
      <c r="B108">
        <v>10</v>
      </c>
      <c r="C108" t="s">
        <v>301</v>
      </c>
      <c r="D108" t="s">
        <v>210</v>
      </c>
      <c r="E108" t="s">
        <v>158</v>
      </c>
      <c r="F108" t="s">
        <v>304</v>
      </c>
      <c r="G108" s="23">
        <v>0</v>
      </c>
      <c r="H108" s="23">
        <v>3700</v>
      </c>
    </row>
    <row r="109" spans="1:8" x14ac:dyDescent="0.35">
      <c r="A109">
        <v>2022</v>
      </c>
      <c r="B109">
        <v>10</v>
      </c>
      <c r="C109" t="s">
        <v>301</v>
      </c>
      <c r="D109" t="s">
        <v>211</v>
      </c>
      <c r="E109" t="s">
        <v>160</v>
      </c>
      <c r="F109" t="s">
        <v>303</v>
      </c>
      <c r="G109" s="23">
        <v>3757.18</v>
      </c>
      <c r="H109" s="23">
        <v>0</v>
      </c>
    </row>
    <row r="110" spans="1:8" x14ac:dyDescent="0.35">
      <c r="A110">
        <v>2022</v>
      </c>
      <c r="B110">
        <v>10</v>
      </c>
      <c r="C110" t="s">
        <v>301</v>
      </c>
      <c r="D110" t="s">
        <v>211</v>
      </c>
      <c r="E110" t="s">
        <v>160</v>
      </c>
      <c r="F110" t="s">
        <v>302</v>
      </c>
      <c r="G110" s="23">
        <v>6806</v>
      </c>
      <c r="H110" s="23">
        <v>0</v>
      </c>
    </row>
    <row r="111" spans="1:8" x14ac:dyDescent="0.35">
      <c r="A111">
        <v>2022</v>
      </c>
      <c r="B111">
        <v>10</v>
      </c>
      <c r="C111" t="s">
        <v>301</v>
      </c>
      <c r="D111" t="s">
        <v>211</v>
      </c>
      <c r="E111" t="s">
        <v>160</v>
      </c>
      <c r="F111" t="s">
        <v>304</v>
      </c>
      <c r="G111" s="23">
        <v>221728</v>
      </c>
      <c r="H111" s="23">
        <v>0</v>
      </c>
    </row>
    <row r="112" spans="1:8" x14ac:dyDescent="0.35">
      <c r="A112">
        <v>2022</v>
      </c>
      <c r="B112">
        <v>10</v>
      </c>
      <c r="C112" t="s">
        <v>301</v>
      </c>
      <c r="D112" t="s">
        <v>212</v>
      </c>
      <c r="E112" t="s">
        <v>160</v>
      </c>
      <c r="F112" t="s">
        <v>91</v>
      </c>
      <c r="G112" s="23">
        <v>500</v>
      </c>
      <c r="H112" s="23">
        <v>0</v>
      </c>
    </row>
    <row r="113" spans="1:8" x14ac:dyDescent="0.35">
      <c r="A113">
        <v>2022</v>
      </c>
      <c r="B113">
        <v>10</v>
      </c>
      <c r="C113" t="s">
        <v>301</v>
      </c>
      <c r="D113" t="s">
        <v>212</v>
      </c>
      <c r="E113" t="s">
        <v>160</v>
      </c>
      <c r="F113" t="s">
        <v>304</v>
      </c>
      <c r="G113" s="23">
        <v>215657.52</v>
      </c>
      <c r="H113" s="23">
        <v>1132424.44</v>
      </c>
    </row>
    <row r="114" spans="1:8" x14ac:dyDescent="0.35">
      <c r="A114">
        <v>2022</v>
      </c>
      <c r="B114">
        <v>10</v>
      </c>
      <c r="C114" t="s">
        <v>301</v>
      </c>
      <c r="D114" t="s">
        <v>213</v>
      </c>
      <c r="E114" t="s">
        <v>155</v>
      </c>
      <c r="F114" t="s">
        <v>303</v>
      </c>
      <c r="G114" s="23">
        <v>45443.12</v>
      </c>
      <c r="H114" s="23">
        <v>0</v>
      </c>
    </row>
    <row r="115" spans="1:8" x14ac:dyDescent="0.35">
      <c r="A115">
        <v>2022</v>
      </c>
      <c r="B115">
        <v>10</v>
      </c>
      <c r="C115" t="s">
        <v>301</v>
      </c>
      <c r="D115" t="s">
        <v>213</v>
      </c>
      <c r="E115" t="s">
        <v>155</v>
      </c>
      <c r="F115" t="s">
        <v>304</v>
      </c>
      <c r="G115" s="23">
        <v>232127.4</v>
      </c>
      <c r="H115" s="23">
        <v>70769.14</v>
      </c>
    </row>
    <row r="116" spans="1:8" x14ac:dyDescent="0.35">
      <c r="A116">
        <v>2022</v>
      </c>
      <c r="B116">
        <v>10</v>
      </c>
      <c r="C116" t="s">
        <v>301</v>
      </c>
      <c r="D116" t="s">
        <v>214</v>
      </c>
      <c r="E116" t="s">
        <v>158</v>
      </c>
      <c r="F116" t="s">
        <v>302</v>
      </c>
      <c r="G116" s="23">
        <v>0</v>
      </c>
      <c r="H116" s="23">
        <v>12071.54</v>
      </c>
    </row>
    <row r="117" spans="1:8" x14ac:dyDescent="0.35">
      <c r="A117">
        <v>2022</v>
      </c>
      <c r="B117">
        <v>10</v>
      </c>
      <c r="C117" t="s">
        <v>301</v>
      </c>
      <c r="D117" t="s">
        <v>215</v>
      </c>
      <c r="E117" t="s">
        <v>160</v>
      </c>
      <c r="F117" t="s">
        <v>307</v>
      </c>
      <c r="G117" s="23">
        <v>10719.37</v>
      </c>
      <c r="H117" s="23">
        <v>0</v>
      </c>
    </row>
    <row r="118" spans="1:8" x14ac:dyDescent="0.35">
      <c r="A118">
        <v>2022</v>
      </c>
      <c r="B118">
        <v>10</v>
      </c>
      <c r="C118" t="s">
        <v>301</v>
      </c>
      <c r="D118" t="s">
        <v>215</v>
      </c>
      <c r="E118" t="s">
        <v>160</v>
      </c>
      <c r="F118" t="s">
        <v>303</v>
      </c>
      <c r="G118" s="23">
        <v>2144.35</v>
      </c>
      <c r="H118" s="23">
        <v>0</v>
      </c>
    </row>
    <row r="119" spans="1:8" x14ac:dyDescent="0.35">
      <c r="A119">
        <v>2022</v>
      </c>
      <c r="B119">
        <v>10</v>
      </c>
      <c r="C119" t="s">
        <v>301</v>
      </c>
      <c r="D119" t="s">
        <v>215</v>
      </c>
      <c r="E119" t="s">
        <v>160</v>
      </c>
      <c r="F119" t="s">
        <v>304</v>
      </c>
      <c r="G119" s="23">
        <v>856875.54</v>
      </c>
      <c r="H119" s="23">
        <v>192029.59</v>
      </c>
    </row>
    <row r="120" spans="1:8" x14ac:dyDescent="0.35">
      <c r="A120">
        <v>2022</v>
      </c>
      <c r="B120">
        <v>10</v>
      </c>
      <c r="C120" t="s">
        <v>301</v>
      </c>
      <c r="D120" t="s">
        <v>216</v>
      </c>
      <c r="E120" t="s">
        <v>155</v>
      </c>
      <c r="F120" t="s">
        <v>306</v>
      </c>
      <c r="G120" s="23">
        <v>33801.57</v>
      </c>
      <c r="H120" s="23">
        <v>0</v>
      </c>
    </row>
    <row r="121" spans="1:8" x14ac:dyDescent="0.35">
      <c r="A121">
        <v>2022</v>
      </c>
      <c r="B121">
        <v>10</v>
      </c>
      <c r="C121" t="s">
        <v>301</v>
      </c>
      <c r="D121" t="s">
        <v>217</v>
      </c>
      <c r="E121" t="s">
        <v>160</v>
      </c>
      <c r="F121" t="s">
        <v>303</v>
      </c>
      <c r="G121" s="23">
        <v>9311.9</v>
      </c>
      <c r="H121" s="23">
        <v>0</v>
      </c>
    </row>
    <row r="122" spans="1:8" x14ac:dyDescent="0.35">
      <c r="A122">
        <v>2022</v>
      </c>
      <c r="B122">
        <v>10</v>
      </c>
      <c r="C122" t="s">
        <v>301</v>
      </c>
      <c r="D122" t="s">
        <v>217</v>
      </c>
      <c r="E122" t="s">
        <v>160</v>
      </c>
      <c r="F122" t="s">
        <v>302</v>
      </c>
      <c r="G122" s="23">
        <v>49172.63</v>
      </c>
      <c r="H122" s="23">
        <v>4549.07</v>
      </c>
    </row>
    <row r="123" spans="1:8" x14ac:dyDescent="0.35">
      <c r="A123">
        <v>2022</v>
      </c>
      <c r="B123">
        <v>10</v>
      </c>
      <c r="C123" t="s">
        <v>301</v>
      </c>
      <c r="D123" t="s">
        <v>217</v>
      </c>
      <c r="E123" t="s">
        <v>160</v>
      </c>
      <c r="F123" t="s">
        <v>304</v>
      </c>
      <c r="G123" s="23">
        <v>65296.72</v>
      </c>
      <c r="H123" s="23">
        <v>55547.46</v>
      </c>
    </row>
    <row r="124" spans="1:8" x14ac:dyDescent="0.35">
      <c r="A124">
        <v>2022</v>
      </c>
      <c r="B124">
        <v>10</v>
      </c>
      <c r="C124" t="s">
        <v>301</v>
      </c>
      <c r="D124" t="s">
        <v>218</v>
      </c>
      <c r="E124" t="s">
        <v>158</v>
      </c>
      <c r="F124" t="s">
        <v>88</v>
      </c>
      <c r="G124" s="23">
        <v>339416.67499999999</v>
      </c>
      <c r="H124" s="23">
        <v>1884833.325</v>
      </c>
    </row>
    <row r="125" spans="1:8" x14ac:dyDescent="0.35">
      <c r="A125">
        <v>2022</v>
      </c>
      <c r="B125">
        <v>10</v>
      </c>
      <c r="C125" t="s">
        <v>301</v>
      </c>
      <c r="D125" t="s">
        <v>218</v>
      </c>
      <c r="E125" t="s">
        <v>158</v>
      </c>
      <c r="F125" t="s">
        <v>303</v>
      </c>
      <c r="G125" s="23">
        <v>8557.67</v>
      </c>
      <c r="H125" s="23">
        <v>0</v>
      </c>
    </row>
    <row r="126" spans="1:8" x14ac:dyDescent="0.35">
      <c r="A126">
        <v>2022</v>
      </c>
      <c r="B126">
        <v>10</v>
      </c>
      <c r="C126" t="s">
        <v>301</v>
      </c>
      <c r="D126" t="s">
        <v>219</v>
      </c>
      <c r="E126" t="s">
        <v>160</v>
      </c>
      <c r="F126" t="s">
        <v>304</v>
      </c>
      <c r="G126" s="23">
        <v>706285.6</v>
      </c>
      <c r="H126" s="23">
        <v>266044.71000000002</v>
      </c>
    </row>
    <row r="127" spans="1:8" x14ac:dyDescent="0.35">
      <c r="A127">
        <v>2022</v>
      </c>
      <c r="B127">
        <v>10</v>
      </c>
      <c r="C127" t="s">
        <v>301</v>
      </c>
      <c r="D127" t="s">
        <v>220</v>
      </c>
      <c r="E127" t="s">
        <v>158</v>
      </c>
      <c r="F127" t="s">
        <v>303</v>
      </c>
      <c r="G127" s="23">
        <v>22438.33</v>
      </c>
      <c r="H127" s="23">
        <v>0</v>
      </c>
    </row>
    <row r="128" spans="1:8" x14ac:dyDescent="0.35">
      <c r="A128">
        <v>2022</v>
      </c>
      <c r="B128">
        <v>10</v>
      </c>
      <c r="C128" t="s">
        <v>301</v>
      </c>
      <c r="D128" t="s">
        <v>220</v>
      </c>
      <c r="E128" t="s">
        <v>158</v>
      </c>
      <c r="F128" t="s">
        <v>304</v>
      </c>
      <c r="G128" s="23">
        <v>180449.65</v>
      </c>
      <c r="H128" s="23">
        <v>118965.35</v>
      </c>
    </row>
    <row r="129" spans="1:8" x14ac:dyDescent="0.35">
      <c r="A129">
        <v>2022</v>
      </c>
      <c r="B129">
        <v>10</v>
      </c>
      <c r="C129" t="s">
        <v>301</v>
      </c>
      <c r="D129" t="s">
        <v>221</v>
      </c>
      <c r="E129" t="s">
        <v>165</v>
      </c>
      <c r="F129" t="s">
        <v>304</v>
      </c>
      <c r="G129" s="23">
        <v>0</v>
      </c>
      <c r="H129" s="23">
        <v>4.09</v>
      </c>
    </row>
    <row r="130" spans="1:8" x14ac:dyDescent="0.35">
      <c r="A130">
        <v>2022</v>
      </c>
      <c r="B130">
        <v>10</v>
      </c>
      <c r="C130" t="s">
        <v>301</v>
      </c>
      <c r="D130" t="s">
        <v>222</v>
      </c>
      <c r="E130" t="s">
        <v>158</v>
      </c>
      <c r="F130" t="s">
        <v>304</v>
      </c>
      <c r="G130" s="23">
        <v>0</v>
      </c>
      <c r="H130" s="23">
        <v>1400.54</v>
      </c>
    </row>
    <row r="131" spans="1:8" x14ac:dyDescent="0.35">
      <c r="A131">
        <v>2022</v>
      </c>
      <c r="B131">
        <v>10</v>
      </c>
      <c r="C131" t="s">
        <v>301</v>
      </c>
      <c r="D131" t="s">
        <v>224</v>
      </c>
      <c r="E131" t="s">
        <v>158</v>
      </c>
      <c r="F131" t="s">
        <v>303</v>
      </c>
      <c r="G131" s="23">
        <v>6483.72</v>
      </c>
      <c r="H131" s="23">
        <v>0</v>
      </c>
    </row>
    <row r="132" spans="1:8" x14ac:dyDescent="0.35">
      <c r="A132">
        <v>2022</v>
      </c>
      <c r="B132">
        <v>10</v>
      </c>
      <c r="C132" t="s">
        <v>301</v>
      </c>
      <c r="D132" t="s">
        <v>225</v>
      </c>
      <c r="E132" t="s">
        <v>160</v>
      </c>
      <c r="F132" t="s">
        <v>307</v>
      </c>
      <c r="G132" s="23">
        <v>8000.01</v>
      </c>
      <c r="H132" s="23">
        <v>0</v>
      </c>
    </row>
    <row r="133" spans="1:8" x14ac:dyDescent="0.35">
      <c r="A133">
        <v>2022</v>
      </c>
      <c r="B133">
        <v>10</v>
      </c>
      <c r="C133" t="s">
        <v>301</v>
      </c>
      <c r="D133" t="s">
        <v>225</v>
      </c>
      <c r="E133" t="s">
        <v>160</v>
      </c>
      <c r="F133" t="s">
        <v>304</v>
      </c>
      <c r="G133" s="23">
        <v>152574.47</v>
      </c>
      <c r="H133" s="23">
        <v>28352.639999999999</v>
      </c>
    </row>
    <row r="134" spans="1:8" x14ac:dyDescent="0.35">
      <c r="A134">
        <v>2022</v>
      </c>
      <c r="B134">
        <v>10</v>
      </c>
      <c r="C134" t="s">
        <v>301</v>
      </c>
      <c r="D134" t="s">
        <v>226</v>
      </c>
      <c r="E134" t="s">
        <v>155</v>
      </c>
      <c r="F134" t="s">
        <v>302</v>
      </c>
      <c r="G134" s="23">
        <v>290.54000000000002</v>
      </c>
      <c r="H134" s="23">
        <v>910.54</v>
      </c>
    </row>
    <row r="135" spans="1:8" x14ac:dyDescent="0.35">
      <c r="A135">
        <v>2022</v>
      </c>
      <c r="B135">
        <v>10</v>
      </c>
      <c r="C135" t="s">
        <v>301</v>
      </c>
      <c r="D135" t="s">
        <v>226</v>
      </c>
      <c r="E135" t="s">
        <v>155</v>
      </c>
      <c r="F135" t="s">
        <v>304</v>
      </c>
      <c r="G135" s="23">
        <v>517.14</v>
      </c>
      <c r="H135" s="23">
        <v>107.43</v>
      </c>
    </row>
    <row r="136" spans="1:8" x14ac:dyDescent="0.35">
      <c r="A136">
        <v>2022</v>
      </c>
      <c r="B136">
        <v>10</v>
      </c>
      <c r="C136" t="s">
        <v>301</v>
      </c>
      <c r="D136" t="s">
        <v>227</v>
      </c>
      <c r="E136" t="s">
        <v>158</v>
      </c>
      <c r="F136" t="s">
        <v>304</v>
      </c>
      <c r="G136" s="23">
        <v>280777</v>
      </c>
      <c r="H136" s="23">
        <v>131846</v>
      </c>
    </row>
    <row r="137" spans="1:8" x14ac:dyDescent="0.35">
      <c r="A137">
        <v>2022</v>
      </c>
      <c r="B137">
        <v>10</v>
      </c>
      <c r="C137" t="s">
        <v>301</v>
      </c>
      <c r="D137" t="s">
        <v>228</v>
      </c>
      <c r="E137" t="s">
        <v>160</v>
      </c>
      <c r="F137" t="s">
        <v>306</v>
      </c>
      <c r="G137" s="23">
        <v>10564</v>
      </c>
      <c r="H137" s="23">
        <v>0</v>
      </c>
    </row>
    <row r="138" spans="1:8" x14ac:dyDescent="0.35">
      <c r="A138">
        <v>2022</v>
      </c>
      <c r="B138">
        <v>10</v>
      </c>
      <c r="C138" t="s">
        <v>301</v>
      </c>
      <c r="D138" t="s">
        <v>228</v>
      </c>
      <c r="E138" t="s">
        <v>160</v>
      </c>
      <c r="F138" t="s">
        <v>304</v>
      </c>
      <c r="G138" s="23">
        <v>4833.68</v>
      </c>
      <c r="H138" s="23">
        <v>0</v>
      </c>
    </row>
    <row r="139" spans="1:8" x14ac:dyDescent="0.35">
      <c r="A139">
        <v>2022</v>
      </c>
      <c r="B139">
        <v>10</v>
      </c>
      <c r="C139" t="s">
        <v>301</v>
      </c>
      <c r="D139" t="s">
        <v>229</v>
      </c>
      <c r="E139" t="s">
        <v>158</v>
      </c>
      <c r="F139" t="s">
        <v>302</v>
      </c>
      <c r="G139" s="23">
        <v>183924.4</v>
      </c>
      <c r="H139" s="23">
        <v>86156.46</v>
      </c>
    </row>
    <row r="140" spans="1:8" x14ac:dyDescent="0.35">
      <c r="A140">
        <v>2022</v>
      </c>
      <c r="B140">
        <v>10</v>
      </c>
      <c r="C140" t="s">
        <v>301</v>
      </c>
      <c r="D140" t="s">
        <v>229</v>
      </c>
      <c r="E140" t="s">
        <v>158</v>
      </c>
      <c r="F140" t="s">
        <v>304</v>
      </c>
      <c r="G140" s="23">
        <v>158055.78</v>
      </c>
      <c r="H140" s="23">
        <v>2388591.5299999998</v>
      </c>
    </row>
    <row r="141" spans="1:8" x14ac:dyDescent="0.35">
      <c r="A141">
        <v>2022</v>
      </c>
      <c r="B141">
        <v>10</v>
      </c>
      <c r="C141" t="s">
        <v>301</v>
      </c>
      <c r="D141" t="s">
        <v>230</v>
      </c>
      <c r="E141" t="s">
        <v>155</v>
      </c>
      <c r="F141" t="s">
        <v>91</v>
      </c>
      <c r="G141" s="23">
        <v>318577.8</v>
      </c>
      <c r="H141" s="23">
        <v>0</v>
      </c>
    </row>
    <row r="142" spans="1:8" x14ac:dyDescent="0.35">
      <c r="A142">
        <v>2022</v>
      </c>
      <c r="B142">
        <v>10</v>
      </c>
      <c r="C142" t="s">
        <v>301</v>
      </c>
      <c r="D142" t="s">
        <v>230</v>
      </c>
      <c r="E142" t="s">
        <v>155</v>
      </c>
      <c r="F142" t="s">
        <v>88</v>
      </c>
      <c r="G142" s="23">
        <v>1463240</v>
      </c>
      <c r="H142" s="23">
        <v>1070049.44</v>
      </c>
    </row>
    <row r="143" spans="1:8" x14ac:dyDescent="0.35">
      <c r="A143">
        <v>2022</v>
      </c>
      <c r="B143">
        <v>10</v>
      </c>
      <c r="C143" t="s">
        <v>301</v>
      </c>
      <c r="D143" t="s">
        <v>230</v>
      </c>
      <c r="E143" t="s">
        <v>155</v>
      </c>
      <c r="F143" t="s">
        <v>302</v>
      </c>
      <c r="G143" s="23">
        <v>1367.66</v>
      </c>
      <c r="H143" s="23">
        <v>0</v>
      </c>
    </row>
    <row r="144" spans="1:8" x14ac:dyDescent="0.35">
      <c r="A144">
        <v>2022</v>
      </c>
      <c r="B144">
        <v>10</v>
      </c>
      <c r="C144" t="s">
        <v>301</v>
      </c>
      <c r="D144" t="s">
        <v>231</v>
      </c>
      <c r="E144" t="s">
        <v>160</v>
      </c>
      <c r="F144" t="s">
        <v>306</v>
      </c>
      <c r="G144" s="23">
        <v>17242.5</v>
      </c>
      <c r="H144" s="23">
        <v>0</v>
      </c>
    </row>
    <row r="145" spans="1:8" x14ac:dyDescent="0.35">
      <c r="A145">
        <v>2022</v>
      </c>
      <c r="B145">
        <v>10</v>
      </c>
      <c r="C145" t="s">
        <v>301</v>
      </c>
      <c r="D145" t="s">
        <v>231</v>
      </c>
      <c r="E145" t="s">
        <v>160</v>
      </c>
      <c r="F145" t="s">
        <v>304</v>
      </c>
      <c r="G145" s="23">
        <v>1591.79</v>
      </c>
      <c r="H145" s="23">
        <v>0</v>
      </c>
    </row>
    <row r="146" spans="1:8" x14ac:dyDescent="0.35">
      <c r="A146">
        <v>2022</v>
      </c>
      <c r="B146">
        <v>10</v>
      </c>
      <c r="C146" t="s">
        <v>301</v>
      </c>
      <c r="D146" t="s">
        <v>232</v>
      </c>
      <c r="E146" t="s">
        <v>165</v>
      </c>
      <c r="F146" t="s">
        <v>303</v>
      </c>
      <c r="G146" s="23">
        <v>4142.68</v>
      </c>
      <c r="H146" s="23">
        <v>0</v>
      </c>
    </row>
    <row r="147" spans="1:8" x14ac:dyDescent="0.35">
      <c r="A147">
        <v>2022</v>
      </c>
      <c r="B147">
        <v>10</v>
      </c>
      <c r="C147" t="s">
        <v>301</v>
      </c>
      <c r="D147" t="s">
        <v>232</v>
      </c>
      <c r="E147" t="s">
        <v>165</v>
      </c>
      <c r="F147" t="s">
        <v>302</v>
      </c>
      <c r="G147" s="23">
        <v>132564.37</v>
      </c>
      <c r="H147" s="23">
        <v>12950.09</v>
      </c>
    </row>
    <row r="148" spans="1:8" x14ac:dyDescent="0.35">
      <c r="A148">
        <v>2022</v>
      </c>
      <c r="B148">
        <v>10</v>
      </c>
      <c r="C148" t="s">
        <v>301</v>
      </c>
      <c r="D148" t="s">
        <v>233</v>
      </c>
      <c r="E148" t="s">
        <v>155</v>
      </c>
      <c r="F148" t="s">
        <v>88</v>
      </c>
      <c r="G148" s="23">
        <v>3000000</v>
      </c>
      <c r="H148" s="23">
        <v>9937740</v>
      </c>
    </row>
    <row r="149" spans="1:8" x14ac:dyDescent="0.35">
      <c r="A149">
        <v>2022</v>
      </c>
      <c r="B149">
        <v>10</v>
      </c>
      <c r="C149" t="s">
        <v>301</v>
      </c>
      <c r="D149" t="s">
        <v>233</v>
      </c>
      <c r="E149" t="s">
        <v>155</v>
      </c>
      <c r="F149" t="s">
        <v>302</v>
      </c>
      <c r="G149" s="23">
        <v>139856.25</v>
      </c>
      <c r="H149" s="23">
        <v>296543.94</v>
      </c>
    </row>
    <row r="150" spans="1:8" x14ac:dyDescent="0.35">
      <c r="A150">
        <v>2022</v>
      </c>
      <c r="B150">
        <v>10</v>
      </c>
      <c r="C150" t="s">
        <v>301</v>
      </c>
      <c r="D150" t="s">
        <v>233</v>
      </c>
      <c r="E150" t="s">
        <v>155</v>
      </c>
      <c r="F150" t="s">
        <v>304</v>
      </c>
      <c r="G150" s="23">
        <v>57008.39</v>
      </c>
      <c r="H150" s="23">
        <v>206260.49</v>
      </c>
    </row>
    <row r="151" spans="1:8" x14ac:dyDescent="0.35">
      <c r="A151">
        <v>2022</v>
      </c>
      <c r="B151">
        <v>10</v>
      </c>
      <c r="C151" t="s">
        <v>301</v>
      </c>
      <c r="D151" t="s">
        <v>234</v>
      </c>
      <c r="E151" t="s">
        <v>160</v>
      </c>
      <c r="F151" t="s">
        <v>304</v>
      </c>
      <c r="G151" s="23">
        <v>20573.28</v>
      </c>
      <c r="H151" s="23">
        <v>596142.9</v>
      </c>
    </row>
    <row r="152" spans="1:8" x14ac:dyDescent="0.35">
      <c r="A152">
        <v>2022</v>
      </c>
      <c r="B152">
        <v>10</v>
      </c>
      <c r="C152" t="s">
        <v>301</v>
      </c>
      <c r="D152" t="s">
        <v>235</v>
      </c>
      <c r="E152" t="s">
        <v>160</v>
      </c>
      <c r="F152" t="s">
        <v>302</v>
      </c>
      <c r="G152" s="23">
        <v>8254.42</v>
      </c>
      <c r="H152" s="23">
        <v>22264.37</v>
      </c>
    </row>
    <row r="153" spans="1:8" x14ac:dyDescent="0.35">
      <c r="A153">
        <v>2022</v>
      </c>
      <c r="B153">
        <v>10</v>
      </c>
      <c r="C153" t="s">
        <v>301</v>
      </c>
      <c r="D153" t="s">
        <v>235</v>
      </c>
      <c r="E153" t="s">
        <v>160</v>
      </c>
      <c r="F153" t="s">
        <v>304</v>
      </c>
      <c r="G153" s="23">
        <v>187.2</v>
      </c>
      <c r="H153" s="23">
        <v>257.98</v>
      </c>
    </row>
    <row r="154" spans="1:8" x14ac:dyDescent="0.35">
      <c r="A154">
        <v>2022</v>
      </c>
      <c r="B154">
        <v>10</v>
      </c>
      <c r="C154" t="s">
        <v>301</v>
      </c>
      <c r="D154" t="s">
        <v>236</v>
      </c>
      <c r="E154" t="s">
        <v>160</v>
      </c>
      <c r="F154" t="s">
        <v>303</v>
      </c>
      <c r="G154" s="23">
        <v>3663.48</v>
      </c>
      <c r="H154" s="23">
        <v>0</v>
      </c>
    </row>
    <row r="155" spans="1:8" x14ac:dyDescent="0.35">
      <c r="A155">
        <v>2022</v>
      </c>
      <c r="B155">
        <v>10</v>
      </c>
      <c r="C155" t="s">
        <v>301</v>
      </c>
      <c r="D155" t="s">
        <v>236</v>
      </c>
      <c r="E155" t="s">
        <v>160</v>
      </c>
      <c r="F155" t="s">
        <v>302</v>
      </c>
      <c r="G155" s="23">
        <v>61594.89</v>
      </c>
      <c r="H155" s="23">
        <v>1592.96</v>
      </c>
    </row>
    <row r="156" spans="1:8" x14ac:dyDescent="0.35">
      <c r="A156">
        <v>2022</v>
      </c>
      <c r="B156">
        <v>10</v>
      </c>
      <c r="C156" t="s">
        <v>301</v>
      </c>
      <c r="D156" t="s">
        <v>236</v>
      </c>
      <c r="E156" t="s">
        <v>160</v>
      </c>
      <c r="F156" t="s">
        <v>304</v>
      </c>
      <c r="G156" s="23">
        <v>33387.47</v>
      </c>
      <c r="H156" s="23">
        <v>20399</v>
      </c>
    </row>
    <row r="157" spans="1:8" x14ac:dyDescent="0.35">
      <c r="A157">
        <v>2022</v>
      </c>
      <c r="B157">
        <v>10</v>
      </c>
      <c r="C157" t="s">
        <v>301</v>
      </c>
      <c r="D157" t="s">
        <v>237</v>
      </c>
      <c r="E157" t="s">
        <v>158</v>
      </c>
      <c r="F157" t="s">
        <v>91</v>
      </c>
      <c r="G157" s="23">
        <v>96698.1</v>
      </c>
      <c r="H157" s="23">
        <v>0</v>
      </c>
    </row>
    <row r="158" spans="1:8" x14ac:dyDescent="0.35">
      <c r="A158">
        <v>2022</v>
      </c>
      <c r="B158">
        <v>10</v>
      </c>
      <c r="C158" t="s">
        <v>301</v>
      </c>
      <c r="D158" t="s">
        <v>237</v>
      </c>
      <c r="E158" t="s">
        <v>158</v>
      </c>
      <c r="F158" t="s">
        <v>302</v>
      </c>
      <c r="G158" s="23">
        <v>53310</v>
      </c>
      <c r="H158" s="23">
        <v>441213.56</v>
      </c>
    </row>
    <row r="159" spans="1:8" x14ac:dyDescent="0.35">
      <c r="A159">
        <v>2022</v>
      </c>
      <c r="B159">
        <v>10</v>
      </c>
      <c r="C159" t="s">
        <v>301</v>
      </c>
      <c r="D159" t="s">
        <v>237</v>
      </c>
      <c r="E159" t="s">
        <v>158</v>
      </c>
      <c r="F159" t="s">
        <v>304</v>
      </c>
      <c r="G159" s="23">
        <v>36535.089999999997</v>
      </c>
      <c r="H159" s="23">
        <v>252656.94</v>
      </c>
    </row>
    <row r="160" spans="1:8" x14ac:dyDescent="0.35">
      <c r="A160">
        <v>2022</v>
      </c>
      <c r="B160">
        <v>10</v>
      </c>
      <c r="C160" t="s">
        <v>301</v>
      </c>
      <c r="D160" t="s">
        <v>238</v>
      </c>
      <c r="E160" t="s">
        <v>155</v>
      </c>
      <c r="F160" t="s">
        <v>88</v>
      </c>
      <c r="G160" s="23">
        <v>500000</v>
      </c>
      <c r="H160" s="23">
        <v>0</v>
      </c>
    </row>
    <row r="161" spans="1:8" x14ac:dyDescent="0.35">
      <c r="A161">
        <v>2022</v>
      </c>
      <c r="B161">
        <v>10</v>
      </c>
      <c r="C161" t="s">
        <v>301</v>
      </c>
      <c r="D161" t="s">
        <v>238</v>
      </c>
      <c r="E161" t="s">
        <v>155</v>
      </c>
      <c r="F161" t="s">
        <v>303</v>
      </c>
      <c r="G161" s="23">
        <v>4830.8900000000003</v>
      </c>
      <c r="H161" s="23">
        <v>0</v>
      </c>
    </row>
    <row r="162" spans="1:8" x14ac:dyDescent="0.35">
      <c r="A162">
        <v>2022</v>
      </c>
      <c r="B162">
        <v>10</v>
      </c>
      <c r="C162" t="s">
        <v>301</v>
      </c>
      <c r="D162" t="s">
        <v>238</v>
      </c>
      <c r="E162" t="s">
        <v>155</v>
      </c>
      <c r="F162" t="s">
        <v>304</v>
      </c>
      <c r="G162" s="23">
        <v>315836.84999999998</v>
      </c>
      <c r="H162" s="23">
        <v>2194220.11</v>
      </c>
    </row>
    <row r="163" spans="1:8" x14ac:dyDescent="0.35">
      <c r="A163">
        <v>2022</v>
      </c>
      <c r="B163">
        <v>10</v>
      </c>
      <c r="C163" t="s">
        <v>301</v>
      </c>
      <c r="D163" t="s">
        <v>239</v>
      </c>
      <c r="E163" t="s">
        <v>158</v>
      </c>
      <c r="F163" t="s">
        <v>302</v>
      </c>
      <c r="G163" s="23">
        <v>7316</v>
      </c>
      <c r="H163" s="23">
        <v>0</v>
      </c>
    </row>
    <row r="164" spans="1:8" x14ac:dyDescent="0.35">
      <c r="A164">
        <v>2022</v>
      </c>
      <c r="B164">
        <v>10</v>
      </c>
      <c r="C164" t="s">
        <v>301</v>
      </c>
      <c r="D164" t="s">
        <v>239</v>
      </c>
      <c r="E164" t="s">
        <v>158</v>
      </c>
      <c r="F164" t="s">
        <v>304</v>
      </c>
      <c r="G164" s="23">
        <v>10927.38</v>
      </c>
      <c r="H164" s="23">
        <v>19072.62</v>
      </c>
    </row>
    <row r="165" spans="1:8" x14ac:dyDescent="0.35">
      <c r="A165">
        <v>2022</v>
      </c>
      <c r="B165">
        <v>10</v>
      </c>
      <c r="C165" t="s">
        <v>301</v>
      </c>
      <c r="D165" t="s">
        <v>240</v>
      </c>
      <c r="E165" t="s">
        <v>155</v>
      </c>
      <c r="F165" t="s">
        <v>303</v>
      </c>
      <c r="G165" s="23">
        <v>38392.94</v>
      </c>
      <c r="H165" s="23">
        <v>0</v>
      </c>
    </row>
    <row r="166" spans="1:8" x14ac:dyDescent="0.35">
      <c r="A166">
        <v>2022</v>
      </c>
      <c r="B166">
        <v>10</v>
      </c>
      <c r="C166" t="s">
        <v>301</v>
      </c>
      <c r="D166" t="s">
        <v>240</v>
      </c>
      <c r="E166" t="s">
        <v>155</v>
      </c>
      <c r="F166" t="s">
        <v>304</v>
      </c>
      <c r="G166" s="23">
        <v>216136.57</v>
      </c>
      <c r="H166" s="23">
        <v>208393.34</v>
      </c>
    </row>
    <row r="167" spans="1:8" x14ac:dyDescent="0.35">
      <c r="A167">
        <v>2022</v>
      </c>
      <c r="B167">
        <v>10</v>
      </c>
      <c r="C167" t="s">
        <v>301</v>
      </c>
      <c r="D167" t="s">
        <v>241</v>
      </c>
      <c r="E167" t="s">
        <v>155</v>
      </c>
      <c r="F167" t="s">
        <v>306</v>
      </c>
      <c r="G167" s="23">
        <v>9871</v>
      </c>
      <c r="H167" s="23">
        <v>68038</v>
      </c>
    </row>
    <row r="168" spans="1:8" x14ac:dyDescent="0.35">
      <c r="A168">
        <v>2022</v>
      </c>
      <c r="B168">
        <v>10</v>
      </c>
      <c r="C168" t="s">
        <v>301</v>
      </c>
      <c r="D168" t="s">
        <v>241</v>
      </c>
      <c r="E168" t="s">
        <v>155</v>
      </c>
      <c r="F168" t="s">
        <v>302</v>
      </c>
      <c r="G168" s="23">
        <v>30913.66</v>
      </c>
      <c r="H168" s="23">
        <v>10990.12</v>
      </c>
    </row>
    <row r="169" spans="1:8" x14ac:dyDescent="0.35">
      <c r="A169">
        <v>2022</v>
      </c>
      <c r="B169">
        <v>10</v>
      </c>
      <c r="C169" t="s">
        <v>301</v>
      </c>
      <c r="D169" t="s">
        <v>242</v>
      </c>
      <c r="E169" t="s">
        <v>160</v>
      </c>
      <c r="F169" t="s">
        <v>304</v>
      </c>
      <c r="G169" s="23">
        <v>244496.08</v>
      </c>
      <c r="H169" s="23">
        <v>450952.86</v>
      </c>
    </row>
    <row r="170" spans="1:8" x14ac:dyDescent="0.35">
      <c r="A170">
        <v>2022</v>
      </c>
      <c r="B170">
        <v>10</v>
      </c>
      <c r="C170" t="s">
        <v>301</v>
      </c>
      <c r="D170" t="s">
        <v>243</v>
      </c>
      <c r="E170" t="s">
        <v>165</v>
      </c>
      <c r="F170" t="s">
        <v>91</v>
      </c>
      <c r="G170" s="23">
        <v>1958332.05</v>
      </c>
      <c r="H170" s="23">
        <v>0</v>
      </c>
    </row>
    <row r="171" spans="1:8" x14ac:dyDescent="0.35">
      <c r="A171">
        <v>2022</v>
      </c>
      <c r="B171">
        <v>10</v>
      </c>
      <c r="C171" t="s">
        <v>301</v>
      </c>
      <c r="D171" t="s">
        <v>243</v>
      </c>
      <c r="E171" t="s">
        <v>165</v>
      </c>
      <c r="F171" t="s">
        <v>302</v>
      </c>
      <c r="G171" s="23">
        <v>8107.5</v>
      </c>
      <c r="H171" s="23">
        <v>0</v>
      </c>
    </row>
    <row r="172" spans="1:8" x14ac:dyDescent="0.35">
      <c r="A172">
        <v>2022</v>
      </c>
      <c r="B172">
        <v>10</v>
      </c>
      <c r="C172" t="s">
        <v>301</v>
      </c>
      <c r="D172" t="s">
        <v>243</v>
      </c>
      <c r="E172" t="s">
        <v>165</v>
      </c>
      <c r="F172" t="s">
        <v>304</v>
      </c>
      <c r="G172" s="23">
        <v>4000</v>
      </c>
      <c r="H172" s="23">
        <v>0</v>
      </c>
    </row>
    <row r="173" spans="1:8" x14ac:dyDescent="0.35">
      <c r="A173">
        <v>2022</v>
      </c>
      <c r="B173">
        <v>10</v>
      </c>
      <c r="C173" t="s">
        <v>301</v>
      </c>
      <c r="D173" t="s">
        <v>309</v>
      </c>
      <c r="E173" t="s">
        <v>165</v>
      </c>
      <c r="F173" t="s">
        <v>306</v>
      </c>
      <c r="G173" s="23">
        <v>91262.5</v>
      </c>
      <c r="H173" s="23">
        <v>38600</v>
      </c>
    </row>
    <row r="174" spans="1:8" x14ac:dyDescent="0.35">
      <c r="A174">
        <v>2022</v>
      </c>
      <c r="B174">
        <v>10</v>
      </c>
      <c r="C174" t="s">
        <v>301</v>
      </c>
      <c r="D174" t="s">
        <v>309</v>
      </c>
      <c r="E174" t="s">
        <v>165</v>
      </c>
      <c r="F174" t="s">
        <v>303</v>
      </c>
      <c r="G174" s="23">
        <v>25520.3</v>
      </c>
      <c r="H174" s="23">
        <v>0</v>
      </c>
    </row>
    <row r="175" spans="1:8" x14ac:dyDescent="0.35">
      <c r="A175">
        <v>2022</v>
      </c>
      <c r="B175">
        <v>10</v>
      </c>
      <c r="C175" t="s">
        <v>301</v>
      </c>
      <c r="D175" t="s">
        <v>309</v>
      </c>
      <c r="E175" t="s">
        <v>165</v>
      </c>
      <c r="F175" t="s">
        <v>302</v>
      </c>
      <c r="G175" s="23">
        <v>2981.44</v>
      </c>
      <c r="H175" s="23">
        <v>0</v>
      </c>
    </row>
    <row r="176" spans="1:8" x14ac:dyDescent="0.35">
      <c r="A176">
        <v>2022</v>
      </c>
      <c r="B176">
        <v>10</v>
      </c>
      <c r="C176" t="s">
        <v>301</v>
      </c>
      <c r="D176" t="s">
        <v>309</v>
      </c>
      <c r="E176" t="s">
        <v>165</v>
      </c>
      <c r="F176" t="s">
        <v>304</v>
      </c>
      <c r="G176" s="23">
        <v>636001.34</v>
      </c>
      <c r="H176" s="23">
        <v>2327366.2000000002</v>
      </c>
    </row>
    <row r="177" spans="1:8" x14ac:dyDescent="0.35">
      <c r="A177">
        <v>2022</v>
      </c>
      <c r="B177">
        <v>10</v>
      </c>
      <c r="C177" t="s">
        <v>301</v>
      </c>
      <c r="D177" t="s">
        <v>244</v>
      </c>
      <c r="E177" t="s">
        <v>165</v>
      </c>
      <c r="F177" t="s">
        <v>91</v>
      </c>
      <c r="G177" s="23">
        <v>1172110.72</v>
      </c>
      <c r="H177" s="23">
        <v>0</v>
      </c>
    </row>
    <row r="178" spans="1:8" x14ac:dyDescent="0.35">
      <c r="A178">
        <v>2022</v>
      </c>
      <c r="B178">
        <v>10</v>
      </c>
      <c r="C178" t="s">
        <v>301</v>
      </c>
      <c r="D178" t="s">
        <v>244</v>
      </c>
      <c r="E178" t="s">
        <v>165</v>
      </c>
      <c r="F178" t="s">
        <v>304</v>
      </c>
      <c r="G178" s="23">
        <v>133810.92000000001</v>
      </c>
      <c r="H178" s="23">
        <v>637241.72</v>
      </c>
    </row>
    <row r="179" spans="1:8" x14ac:dyDescent="0.35">
      <c r="A179">
        <v>2022</v>
      </c>
      <c r="B179">
        <v>10</v>
      </c>
      <c r="C179" t="s">
        <v>301</v>
      </c>
      <c r="D179" t="s">
        <v>245</v>
      </c>
      <c r="E179" t="s">
        <v>155</v>
      </c>
      <c r="F179" t="s">
        <v>88</v>
      </c>
      <c r="G179" s="23">
        <v>311018</v>
      </c>
      <c r="H179" s="23">
        <v>1688982</v>
      </c>
    </row>
    <row r="180" spans="1:8" x14ac:dyDescent="0.35">
      <c r="A180">
        <v>2022</v>
      </c>
      <c r="B180">
        <v>10</v>
      </c>
      <c r="C180" t="s">
        <v>301</v>
      </c>
      <c r="D180" t="s">
        <v>245</v>
      </c>
      <c r="E180" t="s">
        <v>155</v>
      </c>
      <c r="F180" t="s">
        <v>303</v>
      </c>
      <c r="G180" s="23">
        <v>17444.07</v>
      </c>
      <c r="H180" s="23">
        <v>0</v>
      </c>
    </row>
    <row r="181" spans="1:8" x14ac:dyDescent="0.35">
      <c r="A181">
        <v>2022</v>
      </c>
      <c r="B181">
        <v>10</v>
      </c>
      <c r="C181" t="s">
        <v>301</v>
      </c>
      <c r="D181" t="s">
        <v>245</v>
      </c>
      <c r="E181" t="s">
        <v>155</v>
      </c>
      <c r="F181" t="s">
        <v>302</v>
      </c>
      <c r="G181" s="23">
        <v>0</v>
      </c>
      <c r="H181" s="23">
        <v>5048.2700000000004</v>
      </c>
    </row>
    <row r="182" spans="1:8" x14ac:dyDescent="0.35">
      <c r="A182">
        <v>2022</v>
      </c>
      <c r="B182">
        <v>10</v>
      </c>
      <c r="C182" t="s">
        <v>301</v>
      </c>
      <c r="D182" t="s">
        <v>245</v>
      </c>
      <c r="E182" t="s">
        <v>155</v>
      </c>
      <c r="F182" t="s">
        <v>308</v>
      </c>
      <c r="G182" s="23">
        <v>505444.5</v>
      </c>
      <c r="H182" s="23">
        <v>338453.16</v>
      </c>
    </row>
    <row r="183" spans="1:8" x14ac:dyDescent="0.35">
      <c r="A183">
        <v>2022</v>
      </c>
      <c r="B183">
        <v>10</v>
      </c>
      <c r="C183" t="s">
        <v>301</v>
      </c>
      <c r="D183" t="s">
        <v>245</v>
      </c>
      <c r="E183" t="s">
        <v>155</v>
      </c>
      <c r="F183" t="s">
        <v>304</v>
      </c>
      <c r="G183" s="23">
        <v>32973.360000000001</v>
      </c>
      <c r="H183" s="23">
        <v>118775</v>
      </c>
    </row>
    <row r="184" spans="1:8" x14ac:dyDescent="0.35">
      <c r="A184">
        <v>2022</v>
      </c>
      <c r="B184">
        <v>10</v>
      </c>
      <c r="C184" t="s">
        <v>301</v>
      </c>
      <c r="D184" t="s">
        <v>246</v>
      </c>
      <c r="E184" t="s">
        <v>155</v>
      </c>
      <c r="F184" t="s">
        <v>302</v>
      </c>
      <c r="G184" s="23">
        <v>31348.59</v>
      </c>
      <c r="H184" s="23">
        <v>135047.98000000001</v>
      </c>
    </row>
    <row r="185" spans="1:8" x14ac:dyDescent="0.35">
      <c r="A185">
        <v>2022</v>
      </c>
      <c r="B185">
        <v>10</v>
      </c>
      <c r="C185" t="s">
        <v>301</v>
      </c>
      <c r="D185" t="s">
        <v>246</v>
      </c>
      <c r="E185" t="s">
        <v>155</v>
      </c>
      <c r="F185" t="s">
        <v>304</v>
      </c>
      <c r="G185" s="23">
        <v>20577.11</v>
      </c>
      <c r="H185" s="23">
        <v>37312.01</v>
      </c>
    </row>
    <row r="186" spans="1:8" x14ac:dyDescent="0.35">
      <c r="A186">
        <v>2022</v>
      </c>
      <c r="B186">
        <v>10</v>
      </c>
      <c r="C186" t="s">
        <v>301</v>
      </c>
      <c r="D186" t="s">
        <v>247</v>
      </c>
      <c r="E186" t="s">
        <v>160</v>
      </c>
      <c r="F186" t="s">
        <v>302</v>
      </c>
      <c r="G186" s="23">
        <v>199861.63</v>
      </c>
      <c r="H186" s="23">
        <v>234292.35</v>
      </c>
    </row>
    <row r="187" spans="1:8" x14ac:dyDescent="0.35">
      <c r="A187">
        <v>2022</v>
      </c>
      <c r="B187">
        <v>10</v>
      </c>
      <c r="C187" t="s">
        <v>301</v>
      </c>
      <c r="D187" t="s">
        <v>248</v>
      </c>
      <c r="E187" t="s">
        <v>160</v>
      </c>
      <c r="F187" t="s">
        <v>88</v>
      </c>
      <c r="G187" s="23">
        <v>1666667</v>
      </c>
      <c r="H187" s="23">
        <v>0</v>
      </c>
    </row>
    <row r="188" spans="1:8" x14ac:dyDescent="0.35">
      <c r="A188">
        <v>2022</v>
      </c>
      <c r="B188">
        <v>10</v>
      </c>
      <c r="C188" t="s">
        <v>301</v>
      </c>
      <c r="D188" t="s">
        <v>248</v>
      </c>
      <c r="E188" t="s">
        <v>160</v>
      </c>
      <c r="F188" t="s">
        <v>306</v>
      </c>
      <c r="G188" s="23">
        <v>26000</v>
      </c>
      <c r="H188" s="23">
        <v>0</v>
      </c>
    </row>
    <row r="189" spans="1:8" x14ac:dyDescent="0.35">
      <c r="A189">
        <v>2022</v>
      </c>
      <c r="B189">
        <v>10</v>
      </c>
      <c r="C189" t="s">
        <v>301</v>
      </c>
      <c r="D189" t="s">
        <v>248</v>
      </c>
      <c r="E189" t="s">
        <v>160</v>
      </c>
      <c r="F189" t="s">
        <v>303</v>
      </c>
      <c r="G189" s="23">
        <v>2956.79</v>
      </c>
      <c r="H189" s="23">
        <v>0</v>
      </c>
    </row>
    <row r="190" spans="1:8" x14ac:dyDescent="0.35">
      <c r="A190">
        <v>2022</v>
      </c>
      <c r="B190">
        <v>10</v>
      </c>
      <c r="C190" t="s">
        <v>301</v>
      </c>
      <c r="D190" t="s">
        <v>248</v>
      </c>
      <c r="E190" t="s">
        <v>160</v>
      </c>
      <c r="F190" t="s">
        <v>302</v>
      </c>
      <c r="G190" s="23">
        <v>13577.5</v>
      </c>
      <c r="H190" s="23">
        <v>2422.5</v>
      </c>
    </row>
    <row r="191" spans="1:8" x14ac:dyDescent="0.35">
      <c r="A191">
        <v>2022</v>
      </c>
      <c r="B191">
        <v>10</v>
      </c>
      <c r="C191" t="s">
        <v>301</v>
      </c>
      <c r="D191" t="s">
        <v>248</v>
      </c>
      <c r="E191" t="s">
        <v>160</v>
      </c>
      <c r="F191" t="s">
        <v>304</v>
      </c>
      <c r="G191" s="23">
        <v>67405.5</v>
      </c>
      <c r="H191" s="23">
        <v>120255.03999999999</v>
      </c>
    </row>
    <row r="192" spans="1:8" x14ac:dyDescent="0.35">
      <c r="A192">
        <v>2022</v>
      </c>
      <c r="B192">
        <v>10</v>
      </c>
      <c r="C192" t="s">
        <v>301</v>
      </c>
      <c r="D192" t="s">
        <v>248</v>
      </c>
      <c r="E192" t="s">
        <v>160</v>
      </c>
      <c r="F192" t="s">
        <v>305</v>
      </c>
      <c r="G192" s="23">
        <v>21419.87</v>
      </c>
      <c r="H192" s="23">
        <v>329498.06</v>
      </c>
    </row>
    <row r="193" spans="1:8" x14ac:dyDescent="0.35">
      <c r="A193">
        <v>2022</v>
      </c>
      <c r="B193">
        <v>10</v>
      </c>
      <c r="C193" t="s">
        <v>301</v>
      </c>
      <c r="D193" t="s">
        <v>249</v>
      </c>
      <c r="E193" t="s">
        <v>160</v>
      </c>
      <c r="F193" t="s">
        <v>88</v>
      </c>
      <c r="G193" s="23">
        <v>4973537</v>
      </c>
      <c r="H193" s="23">
        <v>0</v>
      </c>
    </row>
    <row r="194" spans="1:8" x14ac:dyDescent="0.35">
      <c r="A194">
        <v>2022</v>
      </c>
      <c r="B194">
        <v>10</v>
      </c>
      <c r="C194" t="s">
        <v>301</v>
      </c>
      <c r="D194" t="s">
        <v>249</v>
      </c>
      <c r="E194" t="s">
        <v>160</v>
      </c>
      <c r="F194" t="s">
        <v>306</v>
      </c>
      <c r="G194" s="23">
        <v>154904</v>
      </c>
      <c r="H194" s="23">
        <v>1231030.19</v>
      </c>
    </row>
    <row r="195" spans="1:8" x14ac:dyDescent="0.35">
      <c r="A195">
        <v>2022</v>
      </c>
      <c r="B195">
        <v>10</v>
      </c>
      <c r="C195" t="s">
        <v>301</v>
      </c>
      <c r="D195" t="s">
        <v>249</v>
      </c>
      <c r="E195" t="s">
        <v>160</v>
      </c>
      <c r="F195" t="s">
        <v>303</v>
      </c>
      <c r="G195" s="23">
        <v>14543.88</v>
      </c>
      <c r="H195" s="23">
        <v>0</v>
      </c>
    </row>
    <row r="196" spans="1:8" x14ac:dyDescent="0.35">
      <c r="A196">
        <v>2022</v>
      </c>
      <c r="B196">
        <v>10</v>
      </c>
      <c r="C196" t="s">
        <v>301</v>
      </c>
      <c r="D196" t="s">
        <v>249</v>
      </c>
      <c r="E196" t="s">
        <v>160</v>
      </c>
      <c r="F196" t="s">
        <v>302</v>
      </c>
      <c r="G196" s="23">
        <v>70717.08</v>
      </c>
      <c r="H196" s="23">
        <v>5827.9</v>
      </c>
    </row>
    <row r="197" spans="1:8" x14ac:dyDescent="0.35">
      <c r="A197">
        <v>2022</v>
      </c>
      <c r="B197">
        <v>10</v>
      </c>
      <c r="C197" t="s">
        <v>301</v>
      </c>
      <c r="D197" t="s">
        <v>249</v>
      </c>
      <c r="E197" t="s">
        <v>160</v>
      </c>
      <c r="F197" t="s">
        <v>304</v>
      </c>
      <c r="G197" s="23">
        <v>247065.5</v>
      </c>
      <c r="H197" s="23">
        <v>568652.47</v>
      </c>
    </row>
    <row r="198" spans="1:8" x14ac:dyDescent="0.35">
      <c r="A198">
        <v>2022</v>
      </c>
      <c r="B198">
        <v>10</v>
      </c>
      <c r="C198" t="s">
        <v>301</v>
      </c>
      <c r="D198" t="s">
        <v>249</v>
      </c>
      <c r="E198" t="s">
        <v>160</v>
      </c>
      <c r="F198" t="s">
        <v>305</v>
      </c>
      <c r="G198" s="23">
        <v>80450</v>
      </c>
      <c r="H198" s="23">
        <v>0</v>
      </c>
    </row>
    <row r="199" spans="1:8" x14ac:dyDescent="0.35">
      <c r="A199">
        <v>2022</v>
      </c>
      <c r="B199">
        <v>10</v>
      </c>
      <c r="C199" t="s">
        <v>301</v>
      </c>
      <c r="D199" t="s">
        <v>250</v>
      </c>
      <c r="E199" t="s">
        <v>158</v>
      </c>
      <c r="F199" t="s">
        <v>303</v>
      </c>
      <c r="G199" s="23">
        <v>7477.92</v>
      </c>
      <c r="H199" s="23">
        <v>0</v>
      </c>
    </row>
    <row r="200" spans="1:8" x14ac:dyDescent="0.35">
      <c r="A200">
        <v>2022</v>
      </c>
      <c r="B200">
        <v>10</v>
      </c>
      <c r="C200" t="s">
        <v>301</v>
      </c>
      <c r="D200" t="s">
        <v>250</v>
      </c>
      <c r="E200" t="s">
        <v>158</v>
      </c>
      <c r="F200" t="s">
        <v>304</v>
      </c>
      <c r="G200" s="23">
        <v>75204.52</v>
      </c>
      <c r="H200" s="23">
        <v>1242424.58</v>
      </c>
    </row>
    <row r="201" spans="1:8" x14ac:dyDescent="0.35">
      <c r="A201">
        <v>2022</v>
      </c>
      <c r="B201">
        <v>10</v>
      </c>
      <c r="C201" t="s">
        <v>301</v>
      </c>
      <c r="D201" t="s">
        <v>251</v>
      </c>
      <c r="E201" t="s">
        <v>158</v>
      </c>
      <c r="F201" t="s">
        <v>91</v>
      </c>
      <c r="G201" s="23">
        <v>1644325.28</v>
      </c>
      <c r="H201" s="23">
        <v>0</v>
      </c>
    </row>
    <row r="202" spans="1:8" x14ac:dyDescent="0.35">
      <c r="A202">
        <v>2022</v>
      </c>
      <c r="B202">
        <v>10</v>
      </c>
      <c r="C202" t="s">
        <v>301</v>
      </c>
      <c r="D202" t="s">
        <v>251</v>
      </c>
      <c r="E202" t="s">
        <v>158</v>
      </c>
      <c r="F202" t="s">
        <v>303</v>
      </c>
      <c r="G202" s="23">
        <v>44228.06</v>
      </c>
      <c r="H202" s="23">
        <v>0</v>
      </c>
    </row>
    <row r="203" spans="1:8" x14ac:dyDescent="0.35">
      <c r="A203">
        <v>2022</v>
      </c>
      <c r="B203">
        <v>10</v>
      </c>
      <c r="C203" t="s">
        <v>301</v>
      </c>
      <c r="D203" t="s">
        <v>251</v>
      </c>
      <c r="E203" t="s">
        <v>158</v>
      </c>
      <c r="F203" t="s">
        <v>302</v>
      </c>
      <c r="G203" s="23">
        <v>25601.56</v>
      </c>
      <c r="H203" s="23">
        <v>229141.58</v>
      </c>
    </row>
    <row r="204" spans="1:8" x14ac:dyDescent="0.35">
      <c r="A204">
        <v>2022</v>
      </c>
      <c r="B204">
        <v>10</v>
      </c>
      <c r="C204" t="s">
        <v>301</v>
      </c>
      <c r="D204" t="s">
        <v>251</v>
      </c>
      <c r="E204" t="s">
        <v>158</v>
      </c>
      <c r="F204" t="s">
        <v>304</v>
      </c>
      <c r="G204" s="23">
        <v>433285.72</v>
      </c>
      <c r="H204" s="23">
        <v>2407818.0099999998</v>
      </c>
    </row>
    <row r="205" spans="1:8" x14ac:dyDescent="0.35">
      <c r="A205">
        <v>2022</v>
      </c>
      <c r="B205">
        <v>10</v>
      </c>
      <c r="C205" t="s">
        <v>301</v>
      </c>
      <c r="D205" t="s">
        <v>252</v>
      </c>
      <c r="E205" t="s">
        <v>160</v>
      </c>
      <c r="F205" t="s">
        <v>302</v>
      </c>
      <c r="G205" s="23">
        <v>3407</v>
      </c>
      <c r="H205" s="23">
        <v>163786.28</v>
      </c>
    </row>
    <row r="206" spans="1:8" x14ac:dyDescent="0.35">
      <c r="A206">
        <v>2022</v>
      </c>
      <c r="B206">
        <v>10</v>
      </c>
      <c r="C206" t="s">
        <v>301</v>
      </c>
      <c r="D206" t="s">
        <v>253</v>
      </c>
      <c r="E206" t="s">
        <v>160</v>
      </c>
      <c r="F206" t="s">
        <v>91</v>
      </c>
      <c r="G206" s="23">
        <v>12616.58</v>
      </c>
      <c r="H206" s="23">
        <v>0</v>
      </c>
    </row>
    <row r="207" spans="1:8" x14ac:dyDescent="0.35">
      <c r="A207">
        <v>2022</v>
      </c>
      <c r="B207">
        <v>10</v>
      </c>
      <c r="C207" t="s">
        <v>301</v>
      </c>
      <c r="D207" t="s">
        <v>253</v>
      </c>
      <c r="E207" t="s">
        <v>160</v>
      </c>
      <c r="F207" t="s">
        <v>303</v>
      </c>
      <c r="G207" s="23">
        <v>13901.67</v>
      </c>
      <c r="H207" s="23">
        <v>0</v>
      </c>
    </row>
    <row r="208" spans="1:8" x14ac:dyDescent="0.35">
      <c r="A208">
        <v>2022</v>
      </c>
      <c r="B208">
        <v>10</v>
      </c>
      <c r="C208" t="s">
        <v>301</v>
      </c>
      <c r="D208" t="s">
        <v>253</v>
      </c>
      <c r="E208" t="s">
        <v>160</v>
      </c>
      <c r="F208" t="s">
        <v>302</v>
      </c>
      <c r="G208" s="23">
        <v>1239.8800000000001</v>
      </c>
      <c r="H208" s="23">
        <v>5043.95</v>
      </c>
    </row>
    <row r="209" spans="1:8" x14ac:dyDescent="0.35">
      <c r="A209">
        <v>2022</v>
      </c>
      <c r="B209">
        <v>10</v>
      </c>
      <c r="C209" t="s">
        <v>301</v>
      </c>
      <c r="D209" t="s">
        <v>253</v>
      </c>
      <c r="E209" t="s">
        <v>160</v>
      </c>
      <c r="F209" t="s">
        <v>304</v>
      </c>
      <c r="G209" s="23">
        <v>62810.28</v>
      </c>
      <c r="H209" s="23">
        <v>95002.12</v>
      </c>
    </row>
    <row r="210" spans="1:8" x14ac:dyDescent="0.35">
      <c r="A210">
        <v>2022</v>
      </c>
      <c r="B210">
        <v>10</v>
      </c>
      <c r="C210" t="s">
        <v>301</v>
      </c>
      <c r="D210" t="s">
        <v>254</v>
      </c>
      <c r="E210" t="s">
        <v>155</v>
      </c>
      <c r="F210" t="s">
        <v>306</v>
      </c>
      <c r="G210" s="23">
        <v>53386.63</v>
      </c>
      <c r="H210" s="23">
        <v>190901.37</v>
      </c>
    </row>
    <row r="211" spans="1:8" x14ac:dyDescent="0.35">
      <c r="A211">
        <v>2022</v>
      </c>
      <c r="B211">
        <v>10</v>
      </c>
      <c r="C211" t="s">
        <v>301</v>
      </c>
      <c r="D211" t="s">
        <v>254</v>
      </c>
      <c r="E211" t="s">
        <v>155</v>
      </c>
      <c r="F211" t="s">
        <v>303</v>
      </c>
      <c r="G211" s="23">
        <v>84653.86</v>
      </c>
      <c r="H211" s="23">
        <v>0</v>
      </c>
    </row>
    <row r="212" spans="1:8" x14ac:dyDescent="0.35">
      <c r="A212">
        <v>2022</v>
      </c>
      <c r="B212">
        <v>10</v>
      </c>
      <c r="C212" t="s">
        <v>301</v>
      </c>
      <c r="D212" t="s">
        <v>254</v>
      </c>
      <c r="E212" t="s">
        <v>155</v>
      </c>
      <c r="F212" t="s">
        <v>302</v>
      </c>
      <c r="G212" s="23">
        <v>0</v>
      </c>
      <c r="H212" s="23">
        <v>0</v>
      </c>
    </row>
    <row r="213" spans="1:8" x14ac:dyDescent="0.35">
      <c r="A213">
        <v>2022</v>
      </c>
      <c r="B213">
        <v>10</v>
      </c>
      <c r="C213" t="s">
        <v>301</v>
      </c>
      <c r="D213" t="s">
        <v>254</v>
      </c>
      <c r="E213" t="s">
        <v>155</v>
      </c>
      <c r="F213" t="s">
        <v>304</v>
      </c>
      <c r="G213" s="23">
        <v>10000.01</v>
      </c>
      <c r="H213" s="23">
        <v>207474.02</v>
      </c>
    </row>
    <row r="214" spans="1:8" x14ac:dyDescent="0.35">
      <c r="A214">
        <v>2022</v>
      </c>
      <c r="B214">
        <v>10</v>
      </c>
      <c r="C214" t="s">
        <v>301</v>
      </c>
      <c r="D214" t="s">
        <v>255</v>
      </c>
      <c r="E214" t="s">
        <v>160</v>
      </c>
      <c r="F214" t="s">
        <v>302</v>
      </c>
      <c r="G214" s="23">
        <v>22623.14</v>
      </c>
      <c r="H214" s="23">
        <v>372.8</v>
      </c>
    </row>
    <row r="215" spans="1:8" x14ac:dyDescent="0.35">
      <c r="A215">
        <v>2022</v>
      </c>
      <c r="B215">
        <v>10</v>
      </c>
      <c r="C215" t="s">
        <v>301</v>
      </c>
      <c r="D215" t="s">
        <v>255</v>
      </c>
      <c r="E215" t="s">
        <v>160</v>
      </c>
      <c r="F215" t="s">
        <v>304</v>
      </c>
      <c r="G215" s="23">
        <v>10671.37</v>
      </c>
      <c r="H215" s="23">
        <v>103880.57</v>
      </c>
    </row>
    <row r="216" spans="1:8" x14ac:dyDescent="0.35">
      <c r="A216">
        <v>2022</v>
      </c>
      <c r="B216">
        <v>10</v>
      </c>
      <c r="C216" t="s">
        <v>301</v>
      </c>
      <c r="D216" t="s">
        <v>256</v>
      </c>
      <c r="E216" t="s">
        <v>158</v>
      </c>
      <c r="F216" t="s">
        <v>91</v>
      </c>
      <c r="G216" s="23">
        <v>27000</v>
      </c>
      <c r="H216" s="23">
        <v>0</v>
      </c>
    </row>
    <row r="217" spans="1:8" x14ac:dyDescent="0.35">
      <c r="A217">
        <v>2022</v>
      </c>
      <c r="B217">
        <v>10</v>
      </c>
      <c r="C217" t="s">
        <v>301</v>
      </c>
      <c r="D217" t="s">
        <v>256</v>
      </c>
      <c r="E217" t="s">
        <v>158</v>
      </c>
      <c r="F217" t="s">
        <v>88</v>
      </c>
      <c r="G217" s="23">
        <v>54744.625</v>
      </c>
      <c r="H217" s="23">
        <v>304005.375</v>
      </c>
    </row>
    <row r="218" spans="1:8" x14ac:dyDescent="0.35">
      <c r="A218">
        <v>2022</v>
      </c>
      <c r="B218">
        <v>10</v>
      </c>
      <c r="C218" t="s">
        <v>301</v>
      </c>
      <c r="D218" t="s">
        <v>256</v>
      </c>
      <c r="E218" t="s">
        <v>158</v>
      </c>
      <c r="F218" t="s">
        <v>303</v>
      </c>
      <c r="G218" s="23">
        <v>1168.98</v>
      </c>
      <c r="H218" s="23">
        <v>0</v>
      </c>
    </row>
    <row r="219" spans="1:8" x14ac:dyDescent="0.35">
      <c r="A219">
        <v>2022</v>
      </c>
      <c r="B219">
        <v>10</v>
      </c>
      <c r="C219" t="s">
        <v>301</v>
      </c>
      <c r="D219" t="s">
        <v>256</v>
      </c>
      <c r="E219" t="s">
        <v>158</v>
      </c>
      <c r="F219" t="s">
        <v>304</v>
      </c>
      <c r="G219" s="23">
        <v>10545.95</v>
      </c>
      <c r="H219" s="23">
        <v>182289.59</v>
      </c>
    </row>
    <row r="220" spans="1:8" x14ac:dyDescent="0.35">
      <c r="A220">
        <v>2022</v>
      </c>
      <c r="B220">
        <v>10</v>
      </c>
      <c r="C220" t="s">
        <v>301</v>
      </c>
      <c r="D220" t="s">
        <v>257</v>
      </c>
      <c r="E220" t="s">
        <v>160</v>
      </c>
      <c r="F220" t="s">
        <v>88</v>
      </c>
      <c r="G220" s="23">
        <v>7127873</v>
      </c>
      <c r="H220" s="23">
        <v>6705460</v>
      </c>
    </row>
    <row r="221" spans="1:8" x14ac:dyDescent="0.35">
      <c r="A221">
        <v>2022</v>
      </c>
      <c r="B221">
        <v>10</v>
      </c>
      <c r="C221" t="s">
        <v>301</v>
      </c>
      <c r="D221" t="s">
        <v>257</v>
      </c>
      <c r="E221" t="s">
        <v>160</v>
      </c>
      <c r="F221" t="s">
        <v>305</v>
      </c>
      <c r="G221" s="23">
        <v>50000</v>
      </c>
      <c r="H221" s="23">
        <v>0</v>
      </c>
    </row>
    <row r="222" spans="1:8" x14ac:dyDescent="0.35">
      <c r="A222">
        <v>2022</v>
      </c>
      <c r="B222">
        <v>10</v>
      </c>
      <c r="C222" t="s">
        <v>301</v>
      </c>
      <c r="D222" t="s">
        <v>258</v>
      </c>
      <c r="E222" t="s">
        <v>160</v>
      </c>
      <c r="F222" t="s">
        <v>302</v>
      </c>
      <c r="G222" s="23">
        <v>3403577.85</v>
      </c>
      <c r="H222" s="23">
        <v>4901089.2800000003</v>
      </c>
    </row>
    <row r="223" spans="1:8" x14ac:dyDescent="0.35">
      <c r="A223">
        <v>2022</v>
      </c>
      <c r="B223">
        <v>10</v>
      </c>
      <c r="C223" t="s">
        <v>301</v>
      </c>
      <c r="D223" t="s">
        <v>258</v>
      </c>
      <c r="E223" t="s">
        <v>160</v>
      </c>
      <c r="F223" t="s">
        <v>304</v>
      </c>
      <c r="G223" s="23">
        <v>2964.44</v>
      </c>
      <c r="H223" s="23">
        <v>4911.74</v>
      </c>
    </row>
    <row r="224" spans="1:8" x14ac:dyDescent="0.35">
      <c r="A224">
        <v>2022</v>
      </c>
      <c r="B224">
        <v>10</v>
      </c>
      <c r="C224" t="s">
        <v>301</v>
      </c>
      <c r="D224" t="s">
        <v>259</v>
      </c>
      <c r="E224" t="s">
        <v>165</v>
      </c>
      <c r="F224" t="s">
        <v>303</v>
      </c>
      <c r="G224" s="23">
        <v>93659.22</v>
      </c>
      <c r="H224" s="23">
        <v>0</v>
      </c>
    </row>
    <row r="225" spans="1:8" x14ac:dyDescent="0.35">
      <c r="A225">
        <v>2022</v>
      </c>
      <c r="B225">
        <v>10</v>
      </c>
      <c r="C225" t="s">
        <v>301</v>
      </c>
      <c r="D225" t="s">
        <v>259</v>
      </c>
      <c r="E225" t="s">
        <v>165</v>
      </c>
      <c r="F225" t="s">
        <v>302</v>
      </c>
      <c r="G225" s="23">
        <v>429334.3</v>
      </c>
      <c r="H225" s="23">
        <v>505.52</v>
      </c>
    </row>
    <row r="226" spans="1:8" x14ac:dyDescent="0.35">
      <c r="A226">
        <v>2022</v>
      </c>
      <c r="B226">
        <v>10</v>
      </c>
      <c r="C226" t="s">
        <v>301</v>
      </c>
      <c r="D226" t="s">
        <v>259</v>
      </c>
      <c r="E226" t="s">
        <v>165</v>
      </c>
      <c r="F226" t="s">
        <v>304</v>
      </c>
      <c r="G226" s="23">
        <v>305249.21000000002</v>
      </c>
      <c r="H226" s="23">
        <v>332967.28000000003</v>
      </c>
    </row>
    <row r="227" spans="1:8" x14ac:dyDescent="0.35">
      <c r="A227">
        <v>2022</v>
      </c>
      <c r="B227">
        <v>10</v>
      </c>
      <c r="C227" t="s">
        <v>301</v>
      </c>
      <c r="D227" t="s">
        <v>260</v>
      </c>
      <c r="E227" t="s">
        <v>158</v>
      </c>
      <c r="F227" t="s">
        <v>302</v>
      </c>
      <c r="G227" s="23">
        <v>326017.27</v>
      </c>
      <c r="H227" s="23">
        <v>21.06</v>
      </c>
    </row>
    <row r="228" spans="1:8" x14ac:dyDescent="0.35">
      <c r="A228">
        <v>2022</v>
      </c>
      <c r="B228">
        <v>10</v>
      </c>
      <c r="C228" t="s">
        <v>301</v>
      </c>
      <c r="D228" t="s">
        <v>261</v>
      </c>
      <c r="E228" t="s">
        <v>158</v>
      </c>
      <c r="F228" t="s">
        <v>91</v>
      </c>
      <c r="G228" s="23">
        <v>70083.33</v>
      </c>
      <c r="H228" s="23">
        <v>0</v>
      </c>
    </row>
    <row r="229" spans="1:8" x14ac:dyDescent="0.35">
      <c r="A229">
        <v>2022</v>
      </c>
      <c r="B229">
        <v>10</v>
      </c>
      <c r="C229" t="s">
        <v>301</v>
      </c>
      <c r="D229" t="s">
        <v>261</v>
      </c>
      <c r="E229" t="s">
        <v>158</v>
      </c>
      <c r="F229" t="s">
        <v>304</v>
      </c>
      <c r="G229" s="23">
        <v>0</v>
      </c>
      <c r="H229" s="23">
        <v>5000</v>
      </c>
    </row>
    <row r="230" spans="1:8" x14ac:dyDescent="0.35">
      <c r="A230">
        <v>2022</v>
      </c>
      <c r="B230">
        <v>10</v>
      </c>
      <c r="C230" t="s">
        <v>301</v>
      </c>
      <c r="D230" t="s">
        <v>261</v>
      </c>
      <c r="E230" t="s">
        <v>158</v>
      </c>
      <c r="F230" t="s">
        <v>305</v>
      </c>
      <c r="G230" s="23">
        <v>391126.23</v>
      </c>
      <c r="H230" s="23">
        <v>2557100.77</v>
      </c>
    </row>
    <row r="231" spans="1:8" x14ac:dyDescent="0.35">
      <c r="A231">
        <v>2022</v>
      </c>
      <c r="B231">
        <v>10</v>
      </c>
      <c r="C231" t="s">
        <v>301</v>
      </c>
      <c r="D231" t="s">
        <v>262</v>
      </c>
      <c r="E231" t="s">
        <v>155</v>
      </c>
      <c r="F231" t="s">
        <v>302</v>
      </c>
      <c r="G231" s="23">
        <v>6127.83</v>
      </c>
      <c r="H231" s="23">
        <v>110.17</v>
      </c>
    </row>
    <row r="232" spans="1:8" x14ac:dyDescent="0.35">
      <c r="A232">
        <v>2022</v>
      </c>
      <c r="B232">
        <v>10</v>
      </c>
      <c r="C232" t="s">
        <v>301</v>
      </c>
      <c r="D232" t="s">
        <v>265</v>
      </c>
      <c r="E232" t="s">
        <v>158</v>
      </c>
      <c r="F232" t="s">
        <v>302</v>
      </c>
      <c r="G232" s="23">
        <v>59380.52</v>
      </c>
      <c r="H232" s="23">
        <v>619.48</v>
      </c>
    </row>
    <row r="233" spans="1:8" x14ac:dyDescent="0.35">
      <c r="A233">
        <v>2022</v>
      </c>
      <c r="B233">
        <v>10</v>
      </c>
      <c r="C233" t="s">
        <v>301</v>
      </c>
      <c r="D233" t="s">
        <v>266</v>
      </c>
      <c r="E233" t="s">
        <v>158</v>
      </c>
      <c r="F233" t="s">
        <v>303</v>
      </c>
      <c r="G233" s="23">
        <v>1747.35</v>
      </c>
      <c r="H233" s="23">
        <v>0</v>
      </c>
    </row>
    <row r="234" spans="1:8" x14ac:dyDescent="0.35">
      <c r="A234">
        <v>2022</v>
      </c>
      <c r="B234">
        <v>10</v>
      </c>
      <c r="C234" t="s">
        <v>301</v>
      </c>
      <c r="D234" t="s">
        <v>266</v>
      </c>
      <c r="E234" t="s">
        <v>158</v>
      </c>
      <c r="F234" t="s">
        <v>302</v>
      </c>
      <c r="G234" s="23">
        <v>108725</v>
      </c>
      <c r="H234" s="23">
        <v>5100</v>
      </c>
    </row>
    <row r="235" spans="1:8" x14ac:dyDescent="0.35">
      <c r="A235">
        <v>2022</v>
      </c>
      <c r="B235">
        <v>10</v>
      </c>
      <c r="C235" t="s">
        <v>301</v>
      </c>
      <c r="D235" t="s">
        <v>266</v>
      </c>
      <c r="E235" t="s">
        <v>158</v>
      </c>
      <c r="F235" t="s">
        <v>304</v>
      </c>
      <c r="G235" s="23">
        <v>845.28</v>
      </c>
      <c r="H235" s="23">
        <v>0</v>
      </c>
    </row>
    <row r="236" spans="1:8" x14ac:dyDescent="0.35">
      <c r="A236">
        <v>2022</v>
      </c>
      <c r="B236">
        <v>10</v>
      </c>
      <c r="C236" t="s">
        <v>301</v>
      </c>
      <c r="D236" t="s">
        <v>267</v>
      </c>
      <c r="E236" t="s">
        <v>160</v>
      </c>
      <c r="F236" t="s">
        <v>303</v>
      </c>
      <c r="G236" s="23">
        <v>26562.560000000001</v>
      </c>
      <c r="H236" s="23">
        <v>0</v>
      </c>
    </row>
    <row r="237" spans="1:8" x14ac:dyDescent="0.35">
      <c r="A237">
        <v>2022</v>
      </c>
      <c r="B237">
        <v>10</v>
      </c>
      <c r="C237" t="s">
        <v>301</v>
      </c>
      <c r="D237" t="s">
        <v>267</v>
      </c>
      <c r="E237" t="s">
        <v>160</v>
      </c>
      <c r="F237" t="s">
        <v>304</v>
      </c>
      <c r="G237" s="23">
        <v>34430.81</v>
      </c>
      <c r="H237" s="23">
        <v>67970.19</v>
      </c>
    </row>
    <row r="238" spans="1:8" x14ac:dyDescent="0.35">
      <c r="A238">
        <v>2022</v>
      </c>
      <c r="B238">
        <v>10</v>
      </c>
      <c r="C238" t="s">
        <v>301</v>
      </c>
      <c r="D238" t="s">
        <v>268</v>
      </c>
      <c r="E238" t="s">
        <v>160</v>
      </c>
      <c r="F238" t="s">
        <v>307</v>
      </c>
      <c r="G238" s="23">
        <v>18883.57</v>
      </c>
      <c r="H238" s="23">
        <v>0</v>
      </c>
    </row>
    <row r="239" spans="1:8" x14ac:dyDescent="0.35">
      <c r="A239">
        <v>2022</v>
      </c>
      <c r="B239">
        <v>10</v>
      </c>
      <c r="C239" t="s">
        <v>301</v>
      </c>
      <c r="D239" t="s">
        <v>269</v>
      </c>
      <c r="E239" t="s">
        <v>160</v>
      </c>
      <c r="F239" t="s">
        <v>307</v>
      </c>
      <c r="G239" s="23">
        <v>100000</v>
      </c>
      <c r="H239" s="23">
        <v>0</v>
      </c>
    </row>
    <row r="240" spans="1:8" x14ac:dyDescent="0.35">
      <c r="A240">
        <v>2022</v>
      </c>
      <c r="B240">
        <v>10</v>
      </c>
      <c r="C240" t="s">
        <v>301</v>
      </c>
      <c r="D240" t="s">
        <v>269</v>
      </c>
      <c r="E240" t="s">
        <v>160</v>
      </c>
      <c r="F240" t="s">
        <v>303</v>
      </c>
      <c r="G240" s="23">
        <v>4862.16</v>
      </c>
      <c r="H240" s="23">
        <v>0</v>
      </c>
    </row>
    <row r="241" spans="1:8" x14ac:dyDescent="0.35">
      <c r="A241">
        <v>2022</v>
      </c>
      <c r="B241">
        <v>10</v>
      </c>
      <c r="C241" t="s">
        <v>301</v>
      </c>
      <c r="D241" t="s">
        <v>269</v>
      </c>
      <c r="E241" t="s">
        <v>160</v>
      </c>
      <c r="F241" t="s">
        <v>304</v>
      </c>
      <c r="G241" s="23">
        <v>49098.879999999997</v>
      </c>
      <c r="H241" s="23">
        <v>1238472.8999999999</v>
      </c>
    </row>
    <row r="242" spans="1:8" x14ac:dyDescent="0.35">
      <c r="A242">
        <v>2022</v>
      </c>
      <c r="B242">
        <v>10</v>
      </c>
      <c r="C242" t="s">
        <v>301</v>
      </c>
      <c r="D242" t="s">
        <v>270</v>
      </c>
      <c r="E242" t="s">
        <v>160</v>
      </c>
      <c r="F242" t="s">
        <v>306</v>
      </c>
      <c r="G242" s="23">
        <v>50851.5</v>
      </c>
      <c r="H242" s="23">
        <v>578922.53</v>
      </c>
    </row>
    <row r="243" spans="1:8" x14ac:dyDescent="0.35">
      <c r="A243">
        <v>2022</v>
      </c>
      <c r="B243">
        <v>10</v>
      </c>
      <c r="C243" t="s">
        <v>301</v>
      </c>
      <c r="D243" t="s">
        <v>270</v>
      </c>
      <c r="E243" t="s">
        <v>160</v>
      </c>
      <c r="F243" t="s">
        <v>303</v>
      </c>
      <c r="G243" s="23">
        <v>12782.76</v>
      </c>
      <c r="H243" s="23">
        <v>0</v>
      </c>
    </row>
    <row r="244" spans="1:8" x14ac:dyDescent="0.35">
      <c r="A244">
        <v>2022</v>
      </c>
      <c r="B244">
        <v>10</v>
      </c>
      <c r="C244" t="s">
        <v>301</v>
      </c>
      <c r="D244" t="s">
        <v>271</v>
      </c>
      <c r="E244" t="s">
        <v>158</v>
      </c>
      <c r="F244" t="s">
        <v>306</v>
      </c>
      <c r="G244" s="23">
        <v>0</v>
      </c>
      <c r="H244" s="23">
        <v>193772</v>
      </c>
    </row>
    <row r="245" spans="1:8" x14ac:dyDescent="0.35">
      <c r="A245">
        <v>2022</v>
      </c>
      <c r="B245">
        <v>10</v>
      </c>
      <c r="C245" t="s">
        <v>301</v>
      </c>
      <c r="D245" t="s">
        <v>271</v>
      </c>
      <c r="E245" t="s">
        <v>158</v>
      </c>
      <c r="F245" t="s">
        <v>303</v>
      </c>
      <c r="G245" s="23">
        <v>77381.41</v>
      </c>
      <c r="H245" s="23">
        <v>0</v>
      </c>
    </row>
    <row r="246" spans="1:8" x14ac:dyDescent="0.35">
      <c r="A246">
        <v>2022</v>
      </c>
      <c r="B246">
        <v>10</v>
      </c>
      <c r="C246" t="s">
        <v>301</v>
      </c>
      <c r="D246" t="s">
        <v>271</v>
      </c>
      <c r="E246" t="s">
        <v>158</v>
      </c>
      <c r="F246" t="s">
        <v>302</v>
      </c>
      <c r="G246" s="23">
        <v>44986</v>
      </c>
      <c r="H246" s="23">
        <v>312589</v>
      </c>
    </row>
    <row r="247" spans="1:8" x14ac:dyDescent="0.35">
      <c r="A247">
        <v>2022</v>
      </c>
      <c r="B247">
        <v>10</v>
      </c>
      <c r="C247" t="s">
        <v>301</v>
      </c>
      <c r="D247" t="s">
        <v>272</v>
      </c>
      <c r="E247" t="s">
        <v>160</v>
      </c>
      <c r="F247" t="s">
        <v>91</v>
      </c>
      <c r="G247" s="23">
        <v>424041.42</v>
      </c>
      <c r="H247" s="23">
        <v>0</v>
      </c>
    </row>
    <row r="248" spans="1:8" x14ac:dyDescent="0.35">
      <c r="A248">
        <v>2022</v>
      </c>
      <c r="B248">
        <v>10</v>
      </c>
      <c r="C248" t="s">
        <v>301</v>
      </c>
      <c r="D248" t="s">
        <v>272</v>
      </c>
      <c r="E248" t="s">
        <v>160</v>
      </c>
      <c r="F248" t="s">
        <v>303</v>
      </c>
      <c r="G248" s="23">
        <v>7517.15</v>
      </c>
      <c r="H248" s="23">
        <v>0</v>
      </c>
    </row>
    <row r="249" spans="1:8" x14ac:dyDescent="0.35">
      <c r="A249">
        <v>2022</v>
      </c>
      <c r="B249">
        <v>10</v>
      </c>
      <c r="C249" t="s">
        <v>301</v>
      </c>
      <c r="D249" t="s">
        <v>272</v>
      </c>
      <c r="E249" t="s">
        <v>160</v>
      </c>
      <c r="F249" t="s">
        <v>302</v>
      </c>
      <c r="G249" s="23">
        <v>23741.439999999999</v>
      </c>
      <c r="H249" s="23">
        <v>305769.83</v>
      </c>
    </row>
    <row r="250" spans="1:8" x14ac:dyDescent="0.35">
      <c r="A250">
        <v>2022</v>
      </c>
      <c r="B250">
        <v>10</v>
      </c>
      <c r="C250" t="s">
        <v>301</v>
      </c>
      <c r="D250" t="s">
        <v>272</v>
      </c>
      <c r="E250" t="s">
        <v>160</v>
      </c>
      <c r="F250" t="s">
        <v>304</v>
      </c>
      <c r="G250" s="23">
        <v>951890.04</v>
      </c>
      <c r="H250" s="23">
        <v>2113287.38</v>
      </c>
    </row>
    <row r="251" spans="1:8" x14ac:dyDescent="0.35">
      <c r="A251">
        <v>2022</v>
      </c>
      <c r="B251">
        <v>10</v>
      </c>
      <c r="C251" t="s">
        <v>301</v>
      </c>
      <c r="D251" t="s">
        <v>273</v>
      </c>
      <c r="E251" t="s">
        <v>155</v>
      </c>
      <c r="F251" t="s">
        <v>303</v>
      </c>
      <c r="G251" s="23">
        <v>31451.919999999998</v>
      </c>
      <c r="H251" s="23">
        <v>0</v>
      </c>
    </row>
    <row r="252" spans="1:8" x14ac:dyDescent="0.35">
      <c r="A252">
        <v>2022</v>
      </c>
      <c r="B252">
        <v>10</v>
      </c>
      <c r="C252" t="s">
        <v>301</v>
      </c>
      <c r="D252" t="s">
        <v>273</v>
      </c>
      <c r="E252" t="s">
        <v>155</v>
      </c>
      <c r="F252" t="s">
        <v>302</v>
      </c>
      <c r="G252" s="23">
        <v>264242.45</v>
      </c>
      <c r="H252" s="23">
        <v>333519.28000000003</v>
      </c>
    </row>
    <row r="253" spans="1:8" x14ac:dyDescent="0.35">
      <c r="A253">
        <v>2022</v>
      </c>
      <c r="B253">
        <v>10</v>
      </c>
      <c r="C253" t="s">
        <v>301</v>
      </c>
      <c r="D253" t="s">
        <v>273</v>
      </c>
      <c r="E253" t="s">
        <v>155</v>
      </c>
      <c r="F253" t="s">
        <v>304</v>
      </c>
      <c r="G253" s="23">
        <v>397276.44</v>
      </c>
      <c r="H253" s="23">
        <v>95753.21</v>
      </c>
    </row>
    <row r="254" spans="1:8" x14ac:dyDescent="0.35">
      <c r="A254">
        <v>2022</v>
      </c>
      <c r="B254">
        <v>10</v>
      </c>
      <c r="C254" t="s">
        <v>301</v>
      </c>
      <c r="D254" t="s">
        <v>274</v>
      </c>
      <c r="E254" t="s">
        <v>160</v>
      </c>
      <c r="F254" t="s">
        <v>303</v>
      </c>
      <c r="G254" s="23">
        <v>19586.64</v>
      </c>
      <c r="H254" s="23">
        <v>0</v>
      </c>
    </row>
    <row r="255" spans="1:8" x14ac:dyDescent="0.35">
      <c r="A255">
        <v>2022</v>
      </c>
      <c r="B255">
        <v>10</v>
      </c>
      <c r="C255" t="s">
        <v>301</v>
      </c>
      <c r="D255" t="s">
        <v>274</v>
      </c>
      <c r="E255" t="s">
        <v>160</v>
      </c>
      <c r="F255" t="s">
        <v>302</v>
      </c>
      <c r="G255" s="23">
        <v>3057.57</v>
      </c>
      <c r="H255" s="23">
        <v>971.86</v>
      </c>
    </row>
    <row r="256" spans="1:8" x14ac:dyDescent="0.35">
      <c r="A256">
        <v>2022</v>
      </c>
      <c r="B256">
        <v>10</v>
      </c>
      <c r="C256" t="s">
        <v>301</v>
      </c>
      <c r="D256" t="s">
        <v>274</v>
      </c>
      <c r="E256" t="s">
        <v>160</v>
      </c>
      <c r="F256" t="s">
        <v>304</v>
      </c>
      <c r="G256" s="23">
        <v>532052.6</v>
      </c>
      <c r="H256" s="23">
        <v>5054455.97</v>
      </c>
    </row>
    <row r="257" spans="1:8" x14ac:dyDescent="0.35">
      <c r="A257">
        <v>2022</v>
      </c>
      <c r="B257">
        <v>10</v>
      </c>
      <c r="C257" t="s">
        <v>301</v>
      </c>
      <c r="D257" t="s">
        <v>275</v>
      </c>
      <c r="E257" t="s">
        <v>160</v>
      </c>
      <c r="F257" t="s">
        <v>91</v>
      </c>
      <c r="G257" s="23">
        <v>409676.08</v>
      </c>
      <c r="H257" s="23">
        <v>0</v>
      </c>
    </row>
    <row r="258" spans="1:8" x14ac:dyDescent="0.35">
      <c r="A258">
        <v>2022</v>
      </c>
      <c r="B258">
        <v>10</v>
      </c>
      <c r="C258" t="s">
        <v>301</v>
      </c>
      <c r="D258" t="s">
        <v>276</v>
      </c>
      <c r="E258" t="s">
        <v>158</v>
      </c>
      <c r="F258" t="s">
        <v>303</v>
      </c>
      <c r="G258" s="23">
        <v>12430.65</v>
      </c>
      <c r="H258" s="23">
        <v>0</v>
      </c>
    </row>
    <row r="259" spans="1:8" x14ac:dyDescent="0.35">
      <c r="A259">
        <v>2022</v>
      </c>
      <c r="B259">
        <v>10</v>
      </c>
      <c r="C259" t="s">
        <v>301</v>
      </c>
      <c r="D259" t="s">
        <v>276</v>
      </c>
      <c r="E259" t="s">
        <v>158</v>
      </c>
      <c r="F259" t="s">
        <v>304</v>
      </c>
      <c r="G259" s="23">
        <v>91808.35</v>
      </c>
      <c r="H259" s="23">
        <v>5396.65</v>
      </c>
    </row>
    <row r="260" spans="1:8" x14ac:dyDescent="0.35">
      <c r="A260">
        <v>2022</v>
      </c>
      <c r="B260">
        <v>10</v>
      </c>
      <c r="C260" t="s">
        <v>301</v>
      </c>
      <c r="D260" t="s">
        <v>277</v>
      </c>
      <c r="E260" t="s">
        <v>155</v>
      </c>
      <c r="F260" t="s">
        <v>302</v>
      </c>
      <c r="G260" s="23">
        <v>64392.02</v>
      </c>
      <c r="H260" s="23">
        <v>189053.2</v>
      </c>
    </row>
    <row r="261" spans="1:8" x14ac:dyDescent="0.35">
      <c r="A261">
        <v>2022</v>
      </c>
      <c r="B261">
        <v>10</v>
      </c>
      <c r="C261" t="s">
        <v>301</v>
      </c>
      <c r="D261" t="s">
        <v>278</v>
      </c>
      <c r="E261" t="s">
        <v>155</v>
      </c>
      <c r="F261" t="s">
        <v>307</v>
      </c>
      <c r="G261" s="23">
        <v>6500.1</v>
      </c>
      <c r="H261" s="23">
        <v>0</v>
      </c>
    </row>
    <row r="262" spans="1:8" x14ac:dyDescent="0.35">
      <c r="A262">
        <v>2022</v>
      </c>
      <c r="B262">
        <v>10</v>
      </c>
      <c r="C262" t="s">
        <v>301</v>
      </c>
      <c r="D262" t="s">
        <v>278</v>
      </c>
      <c r="E262" t="s">
        <v>155</v>
      </c>
      <c r="F262" t="s">
        <v>302</v>
      </c>
      <c r="G262" s="23">
        <v>85199.98</v>
      </c>
      <c r="H262" s="23">
        <v>0</v>
      </c>
    </row>
    <row r="263" spans="1:8" x14ac:dyDescent="0.35">
      <c r="A263">
        <v>2022</v>
      </c>
      <c r="B263">
        <v>10</v>
      </c>
      <c r="C263" t="s">
        <v>301</v>
      </c>
      <c r="D263" t="s">
        <v>279</v>
      </c>
      <c r="E263" t="s">
        <v>155</v>
      </c>
      <c r="F263" t="s">
        <v>303</v>
      </c>
      <c r="G263" s="23">
        <v>73536.88</v>
      </c>
      <c r="H263" s="23">
        <v>0</v>
      </c>
    </row>
    <row r="264" spans="1:8" x14ac:dyDescent="0.35">
      <c r="A264">
        <v>2022</v>
      </c>
      <c r="B264">
        <v>10</v>
      </c>
      <c r="C264" t="s">
        <v>301</v>
      </c>
      <c r="D264" t="s">
        <v>279</v>
      </c>
      <c r="E264" t="s">
        <v>155</v>
      </c>
      <c r="F264" t="s">
        <v>302</v>
      </c>
      <c r="G264" s="23">
        <v>36150.03</v>
      </c>
      <c r="H264" s="23">
        <v>35191.68</v>
      </c>
    </row>
    <row r="265" spans="1:8" x14ac:dyDescent="0.35">
      <c r="A265">
        <v>2022</v>
      </c>
      <c r="B265">
        <v>10</v>
      </c>
      <c r="C265" t="s">
        <v>301</v>
      </c>
      <c r="D265" t="s">
        <v>279</v>
      </c>
      <c r="E265" t="s">
        <v>155</v>
      </c>
      <c r="F265" t="s">
        <v>304</v>
      </c>
      <c r="G265" s="23">
        <v>281679.52</v>
      </c>
      <c r="H265" s="23">
        <v>320129.73</v>
      </c>
    </row>
    <row r="266" spans="1:8" x14ac:dyDescent="0.35">
      <c r="A266">
        <v>2022</v>
      </c>
      <c r="B266">
        <v>10</v>
      </c>
      <c r="C266" t="s">
        <v>301</v>
      </c>
      <c r="D266" t="s">
        <v>279</v>
      </c>
      <c r="E266" t="s">
        <v>155</v>
      </c>
      <c r="F266" t="s">
        <v>305</v>
      </c>
      <c r="G266" s="23">
        <v>36000</v>
      </c>
      <c r="H266" s="23">
        <v>0</v>
      </c>
    </row>
    <row r="267" spans="1:8" x14ac:dyDescent="0.35">
      <c r="A267">
        <v>2022</v>
      </c>
      <c r="B267">
        <v>10</v>
      </c>
      <c r="C267" t="s">
        <v>301</v>
      </c>
      <c r="D267" t="s">
        <v>280</v>
      </c>
      <c r="E267" t="s">
        <v>160</v>
      </c>
      <c r="F267" t="s">
        <v>306</v>
      </c>
      <c r="G267" s="23">
        <v>60000</v>
      </c>
      <c r="H267" s="23">
        <v>0</v>
      </c>
    </row>
    <row r="268" spans="1:8" x14ac:dyDescent="0.35">
      <c r="A268">
        <v>2022</v>
      </c>
      <c r="B268">
        <v>10</v>
      </c>
      <c r="C268" t="s">
        <v>301</v>
      </c>
      <c r="D268" t="s">
        <v>280</v>
      </c>
      <c r="E268" t="s">
        <v>160</v>
      </c>
      <c r="F268" t="s">
        <v>303</v>
      </c>
      <c r="G268" s="23">
        <v>8025.26</v>
      </c>
      <c r="H268" s="23">
        <v>0</v>
      </c>
    </row>
    <row r="269" spans="1:8" x14ac:dyDescent="0.35">
      <c r="A269">
        <v>2022</v>
      </c>
      <c r="B269">
        <v>10</v>
      </c>
      <c r="C269" t="s">
        <v>301</v>
      </c>
      <c r="D269" t="s">
        <v>280</v>
      </c>
      <c r="E269" t="s">
        <v>160</v>
      </c>
      <c r="F269" t="s">
        <v>304</v>
      </c>
      <c r="G269" s="23">
        <v>18934.22</v>
      </c>
      <c r="H269" s="23">
        <v>87185.36</v>
      </c>
    </row>
    <row r="270" spans="1:8" x14ac:dyDescent="0.35">
      <c r="A270">
        <v>2022</v>
      </c>
      <c r="B270">
        <v>10</v>
      </c>
      <c r="C270" t="s">
        <v>301</v>
      </c>
      <c r="D270" t="s">
        <v>281</v>
      </c>
      <c r="E270" t="s">
        <v>158</v>
      </c>
      <c r="F270" t="s">
        <v>303</v>
      </c>
      <c r="G270" s="23">
        <v>1763.81</v>
      </c>
      <c r="H270" s="23">
        <v>0</v>
      </c>
    </row>
    <row r="271" spans="1:8" x14ac:dyDescent="0.35">
      <c r="A271">
        <v>2022</v>
      </c>
      <c r="B271">
        <v>10</v>
      </c>
      <c r="C271" t="s">
        <v>301</v>
      </c>
      <c r="D271" t="s">
        <v>281</v>
      </c>
      <c r="E271" t="s">
        <v>158</v>
      </c>
      <c r="F271" t="s">
        <v>304</v>
      </c>
      <c r="G271" s="23">
        <v>168060</v>
      </c>
      <c r="H271" s="23">
        <v>0</v>
      </c>
    </row>
    <row r="272" spans="1:8" x14ac:dyDescent="0.35">
      <c r="A272">
        <v>2022</v>
      </c>
      <c r="B272">
        <v>10</v>
      </c>
      <c r="C272" t="s">
        <v>301</v>
      </c>
      <c r="D272" t="s">
        <v>282</v>
      </c>
      <c r="E272" t="s">
        <v>160</v>
      </c>
      <c r="F272" t="s">
        <v>91</v>
      </c>
      <c r="G272" s="23">
        <v>677728.05</v>
      </c>
      <c r="H272" s="23">
        <v>0</v>
      </c>
    </row>
    <row r="273" spans="1:8" x14ac:dyDescent="0.35">
      <c r="A273">
        <v>2022</v>
      </c>
      <c r="B273">
        <v>10</v>
      </c>
      <c r="C273" t="s">
        <v>301</v>
      </c>
      <c r="D273" t="s">
        <v>282</v>
      </c>
      <c r="E273" t="s">
        <v>160</v>
      </c>
      <c r="F273" t="s">
        <v>303</v>
      </c>
      <c r="G273" s="23">
        <v>1502.58</v>
      </c>
      <c r="H273" s="23">
        <v>0</v>
      </c>
    </row>
    <row r="274" spans="1:8" x14ac:dyDescent="0.35">
      <c r="A274">
        <v>2022</v>
      </c>
      <c r="B274">
        <v>10</v>
      </c>
      <c r="C274" t="s">
        <v>301</v>
      </c>
      <c r="D274" t="s">
        <v>282</v>
      </c>
      <c r="E274" t="s">
        <v>160</v>
      </c>
      <c r="F274" t="s">
        <v>304</v>
      </c>
      <c r="G274" s="23">
        <v>198791.41</v>
      </c>
      <c r="H274" s="23">
        <v>285690.14</v>
      </c>
    </row>
    <row r="275" spans="1:8" x14ac:dyDescent="0.35">
      <c r="A275">
        <v>2022</v>
      </c>
      <c r="B275">
        <v>10</v>
      </c>
      <c r="C275" t="s">
        <v>301</v>
      </c>
      <c r="D275" t="s">
        <v>282</v>
      </c>
      <c r="E275" t="s">
        <v>160</v>
      </c>
      <c r="F275" t="s">
        <v>305</v>
      </c>
      <c r="G275" s="23">
        <v>19300</v>
      </c>
      <c r="H275" s="23">
        <v>0</v>
      </c>
    </row>
    <row r="276" spans="1:8" x14ac:dyDescent="0.35">
      <c r="A276">
        <v>2022</v>
      </c>
      <c r="B276">
        <v>10</v>
      </c>
      <c r="C276" t="s">
        <v>301</v>
      </c>
      <c r="D276" t="s">
        <v>283</v>
      </c>
      <c r="E276" t="s">
        <v>155</v>
      </c>
      <c r="F276" t="s">
        <v>302</v>
      </c>
      <c r="G276" s="23">
        <v>1215873.17</v>
      </c>
      <c r="H276" s="23">
        <v>2805943.64</v>
      </c>
    </row>
    <row r="277" spans="1:8" x14ac:dyDescent="0.35">
      <c r="A277">
        <v>2022</v>
      </c>
      <c r="B277">
        <v>10</v>
      </c>
      <c r="C277" t="s">
        <v>301</v>
      </c>
      <c r="D277" t="s">
        <v>283</v>
      </c>
      <c r="E277" t="s">
        <v>155</v>
      </c>
      <c r="F277" t="s">
        <v>304</v>
      </c>
      <c r="G277" s="23">
        <v>95471.52</v>
      </c>
      <c r="H277" s="23">
        <v>313387.76</v>
      </c>
    </row>
    <row r="278" spans="1:8" x14ac:dyDescent="0.35">
      <c r="A278">
        <v>2022</v>
      </c>
      <c r="B278">
        <v>10</v>
      </c>
      <c r="C278" t="s">
        <v>301</v>
      </c>
      <c r="D278" t="s">
        <v>284</v>
      </c>
      <c r="E278" t="s">
        <v>158</v>
      </c>
      <c r="F278" t="s">
        <v>304</v>
      </c>
      <c r="G278" s="23">
        <v>0</v>
      </c>
      <c r="H278" s="23">
        <v>2100</v>
      </c>
    </row>
    <row r="279" spans="1:8" x14ac:dyDescent="0.35">
      <c r="A279">
        <v>2022</v>
      </c>
      <c r="B279">
        <v>10</v>
      </c>
      <c r="C279" t="s">
        <v>301</v>
      </c>
      <c r="D279" t="s">
        <v>285</v>
      </c>
      <c r="E279" t="s">
        <v>155</v>
      </c>
      <c r="F279" t="s">
        <v>303</v>
      </c>
      <c r="G279" s="23">
        <v>6087.96</v>
      </c>
      <c r="H279" s="23">
        <v>0</v>
      </c>
    </row>
    <row r="280" spans="1:8" x14ac:dyDescent="0.35">
      <c r="A280">
        <v>2022</v>
      </c>
      <c r="B280">
        <v>10</v>
      </c>
      <c r="C280" t="s">
        <v>301</v>
      </c>
      <c r="D280" t="s">
        <v>285</v>
      </c>
      <c r="E280" t="s">
        <v>155</v>
      </c>
      <c r="F280" t="s">
        <v>302</v>
      </c>
      <c r="G280" s="23">
        <v>364804.36</v>
      </c>
      <c r="H280" s="23">
        <v>1035195.78</v>
      </c>
    </row>
    <row r="281" spans="1:8" x14ac:dyDescent="0.35">
      <c r="A281">
        <v>2022</v>
      </c>
      <c r="B281">
        <v>10</v>
      </c>
      <c r="C281" t="s">
        <v>301</v>
      </c>
      <c r="D281" t="s">
        <v>285</v>
      </c>
      <c r="E281" t="s">
        <v>155</v>
      </c>
      <c r="F281" t="s">
        <v>304</v>
      </c>
      <c r="G281" s="23">
        <v>42494</v>
      </c>
      <c r="H281" s="23">
        <v>0</v>
      </c>
    </row>
    <row r="282" spans="1:8" x14ac:dyDescent="0.35">
      <c r="A282">
        <v>2022</v>
      </c>
      <c r="B282">
        <v>10</v>
      </c>
      <c r="C282" t="s">
        <v>301</v>
      </c>
      <c r="D282" t="s">
        <v>286</v>
      </c>
      <c r="E282" t="s">
        <v>160</v>
      </c>
      <c r="F282" t="s">
        <v>91</v>
      </c>
      <c r="G282" s="23">
        <v>268340.02</v>
      </c>
      <c r="H282" s="23">
        <v>0</v>
      </c>
    </row>
    <row r="283" spans="1:8" x14ac:dyDescent="0.35">
      <c r="A283">
        <v>2022</v>
      </c>
      <c r="B283">
        <v>10</v>
      </c>
      <c r="C283" t="s">
        <v>301</v>
      </c>
      <c r="D283" t="s">
        <v>286</v>
      </c>
      <c r="E283" t="s">
        <v>160</v>
      </c>
      <c r="F283" t="s">
        <v>303</v>
      </c>
      <c r="G283" s="23">
        <v>5966.6</v>
      </c>
      <c r="H283" s="23">
        <v>0</v>
      </c>
    </row>
    <row r="284" spans="1:8" x14ac:dyDescent="0.35">
      <c r="A284">
        <v>2022</v>
      </c>
      <c r="B284">
        <v>10</v>
      </c>
      <c r="C284" t="s">
        <v>301</v>
      </c>
      <c r="D284" t="s">
        <v>286</v>
      </c>
      <c r="E284" t="s">
        <v>160</v>
      </c>
      <c r="F284" t="s">
        <v>304</v>
      </c>
      <c r="G284" s="23">
        <v>80339.5</v>
      </c>
      <c r="H284" s="23">
        <v>49155.5</v>
      </c>
    </row>
    <row r="285" spans="1:8" x14ac:dyDescent="0.35">
      <c r="A285">
        <v>2022</v>
      </c>
      <c r="B285">
        <v>10</v>
      </c>
      <c r="C285" t="s">
        <v>301</v>
      </c>
      <c r="D285" t="s">
        <v>287</v>
      </c>
      <c r="E285" t="s">
        <v>158</v>
      </c>
      <c r="F285" t="s">
        <v>303</v>
      </c>
      <c r="G285" s="23">
        <v>17185.25</v>
      </c>
      <c r="H285" s="23">
        <v>0</v>
      </c>
    </row>
    <row r="286" spans="1:8" x14ac:dyDescent="0.35">
      <c r="A286">
        <v>2022</v>
      </c>
      <c r="B286">
        <v>10</v>
      </c>
      <c r="C286" t="s">
        <v>301</v>
      </c>
      <c r="D286" t="s">
        <v>287</v>
      </c>
      <c r="E286" t="s">
        <v>158</v>
      </c>
      <c r="F286" t="s">
        <v>304</v>
      </c>
      <c r="G286" s="23">
        <v>206573.97</v>
      </c>
      <c r="H286" s="23">
        <v>284863.45</v>
      </c>
    </row>
    <row r="287" spans="1:8" x14ac:dyDescent="0.35">
      <c r="A287">
        <v>2022</v>
      </c>
      <c r="B287">
        <v>10</v>
      </c>
      <c r="C287" t="s">
        <v>301</v>
      </c>
      <c r="D287" t="s">
        <v>290</v>
      </c>
      <c r="E287" t="s">
        <v>155</v>
      </c>
      <c r="F287" t="s">
        <v>303</v>
      </c>
      <c r="G287" s="23">
        <v>28289.48</v>
      </c>
      <c r="H287" s="23">
        <v>0</v>
      </c>
    </row>
    <row r="288" spans="1:8" x14ac:dyDescent="0.35">
      <c r="A288">
        <v>2022</v>
      </c>
      <c r="B288">
        <v>10</v>
      </c>
      <c r="C288" t="s">
        <v>301</v>
      </c>
      <c r="D288" t="s">
        <v>290</v>
      </c>
      <c r="E288" t="s">
        <v>155</v>
      </c>
      <c r="F288" t="s">
        <v>304</v>
      </c>
      <c r="G288" s="23">
        <v>218244.2</v>
      </c>
      <c r="H288" s="23">
        <v>528528.75</v>
      </c>
    </row>
    <row r="289" spans="1:8" x14ac:dyDescent="0.35">
      <c r="A289">
        <v>2022</v>
      </c>
      <c r="B289">
        <v>10</v>
      </c>
      <c r="C289" t="s">
        <v>301</v>
      </c>
      <c r="D289" t="s">
        <v>291</v>
      </c>
      <c r="E289" t="s">
        <v>158</v>
      </c>
      <c r="F289" t="s">
        <v>91</v>
      </c>
      <c r="G289" s="23">
        <v>1397263.22</v>
      </c>
      <c r="H289" s="23">
        <v>0</v>
      </c>
    </row>
    <row r="290" spans="1:8" x14ac:dyDescent="0.35">
      <c r="A290">
        <v>2022</v>
      </c>
      <c r="B290">
        <v>10</v>
      </c>
      <c r="C290" t="s">
        <v>301</v>
      </c>
      <c r="D290" t="s">
        <v>291</v>
      </c>
      <c r="E290" t="s">
        <v>158</v>
      </c>
      <c r="F290" t="s">
        <v>302</v>
      </c>
      <c r="G290" s="23">
        <v>316183.23</v>
      </c>
      <c r="H290" s="23">
        <v>24554.53</v>
      </c>
    </row>
    <row r="291" spans="1:8" x14ac:dyDescent="0.35">
      <c r="A291">
        <v>2022</v>
      </c>
      <c r="B291">
        <v>10</v>
      </c>
      <c r="C291" t="s">
        <v>301</v>
      </c>
      <c r="D291" t="s">
        <v>291</v>
      </c>
      <c r="E291" t="s">
        <v>158</v>
      </c>
      <c r="F291" t="s">
        <v>304</v>
      </c>
      <c r="G291" s="23">
        <v>245677.77</v>
      </c>
      <c r="H291" s="23">
        <v>2128378.44</v>
      </c>
    </row>
    <row r="292" spans="1:8" x14ac:dyDescent="0.35">
      <c r="A292">
        <v>2022</v>
      </c>
      <c r="B292">
        <v>10</v>
      </c>
      <c r="C292" t="s">
        <v>301</v>
      </c>
      <c r="D292" t="s">
        <v>292</v>
      </c>
      <c r="E292" t="s">
        <v>160</v>
      </c>
      <c r="F292" t="s">
        <v>303</v>
      </c>
      <c r="G292" s="23">
        <v>1367.76</v>
      </c>
      <c r="H292" s="23">
        <v>0</v>
      </c>
    </row>
    <row r="293" spans="1:8" x14ac:dyDescent="0.35">
      <c r="A293">
        <v>2022</v>
      </c>
      <c r="B293">
        <v>10</v>
      </c>
      <c r="C293" t="s">
        <v>301</v>
      </c>
      <c r="D293" t="s">
        <v>293</v>
      </c>
      <c r="E293" t="s">
        <v>158</v>
      </c>
      <c r="F293" t="s">
        <v>91</v>
      </c>
      <c r="G293" s="23">
        <v>784268.06</v>
      </c>
      <c r="H293" s="23">
        <v>0</v>
      </c>
    </row>
    <row r="294" spans="1:8" x14ac:dyDescent="0.35">
      <c r="A294">
        <v>2022</v>
      </c>
      <c r="B294">
        <v>10</v>
      </c>
      <c r="C294" t="s">
        <v>301</v>
      </c>
      <c r="D294" t="s">
        <v>294</v>
      </c>
      <c r="E294" t="s">
        <v>155</v>
      </c>
      <c r="F294" t="s">
        <v>91</v>
      </c>
      <c r="G294" s="23">
        <v>40608.89</v>
      </c>
      <c r="H294" s="23">
        <v>0</v>
      </c>
    </row>
    <row r="295" spans="1:8" x14ac:dyDescent="0.35">
      <c r="A295">
        <v>2022</v>
      </c>
      <c r="B295">
        <v>10</v>
      </c>
      <c r="C295" t="s">
        <v>301</v>
      </c>
      <c r="D295" t="s">
        <v>294</v>
      </c>
      <c r="E295" t="s">
        <v>155</v>
      </c>
      <c r="F295" t="s">
        <v>304</v>
      </c>
      <c r="G295" s="23">
        <v>19285.02</v>
      </c>
      <c r="H295" s="23">
        <v>16212.1</v>
      </c>
    </row>
    <row r="296" spans="1:8" x14ac:dyDescent="0.35">
      <c r="A296">
        <v>2022</v>
      </c>
      <c r="B296">
        <v>10</v>
      </c>
      <c r="C296" t="s">
        <v>301</v>
      </c>
      <c r="D296" t="s">
        <v>295</v>
      </c>
      <c r="E296" t="s">
        <v>158</v>
      </c>
      <c r="F296" t="s">
        <v>88</v>
      </c>
      <c r="G296" s="23">
        <v>46853035.700000003</v>
      </c>
      <c r="H296" s="23">
        <v>25641504.75</v>
      </c>
    </row>
    <row r="297" spans="1:8" x14ac:dyDescent="0.35">
      <c r="A297">
        <v>2022</v>
      </c>
      <c r="B297">
        <v>10</v>
      </c>
      <c r="C297" t="s">
        <v>301</v>
      </c>
      <c r="D297" t="s">
        <v>295</v>
      </c>
      <c r="E297" t="s">
        <v>158</v>
      </c>
      <c r="F297" t="s">
        <v>306</v>
      </c>
      <c r="G297" s="23">
        <v>93744</v>
      </c>
      <c r="H297" s="23">
        <v>0</v>
      </c>
    </row>
    <row r="298" spans="1:8" x14ac:dyDescent="0.35">
      <c r="A298">
        <v>2022</v>
      </c>
      <c r="B298">
        <v>10</v>
      </c>
      <c r="C298" t="s">
        <v>301</v>
      </c>
      <c r="D298" t="s">
        <v>295</v>
      </c>
      <c r="E298" t="s">
        <v>158</v>
      </c>
      <c r="F298" t="s">
        <v>303</v>
      </c>
      <c r="G298" s="23">
        <v>64805.88</v>
      </c>
      <c r="H298" s="23">
        <v>0</v>
      </c>
    </row>
    <row r="299" spans="1:8" x14ac:dyDescent="0.35">
      <c r="A299">
        <v>2022</v>
      </c>
      <c r="B299">
        <v>10</v>
      </c>
      <c r="C299" t="s">
        <v>301</v>
      </c>
      <c r="D299" t="s">
        <v>295</v>
      </c>
      <c r="E299" t="s">
        <v>158</v>
      </c>
      <c r="F299" t="s">
        <v>302</v>
      </c>
      <c r="G299" s="23">
        <v>0</v>
      </c>
      <c r="H299" s="23">
        <v>150724</v>
      </c>
    </row>
    <row r="300" spans="1:8" x14ac:dyDescent="0.35">
      <c r="A300">
        <v>2022</v>
      </c>
      <c r="B300">
        <v>10</v>
      </c>
      <c r="C300" t="s">
        <v>301</v>
      </c>
      <c r="D300" t="s">
        <v>295</v>
      </c>
      <c r="E300" t="s">
        <v>158</v>
      </c>
      <c r="F300" t="s">
        <v>304</v>
      </c>
      <c r="G300" s="23">
        <v>836489.24</v>
      </c>
      <c r="H300" s="23">
        <v>286485.36</v>
      </c>
    </row>
  </sheetData>
  <autoFilter ref="A2:H2" xr:uid="{28504FD8-CB6C-44ED-8743-07FF6AA7184C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3345-FC9D-4C5E-A6B3-61529278F973}">
  <sheetPr codeName="Sheet5">
    <tabColor rgb="FFFF0000"/>
  </sheetPr>
  <dimension ref="B3:E36"/>
  <sheetViews>
    <sheetView workbookViewId="0">
      <selection activeCell="D12" sqref="D12"/>
    </sheetView>
  </sheetViews>
  <sheetFormatPr defaultRowHeight="14.5" x14ac:dyDescent="0.35"/>
  <cols>
    <col min="2" max="2" width="9.6328125" bestFit="1" customWidth="1"/>
    <col min="3" max="3" width="26.1796875" bestFit="1" customWidth="1"/>
    <col min="4" max="4" width="75.36328125" customWidth="1"/>
  </cols>
  <sheetData>
    <row r="3" spans="2:5" x14ac:dyDescent="0.35">
      <c r="B3" s="4"/>
      <c r="C3" s="4"/>
      <c r="D3" s="4"/>
      <c r="E3" s="4"/>
    </row>
    <row r="4" spans="2:5" x14ac:dyDescent="0.35">
      <c r="B4" s="4" t="s">
        <v>108</v>
      </c>
      <c r="C4" s="10">
        <v>2022</v>
      </c>
      <c r="D4" s="4"/>
      <c r="E4" s="4"/>
    </row>
    <row r="5" spans="2:5" x14ac:dyDescent="0.35">
      <c r="B5" s="4" t="s">
        <v>109</v>
      </c>
      <c r="C5" s="11">
        <v>10</v>
      </c>
      <c r="D5" s="19" t="s">
        <v>315</v>
      </c>
      <c r="E5" s="4"/>
    </row>
    <row r="6" spans="2:5" x14ac:dyDescent="0.35">
      <c r="B6" s="4" t="s">
        <v>140</v>
      </c>
      <c r="C6" s="10" t="s">
        <v>143</v>
      </c>
      <c r="D6" s="4"/>
      <c r="E6" s="4"/>
    </row>
    <row r="7" spans="2:5" x14ac:dyDescent="0.35">
      <c r="B7" s="4" t="s">
        <v>141</v>
      </c>
      <c r="C7" s="10" t="s">
        <v>142</v>
      </c>
      <c r="D7" s="4"/>
      <c r="E7" s="4"/>
    </row>
    <row r="8" spans="2:5" x14ac:dyDescent="0.35">
      <c r="B8" s="4" t="s">
        <v>111</v>
      </c>
      <c r="C8" s="4" t="s">
        <v>310</v>
      </c>
      <c r="D8" s="4"/>
      <c r="E8" s="4"/>
    </row>
    <row r="9" spans="2:5" x14ac:dyDescent="0.35">
      <c r="B9" s="4" t="s">
        <v>113</v>
      </c>
      <c r="C9" s="4" t="s">
        <v>311</v>
      </c>
      <c r="D9" s="4"/>
      <c r="E9" s="4"/>
    </row>
    <row r="10" spans="2:5" x14ac:dyDescent="0.35">
      <c r="B10" s="4"/>
      <c r="C10" s="4"/>
      <c r="D10" s="4"/>
      <c r="E10" s="4"/>
    </row>
    <row r="11" spans="2:5" x14ac:dyDescent="0.35">
      <c r="B11" s="4"/>
      <c r="C11" s="7"/>
      <c r="D11" s="7" t="s">
        <v>148</v>
      </c>
      <c r="E11" s="4"/>
    </row>
    <row r="12" spans="2:5" x14ac:dyDescent="0.35">
      <c r="B12" s="4"/>
      <c r="C12" s="7" t="s">
        <v>151</v>
      </c>
      <c r="D12" s="9" t="str">
        <f>"J:\Acctng\Production\"&amp;C4&amp;"\Requests\Leslie Darrigo\"&amp;C4&amp;RIGHT("00"&amp;C5,2)&amp;" Sales By MemberFirm.xls"</f>
        <v>J:\Acctng\Production\2022\Requests\Leslie Darrigo\202210 Sales By MemberFirm.xls</v>
      </c>
      <c r="E12" s="4" t="s">
        <v>314</v>
      </c>
    </row>
    <row r="13" spans="2:5" x14ac:dyDescent="0.35">
      <c r="B13" s="4"/>
      <c r="C13" s="7" t="s">
        <v>127</v>
      </c>
      <c r="D13" s="9"/>
      <c r="E13" s="4"/>
    </row>
    <row r="14" spans="2:5" x14ac:dyDescent="0.35">
      <c r="B14" s="4"/>
      <c r="C14" s="6"/>
      <c r="D14" s="6"/>
      <c r="E14" s="4"/>
    </row>
    <row r="15" spans="2:5" x14ac:dyDescent="0.35">
      <c r="B15" s="4"/>
      <c r="C15" s="5"/>
      <c r="D15" s="5"/>
      <c r="E15" s="4"/>
    </row>
    <row r="20" spans="2:4" x14ac:dyDescent="0.35">
      <c r="B20" t="s">
        <v>128</v>
      </c>
    </row>
    <row r="21" spans="2:4" x14ac:dyDescent="0.35">
      <c r="B21" t="s">
        <v>130</v>
      </c>
    </row>
    <row r="22" spans="2:4" x14ac:dyDescent="0.35">
      <c r="B22" s="15" t="s">
        <v>129</v>
      </c>
      <c r="C22" s="14"/>
    </row>
    <row r="23" spans="2:4" x14ac:dyDescent="0.35">
      <c r="B23" t="str">
        <f>"2. Set the year and month at top left. Download as an Excel file as: "</f>
        <v xml:space="preserve">2. Set the year and month at top left. Download as an Excel file as: </v>
      </c>
    </row>
    <row r="24" spans="2:4" x14ac:dyDescent="0.35">
      <c r="D24" s="18" t="str">
        <f>C4&amp;RIGHT("00"&amp;C5,2)&amp;" Sales By MemberFirm.xlsx"</f>
        <v>202210 Sales By MemberFirm.xlsx</v>
      </c>
    </row>
    <row r="25" spans="2:4" x14ac:dyDescent="0.35">
      <c r="B25" t="s">
        <v>312</v>
      </c>
    </row>
    <row r="26" spans="2:4" x14ac:dyDescent="0.35">
      <c r="B26" t="s">
        <v>139</v>
      </c>
    </row>
    <row r="28" spans="2:4" x14ac:dyDescent="0.35">
      <c r="B28" t="s">
        <v>313</v>
      </c>
    </row>
    <row r="29" spans="2:4" x14ac:dyDescent="0.35">
      <c r="B29" t="s">
        <v>131</v>
      </c>
    </row>
    <row r="30" spans="2:4" x14ac:dyDescent="0.35">
      <c r="B30" t="s">
        <v>132</v>
      </c>
    </row>
    <row r="31" spans="2:4" x14ac:dyDescent="0.35">
      <c r="B31" t="s">
        <v>133</v>
      </c>
    </row>
    <row r="32" spans="2:4" x14ac:dyDescent="0.35">
      <c r="B32" t="s">
        <v>134</v>
      </c>
    </row>
    <row r="33" spans="2:2" x14ac:dyDescent="0.35">
      <c r="B33" t="s">
        <v>135</v>
      </c>
    </row>
    <row r="34" spans="2:2" x14ac:dyDescent="0.35">
      <c r="B34" t="s">
        <v>136</v>
      </c>
    </row>
    <row r="35" spans="2:2" x14ac:dyDescent="0.35">
      <c r="B35" t="s">
        <v>137</v>
      </c>
    </row>
    <row r="36" spans="2:2" x14ac:dyDescent="0.35">
      <c r="B36" t="s">
        <v>138</v>
      </c>
    </row>
  </sheetData>
  <hyperlinks>
    <hyperlink ref="B22" r:id="rId1" xr:uid="{E4F8CE15-986B-4B85-85B5-19F5FD5D07FA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Leslie.Leslie">
                <anchor moveWithCells="1" sizeWithCells="1">
                  <from>
                    <xdr:col>3</xdr:col>
                    <xdr:colOff>723900</xdr:colOff>
                    <xdr:row>3</xdr:row>
                    <xdr:rowOff>19050</xdr:rowOff>
                  </from>
                  <to>
                    <xdr:col>3</xdr:col>
                    <xdr:colOff>2565400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LeslieEmail">
                <anchor moveWithCells="1" sizeWithCells="1">
                  <from>
                    <xdr:col>3</xdr:col>
                    <xdr:colOff>3086100</xdr:colOff>
                    <xdr:row>3</xdr:row>
                    <xdr:rowOff>31750</xdr:rowOff>
                  </from>
                  <to>
                    <xdr:col>3</xdr:col>
                    <xdr:colOff>4927600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1D75-AB6B-4035-8C20-C2C8247FC1B2}">
  <sheetPr codeName="Sheet4">
    <tabColor theme="0"/>
  </sheetPr>
  <dimension ref="A1:J500"/>
  <sheetViews>
    <sheetView workbookViewId="0">
      <selection activeCell="A23" sqref="A23"/>
    </sheetView>
  </sheetViews>
  <sheetFormatPr defaultRowHeight="14.5" x14ac:dyDescent="0.35"/>
  <cols>
    <col min="1" max="1" width="52.54296875" bestFit="1" customWidth="1"/>
    <col min="2" max="2" width="22.7265625" bestFit="1" customWidth="1"/>
    <col min="3" max="3" width="24.81640625" bestFit="1" customWidth="1"/>
    <col min="4" max="4" width="12.1796875" style="1" bestFit="1" customWidth="1"/>
    <col min="7" max="7" width="9.6328125" bestFit="1" customWidth="1"/>
    <col min="8" max="8" width="26.1796875" bestFit="1" customWidth="1"/>
    <col min="9" max="9" width="95.26953125" bestFit="1" customWidth="1"/>
  </cols>
  <sheetData>
    <row r="1" spans="1:10" x14ac:dyDescent="0.35">
      <c r="A1" t="s">
        <v>149</v>
      </c>
    </row>
    <row r="2" spans="1:10" x14ac:dyDescent="0.35">
      <c r="A2" s="2" t="s">
        <v>104</v>
      </c>
      <c r="B2" s="2" t="s">
        <v>105</v>
      </c>
      <c r="C2" s="2" t="s">
        <v>106</v>
      </c>
      <c r="D2" s="3" t="s">
        <v>107</v>
      </c>
      <c r="G2" s="4"/>
      <c r="H2" s="4"/>
      <c r="I2" s="4"/>
      <c r="J2" s="4"/>
    </row>
    <row r="3" spans="1:10" x14ac:dyDescent="0.35">
      <c r="A3" t="s">
        <v>153</v>
      </c>
      <c r="B3" s="23">
        <v>3887166.59</v>
      </c>
      <c r="C3" s="23">
        <v>12621</v>
      </c>
      <c r="D3" s="22">
        <v>3.2000000000000002E-3</v>
      </c>
      <c r="G3" s="4" t="s">
        <v>108</v>
      </c>
      <c r="H3" s="10">
        <v>2022</v>
      </c>
      <c r="I3" s="4"/>
      <c r="J3" s="4"/>
    </row>
    <row r="4" spans="1:10" x14ac:dyDescent="0.35">
      <c r="A4" t="s">
        <v>156</v>
      </c>
      <c r="B4" s="23">
        <v>110890.12</v>
      </c>
      <c r="C4" s="23">
        <v>17736</v>
      </c>
      <c r="D4" s="22">
        <v>0.15989999999999999</v>
      </c>
      <c r="G4" s="4" t="s">
        <v>109</v>
      </c>
      <c r="H4" s="11">
        <v>9</v>
      </c>
      <c r="I4" s="19" t="s">
        <v>315</v>
      </c>
      <c r="J4" s="4"/>
    </row>
    <row r="5" spans="1:10" x14ac:dyDescent="0.35">
      <c r="A5" t="s">
        <v>161</v>
      </c>
      <c r="B5" s="23">
        <v>642731.74</v>
      </c>
      <c r="C5" s="23">
        <v>45740.35</v>
      </c>
      <c r="D5" s="22">
        <v>7.1099999999999997E-2</v>
      </c>
      <c r="G5" s="4" t="s">
        <v>140</v>
      </c>
      <c r="H5" s="10" t="s">
        <v>143</v>
      </c>
      <c r="I5" s="4"/>
      <c r="J5" s="4"/>
    </row>
    <row r="6" spans="1:10" x14ac:dyDescent="0.35">
      <c r="A6" t="s">
        <v>162</v>
      </c>
      <c r="B6" s="23">
        <v>2896</v>
      </c>
      <c r="C6" s="23">
        <v>0</v>
      </c>
      <c r="D6" s="22">
        <v>0</v>
      </c>
      <c r="G6" s="4" t="s">
        <v>141</v>
      </c>
      <c r="H6" s="10" t="s">
        <v>142</v>
      </c>
      <c r="I6" s="4"/>
      <c r="J6" s="4"/>
    </row>
    <row r="7" spans="1:10" x14ac:dyDescent="0.35">
      <c r="A7" t="s">
        <v>164</v>
      </c>
      <c r="B7" s="23">
        <v>1086838.75</v>
      </c>
      <c r="C7" s="23">
        <v>46777.51</v>
      </c>
      <c r="D7" s="22">
        <v>4.2999999999999997E-2</v>
      </c>
      <c r="G7" s="4" t="s">
        <v>111</v>
      </c>
      <c r="H7" s="4" t="s">
        <v>112</v>
      </c>
      <c r="I7" s="4"/>
      <c r="J7" s="4"/>
    </row>
    <row r="8" spans="1:10" x14ac:dyDescent="0.35">
      <c r="A8" t="s">
        <v>166</v>
      </c>
      <c r="B8" s="23">
        <v>5862.1</v>
      </c>
      <c r="C8" s="23">
        <v>0</v>
      </c>
      <c r="D8" s="22">
        <v>0</v>
      </c>
      <c r="G8" s="4" t="s">
        <v>113</v>
      </c>
      <c r="H8" s="4" t="s">
        <v>115</v>
      </c>
      <c r="I8" s="4"/>
      <c r="J8" s="4"/>
    </row>
    <row r="9" spans="1:10" x14ac:dyDescent="0.35">
      <c r="A9" t="s">
        <v>167</v>
      </c>
      <c r="B9" s="23">
        <v>94978.03</v>
      </c>
      <c r="C9" s="23">
        <v>16923.439999999999</v>
      </c>
      <c r="D9" s="22">
        <v>0.17810000000000001</v>
      </c>
      <c r="G9" s="4"/>
      <c r="H9" s="4"/>
      <c r="I9" s="4"/>
      <c r="J9" s="4"/>
    </row>
    <row r="10" spans="1:10" x14ac:dyDescent="0.35">
      <c r="A10" t="s">
        <v>168</v>
      </c>
      <c r="B10" s="23">
        <v>970456.39</v>
      </c>
      <c r="C10" s="23">
        <v>360819.09</v>
      </c>
      <c r="D10" s="22">
        <v>0.37180000000000002</v>
      </c>
      <c r="G10" s="4"/>
      <c r="H10" s="7" t="s">
        <v>111</v>
      </c>
      <c r="I10" s="7" t="s">
        <v>148</v>
      </c>
      <c r="J10" s="4"/>
    </row>
    <row r="11" spans="1:10" x14ac:dyDescent="0.35">
      <c r="A11" t="s">
        <v>169</v>
      </c>
      <c r="B11" s="23">
        <v>80196.86</v>
      </c>
      <c r="C11" s="23">
        <v>28166.400000000001</v>
      </c>
      <c r="D11" s="22">
        <v>0.35120000000000001</v>
      </c>
      <c r="G11" s="4"/>
      <c r="H11" s="7" t="s">
        <v>151</v>
      </c>
      <c r="I11" s="9" t="str">
        <f>"J:\Acctng\Production\"&amp;H3&amp;"\Requests\Derek Palumbo\"&amp;TEXT(EOMONTH(DATE(H3,H4,1),0),"yyyymmdd")&amp;" JH Commissionable Life Prem Breakout by MF.xlsx"</f>
        <v>J:\Acctng\Production\2022\Requests\Derek Palumbo\20220930 JH Commissionable Life Prem Breakout by MF.xlsx</v>
      </c>
      <c r="J11" s="4"/>
    </row>
    <row r="12" spans="1:10" x14ac:dyDescent="0.35">
      <c r="A12" t="s">
        <v>170</v>
      </c>
      <c r="B12" s="23">
        <v>1237285.3400000001</v>
      </c>
      <c r="C12" s="23">
        <v>548700.48</v>
      </c>
      <c r="D12" s="22">
        <v>0.44340000000000002</v>
      </c>
      <c r="G12" s="4"/>
      <c r="H12" s="7" t="s">
        <v>127</v>
      </c>
      <c r="I12" s="9" t="str">
        <f>"J:\Acctng\Production\"&amp;H3&amp;"\Requests\Derek Palumbo\JH Commissionable Life Prem Breakout by MF.sql"</f>
        <v>J:\Acctng\Production\2022\Requests\Derek Palumbo\JH Commissionable Life Prem Breakout by MF.sql</v>
      </c>
      <c r="J12" s="4"/>
    </row>
    <row r="13" spans="1:10" x14ac:dyDescent="0.35">
      <c r="A13" t="s">
        <v>171</v>
      </c>
      <c r="B13" s="23">
        <v>268309.61</v>
      </c>
      <c r="C13" s="23">
        <v>22343.09</v>
      </c>
      <c r="D13" s="22">
        <v>8.3199999999999996E-2</v>
      </c>
      <c r="G13" s="4"/>
      <c r="H13" s="6"/>
      <c r="I13" s="6"/>
      <c r="J13" s="4"/>
    </row>
    <row r="14" spans="1:10" x14ac:dyDescent="0.35">
      <c r="A14" t="s">
        <v>172</v>
      </c>
      <c r="B14" s="23">
        <v>1000462.55</v>
      </c>
      <c r="C14" s="23">
        <v>11500</v>
      </c>
      <c r="D14" s="22">
        <v>1.14E-2</v>
      </c>
      <c r="G14" s="4"/>
      <c r="H14" s="5"/>
      <c r="I14" s="5"/>
      <c r="J14" s="4"/>
    </row>
    <row r="15" spans="1:10" x14ac:dyDescent="0.35">
      <c r="A15" t="s">
        <v>173</v>
      </c>
      <c r="B15" s="23">
        <v>2196480.3199999998</v>
      </c>
      <c r="C15" s="23">
        <v>170143.3</v>
      </c>
      <c r="D15" s="22">
        <v>7.7399999999999997E-2</v>
      </c>
    </row>
    <row r="16" spans="1:10" x14ac:dyDescent="0.35">
      <c r="A16" t="s">
        <v>174</v>
      </c>
      <c r="B16" s="23">
        <v>1106180.8899999999</v>
      </c>
      <c r="C16" s="23">
        <v>0</v>
      </c>
      <c r="D16" s="22">
        <v>0</v>
      </c>
    </row>
    <row r="17" spans="1:4" x14ac:dyDescent="0.35">
      <c r="A17" t="s">
        <v>176</v>
      </c>
      <c r="B17" s="23">
        <v>476736.09</v>
      </c>
      <c r="C17" s="23">
        <v>281414.43</v>
      </c>
      <c r="D17" s="22">
        <v>0.59019999999999995</v>
      </c>
    </row>
    <row r="18" spans="1:4" x14ac:dyDescent="0.35">
      <c r="A18" t="s">
        <v>177</v>
      </c>
      <c r="B18" s="23">
        <v>934209.18</v>
      </c>
      <c r="C18" s="23">
        <v>240439.43</v>
      </c>
      <c r="D18" s="22">
        <v>0.25729999999999997</v>
      </c>
    </row>
    <row r="19" spans="1:4" x14ac:dyDescent="0.35">
      <c r="A19" t="s">
        <v>178</v>
      </c>
      <c r="B19" s="23">
        <v>58563.35</v>
      </c>
      <c r="C19" s="23">
        <v>433.46</v>
      </c>
      <c r="D19" s="22">
        <v>7.4000000000000003E-3</v>
      </c>
    </row>
    <row r="20" spans="1:4" x14ac:dyDescent="0.35">
      <c r="A20" t="s">
        <v>179</v>
      </c>
      <c r="B20" s="23">
        <v>59162.14</v>
      </c>
      <c r="C20" s="23">
        <v>0</v>
      </c>
      <c r="D20" s="22">
        <v>0</v>
      </c>
    </row>
    <row r="21" spans="1:4" x14ac:dyDescent="0.35">
      <c r="A21" t="s">
        <v>180</v>
      </c>
      <c r="B21" s="23">
        <v>261943.83</v>
      </c>
      <c r="C21" s="23">
        <v>82141.62</v>
      </c>
      <c r="D21" s="22">
        <v>0.3135</v>
      </c>
    </row>
    <row r="22" spans="1:4" x14ac:dyDescent="0.35">
      <c r="A22" t="s">
        <v>181</v>
      </c>
      <c r="B22" s="23">
        <v>2453322.79</v>
      </c>
      <c r="C22" s="23">
        <v>1614157.63</v>
      </c>
      <c r="D22" s="22">
        <v>0.65790000000000004</v>
      </c>
    </row>
    <row r="23" spans="1:4" x14ac:dyDescent="0.35">
      <c r="A23" t="s">
        <v>182</v>
      </c>
      <c r="B23" s="23">
        <v>475155.65</v>
      </c>
      <c r="C23" s="23">
        <v>265954.38</v>
      </c>
      <c r="D23" s="22">
        <v>0.55969999999999998</v>
      </c>
    </row>
    <row r="24" spans="1:4" x14ac:dyDescent="0.35">
      <c r="A24" t="s">
        <v>183</v>
      </c>
      <c r="B24" s="23">
        <v>6527.33</v>
      </c>
      <c r="C24" s="23">
        <v>0</v>
      </c>
      <c r="D24" s="22">
        <v>0</v>
      </c>
    </row>
    <row r="25" spans="1:4" x14ac:dyDescent="0.35">
      <c r="A25" t="s">
        <v>184</v>
      </c>
      <c r="B25" s="23">
        <v>21202902.57</v>
      </c>
      <c r="C25" s="23">
        <v>4199495.3899999997</v>
      </c>
      <c r="D25" s="22">
        <v>0.19800000000000001</v>
      </c>
    </row>
    <row r="26" spans="1:4" x14ac:dyDescent="0.35">
      <c r="A26" t="s">
        <v>185</v>
      </c>
      <c r="B26" s="23">
        <v>4173.0600000000004</v>
      </c>
      <c r="C26" s="23">
        <v>0</v>
      </c>
      <c r="D26" s="22">
        <v>0</v>
      </c>
    </row>
    <row r="27" spans="1:4" x14ac:dyDescent="0.35">
      <c r="A27" t="s">
        <v>186</v>
      </c>
      <c r="B27" s="23">
        <v>1134626.6200000001</v>
      </c>
      <c r="C27" s="23">
        <v>867797.27</v>
      </c>
      <c r="D27" s="22">
        <v>0.76480000000000004</v>
      </c>
    </row>
    <row r="28" spans="1:4" x14ac:dyDescent="0.35">
      <c r="A28" t="s">
        <v>187</v>
      </c>
      <c r="B28" s="23">
        <v>424233.71</v>
      </c>
      <c r="C28" s="23">
        <v>114216.5</v>
      </c>
      <c r="D28" s="22">
        <v>0.26919999999999999</v>
      </c>
    </row>
    <row r="29" spans="1:4" x14ac:dyDescent="0.35">
      <c r="A29" t="s">
        <v>188</v>
      </c>
      <c r="B29" s="23">
        <v>5588687.8499999996</v>
      </c>
      <c r="C29" s="23">
        <v>0</v>
      </c>
      <c r="D29" s="22">
        <v>0</v>
      </c>
    </row>
    <row r="30" spans="1:4" x14ac:dyDescent="0.35">
      <c r="A30" t="s">
        <v>189</v>
      </c>
      <c r="B30" s="23">
        <v>1722512.8</v>
      </c>
      <c r="C30" s="23">
        <v>569753.46</v>
      </c>
      <c r="D30" s="22">
        <v>0.33069999999999999</v>
      </c>
    </row>
    <row r="31" spans="1:4" x14ac:dyDescent="0.35">
      <c r="A31" t="s">
        <v>190</v>
      </c>
      <c r="B31" s="23">
        <v>289031.45</v>
      </c>
      <c r="C31" s="23">
        <v>0</v>
      </c>
      <c r="D31" s="22">
        <v>0</v>
      </c>
    </row>
    <row r="32" spans="1:4" x14ac:dyDescent="0.35">
      <c r="A32" t="s">
        <v>191</v>
      </c>
      <c r="B32" s="23">
        <v>10929.63</v>
      </c>
      <c r="C32" s="23">
        <v>0</v>
      </c>
      <c r="D32" s="22">
        <v>0</v>
      </c>
    </row>
    <row r="33" spans="1:4" x14ac:dyDescent="0.35">
      <c r="A33" t="s">
        <v>192</v>
      </c>
      <c r="B33" s="23">
        <v>755605.53</v>
      </c>
      <c r="C33" s="23">
        <v>8225</v>
      </c>
      <c r="D33" s="22">
        <v>1.0800000000000001E-2</v>
      </c>
    </row>
    <row r="34" spans="1:4" x14ac:dyDescent="0.35">
      <c r="A34" t="s">
        <v>193</v>
      </c>
      <c r="B34" s="23">
        <v>328316.86</v>
      </c>
      <c r="C34" s="23">
        <v>0</v>
      </c>
      <c r="D34" s="22">
        <v>0</v>
      </c>
    </row>
    <row r="35" spans="1:4" x14ac:dyDescent="0.35">
      <c r="A35" t="s">
        <v>195</v>
      </c>
      <c r="B35" s="23">
        <v>373011.05</v>
      </c>
      <c r="C35" s="23">
        <v>31723.06</v>
      </c>
      <c r="D35" s="22">
        <v>8.5000000000000006E-2</v>
      </c>
    </row>
    <row r="36" spans="1:4" x14ac:dyDescent="0.35">
      <c r="A36" t="s">
        <v>196</v>
      </c>
      <c r="B36" s="23">
        <v>375952.18</v>
      </c>
      <c r="C36" s="23">
        <v>266297.19</v>
      </c>
      <c r="D36" s="22">
        <v>0.70830000000000004</v>
      </c>
    </row>
    <row r="37" spans="1:4" x14ac:dyDescent="0.35">
      <c r="A37" t="s">
        <v>197</v>
      </c>
      <c r="B37" s="23">
        <v>28547.3</v>
      </c>
      <c r="C37" s="23">
        <v>7102.42</v>
      </c>
      <c r="D37" s="22">
        <v>0.2487</v>
      </c>
    </row>
    <row r="38" spans="1:4" x14ac:dyDescent="0.35">
      <c r="A38" t="s">
        <v>198</v>
      </c>
      <c r="B38" s="23">
        <v>274346.59999999998</v>
      </c>
      <c r="C38" s="23">
        <v>224661.08</v>
      </c>
      <c r="D38" s="22">
        <v>0.81879999999999997</v>
      </c>
    </row>
    <row r="39" spans="1:4" x14ac:dyDescent="0.35">
      <c r="A39" t="s">
        <v>199</v>
      </c>
      <c r="B39" s="23">
        <v>199980.89</v>
      </c>
      <c r="C39" s="23">
        <v>85540.7</v>
      </c>
      <c r="D39" s="22">
        <v>0.42770000000000002</v>
      </c>
    </row>
    <row r="40" spans="1:4" x14ac:dyDescent="0.35">
      <c r="A40" t="s">
        <v>200</v>
      </c>
      <c r="B40" s="23">
        <v>513861.23</v>
      </c>
      <c r="C40" s="23">
        <v>38739.56</v>
      </c>
      <c r="D40" s="22">
        <v>7.5300000000000006E-2</v>
      </c>
    </row>
    <row r="41" spans="1:4" x14ac:dyDescent="0.35">
      <c r="A41" t="s">
        <v>201</v>
      </c>
      <c r="B41" s="23">
        <v>448828.07</v>
      </c>
      <c r="C41" s="23">
        <v>53005.5</v>
      </c>
      <c r="D41" s="22">
        <v>0.11799999999999999</v>
      </c>
    </row>
    <row r="42" spans="1:4" x14ac:dyDescent="0.35">
      <c r="A42" t="s">
        <v>202</v>
      </c>
      <c r="B42" s="23">
        <v>1508771.18</v>
      </c>
      <c r="C42" s="23">
        <v>650218.68999999994</v>
      </c>
      <c r="D42" s="22">
        <v>0.43090000000000001</v>
      </c>
    </row>
    <row r="43" spans="1:4" x14ac:dyDescent="0.35">
      <c r="A43" t="s">
        <v>203</v>
      </c>
      <c r="B43" s="23">
        <v>2075078.88</v>
      </c>
      <c r="C43" s="23">
        <v>500600.15</v>
      </c>
      <c r="D43" s="22">
        <v>0.2412</v>
      </c>
    </row>
    <row r="44" spans="1:4" x14ac:dyDescent="0.35">
      <c r="A44" t="s">
        <v>204</v>
      </c>
      <c r="B44" s="23">
        <v>1573961.39</v>
      </c>
      <c r="C44" s="23">
        <v>154679.95000000001</v>
      </c>
      <c r="D44" s="22">
        <v>9.8199999999999996E-2</v>
      </c>
    </row>
    <row r="45" spans="1:4" x14ac:dyDescent="0.35">
      <c r="A45" t="s">
        <v>205</v>
      </c>
      <c r="B45" s="23">
        <v>258157.81</v>
      </c>
      <c r="C45" s="23">
        <v>0</v>
      </c>
      <c r="D45" s="22">
        <v>0</v>
      </c>
    </row>
    <row r="46" spans="1:4" x14ac:dyDescent="0.35">
      <c r="A46" t="s">
        <v>206</v>
      </c>
      <c r="B46" s="23">
        <v>76417.8</v>
      </c>
      <c r="C46" s="23">
        <v>21018.37</v>
      </c>
      <c r="D46" s="22">
        <v>0.27500000000000002</v>
      </c>
    </row>
    <row r="47" spans="1:4" x14ac:dyDescent="0.35">
      <c r="A47" t="s">
        <v>207</v>
      </c>
      <c r="B47" s="23">
        <v>76952.98</v>
      </c>
      <c r="C47" s="23">
        <v>115532.98</v>
      </c>
      <c r="D47" s="22">
        <v>1.5013000000000001</v>
      </c>
    </row>
    <row r="48" spans="1:4" x14ac:dyDescent="0.35">
      <c r="A48" t="s">
        <v>208</v>
      </c>
      <c r="B48" s="23">
        <v>136359.07999999999</v>
      </c>
      <c r="C48" s="23">
        <v>26664</v>
      </c>
      <c r="D48" s="22">
        <v>0.19550000000000001</v>
      </c>
    </row>
    <row r="49" spans="1:4" x14ac:dyDescent="0.35">
      <c r="A49" t="s">
        <v>209</v>
      </c>
      <c r="B49" s="23">
        <v>15995172.16</v>
      </c>
      <c r="C49" s="23">
        <v>1629009.23</v>
      </c>
      <c r="D49" s="22">
        <v>0.1018</v>
      </c>
    </row>
    <row r="50" spans="1:4" x14ac:dyDescent="0.35">
      <c r="A50" t="s">
        <v>210</v>
      </c>
      <c r="B50" s="23">
        <v>729507.11</v>
      </c>
      <c r="C50" s="23">
        <v>27418.28</v>
      </c>
      <c r="D50" s="22">
        <v>3.7499999999999999E-2</v>
      </c>
    </row>
    <row r="51" spans="1:4" x14ac:dyDescent="0.35">
      <c r="A51" t="s">
        <v>211</v>
      </c>
      <c r="B51" s="23">
        <v>225485.18</v>
      </c>
      <c r="C51" s="23">
        <v>0</v>
      </c>
      <c r="D51" s="22">
        <v>0</v>
      </c>
    </row>
    <row r="52" spans="1:4" x14ac:dyDescent="0.35">
      <c r="A52" t="s">
        <v>212</v>
      </c>
      <c r="B52" s="23">
        <v>335589.42</v>
      </c>
      <c r="C52" s="23">
        <v>269610.63</v>
      </c>
      <c r="D52" s="22">
        <v>0.80330000000000001</v>
      </c>
    </row>
    <row r="53" spans="1:4" x14ac:dyDescent="0.35">
      <c r="A53" t="s">
        <v>213</v>
      </c>
      <c r="B53" s="23">
        <v>650867.89</v>
      </c>
      <c r="C53" s="23">
        <v>151910.73000000001</v>
      </c>
      <c r="D53" s="22">
        <v>0.23330000000000001</v>
      </c>
    </row>
    <row r="54" spans="1:4" x14ac:dyDescent="0.35">
      <c r="A54" t="s">
        <v>214</v>
      </c>
      <c r="B54" s="23">
        <v>251681.26</v>
      </c>
      <c r="C54" s="23">
        <v>0</v>
      </c>
      <c r="D54" s="22">
        <v>0</v>
      </c>
    </row>
    <row r="55" spans="1:4" x14ac:dyDescent="0.35">
      <c r="A55" t="s">
        <v>215</v>
      </c>
      <c r="B55" s="23">
        <v>1064191.49</v>
      </c>
      <c r="C55" s="23">
        <v>56241.47</v>
      </c>
      <c r="D55" s="22">
        <v>5.28E-2</v>
      </c>
    </row>
    <row r="56" spans="1:4" x14ac:dyDescent="0.35">
      <c r="A56" t="s">
        <v>216</v>
      </c>
      <c r="B56" s="23">
        <v>646366.54</v>
      </c>
      <c r="C56" s="23">
        <v>33977.879999999997</v>
      </c>
      <c r="D56" s="22">
        <v>5.2499999999999998E-2</v>
      </c>
    </row>
    <row r="57" spans="1:4" x14ac:dyDescent="0.35">
      <c r="A57" t="s">
        <v>217</v>
      </c>
      <c r="B57" s="23">
        <v>378673.06</v>
      </c>
      <c r="C57" s="23">
        <v>23336.799999999999</v>
      </c>
      <c r="D57" s="22">
        <v>6.1600000000000002E-2</v>
      </c>
    </row>
    <row r="58" spans="1:4" x14ac:dyDescent="0.35">
      <c r="A58" t="s">
        <v>218</v>
      </c>
      <c r="B58" s="23">
        <v>782557.73499999999</v>
      </c>
      <c r="C58" s="23">
        <v>48557.65</v>
      </c>
      <c r="D58" s="22">
        <v>6.2E-2</v>
      </c>
    </row>
    <row r="59" spans="1:4" x14ac:dyDescent="0.35">
      <c r="A59" t="s">
        <v>219</v>
      </c>
      <c r="B59" s="23">
        <v>903145.24</v>
      </c>
      <c r="C59" s="23">
        <v>95435.92</v>
      </c>
      <c r="D59" s="22">
        <v>0.1056</v>
      </c>
    </row>
    <row r="60" spans="1:4" x14ac:dyDescent="0.35">
      <c r="A60" t="s">
        <v>220</v>
      </c>
      <c r="B60" s="23">
        <v>4404944.82</v>
      </c>
      <c r="C60" s="23">
        <v>46586.93</v>
      </c>
      <c r="D60" s="22">
        <v>1.0500000000000001E-2</v>
      </c>
    </row>
    <row r="61" spans="1:4" x14ac:dyDescent="0.35">
      <c r="A61" t="s">
        <v>221</v>
      </c>
      <c r="B61" s="23">
        <v>3078</v>
      </c>
      <c r="C61" s="23">
        <v>3078</v>
      </c>
      <c r="D61" s="22">
        <v>1</v>
      </c>
    </row>
    <row r="62" spans="1:4" x14ac:dyDescent="0.35">
      <c r="A62" t="s">
        <v>222</v>
      </c>
      <c r="B62" s="23">
        <v>13319.76</v>
      </c>
      <c r="C62" s="23">
        <v>0</v>
      </c>
      <c r="D62" s="22">
        <v>0</v>
      </c>
    </row>
    <row r="63" spans="1:4" x14ac:dyDescent="0.35">
      <c r="A63" t="s">
        <v>223</v>
      </c>
      <c r="B63" s="23">
        <v>2108.75</v>
      </c>
      <c r="C63" s="23">
        <v>2108.75</v>
      </c>
      <c r="D63" s="22">
        <v>1</v>
      </c>
    </row>
    <row r="64" spans="1:4" x14ac:dyDescent="0.35">
      <c r="A64" t="s">
        <v>224</v>
      </c>
      <c r="B64" s="23">
        <v>147936.03</v>
      </c>
      <c r="C64" s="23">
        <v>17131</v>
      </c>
      <c r="D64" s="22">
        <v>0.1158</v>
      </c>
    </row>
    <row r="65" spans="1:4" x14ac:dyDescent="0.35">
      <c r="A65" t="s">
        <v>225</v>
      </c>
      <c r="B65" s="23">
        <v>455872.62</v>
      </c>
      <c r="C65" s="23">
        <v>121838.71</v>
      </c>
      <c r="D65" s="22">
        <v>0.26719999999999999</v>
      </c>
    </row>
    <row r="66" spans="1:4" x14ac:dyDescent="0.35">
      <c r="A66" t="s">
        <v>226</v>
      </c>
      <c r="B66" s="23">
        <v>807.68</v>
      </c>
      <c r="C66" s="23">
        <v>0</v>
      </c>
      <c r="D66" s="22">
        <v>0</v>
      </c>
    </row>
    <row r="67" spans="1:4" x14ac:dyDescent="0.35">
      <c r="A67" t="s">
        <v>227</v>
      </c>
      <c r="B67" s="23">
        <v>361739.75</v>
      </c>
      <c r="C67" s="23">
        <v>51319.96</v>
      </c>
      <c r="D67" s="22">
        <v>0.14180000000000001</v>
      </c>
    </row>
    <row r="68" spans="1:4" x14ac:dyDescent="0.35">
      <c r="A68" t="s">
        <v>228</v>
      </c>
      <c r="B68" s="23">
        <v>18306.98</v>
      </c>
      <c r="C68" s="23">
        <v>3923.36</v>
      </c>
      <c r="D68" s="22">
        <v>0.21429999999999999</v>
      </c>
    </row>
    <row r="69" spans="1:4" x14ac:dyDescent="0.35">
      <c r="A69" t="s">
        <v>229</v>
      </c>
      <c r="B69" s="23">
        <v>438071.02</v>
      </c>
      <c r="C69" s="23">
        <v>50141.95</v>
      </c>
      <c r="D69" s="22">
        <v>0.1144</v>
      </c>
    </row>
    <row r="70" spans="1:4" x14ac:dyDescent="0.35">
      <c r="A70" t="s">
        <v>230</v>
      </c>
      <c r="B70" s="23">
        <v>1501945.2</v>
      </c>
      <c r="C70" s="23">
        <v>0</v>
      </c>
      <c r="D70" s="22">
        <v>0</v>
      </c>
    </row>
    <row r="71" spans="1:4" x14ac:dyDescent="0.35">
      <c r="A71" t="s">
        <v>231</v>
      </c>
      <c r="B71" s="23">
        <v>327776.01</v>
      </c>
      <c r="C71" s="23">
        <v>0</v>
      </c>
      <c r="D71" s="22">
        <v>0</v>
      </c>
    </row>
    <row r="72" spans="1:4" x14ac:dyDescent="0.35">
      <c r="A72" t="s">
        <v>232</v>
      </c>
      <c r="B72" s="23">
        <v>79894.070000000007</v>
      </c>
      <c r="C72" s="23">
        <v>13078.67</v>
      </c>
      <c r="D72" s="22">
        <v>0.16370000000000001</v>
      </c>
    </row>
    <row r="73" spans="1:4" x14ac:dyDescent="0.35">
      <c r="A73" t="s">
        <v>233</v>
      </c>
      <c r="B73" s="23">
        <v>4183087.59</v>
      </c>
      <c r="C73" s="23">
        <v>121681.52</v>
      </c>
      <c r="D73" s="22">
        <v>2.9000000000000001E-2</v>
      </c>
    </row>
    <row r="74" spans="1:4" x14ac:dyDescent="0.35">
      <c r="A74" t="s">
        <v>234</v>
      </c>
      <c r="B74" s="23">
        <v>2843384.65</v>
      </c>
      <c r="C74" s="23">
        <v>82389.38</v>
      </c>
      <c r="D74" s="22">
        <v>2.8899999999999999E-2</v>
      </c>
    </row>
    <row r="75" spans="1:4" x14ac:dyDescent="0.35">
      <c r="A75" t="s">
        <v>235</v>
      </c>
      <c r="B75" s="23">
        <v>22280.42</v>
      </c>
      <c r="C75" s="23">
        <v>13839.24</v>
      </c>
      <c r="D75" s="22">
        <v>0.62109999999999999</v>
      </c>
    </row>
    <row r="76" spans="1:4" x14ac:dyDescent="0.35">
      <c r="A76" t="s">
        <v>236</v>
      </c>
      <c r="B76" s="23">
        <v>1195816.3400000001</v>
      </c>
      <c r="C76" s="23">
        <v>30131.5</v>
      </c>
      <c r="D76" s="22">
        <v>2.5100000000000001E-2</v>
      </c>
    </row>
    <row r="77" spans="1:4" x14ac:dyDescent="0.35">
      <c r="A77" t="s">
        <v>237</v>
      </c>
      <c r="B77" s="23">
        <v>1180559.81</v>
      </c>
      <c r="C77" s="23">
        <v>86441.76</v>
      </c>
      <c r="D77" s="22">
        <v>7.3200000000000001E-2</v>
      </c>
    </row>
    <row r="78" spans="1:4" x14ac:dyDescent="0.35">
      <c r="A78" t="s">
        <v>238</v>
      </c>
      <c r="B78" s="23">
        <v>2115273.9700000002</v>
      </c>
      <c r="C78" s="23">
        <v>210199.5</v>
      </c>
      <c r="D78" s="22">
        <v>9.9299999999999999E-2</v>
      </c>
    </row>
    <row r="79" spans="1:4" x14ac:dyDescent="0.35">
      <c r="A79" t="s">
        <v>239</v>
      </c>
      <c r="B79" s="23">
        <v>177855.09</v>
      </c>
      <c r="C79" s="23">
        <v>23282</v>
      </c>
      <c r="D79" s="22">
        <v>0.13089999999999999</v>
      </c>
    </row>
    <row r="80" spans="1:4" x14ac:dyDescent="0.35">
      <c r="A80" t="s">
        <v>240</v>
      </c>
      <c r="B80" s="23">
        <v>368693.02</v>
      </c>
      <c r="C80" s="23">
        <v>64930.01</v>
      </c>
      <c r="D80" s="22">
        <v>0.17610000000000001</v>
      </c>
    </row>
    <row r="81" spans="1:4" x14ac:dyDescent="0.35">
      <c r="A81" t="s">
        <v>241</v>
      </c>
      <c r="B81" s="23">
        <v>98604.32</v>
      </c>
      <c r="C81" s="23">
        <v>36816.839999999997</v>
      </c>
      <c r="D81" s="22">
        <v>0.37330000000000002</v>
      </c>
    </row>
    <row r="82" spans="1:4" x14ac:dyDescent="0.35">
      <c r="A82" t="s">
        <v>242</v>
      </c>
      <c r="B82" s="23">
        <v>328991.17</v>
      </c>
      <c r="C82" s="23">
        <v>16145.13</v>
      </c>
      <c r="D82" s="22">
        <v>4.9000000000000002E-2</v>
      </c>
    </row>
    <row r="83" spans="1:4" x14ac:dyDescent="0.35">
      <c r="A83" t="s">
        <v>243</v>
      </c>
      <c r="B83" s="23">
        <v>187749.23</v>
      </c>
      <c r="C83" s="23">
        <v>129595.11</v>
      </c>
      <c r="D83" s="22">
        <v>0.69020000000000004</v>
      </c>
    </row>
    <row r="84" spans="1:4" x14ac:dyDescent="0.35">
      <c r="A84" t="s">
        <v>309</v>
      </c>
      <c r="B84" s="23">
        <v>2294104.7000000002</v>
      </c>
      <c r="C84" s="23">
        <v>773797.33</v>
      </c>
      <c r="D84" s="22">
        <v>0.3372</v>
      </c>
    </row>
    <row r="85" spans="1:4" x14ac:dyDescent="0.35">
      <c r="A85" t="s">
        <v>244</v>
      </c>
      <c r="B85" s="23">
        <v>5391494.1299999999</v>
      </c>
      <c r="C85" s="23">
        <v>955232.96</v>
      </c>
      <c r="D85" s="22">
        <v>0.17710000000000001</v>
      </c>
    </row>
    <row r="86" spans="1:4" x14ac:dyDescent="0.35">
      <c r="A86" t="s">
        <v>245</v>
      </c>
      <c r="B86" s="23">
        <v>1770137.16</v>
      </c>
      <c r="C86" s="23">
        <v>423323.62</v>
      </c>
      <c r="D86" s="22">
        <v>0.23910000000000001</v>
      </c>
    </row>
    <row r="87" spans="1:4" x14ac:dyDescent="0.35">
      <c r="A87" t="s">
        <v>246</v>
      </c>
      <c r="B87" s="23">
        <v>253565.54</v>
      </c>
      <c r="C87" s="23">
        <v>0</v>
      </c>
      <c r="D87" s="22">
        <v>0</v>
      </c>
    </row>
    <row r="88" spans="1:4" x14ac:dyDescent="0.35">
      <c r="A88" t="s">
        <v>247</v>
      </c>
      <c r="B88" s="23">
        <v>591893.15</v>
      </c>
      <c r="C88" s="23">
        <v>0</v>
      </c>
      <c r="D88" s="22">
        <v>0</v>
      </c>
    </row>
    <row r="89" spans="1:4" x14ac:dyDescent="0.35">
      <c r="A89" t="s">
        <v>248</v>
      </c>
      <c r="B89" s="23">
        <v>2253199.23</v>
      </c>
      <c r="C89" s="23">
        <v>274464.5</v>
      </c>
      <c r="D89" s="22">
        <v>0.12180000000000001</v>
      </c>
    </row>
    <row r="90" spans="1:4" x14ac:dyDescent="0.35">
      <c r="A90" t="s">
        <v>249</v>
      </c>
      <c r="B90" s="23">
        <v>1790373.81</v>
      </c>
      <c r="C90" s="23">
        <v>743166.6</v>
      </c>
      <c r="D90" s="22">
        <v>0.41499999999999998</v>
      </c>
    </row>
    <row r="91" spans="1:4" x14ac:dyDescent="0.35">
      <c r="A91" t="s">
        <v>250</v>
      </c>
      <c r="B91" s="23">
        <v>404815.72</v>
      </c>
      <c r="C91" s="23">
        <v>155349.54999999999</v>
      </c>
      <c r="D91" s="22">
        <v>0.38369999999999999</v>
      </c>
    </row>
    <row r="92" spans="1:4" x14ac:dyDescent="0.35">
      <c r="A92" t="s">
        <v>251</v>
      </c>
      <c r="B92" s="23">
        <v>1408225.28</v>
      </c>
      <c r="C92" s="23">
        <v>408169.79</v>
      </c>
      <c r="D92" s="22">
        <v>0.2898</v>
      </c>
    </row>
    <row r="93" spans="1:4" x14ac:dyDescent="0.35">
      <c r="A93" t="s">
        <v>252</v>
      </c>
      <c r="B93" s="23">
        <v>47782.87</v>
      </c>
      <c r="C93" s="23">
        <v>27841.279999999999</v>
      </c>
      <c r="D93" s="22">
        <v>0.58260000000000001</v>
      </c>
    </row>
    <row r="94" spans="1:4" x14ac:dyDescent="0.35">
      <c r="A94" t="s">
        <v>253</v>
      </c>
      <c r="B94" s="23">
        <v>1008291.74</v>
      </c>
      <c r="C94" s="23">
        <v>8343.36</v>
      </c>
      <c r="D94" s="22">
        <v>8.2000000000000007E-3</v>
      </c>
    </row>
    <row r="95" spans="1:4" x14ac:dyDescent="0.35">
      <c r="A95" t="s">
        <v>254</v>
      </c>
      <c r="B95" s="23">
        <v>1738450.41</v>
      </c>
      <c r="C95" s="23">
        <v>267683.99</v>
      </c>
      <c r="D95" s="22">
        <v>0.15390000000000001</v>
      </c>
    </row>
    <row r="96" spans="1:4" x14ac:dyDescent="0.35">
      <c r="A96" t="s">
        <v>255</v>
      </c>
      <c r="B96" s="23">
        <v>313031.75</v>
      </c>
      <c r="C96" s="23">
        <v>90168.8</v>
      </c>
      <c r="D96" s="22">
        <v>0.28799999999999998</v>
      </c>
    </row>
    <row r="97" spans="1:4" x14ac:dyDescent="0.35">
      <c r="A97" t="s">
        <v>256</v>
      </c>
      <c r="B97" s="23">
        <v>258906.20499999999</v>
      </c>
      <c r="C97" s="23">
        <v>22199.759999999998</v>
      </c>
      <c r="D97" s="22">
        <v>8.5699999999999998E-2</v>
      </c>
    </row>
    <row r="98" spans="1:4" x14ac:dyDescent="0.35">
      <c r="A98" t="s">
        <v>257</v>
      </c>
      <c r="B98" s="23">
        <v>11119698.220000001</v>
      </c>
      <c r="C98" s="23">
        <v>4096.26</v>
      </c>
      <c r="D98" s="22">
        <v>2.9999999999999997E-4</v>
      </c>
    </row>
    <row r="99" spans="1:4" x14ac:dyDescent="0.35">
      <c r="A99" t="s">
        <v>258</v>
      </c>
      <c r="B99" s="23">
        <v>4124472.87</v>
      </c>
      <c r="C99" s="23">
        <v>426236.37</v>
      </c>
      <c r="D99" s="22">
        <v>0.1033</v>
      </c>
    </row>
    <row r="100" spans="1:4" x14ac:dyDescent="0.35">
      <c r="A100" t="s">
        <v>259</v>
      </c>
      <c r="B100" s="23">
        <v>1299429.96</v>
      </c>
      <c r="C100" s="23">
        <v>301004.09999999998</v>
      </c>
      <c r="D100" s="22">
        <v>0.2316</v>
      </c>
    </row>
    <row r="101" spans="1:4" x14ac:dyDescent="0.35">
      <c r="A101" t="s">
        <v>260</v>
      </c>
      <c r="B101" s="23">
        <v>412172.74</v>
      </c>
      <c r="C101" s="23">
        <v>0</v>
      </c>
      <c r="D101" s="22">
        <v>0</v>
      </c>
    </row>
    <row r="102" spans="1:4" x14ac:dyDescent="0.35">
      <c r="A102" t="s">
        <v>261</v>
      </c>
      <c r="B102" s="23">
        <v>443597.88</v>
      </c>
      <c r="C102" s="23">
        <v>46272</v>
      </c>
      <c r="D102" s="22">
        <v>0.1043</v>
      </c>
    </row>
    <row r="103" spans="1:4" x14ac:dyDescent="0.35">
      <c r="A103" t="s">
        <v>262</v>
      </c>
      <c r="B103" s="23">
        <v>6127.83</v>
      </c>
      <c r="C103" s="23">
        <v>0</v>
      </c>
      <c r="D103" s="22">
        <v>0</v>
      </c>
    </row>
    <row r="104" spans="1:4" x14ac:dyDescent="0.35">
      <c r="A104" t="s">
        <v>263</v>
      </c>
      <c r="B104" s="23">
        <v>1897.6</v>
      </c>
      <c r="C104" s="23">
        <v>1897.6</v>
      </c>
      <c r="D104" s="22">
        <v>1</v>
      </c>
    </row>
    <row r="105" spans="1:4" x14ac:dyDescent="0.35">
      <c r="A105" t="s">
        <v>264</v>
      </c>
      <c r="B105" s="23">
        <v>1502619.84</v>
      </c>
      <c r="C105" s="23">
        <v>1502619.84</v>
      </c>
      <c r="D105" s="22">
        <v>1</v>
      </c>
    </row>
    <row r="106" spans="1:4" x14ac:dyDescent="0.35">
      <c r="A106" t="s">
        <v>265</v>
      </c>
      <c r="B106" s="23">
        <v>82207.5</v>
      </c>
      <c r="C106" s="23">
        <v>5760</v>
      </c>
      <c r="D106" s="22">
        <v>7.0000000000000007E-2</v>
      </c>
    </row>
    <row r="107" spans="1:4" x14ac:dyDescent="0.35">
      <c r="A107" t="s">
        <v>266</v>
      </c>
      <c r="B107" s="23">
        <v>320589.03000000003</v>
      </c>
      <c r="C107" s="23">
        <v>124463</v>
      </c>
      <c r="D107" s="22">
        <v>0.38819999999999999</v>
      </c>
    </row>
    <row r="108" spans="1:4" x14ac:dyDescent="0.35">
      <c r="A108" t="s">
        <v>267</v>
      </c>
      <c r="B108" s="23">
        <v>407842.73</v>
      </c>
      <c r="C108" s="23">
        <v>222986.75</v>
      </c>
      <c r="D108" s="22">
        <v>0.54669999999999996</v>
      </c>
    </row>
    <row r="109" spans="1:4" x14ac:dyDescent="0.35">
      <c r="A109" t="s">
        <v>268</v>
      </c>
      <c r="B109" s="23">
        <v>1147904.67</v>
      </c>
      <c r="C109" s="23">
        <v>0</v>
      </c>
      <c r="D109" s="22">
        <v>0</v>
      </c>
    </row>
    <row r="110" spans="1:4" x14ac:dyDescent="0.35">
      <c r="A110" t="s">
        <v>269</v>
      </c>
      <c r="B110" s="23">
        <v>966921.4</v>
      </c>
      <c r="C110" s="23">
        <v>204000.72</v>
      </c>
      <c r="D110" s="22">
        <v>0.2109</v>
      </c>
    </row>
    <row r="111" spans="1:4" x14ac:dyDescent="0.35">
      <c r="A111" t="s">
        <v>270</v>
      </c>
      <c r="B111" s="23">
        <v>228609.8</v>
      </c>
      <c r="C111" s="23">
        <v>0</v>
      </c>
      <c r="D111" s="22">
        <v>0</v>
      </c>
    </row>
    <row r="112" spans="1:4" x14ac:dyDescent="0.35">
      <c r="A112" t="s">
        <v>271</v>
      </c>
      <c r="B112" s="23">
        <v>407567.16</v>
      </c>
      <c r="C112" s="23">
        <v>68060</v>
      </c>
      <c r="D112" s="22">
        <v>0.16689999999999999</v>
      </c>
    </row>
    <row r="113" spans="1:4" x14ac:dyDescent="0.35">
      <c r="A113" t="s">
        <v>272</v>
      </c>
      <c r="B113" s="23">
        <v>1229606.19</v>
      </c>
      <c r="C113" s="23">
        <v>173846.76</v>
      </c>
      <c r="D113" s="22">
        <v>0.14130000000000001</v>
      </c>
    </row>
    <row r="114" spans="1:4" x14ac:dyDescent="0.35">
      <c r="A114" t="s">
        <v>273</v>
      </c>
      <c r="B114" s="23">
        <v>1499754.38</v>
      </c>
      <c r="C114" s="23">
        <v>543309.06000000006</v>
      </c>
      <c r="D114" s="22">
        <v>0.36220000000000002</v>
      </c>
    </row>
    <row r="115" spans="1:4" x14ac:dyDescent="0.35">
      <c r="A115" t="s">
        <v>274</v>
      </c>
      <c r="B115" s="23">
        <v>646049.21</v>
      </c>
      <c r="C115" s="23">
        <v>126791.24</v>
      </c>
      <c r="D115" s="22">
        <v>0.19620000000000001</v>
      </c>
    </row>
    <row r="116" spans="1:4" x14ac:dyDescent="0.35">
      <c r="A116" t="s">
        <v>275</v>
      </c>
      <c r="B116" s="23">
        <v>151632.95999999999</v>
      </c>
      <c r="C116" s="23">
        <v>277.60000000000002</v>
      </c>
      <c r="D116" s="22">
        <v>1.8E-3</v>
      </c>
    </row>
    <row r="117" spans="1:4" x14ac:dyDescent="0.35">
      <c r="A117" t="s">
        <v>276</v>
      </c>
      <c r="B117" s="23">
        <v>649147.13</v>
      </c>
      <c r="C117" s="23">
        <v>423354.6</v>
      </c>
      <c r="D117" s="22">
        <v>0.65210000000000001</v>
      </c>
    </row>
    <row r="118" spans="1:4" x14ac:dyDescent="0.35">
      <c r="A118" t="s">
        <v>277</v>
      </c>
      <c r="B118" s="23">
        <v>267678.12</v>
      </c>
      <c r="C118" s="23">
        <v>12015.61</v>
      </c>
      <c r="D118" s="22">
        <v>4.48E-2</v>
      </c>
    </row>
    <row r="119" spans="1:4" x14ac:dyDescent="0.35">
      <c r="A119" t="s">
        <v>278</v>
      </c>
      <c r="B119" s="23">
        <v>181444.88</v>
      </c>
      <c r="C119" s="23">
        <v>7035</v>
      </c>
      <c r="D119" s="22">
        <v>3.8699999999999998E-2</v>
      </c>
    </row>
    <row r="120" spans="1:4" x14ac:dyDescent="0.35">
      <c r="A120" t="s">
        <v>279</v>
      </c>
      <c r="B120" s="23">
        <v>961637.54</v>
      </c>
      <c r="C120" s="23">
        <v>232866.25</v>
      </c>
      <c r="D120" s="22">
        <v>0.24210000000000001</v>
      </c>
    </row>
    <row r="121" spans="1:4" x14ac:dyDescent="0.35">
      <c r="A121" t="s">
        <v>280</v>
      </c>
      <c r="B121" s="23">
        <v>353985.32</v>
      </c>
      <c r="C121" s="23">
        <v>2249</v>
      </c>
      <c r="D121" s="22">
        <v>6.3E-3</v>
      </c>
    </row>
    <row r="122" spans="1:4" x14ac:dyDescent="0.35">
      <c r="A122" t="s">
        <v>281</v>
      </c>
      <c r="B122" s="23">
        <v>753526.25</v>
      </c>
      <c r="C122" s="23">
        <v>366482.48</v>
      </c>
      <c r="D122" s="22">
        <v>0.48630000000000001</v>
      </c>
    </row>
    <row r="123" spans="1:4" x14ac:dyDescent="0.35">
      <c r="A123" t="s">
        <v>282</v>
      </c>
      <c r="B123" s="23">
        <v>953992.69</v>
      </c>
      <c r="C123" s="23">
        <v>371150.68</v>
      </c>
      <c r="D123" s="22">
        <v>0.38900000000000001</v>
      </c>
    </row>
    <row r="124" spans="1:4" x14ac:dyDescent="0.35">
      <c r="A124" t="s">
        <v>283</v>
      </c>
      <c r="B124" s="23">
        <v>1790850.41</v>
      </c>
      <c r="C124" s="23">
        <v>141734</v>
      </c>
      <c r="D124" s="22">
        <v>7.9100000000000004E-2</v>
      </c>
    </row>
    <row r="125" spans="1:4" x14ac:dyDescent="0.35">
      <c r="A125" t="s">
        <v>284</v>
      </c>
      <c r="B125" s="23">
        <v>175848.5</v>
      </c>
      <c r="C125" s="23">
        <v>65046.7</v>
      </c>
      <c r="D125" s="22">
        <v>0.36990000000000001</v>
      </c>
    </row>
    <row r="126" spans="1:4" x14ac:dyDescent="0.35">
      <c r="A126" t="s">
        <v>285</v>
      </c>
      <c r="B126" s="23">
        <v>897640.3</v>
      </c>
      <c r="C126" s="23">
        <v>47508</v>
      </c>
      <c r="D126" s="22">
        <v>5.2900000000000003E-2</v>
      </c>
    </row>
    <row r="127" spans="1:4" x14ac:dyDescent="0.35">
      <c r="A127" t="s">
        <v>286</v>
      </c>
      <c r="B127" s="23">
        <v>481577.31</v>
      </c>
      <c r="C127" s="23">
        <v>57969.38</v>
      </c>
      <c r="D127" s="22">
        <v>0.1203</v>
      </c>
    </row>
    <row r="128" spans="1:4" x14ac:dyDescent="0.35">
      <c r="A128" t="s">
        <v>287</v>
      </c>
      <c r="B128" s="23">
        <v>777089.86</v>
      </c>
      <c r="C128" s="23">
        <v>409459.9</v>
      </c>
      <c r="D128" s="22">
        <v>0.52690000000000003</v>
      </c>
    </row>
    <row r="129" spans="1:4" x14ac:dyDescent="0.35">
      <c r="A129" t="s">
        <v>288</v>
      </c>
      <c r="B129" s="23">
        <v>34831.800000000003</v>
      </c>
      <c r="C129" s="23">
        <v>-2166</v>
      </c>
      <c r="D129" s="22">
        <v>-6.2100000000000002E-2</v>
      </c>
    </row>
    <row r="130" spans="1:4" x14ac:dyDescent="0.35">
      <c r="A130" t="s">
        <v>289</v>
      </c>
      <c r="B130" s="23">
        <v>184334.55</v>
      </c>
      <c r="C130" s="23">
        <v>6420</v>
      </c>
      <c r="D130" s="22">
        <v>3.4799999999999998E-2</v>
      </c>
    </row>
    <row r="131" spans="1:4" x14ac:dyDescent="0.35">
      <c r="A131" t="s">
        <v>290</v>
      </c>
      <c r="B131" s="23">
        <v>273192.90000000002</v>
      </c>
      <c r="C131" s="23">
        <v>25720.12</v>
      </c>
      <c r="D131" s="22">
        <v>9.4100000000000003E-2</v>
      </c>
    </row>
    <row r="132" spans="1:4" x14ac:dyDescent="0.35">
      <c r="A132" t="s">
        <v>291</v>
      </c>
      <c r="B132" s="23">
        <v>451069.21</v>
      </c>
      <c r="C132" s="23">
        <v>28496.92</v>
      </c>
      <c r="D132" s="22">
        <v>6.3100000000000003E-2</v>
      </c>
    </row>
    <row r="133" spans="1:4" x14ac:dyDescent="0.35">
      <c r="A133" t="s">
        <v>292</v>
      </c>
      <c r="B133" s="23">
        <v>289722.33</v>
      </c>
      <c r="C133" s="23">
        <v>0</v>
      </c>
      <c r="D133" s="22">
        <v>0</v>
      </c>
    </row>
    <row r="134" spans="1:4" x14ac:dyDescent="0.35">
      <c r="A134" t="s">
        <v>293</v>
      </c>
      <c r="B134" s="23">
        <v>43508.61</v>
      </c>
      <c r="C134" s="23">
        <v>29269.759999999998</v>
      </c>
      <c r="D134" s="22">
        <v>0.67269999999999996</v>
      </c>
    </row>
    <row r="135" spans="1:4" x14ac:dyDescent="0.35">
      <c r="A135" t="s">
        <v>294</v>
      </c>
      <c r="B135" s="23">
        <v>84252.11</v>
      </c>
      <c r="C135" s="23">
        <v>1541</v>
      </c>
      <c r="D135" s="22">
        <v>1.8200000000000001E-2</v>
      </c>
    </row>
    <row r="136" spans="1:4" x14ac:dyDescent="0.35">
      <c r="A136" t="s">
        <v>295</v>
      </c>
      <c r="B136" s="23">
        <v>103846517.22</v>
      </c>
      <c r="C136" s="23">
        <v>1211843.33</v>
      </c>
      <c r="D136" s="22">
        <v>1.1599999999999999E-2</v>
      </c>
    </row>
    <row r="137" spans="1:4" x14ac:dyDescent="0.35">
      <c r="D137"/>
    </row>
    <row r="138" spans="1:4" x14ac:dyDescent="0.35">
      <c r="D138"/>
    </row>
    <row r="139" spans="1:4" x14ac:dyDescent="0.35">
      <c r="D139"/>
    </row>
    <row r="140" spans="1:4" x14ac:dyDescent="0.35">
      <c r="D140"/>
    </row>
    <row r="141" spans="1:4" x14ac:dyDescent="0.35">
      <c r="D141"/>
    </row>
    <row r="142" spans="1:4" x14ac:dyDescent="0.35">
      <c r="D142"/>
    </row>
    <row r="143" spans="1:4" x14ac:dyDescent="0.35">
      <c r="D143"/>
    </row>
    <row r="144" spans="1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  <row r="283" spans="4:4" x14ac:dyDescent="0.35">
      <c r="D283"/>
    </row>
    <row r="284" spans="4:4" x14ac:dyDescent="0.35">
      <c r="D284"/>
    </row>
    <row r="285" spans="4:4" x14ac:dyDescent="0.35">
      <c r="D285"/>
    </row>
    <row r="286" spans="4:4" x14ac:dyDescent="0.35">
      <c r="D286"/>
    </row>
    <row r="287" spans="4:4" x14ac:dyDescent="0.35">
      <c r="D287"/>
    </row>
    <row r="288" spans="4:4" x14ac:dyDescent="0.35">
      <c r="D288"/>
    </row>
    <row r="289" spans="4:4" x14ac:dyDescent="0.35">
      <c r="D289"/>
    </row>
    <row r="290" spans="4:4" x14ac:dyDescent="0.35">
      <c r="D290"/>
    </row>
    <row r="291" spans="4:4" x14ac:dyDescent="0.35">
      <c r="D291"/>
    </row>
    <row r="292" spans="4:4" x14ac:dyDescent="0.35">
      <c r="D292"/>
    </row>
    <row r="293" spans="4:4" x14ac:dyDescent="0.35">
      <c r="D293"/>
    </row>
    <row r="294" spans="4:4" x14ac:dyDescent="0.35">
      <c r="D294"/>
    </row>
    <row r="295" spans="4:4" x14ac:dyDescent="0.35">
      <c r="D295"/>
    </row>
    <row r="296" spans="4:4" x14ac:dyDescent="0.35">
      <c r="D296"/>
    </row>
    <row r="297" spans="4:4" x14ac:dyDescent="0.35">
      <c r="D297"/>
    </row>
    <row r="298" spans="4:4" x14ac:dyDescent="0.35">
      <c r="D298"/>
    </row>
    <row r="299" spans="4:4" x14ac:dyDescent="0.35">
      <c r="D299"/>
    </row>
    <row r="300" spans="4:4" x14ac:dyDescent="0.35">
      <c r="D300"/>
    </row>
    <row r="301" spans="4:4" x14ac:dyDescent="0.35">
      <c r="D301"/>
    </row>
    <row r="302" spans="4:4" x14ac:dyDescent="0.35">
      <c r="D302"/>
    </row>
    <row r="303" spans="4:4" x14ac:dyDescent="0.35">
      <c r="D303"/>
    </row>
    <row r="304" spans="4:4" x14ac:dyDescent="0.35">
      <c r="D304"/>
    </row>
    <row r="305" spans="4:4" x14ac:dyDescent="0.35">
      <c r="D305"/>
    </row>
    <row r="306" spans="4:4" x14ac:dyDescent="0.35">
      <c r="D306"/>
    </row>
    <row r="307" spans="4:4" x14ac:dyDescent="0.35">
      <c r="D307"/>
    </row>
    <row r="308" spans="4:4" x14ac:dyDescent="0.35">
      <c r="D308"/>
    </row>
    <row r="309" spans="4:4" x14ac:dyDescent="0.35">
      <c r="D309"/>
    </row>
    <row r="310" spans="4:4" x14ac:dyDescent="0.35">
      <c r="D310"/>
    </row>
    <row r="311" spans="4:4" x14ac:dyDescent="0.35">
      <c r="D311"/>
    </row>
    <row r="312" spans="4:4" x14ac:dyDescent="0.35">
      <c r="D312"/>
    </row>
    <row r="313" spans="4:4" x14ac:dyDescent="0.35">
      <c r="D313"/>
    </row>
    <row r="314" spans="4:4" x14ac:dyDescent="0.35">
      <c r="D314"/>
    </row>
    <row r="315" spans="4:4" x14ac:dyDescent="0.35">
      <c r="D315"/>
    </row>
    <row r="316" spans="4:4" x14ac:dyDescent="0.35">
      <c r="D316"/>
    </row>
    <row r="317" spans="4:4" x14ac:dyDescent="0.35">
      <c r="D317"/>
    </row>
    <row r="318" spans="4:4" x14ac:dyDescent="0.35">
      <c r="D318"/>
    </row>
    <row r="319" spans="4:4" x14ac:dyDescent="0.35">
      <c r="D319"/>
    </row>
    <row r="320" spans="4:4" x14ac:dyDescent="0.35">
      <c r="D320"/>
    </row>
    <row r="321" spans="4:4" x14ac:dyDescent="0.35">
      <c r="D321"/>
    </row>
    <row r="322" spans="4:4" x14ac:dyDescent="0.35">
      <c r="D322"/>
    </row>
    <row r="323" spans="4:4" x14ac:dyDescent="0.35">
      <c r="D323"/>
    </row>
    <row r="324" spans="4:4" x14ac:dyDescent="0.35">
      <c r="D324"/>
    </row>
    <row r="325" spans="4:4" x14ac:dyDescent="0.35">
      <c r="D325"/>
    </row>
    <row r="326" spans="4:4" x14ac:dyDescent="0.35">
      <c r="D326"/>
    </row>
    <row r="327" spans="4:4" x14ac:dyDescent="0.35">
      <c r="D327"/>
    </row>
    <row r="328" spans="4:4" x14ac:dyDescent="0.35">
      <c r="D328"/>
    </row>
    <row r="329" spans="4:4" x14ac:dyDescent="0.35">
      <c r="D329"/>
    </row>
    <row r="330" spans="4:4" x14ac:dyDescent="0.35">
      <c r="D330"/>
    </row>
    <row r="331" spans="4:4" x14ac:dyDescent="0.35">
      <c r="D331"/>
    </row>
    <row r="332" spans="4:4" x14ac:dyDescent="0.35">
      <c r="D332"/>
    </row>
    <row r="333" spans="4:4" x14ac:dyDescent="0.35">
      <c r="D333"/>
    </row>
    <row r="334" spans="4:4" x14ac:dyDescent="0.35">
      <c r="D334"/>
    </row>
    <row r="335" spans="4:4" x14ac:dyDescent="0.35">
      <c r="D335"/>
    </row>
    <row r="336" spans="4:4" x14ac:dyDescent="0.35">
      <c r="D336"/>
    </row>
    <row r="337" spans="4:4" x14ac:dyDescent="0.35">
      <c r="D337"/>
    </row>
    <row r="338" spans="4:4" x14ac:dyDescent="0.35">
      <c r="D338"/>
    </row>
    <row r="339" spans="4:4" x14ac:dyDescent="0.35">
      <c r="D339"/>
    </row>
    <row r="340" spans="4:4" x14ac:dyDescent="0.35">
      <c r="D340"/>
    </row>
    <row r="341" spans="4:4" x14ac:dyDescent="0.35">
      <c r="D341"/>
    </row>
    <row r="342" spans="4:4" x14ac:dyDescent="0.35">
      <c r="D342"/>
    </row>
    <row r="343" spans="4:4" x14ac:dyDescent="0.35">
      <c r="D343"/>
    </row>
    <row r="344" spans="4:4" x14ac:dyDescent="0.35">
      <c r="D344"/>
    </row>
    <row r="345" spans="4:4" x14ac:dyDescent="0.35">
      <c r="D345"/>
    </row>
    <row r="346" spans="4:4" x14ac:dyDescent="0.35">
      <c r="D346"/>
    </row>
    <row r="347" spans="4:4" x14ac:dyDescent="0.35">
      <c r="D347"/>
    </row>
    <row r="348" spans="4:4" x14ac:dyDescent="0.35">
      <c r="D348"/>
    </row>
    <row r="349" spans="4:4" x14ac:dyDescent="0.35">
      <c r="D349"/>
    </row>
    <row r="350" spans="4:4" x14ac:dyDescent="0.35">
      <c r="D350"/>
    </row>
    <row r="351" spans="4:4" x14ac:dyDescent="0.35">
      <c r="D351"/>
    </row>
    <row r="352" spans="4:4" x14ac:dyDescent="0.35">
      <c r="D352"/>
    </row>
    <row r="353" spans="4:4" x14ac:dyDescent="0.35">
      <c r="D353"/>
    </row>
    <row r="354" spans="4:4" x14ac:dyDescent="0.35">
      <c r="D354"/>
    </row>
    <row r="355" spans="4:4" x14ac:dyDescent="0.35">
      <c r="D355"/>
    </row>
    <row r="356" spans="4:4" x14ac:dyDescent="0.35">
      <c r="D356"/>
    </row>
    <row r="357" spans="4:4" x14ac:dyDescent="0.35">
      <c r="D357"/>
    </row>
    <row r="358" spans="4:4" x14ac:dyDescent="0.35">
      <c r="D358"/>
    </row>
    <row r="359" spans="4:4" x14ac:dyDescent="0.35">
      <c r="D359"/>
    </row>
    <row r="360" spans="4:4" x14ac:dyDescent="0.35">
      <c r="D360"/>
    </row>
    <row r="361" spans="4:4" x14ac:dyDescent="0.35">
      <c r="D361"/>
    </row>
    <row r="362" spans="4:4" x14ac:dyDescent="0.35">
      <c r="D362"/>
    </row>
    <row r="363" spans="4:4" x14ac:dyDescent="0.35">
      <c r="D363"/>
    </row>
    <row r="364" spans="4:4" x14ac:dyDescent="0.35">
      <c r="D364"/>
    </row>
    <row r="365" spans="4:4" x14ac:dyDescent="0.35">
      <c r="D365"/>
    </row>
    <row r="366" spans="4:4" x14ac:dyDescent="0.35">
      <c r="D366"/>
    </row>
    <row r="367" spans="4:4" x14ac:dyDescent="0.35">
      <c r="D367"/>
    </row>
    <row r="368" spans="4:4" x14ac:dyDescent="0.35">
      <c r="D368"/>
    </row>
    <row r="369" spans="4:4" x14ac:dyDescent="0.35">
      <c r="D369"/>
    </row>
    <row r="370" spans="4:4" x14ac:dyDescent="0.35">
      <c r="D370"/>
    </row>
    <row r="371" spans="4:4" x14ac:dyDescent="0.35">
      <c r="D371"/>
    </row>
    <row r="372" spans="4:4" x14ac:dyDescent="0.35">
      <c r="D372"/>
    </row>
    <row r="373" spans="4:4" x14ac:dyDescent="0.35">
      <c r="D373"/>
    </row>
    <row r="374" spans="4:4" x14ac:dyDescent="0.35">
      <c r="D374"/>
    </row>
    <row r="375" spans="4:4" x14ac:dyDescent="0.35">
      <c r="D375"/>
    </row>
    <row r="376" spans="4:4" x14ac:dyDescent="0.35">
      <c r="D376"/>
    </row>
    <row r="377" spans="4:4" x14ac:dyDescent="0.35">
      <c r="D377"/>
    </row>
    <row r="378" spans="4:4" x14ac:dyDescent="0.35">
      <c r="D378"/>
    </row>
    <row r="379" spans="4:4" x14ac:dyDescent="0.35">
      <c r="D379"/>
    </row>
    <row r="380" spans="4:4" x14ac:dyDescent="0.35">
      <c r="D380"/>
    </row>
    <row r="381" spans="4:4" x14ac:dyDescent="0.35">
      <c r="D381"/>
    </row>
    <row r="382" spans="4:4" x14ac:dyDescent="0.35">
      <c r="D382"/>
    </row>
    <row r="383" spans="4:4" x14ac:dyDescent="0.35">
      <c r="D383"/>
    </row>
    <row r="384" spans="4:4" x14ac:dyDescent="0.35">
      <c r="D384"/>
    </row>
    <row r="385" spans="4:4" x14ac:dyDescent="0.35">
      <c r="D385"/>
    </row>
    <row r="386" spans="4:4" x14ac:dyDescent="0.35">
      <c r="D386"/>
    </row>
    <row r="387" spans="4:4" x14ac:dyDescent="0.35">
      <c r="D387"/>
    </row>
    <row r="388" spans="4:4" x14ac:dyDescent="0.35">
      <c r="D388"/>
    </row>
    <row r="389" spans="4:4" x14ac:dyDescent="0.35">
      <c r="D389"/>
    </row>
    <row r="390" spans="4:4" x14ac:dyDescent="0.35">
      <c r="D390"/>
    </row>
    <row r="391" spans="4:4" x14ac:dyDescent="0.35">
      <c r="D391"/>
    </row>
    <row r="392" spans="4:4" x14ac:dyDescent="0.35">
      <c r="D392"/>
    </row>
    <row r="393" spans="4:4" x14ac:dyDescent="0.35">
      <c r="D393"/>
    </row>
    <row r="394" spans="4:4" x14ac:dyDescent="0.35">
      <c r="D394"/>
    </row>
    <row r="395" spans="4:4" x14ac:dyDescent="0.35">
      <c r="D395"/>
    </row>
    <row r="396" spans="4:4" x14ac:dyDescent="0.35">
      <c r="D396"/>
    </row>
    <row r="397" spans="4:4" x14ac:dyDescent="0.35">
      <c r="D397"/>
    </row>
    <row r="398" spans="4:4" x14ac:dyDescent="0.35">
      <c r="D398"/>
    </row>
    <row r="399" spans="4:4" x14ac:dyDescent="0.35">
      <c r="D399"/>
    </row>
    <row r="400" spans="4:4" x14ac:dyDescent="0.35">
      <c r="D400"/>
    </row>
    <row r="401" spans="4:4" x14ac:dyDescent="0.35">
      <c r="D401"/>
    </row>
    <row r="402" spans="4:4" x14ac:dyDescent="0.35">
      <c r="D402"/>
    </row>
    <row r="403" spans="4:4" x14ac:dyDescent="0.35">
      <c r="D403"/>
    </row>
    <row r="404" spans="4:4" x14ac:dyDescent="0.35">
      <c r="D404"/>
    </row>
    <row r="405" spans="4:4" x14ac:dyDescent="0.35">
      <c r="D405"/>
    </row>
    <row r="406" spans="4:4" x14ac:dyDescent="0.35">
      <c r="D406"/>
    </row>
    <row r="407" spans="4:4" x14ac:dyDescent="0.35">
      <c r="D407"/>
    </row>
    <row r="408" spans="4:4" x14ac:dyDescent="0.35">
      <c r="D408"/>
    </row>
    <row r="409" spans="4:4" x14ac:dyDescent="0.35">
      <c r="D409"/>
    </row>
    <row r="410" spans="4:4" x14ac:dyDescent="0.35">
      <c r="D410"/>
    </row>
    <row r="411" spans="4:4" x14ac:dyDescent="0.35">
      <c r="D411"/>
    </row>
    <row r="412" spans="4:4" x14ac:dyDescent="0.35">
      <c r="D412"/>
    </row>
    <row r="413" spans="4:4" x14ac:dyDescent="0.35">
      <c r="D413"/>
    </row>
    <row r="414" spans="4:4" x14ac:dyDescent="0.35">
      <c r="D414"/>
    </row>
    <row r="415" spans="4:4" x14ac:dyDescent="0.35">
      <c r="D415"/>
    </row>
    <row r="416" spans="4:4" x14ac:dyDescent="0.35">
      <c r="D416"/>
    </row>
    <row r="417" spans="4:4" x14ac:dyDescent="0.35">
      <c r="D417"/>
    </row>
    <row r="418" spans="4:4" x14ac:dyDescent="0.35">
      <c r="D418"/>
    </row>
    <row r="419" spans="4:4" x14ac:dyDescent="0.35">
      <c r="D419"/>
    </row>
    <row r="420" spans="4:4" x14ac:dyDescent="0.35">
      <c r="D420"/>
    </row>
    <row r="421" spans="4:4" x14ac:dyDescent="0.35">
      <c r="D421"/>
    </row>
    <row r="422" spans="4:4" x14ac:dyDescent="0.35">
      <c r="D422"/>
    </row>
    <row r="423" spans="4:4" x14ac:dyDescent="0.35">
      <c r="D423"/>
    </row>
    <row r="424" spans="4:4" x14ac:dyDescent="0.35">
      <c r="D424"/>
    </row>
    <row r="425" spans="4:4" x14ac:dyDescent="0.35">
      <c r="D425"/>
    </row>
    <row r="426" spans="4:4" x14ac:dyDescent="0.35">
      <c r="D426"/>
    </row>
    <row r="427" spans="4:4" x14ac:dyDescent="0.35">
      <c r="D427"/>
    </row>
    <row r="428" spans="4:4" x14ac:dyDescent="0.35">
      <c r="D428"/>
    </row>
    <row r="429" spans="4:4" x14ac:dyDescent="0.35">
      <c r="D429"/>
    </row>
    <row r="430" spans="4:4" x14ac:dyDescent="0.35">
      <c r="D430"/>
    </row>
    <row r="431" spans="4:4" x14ac:dyDescent="0.35">
      <c r="D431"/>
    </row>
    <row r="432" spans="4:4" x14ac:dyDescent="0.35">
      <c r="D432"/>
    </row>
    <row r="433" spans="4:4" x14ac:dyDescent="0.35">
      <c r="D433"/>
    </row>
    <row r="434" spans="4:4" x14ac:dyDescent="0.35">
      <c r="D434"/>
    </row>
    <row r="435" spans="4:4" x14ac:dyDescent="0.35">
      <c r="D435"/>
    </row>
    <row r="436" spans="4:4" x14ac:dyDescent="0.35">
      <c r="D436"/>
    </row>
    <row r="437" spans="4:4" x14ac:dyDescent="0.35">
      <c r="D437"/>
    </row>
    <row r="438" spans="4:4" x14ac:dyDescent="0.35">
      <c r="D438"/>
    </row>
    <row r="439" spans="4:4" x14ac:dyDescent="0.35">
      <c r="D439"/>
    </row>
    <row r="440" spans="4:4" x14ac:dyDescent="0.35">
      <c r="D440"/>
    </row>
    <row r="441" spans="4:4" x14ac:dyDescent="0.35">
      <c r="D441"/>
    </row>
    <row r="442" spans="4:4" x14ac:dyDescent="0.35">
      <c r="D442"/>
    </row>
    <row r="443" spans="4:4" x14ac:dyDescent="0.35">
      <c r="D443"/>
    </row>
    <row r="444" spans="4:4" x14ac:dyDescent="0.35">
      <c r="D444"/>
    </row>
    <row r="445" spans="4:4" x14ac:dyDescent="0.35">
      <c r="D445"/>
    </row>
    <row r="446" spans="4:4" x14ac:dyDescent="0.35">
      <c r="D446"/>
    </row>
    <row r="447" spans="4:4" x14ac:dyDescent="0.35">
      <c r="D447"/>
    </row>
    <row r="448" spans="4:4" x14ac:dyDescent="0.35">
      <c r="D448"/>
    </row>
    <row r="449" spans="4:4" x14ac:dyDescent="0.35">
      <c r="D449"/>
    </row>
    <row r="450" spans="4:4" x14ac:dyDescent="0.35">
      <c r="D450"/>
    </row>
    <row r="451" spans="4:4" x14ac:dyDescent="0.35">
      <c r="D451"/>
    </row>
    <row r="452" spans="4:4" x14ac:dyDescent="0.35">
      <c r="D452"/>
    </row>
    <row r="453" spans="4:4" x14ac:dyDescent="0.35">
      <c r="D453"/>
    </row>
    <row r="454" spans="4:4" x14ac:dyDescent="0.35">
      <c r="D454"/>
    </row>
    <row r="455" spans="4:4" x14ac:dyDescent="0.35">
      <c r="D455"/>
    </row>
    <row r="456" spans="4:4" x14ac:dyDescent="0.35">
      <c r="D456"/>
    </row>
    <row r="457" spans="4:4" x14ac:dyDescent="0.35">
      <c r="D457"/>
    </row>
    <row r="458" spans="4:4" x14ac:dyDescent="0.35">
      <c r="D458"/>
    </row>
    <row r="459" spans="4:4" x14ac:dyDescent="0.35">
      <c r="D459"/>
    </row>
    <row r="460" spans="4:4" x14ac:dyDescent="0.35">
      <c r="D460"/>
    </row>
    <row r="461" spans="4:4" x14ac:dyDescent="0.35">
      <c r="D461"/>
    </row>
    <row r="462" spans="4:4" x14ac:dyDescent="0.35">
      <c r="D462"/>
    </row>
    <row r="463" spans="4:4" x14ac:dyDescent="0.35">
      <c r="D463"/>
    </row>
    <row r="464" spans="4:4" x14ac:dyDescent="0.35">
      <c r="D464"/>
    </row>
    <row r="465" spans="4:4" x14ac:dyDescent="0.35">
      <c r="D465"/>
    </row>
    <row r="466" spans="4:4" x14ac:dyDescent="0.35">
      <c r="D466"/>
    </row>
    <row r="467" spans="4:4" x14ac:dyDescent="0.35">
      <c r="D467"/>
    </row>
    <row r="468" spans="4:4" x14ac:dyDescent="0.35">
      <c r="D468"/>
    </row>
    <row r="469" spans="4:4" x14ac:dyDescent="0.35">
      <c r="D469"/>
    </row>
    <row r="470" spans="4:4" x14ac:dyDescent="0.35">
      <c r="D470"/>
    </row>
    <row r="471" spans="4:4" x14ac:dyDescent="0.35">
      <c r="D471"/>
    </row>
    <row r="472" spans="4:4" x14ac:dyDescent="0.35">
      <c r="D472"/>
    </row>
    <row r="473" spans="4:4" x14ac:dyDescent="0.35">
      <c r="D473"/>
    </row>
    <row r="474" spans="4:4" x14ac:dyDescent="0.35">
      <c r="D474"/>
    </row>
    <row r="475" spans="4:4" x14ac:dyDescent="0.35">
      <c r="D475"/>
    </row>
    <row r="476" spans="4:4" x14ac:dyDescent="0.35">
      <c r="D476"/>
    </row>
    <row r="477" spans="4:4" x14ac:dyDescent="0.35">
      <c r="D477"/>
    </row>
    <row r="478" spans="4:4" x14ac:dyDescent="0.35">
      <c r="D478"/>
    </row>
    <row r="479" spans="4:4" x14ac:dyDescent="0.35">
      <c r="D479"/>
    </row>
    <row r="480" spans="4:4" x14ac:dyDescent="0.35">
      <c r="D480"/>
    </row>
    <row r="481" spans="4:4" x14ac:dyDescent="0.35">
      <c r="D481"/>
    </row>
    <row r="482" spans="4:4" x14ac:dyDescent="0.35">
      <c r="D482"/>
    </row>
    <row r="483" spans="4:4" x14ac:dyDescent="0.35">
      <c r="D483"/>
    </row>
    <row r="484" spans="4:4" x14ac:dyDescent="0.35">
      <c r="D484"/>
    </row>
    <row r="485" spans="4:4" x14ac:dyDescent="0.35">
      <c r="D485"/>
    </row>
    <row r="486" spans="4:4" x14ac:dyDescent="0.35">
      <c r="D486"/>
    </row>
    <row r="487" spans="4:4" x14ac:dyDescent="0.35">
      <c r="D487"/>
    </row>
    <row r="488" spans="4:4" x14ac:dyDescent="0.35">
      <c r="D488"/>
    </row>
    <row r="489" spans="4:4" x14ac:dyDescent="0.35">
      <c r="D489"/>
    </row>
    <row r="490" spans="4:4" x14ac:dyDescent="0.35">
      <c r="D490"/>
    </row>
    <row r="491" spans="4:4" x14ac:dyDescent="0.35">
      <c r="D491"/>
    </row>
    <row r="492" spans="4:4" x14ac:dyDescent="0.35">
      <c r="D492"/>
    </row>
    <row r="493" spans="4:4" x14ac:dyDescent="0.35">
      <c r="D493"/>
    </row>
    <row r="494" spans="4:4" x14ac:dyDescent="0.35">
      <c r="D494"/>
    </row>
    <row r="495" spans="4:4" x14ac:dyDescent="0.35">
      <c r="D495"/>
    </row>
    <row r="496" spans="4:4" x14ac:dyDescent="0.35">
      <c r="D496"/>
    </row>
    <row r="497" spans="4:4" x14ac:dyDescent="0.35">
      <c r="D497"/>
    </row>
    <row r="498" spans="4:4" x14ac:dyDescent="0.35">
      <c r="D498"/>
    </row>
    <row r="499" spans="4:4" x14ac:dyDescent="0.35">
      <c r="D499"/>
    </row>
    <row r="500" spans="4:4" x14ac:dyDescent="0.35">
      <c r="D500"/>
    </row>
  </sheetData>
  <autoFilter ref="A2:D153" xr:uid="{00000000-0009-0000-0000-000000000000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rek.Derek">
                <anchor moveWithCells="1" sizeWithCells="1">
                  <from>
                    <xdr:col>8</xdr:col>
                    <xdr:colOff>723900</xdr:colOff>
                    <xdr:row>2</xdr:row>
                    <xdr:rowOff>19050</xdr:rowOff>
                  </from>
                  <to>
                    <xdr:col>8</xdr:col>
                    <xdr:colOff>2565400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erekEmail">
                <anchor moveWithCells="1" sizeWithCells="1">
                  <from>
                    <xdr:col>8</xdr:col>
                    <xdr:colOff>3086100</xdr:colOff>
                    <xdr:row>2</xdr:row>
                    <xdr:rowOff>31750</xdr:rowOff>
                  </from>
                  <to>
                    <xdr:col>8</xdr:col>
                    <xdr:colOff>4927600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8D7-F2FB-42A4-ABA2-A4C2138D6DAD}">
  <sheetPr codeName="Sheet7">
    <tabColor theme="7" tint="0.59999389629810485"/>
  </sheetPr>
  <dimension ref="A3:P53"/>
  <sheetViews>
    <sheetView tabSelected="1" zoomScaleNormal="100" workbookViewId="0">
      <selection activeCell="K11" sqref="K11"/>
    </sheetView>
  </sheetViews>
  <sheetFormatPr defaultRowHeight="14.5" x14ac:dyDescent="0.35"/>
  <cols>
    <col min="2" max="2" width="13.36328125" bestFit="1" customWidth="1"/>
    <col min="3" max="3" width="23" customWidth="1"/>
    <col min="4" max="4" width="27.453125" customWidth="1"/>
    <col min="5" max="5" width="19.08984375" bestFit="1" customWidth="1"/>
    <col min="6" max="6" width="14" customWidth="1"/>
    <col min="7" max="7" width="17.26953125" customWidth="1"/>
    <col min="8" max="8" width="21.1796875" customWidth="1"/>
    <col min="12" max="12" width="10.36328125" bestFit="1" customWidth="1"/>
    <col min="13" max="13" width="14" bestFit="1" customWidth="1"/>
    <col min="14" max="14" width="17.7265625" bestFit="1" customWidth="1"/>
    <col min="15" max="15" width="17" bestFit="1" customWidth="1"/>
    <col min="16" max="16" width="9.7265625" bestFit="1" customWidth="1"/>
    <col min="17" max="17" width="11.1796875" customWidth="1"/>
  </cols>
  <sheetData>
    <row r="3" spans="2:7" x14ac:dyDescent="0.35">
      <c r="B3" s="4"/>
      <c r="C3" s="4"/>
      <c r="D3" s="4"/>
      <c r="E3" s="4"/>
      <c r="F3" s="4"/>
      <c r="G3" s="4"/>
    </row>
    <row r="4" spans="2:7" x14ac:dyDescent="0.35">
      <c r="B4" s="4" t="s">
        <v>108</v>
      </c>
      <c r="C4" s="10">
        <v>2022</v>
      </c>
      <c r="D4" s="4"/>
      <c r="E4" s="4"/>
      <c r="F4" s="4"/>
      <c r="G4" s="4"/>
    </row>
    <row r="5" spans="2:7" x14ac:dyDescent="0.35">
      <c r="B5" s="4" t="s">
        <v>109</v>
      </c>
      <c r="C5" s="11">
        <v>10</v>
      </c>
      <c r="D5" s="19" t="s">
        <v>315</v>
      </c>
      <c r="E5" s="4"/>
      <c r="F5" s="4"/>
      <c r="G5" s="4"/>
    </row>
    <row r="6" spans="2:7" x14ac:dyDescent="0.35">
      <c r="B6" s="4" t="s">
        <v>140</v>
      </c>
      <c r="C6" s="10" t="s">
        <v>143</v>
      </c>
      <c r="D6" s="4"/>
      <c r="E6" s="4"/>
      <c r="F6" s="4"/>
      <c r="G6" s="4"/>
    </row>
    <row r="7" spans="2:7" x14ac:dyDescent="0.35">
      <c r="B7" s="4" t="s">
        <v>141</v>
      </c>
      <c r="C7" s="10" t="s">
        <v>142</v>
      </c>
      <c r="D7" s="4"/>
      <c r="E7" s="4"/>
      <c r="F7" s="4"/>
      <c r="G7" s="4"/>
    </row>
    <row r="8" spans="2:7" x14ac:dyDescent="0.35">
      <c r="B8" s="4" t="s">
        <v>111</v>
      </c>
      <c r="C8" s="4" t="s">
        <v>316</v>
      </c>
      <c r="D8" s="4"/>
      <c r="E8" s="4"/>
      <c r="F8" s="4"/>
      <c r="G8" s="4"/>
    </row>
    <row r="9" spans="2:7" x14ac:dyDescent="0.35">
      <c r="B9" s="4" t="s">
        <v>113</v>
      </c>
      <c r="C9" s="20" t="s">
        <v>326</v>
      </c>
      <c r="D9" s="4"/>
      <c r="E9" s="4"/>
      <c r="F9" s="4"/>
      <c r="G9" s="4"/>
    </row>
    <row r="10" spans="2:7" x14ac:dyDescent="0.35">
      <c r="B10" s="4"/>
      <c r="C10" s="4"/>
      <c r="D10" s="20"/>
      <c r="E10" s="4"/>
      <c r="F10" s="4"/>
      <c r="G10" s="4"/>
    </row>
    <row r="11" spans="2:7" x14ac:dyDescent="0.35">
      <c r="B11" s="4"/>
      <c r="C11" s="7"/>
      <c r="D11" s="7" t="s">
        <v>318</v>
      </c>
      <c r="E11" s="4"/>
      <c r="F11" s="4"/>
      <c r="G11" s="4"/>
    </row>
    <row r="12" spans="2:7" x14ac:dyDescent="0.35">
      <c r="B12" s="4"/>
      <c r="C12" s="7" t="s">
        <v>151</v>
      </c>
      <c r="D12" s="40" t="str">
        <f>HYPERLINK("J:\Acctng\Financials\STORY\"&amp;C4&amp;"\Production "&amp;C4&amp;".xlsx")</f>
        <v>J:\Acctng\Financials\STORY\2022\Production 2022.xlsx</v>
      </c>
      <c r="E12" s="24"/>
      <c r="F12" s="4"/>
      <c r="G12" s="4"/>
    </row>
    <row r="13" spans="2:7" x14ac:dyDescent="0.35">
      <c r="B13" s="4"/>
      <c r="C13" s="7" t="s">
        <v>127</v>
      </c>
      <c r="D13" s="9" t="s">
        <v>317</v>
      </c>
      <c r="E13" s="4"/>
      <c r="F13" s="4"/>
      <c r="G13" s="4"/>
    </row>
    <row r="14" spans="2:7" x14ac:dyDescent="0.35">
      <c r="B14" s="4"/>
      <c r="C14" s="6"/>
      <c r="D14" s="6"/>
      <c r="E14" s="4"/>
      <c r="F14" s="4"/>
      <c r="G14" s="4"/>
    </row>
    <row r="15" spans="2:7" x14ac:dyDescent="0.35">
      <c r="B15" s="4"/>
      <c r="C15" s="5"/>
      <c r="D15" s="5"/>
      <c r="E15" s="4"/>
      <c r="F15" s="4"/>
      <c r="G15" s="4"/>
    </row>
    <row r="19" spans="1:16" x14ac:dyDescent="0.35">
      <c r="H19" s="13"/>
      <c r="I19" s="13"/>
      <c r="J19" s="13"/>
    </row>
    <row r="20" spans="1:16" x14ac:dyDescent="0.35">
      <c r="B20" s="39" t="s">
        <v>324</v>
      </c>
      <c r="C20" s="39"/>
      <c r="D20" s="39"/>
      <c r="E20" s="39"/>
      <c r="F20" s="39"/>
      <c r="G20" s="39"/>
      <c r="H20" s="39"/>
      <c r="I20" s="37" t="s">
        <v>322</v>
      </c>
      <c r="J20" s="37"/>
      <c r="K20" s="37"/>
      <c r="L20" s="37"/>
      <c r="M20" s="37"/>
      <c r="N20" s="37"/>
      <c r="O20" s="38" t="s">
        <v>323</v>
      </c>
      <c r="P20" s="38"/>
    </row>
    <row r="21" spans="1:16" x14ac:dyDescent="0.35">
      <c r="B21" s="27" t="s">
        <v>123</v>
      </c>
      <c r="C21" s="27" t="s">
        <v>144</v>
      </c>
      <c r="D21" s="27" t="s">
        <v>145</v>
      </c>
      <c r="E21" s="27" t="s">
        <v>146</v>
      </c>
      <c r="F21" s="27" t="s">
        <v>88</v>
      </c>
      <c r="G21" s="27" t="s">
        <v>147</v>
      </c>
      <c r="H21" s="28" t="s">
        <v>95</v>
      </c>
      <c r="I21" s="29" t="s">
        <v>146</v>
      </c>
      <c r="J21" s="29" t="s">
        <v>88</v>
      </c>
      <c r="K21" s="29" t="s">
        <v>147</v>
      </c>
      <c r="L21" s="29" t="s">
        <v>95</v>
      </c>
      <c r="M21" s="29" t="s">
        <v>319</v>
      </c>
      <c r="N21" s="29" t="s">
        <v>320</v>
      </c>
      <c r="O21" s="30" t="s">
        <v>87</v>
      </c>
      <c r="P21" s="30" t="s">
        <v>321</v>
      </c>
    </row>
    <row r="22" spans="1:16" x14ac:dyDescent="0.35">
      <c r="B22" s="21">
        <v>10</v>
      </c>
      <c r="C22" s="21">
        <v>13.323</v>
      </c>
      <c r="D22" s="21">
        <v>27.324000000000002</v>
      </c>
      <c r="E22" s="21" t="s">
        <v>83</v>
      </c>
      <c r="F22" s="21" t="s">
        <v>84</v>
      </c>
      <c r="G22" s="21" t="s">
        <v>85</v>
      </c>
      <c r="H22" s="21" t="s">
        <v>86</v>
      </c>
      <c r="I22" s="25" t="s">
        <v>83</v>
      </c>
      <c r="J22" s="25" t="s">
        <v>84</v>
      </c>
      <c r="K22" s="25" t="s">
        <v>85</v>
      </c>
      <c r="L22" s="25" t="s">
        <v>86</v>
      </c>
      <c r="M22" s="25" cm="1">
        <f t="array" ref="M22">IFERROR(INDEX($C$22:$C$35,MATCH($I22&amp;$J22&amp;$K22&amp;$L22,$E$22:$E$32&amp;$F$22:$F$32&amp;$G$22:$G$32&amp;$H$22:$H$32,0)),0)</f>
        <v>13.323</v>
      </c>
      <c r="N22" s="25" cm="1">
        <f t="array" ref="N22">IFERROR(INDEX($D$22:$D$35,MATCH($I22&amp;$J22&amp;$K22&amp;$L22,$E$22:$E$32&amp;$F$22:$F$32&amp;$G$22:$G$32&amp;$H$22:$H$32,0)),0)</f>
        <v>27.324000000000002</v>
      </c>
      <c r="O22" s="31" t="s">
        <v>89</v>
      </c>
      <c r="P22" s="32">
        <f>M22</f>
        <v>13.323</v>
      </c>
    </row>
    <row r="23" spans="1:16" x14ac:dyDescent="0.35">
      <c r="B23" s="21">
        <v>10</v>
      </c>
      <c r="C23" s="21">
        <v>8.6639999999999997</v>
      </c>
      <c r="D23" s="21">
        <v>0</v>
      </c>
      <c r="E23" s="21" t="s">
        <v>83</v>
      </c>
      <c r="F23" s="21" t="s">
        <v>88</v>
      </c>
      <c r="G23" s="21" t="s">
        <v>85</v>
      </c>
      <c r="H23" s="21" t="s">
        <v>86</v>
      </c>
      <c r="I23" s="25" t="s">
        <v>83</v>
      </c>
      <c r="J23" s="25" t="s">
        <v>88</v>
      </c>
      <c r="K23" s="25" t="s">
        <v>85</v>
      </c>
      <c r="L23" s="25" t="s">
        <v>86</v>
      </c>
      <c r="M23" s="25" cm="1">
        <f t="array" ref="M23">IFERROR(INDEX($C$22:$C$35,MATCH($I23&amp;$J23&amp;$K23&amp;$L23,$E$22:$E$32&amp;$F$22:$F$32&amp;$G$22:$G$32&amp;$H$22:$H$32,0)),0)</f>
        <v>8.6639999999999997</v>
      </c>
      <c r="N23" s="25" cm="1">
        <f t="array" ref="N23">IFERROR(INDEX($D$22:$D$35,MATCH($I23&amp;$J23&amp;$K23&amp;$L23,$E$22:$E$32&amp;$F$22:$F$32&amp;$G$22:$G$32&amp;$H$22:$H$32,0)),0)</f>
        <v>0</v>
      </c>
      <c r="O23" s="31" t="s">
        <v>88</v>
      </c>
      <c r="P23" s="33">
        <f>M23+N23</f>
        <v>8.6639999999999997</v>
      </c>
    </row>
    <row r="24" spans="1:16" x14ac:dyDescent="0.35">
      <c r="B24" s="21">
        <v>10</v>
      </c>
      <c r="C24" s="21">
        <v>0.95699999999999996</v>
      </c>
      <c r="D24" s="21">
        <v>6.5650000000000004</v>
      </c>
      <c r="E24" s="21" t="s">
        <v>83</v>
      </c>
      <c r="F24" s="21" t="s">
        <v>84</v>
      </c>
      <c r="G24" s="21" t="s">
        <v>90</v>
      </c>
      <c r="H24" s="21" t="s">
        <v>86</v>
      </c>
      <c r="I24" s="25" t="s">
        <v>83</v>
      </c>
      <c r="J24" s="25" t="s">
        <v>84</v>
      </c>
      <c r="K24" s="25" t="s">
        <v>90</v>
      </c>
      <c r="L24" s="25" t="s">
        <v>86</v>
      </c>
      <c r="M24" s="25" cm="1">
        <f t="array" ref="M24">IFERROR(INDEX($C$22:$C$35,MATCH($I24&amp;$J24&amp;$K24&amp;$L24,$E$22:$E$32&amp;$F$22:$F$32&amp;$G$22:$G$32&amp;$H$22:$H$32,0)),0)</f>
        <v>0.95699999999999996</v>
      </c>
      <c r="N24" s="25" cm="1">
        <f t="array" ref="N24">IFERROR(INDEX($D$22:$D$35,MATCH($I24&amp;$J24&amp;$K24&amp;$L24,$E$22:$E$32&amp;$F$22:$F$32&amp;$G$22:$G$32&amp;$H$22:$H$32,0)),0)</f>
        <v>6.5650000000000004</v>
      </c>
      <c r="O24" s="31" t="s">
        <v>92</v>
      </c>
      <c r="P24" s="34">
        <f>N22</f>
        <v>27.324000000000002</v>
      </c>
    </row>
    <row r="25" spans="1:16" x14ac:dyDescent="0.35">
      <c r="B25" s="21">
        <v>10</v>
      </c>
      <c r="C25" s="21">
        <v>4.0549999999999997</v>
      </c>
      <c r="D25" s="21">
        <v>1.07</v>
      </c>
      <c r="E25" s="21" t="s">
        <v>91</v>
      </c>
      <c r="F25" s="21" t="s">
        <v>84</v>
      </c>
      <c r="G25" s="21" t="s">
        <v>85</v>
      </c>
      <c r="H25" s="21" t="s">
        <v>86</v>
      </c>
      <c r="I25" s="25" t="s">
        <v>91</v>
      </c>
      <c r="J25" s="25" t="s">
        <v>84</v>
      </c>
      <c r="K25" s="25" t="s">
        <v>85</v>
      </c>
      <c r="L25" s="25" t="s">
        <v>86</v>
      </c>
      <c r="M25" s="25" cm="1">
        <f t="array" ref="M25">IFERROR(INDEX($C$22:$C$35,MATCH($I25&amp;$J25&amp;$K25&amp;$L25,$E$22:$E$32&amp;$F$22:$F$32&amp;$G$22:$G$32&amp;$H$22:$H$32,0)),0)</f>
        <v>4.0549999999999997</v>
      </c>
      <c r="N25" s="25" cm="1">
        <f t="array" ref="N25">IFERROR(INDEX($D$22:$D$35,MATCH($I25&amp;$J25&amp;$K25&amp;$L25,$E$22:$E$32&amp;$F$22:$F$32&amp;$G$22:$G$32&amp;$H$22:$H$32,0)),0)</f>
        <v>1.07</v>
      </c>
      <c r="O25" s="31" t="s">
        <v>93</v>
      </c>
      <c r="P25" s="26">
        <f>SUM(P22:P24)</f>
        <v>49.311000000000007</v>
      </c>
    </row>
    <row r="26" spans="1:16" x14ac:dyDescent="0.35">
      <c r="B26" s="21">
        <v>10</v>
      </c>
      <c r="C26" s="21">
        <v>2.0699999999999998</v>
      </c>
      <c r="D26" s="21">
        <v>0</v>
      </c>
      <c r="E26" s="21" t="s">
        <v>91</v>
      </c>
      <c r="F26" s="21" t="s">
        <v>84</v>
      </c>
      <c r="G26" s="21" t="s">
        <v>90</v>
      </c>
      <c r="H26" s="21" t="s">
        <v>86</v>
      </c>
      <c r="I26" s="25" t="s">
        <v>91</v>
      </c>
      <c r="J26" s="25" t="s">
        <v>84</v>
      </c>
      <c r="K26" s="25" t="s">
        <v>90</v>
      </c>
      <c r="L26" s="25" t="s">
        <v>86</v>
      </c>
      <c r="M26" s="25" cm="1">
        <f t="array" ref="M26">IFERROR(INDEX($C$22:$C$35,MATCH($I26&amp;$J26&amp;$K26&amp;$L26,$E$22:$E$32&amp;$F$22:$F$32&amp;$G$22:$G$32&amp;$H$22:$H$32,0)),0)</f>
        <v>2.0699999999999998</v>
      </c>
      <c r="N26" s="25" cm="1">
        <f t="array" ref="N26">IFERROR(INDEX($D$22:$D$35,MATCH($I26&amp;$J26&amp;$K26&amp;$L26,$E$22:$E$32&amp;$F$22:$F$32&amp;$G$22:$G$32&amp;$H$22:$H$32,0)),0)</f>
        <v>0</v>
      </c>
      <c r="O26" s="31" t="s">
        <v>94</v>
      </c>
      <c r="P26" s="32">
        <f>M27+N27</f>
        <v>3.41</v>
      </c>
    </row>
    <row r="27" spans="1:16" x14ac:dyDescent="0.35">
      <c r="B27" s="21">
        <v>10</v>
      </c>
      <c r="C27" s="21">
        <v>1.6160000000000001</v>
      </c>
      <c r="D27" s="21">
        <v>0</v>
      </c>
      <c r="E27" s="21" t="s">
        <v>94</v>
      </c>
      <c r="F27" s="21" t="s">
        <v>84</v>
      </c>
      <c r="G27" s="21" t="s">
        <v>85</v>
      </c>
      <c r="H27" s="21" t="s">
        <v>95</v>
      </c>
      <c r="I27" s="25" t="s">
        <v>94</v>
      </c>
      <c r="J27" s="25" t="s">
        <v>84</v>
      </c>
      <c r="K27" s="25" t="s">
        <v>85</v>
      </c>
      <c r="L27" s="25" t="s">
        <v>86</v>
      </c>
      <c r="M27" s="25" cm="1">
        <f t="array" ref="M27">IFERROR(INDEX($C$22:$C$35,MATCH($I27&amp;$J27&amp;$K27&amp;$L27,$E$22:$E$32&amp;$F$22:$F$32&amp;$G$22:$G$32&amp;$H$22:$H$32,0)),0)</f>
        <v>3.41</v>
      </c>
      <c r="N27" s="25" cm="1">
        <f t="array" ref="N27">IFERROR(INDEX($D$22:$D$35,MATCH($I27&amp;$J27&amp;$K27&amp;$L27,$E$22:$E$32&amp;$F$22:$F$32&amp;$G$22:$G$32&amp;$H$22:$H$32,0)),0)</f>
        <v>0</v>
      </c>
      <c r="O27" s="31" t="s">
        <v>96</v>
      </c>
      <c r="P27" s="33">
        <f>M28+N28</f>
        <v>1.6160000000000001</v>
      </c>
    </row>
    <row r="28" spans="1:16" x14ac:dyDescent="0.35">
      <c r="B28" s="21">
        <v>10</v>
      </c>
      <c r="C28" s="21">
        <v>3.41</v>
      </c>
      <c r="D28" s="21">
        <v>0</v>
      </c>
      <c r="E28" s="21" t="s">
        <v>94</v>
      </c>
      <c r="F28" s="21" t="s">
        <v>84</v>
      </c>
      <c r="G28" s="21" t="s">
        <v>85</v>
      </c>
      <c r="H28" s="21" t="s">
        <v>86</v>
      </c>
      <c r="I28" s="25" t="s">
        <v>94</v>
      </c>
      <c r="J28" s="25" t="s">
        <v>84</v>
      </c>
      <c r="K28" s="25" t="s">
        <v>85</v>
      </c>
      <c r="L28" s="25" t="s">
        <v>95</v>
      </c>
      <c r="M28" s="25" cm="1">
        <f t="array" ref="M28">IFERROR(INDEX($C$22:$C$35,MATCH($I28&amp;$J28&amp;$K28&amp;$L28,$E$22:$E$32&amp;$F$22:$F$32&amp;$G$22:$G$32&amp;$H$22:$H$32,0)),0)</f>
        <v>1.6160000000000001</v>
      </c>
      <c r="N28" s="25" cm="1">
        <f t="array" ref="N28">IFERROR(INDEX($D$22:$D$35,MATCH($I28&amp;$J28&amp;$K28&amp;$L28,$E$22:$E$32&amp;$F$22:$F$32&amp;$G$22:$G$32&amp;$H$22:$H$32,0)),0)</f>
        <v>0</v>
      </c>
      <c r="O28" s="31" t="s">
        <v>98</v>
      </c>
      <c r="P28" s="33">
        <v>0</v>
      </c>
    </row>
    <row r="29" spans="1:16" x14ac:dyDescent="0.35">
      <c r="A29" s="13"/>
      <c r="B29" s="21">
        <v>10</v>
      </c>
      <c r="C29" s="21">
        <v>6.7919999999999998</v>
      </c>
      <c r="D29" s="21">
        <v>0</v>
      </c>
      <c r="E29" s="21" t="s">
        <v>97</v>
      </c>
      <c r="F29" s="21" t="s">
        <v>84</v>
      </c>
      <c r="G29" s="21" t="s">
        <v>85</v>
      </c>
      <c r="H29" s="21" t="s">
        <v>86</v>
      </c>
      <c r="I29" s="25" t="s">
        <v>97</v>
      </c>
      <c r="J29" s="25" t="s">
        <v>84</v>
      </c>
      <c r="K29" s="25" t="s">
        <v>85</v>
      </c>
      <c r="L29" s="25" t="s">
        <v>95</v>
      </c>
      <c r="M29" s="25" cm="1">
        <f t="array" ref="M29">IFERROR(INDEX($C$22:$C$35,MATCH($I29&amp;$J29&amp;$K29&amp;$L29,$E$22:$E$32&amp;$F$22:$F$32&amp;$G$22:$G$32&amp;$H$22:$H$32,0)),0)</f>
        <v>39.323999999999998</v>
      </c>
      <c r="N29" s="25" cm="1">
        <f t="array" ref="N29">IFERROR(INDEX($D$22:$D$35,MATCH($I29&amp;$J29&amp;$K29&amp;$L29,$E$22:$E$32&amp;$F$22:$F$32&amp;$G$22:$G$32&amp;$H$22:$H$32,0)),0)</f>
        <v>0</v>
      </c>
      <c r="O29" s="31" t="s">
        <v>91</v>
      </c>
      <c r="P29" s="33">
        <f>M25+N25</f>
        <v>5.125</v>
      </c>
    </row>
    <row r="30" spans="1:16" x14ac:dyDescent="0.35">
      <c r="B30" s="21">
        <v>10</v>
      </c>
      <c r="C30" s="21">
        <v>39.323999999999998</v>
      </c>
      <c r="D30" s="21">
        <v>0</v>
      </c>
      <c r="E30" s="21" t="s">
        <v>97</v>
      </c>
      <c r="F30" s="21" t="s">
        <v>84</v>
      </c>
      <c r="G30" s="21" t="s">
        <v>85</v>
      </c>
      <c r="H30" s="21" t="s">
        <v>95</v>
      </c>
      <c r="I30" s="25" t="s">
        <v>97</v>
      </c>
      <c r="J30" s="25" t="s">
        <v>84</v>
      </c>
      <c r="K30" s="25" t="s">
        <v>85</v>
      </c>
      <c r="L30" s="25" t="s">
        <v>86</v>
      </c>
      <c r="M30" s="25" cm="1">
        <f t="array" ref="M30">IFERROR(INDEX($C$22:$C$35,MATCH($I30&amp;$J30&amp;$K30&amp;$L30,$E$22:$E$32&amp;$F$22:$F$32&amp;$G$22:$G$32&amp;$H$22:$H$32,0)),0)</f>
        <v>6.7919999999999998</v>
      </c>
      <c r="N30" s="25" cm="1">
        <f t="array" ref="N30">IFERROR(INDEX($D$22:$D$35,MATCH($I30&amp;$J30&amp;$K30&amp;$L30,$E$22:$E$32&amp;$F$22:$F$32&amp;$G$22:$G$32&amp;$H$22:$H$32,0)),0)</f>
        <v>0</v>
      </c>
      <c r="O30" s="31" t="s">
        <v>99</v>
      </c>
      <c r="P30" s="33">
        <v>0</v>
      </c>
    </row>
    <row r="31" spans="1:16" x14ac:dyDescent="0.35">
      <c r="B31" s="21">
        <v>10</v>
      </c>
      <c r="C31" s="21">
        <v>0.17399999999999999</v>
      </c>
      <c r="D31" s="21">
        <v>0</v>
      </c>
      <c r="E31" s="21" t="s">
        <v>97</v>
      </c>
      <c r="F31" s="21" t="s">
        <v>84</v>
      </c>
      <c r="G31" s="21" t="s">
        <v>90</v>
      </c>
      <c r="H31" s="21" t="s">
        <v>95</v>
      </c>
      <c r="I31" s="25" t="s">
        <v>97</v>
      </c>
      <c r="J31" s="25" t="s">
        <v>84</v>
      </c>
      <c r="K31" s="25" t="s">
        <v>90</v>
      </c>
      <c r="L31" s="25" t="s">
        <v>95</v>
      </c>
      <c r="M31" s="25" cm="1">
        <f t="array" ref="M31">IFERROR(INDEX($C$22:$C$35,MATCH($I31&amp;$J31&amp;$K31&amp;$L31,$E$22:$E$32&amp;$F$22:$F$32&amp;$G$22:$G$32&amp;$H$22:$H$32,0)),0)</f>
        <v>0.17399999999999999</v>
      </c>
      <c r="N31" s="25" cm="1">
        <f t="array" ref="N31">IFERROR(INDEX($D$22:$D$35,MATCH($I31&amp;$J31&amp;$K31&amp;$L31,$E$22:$E$32&amp;$F$22:$F$32&amp;$G$22:$G$32&amp;$H$22:$H$32,0)),0)</f>
        <v>0</v>
      </c>
      <c r="O31" s="31" t="s">
        <v>100</v>
      </c>
      <c r="P31" s="34">
        <f>M29+M30</f>
        <v>46.116</v>
      </c>
    </row>
    <row r="32" spans="1:16" x14ac:dyDescent="0.35">
      <c r="B32" s="21"/>
      <c r="C32" s="21"/>
      <c r="D32" s="21"/>
      <c r="E32" s="21"/>
      <c r="F32" s="21"/>
      <c r="G32" s="21"/>
      <c r="H32" s="21"/>
      <c r="I32" s="25" t="s">
        <v>94</v>
      </c>
      <c r="J32" s="25" t="s">
        <v>84</v>
      </c>
      <c r="K32" s="25" t="s">
        <v>90</v>
      </c>
      <c r="L32" s="25" t="s">
        <v>86</v>
      </c>
      <c r="M32" s="25" cm="1">
        <f t="array" ref="M32">IFERROR(INDEX($C$22:$C$35,MATCH($I32&amp;$J32&amp;$K32&amp;$L32,$E$22:$E$32&amp;$F$22:$F$32&amp;$G$22:$G$32&amp;$H$22:$H$32,0)),0)</f>
        <v>0</v>
      </c>
      <c r="N32" s="25" cm="1">
        <f t="array" ref="N32">IFERROR(INDEX($D$22:$D$35,MATCH($I32&amp;$J32&amp;$K32&amp;$L32,$E$22:$E$32&amp;$F$22:$F$32&amp;$G$22:$G$32&amp;$H$22:$H$32,0)),0)</f>
        <v>0</v>
      </c>
      <c r="O32" s="31" t="s">
        <v>101</v>
      </c>
      <c r="P32" s="26">
        <f>SUM(P26:P31)+P25</f>
        <v>105.578</v>
      </c>
    </row>
    <row r="33" spans="2:16" x14ac:dyDescent="0.35">
      <c r="B33" s="21"/>
      <c r="C33" s="21"/>
      <c r="D33" s="21"/>
      <c r="E33" s="21"/>
      <c r="F33" s="21"/>
      <c r="G33" s="21"/>
      <c r="H33" s="21"/>
      <c r="I33" s="13"/>
      <c r="J33" s="13"/>
      <c r="O33" s="31" t="s">
        <v>102</v>
      </c>
      <c r="P33" s="35">
        <f>M24+N24+M26+N26+M31+N31+M32+N32</f>
        <v>9.766</v>
      </c>
    </row>
    <row r="34" spans="2:16" x14ac:dyDescent="0.35">
      <c r="B34" s="21"/>
      <c r="C34" s="21"/>
      <c r="D34" s="21"/>
      <c r="E34" s="21"/>
      <c r="F34" s="21"/>
      <c r="G34" s="21"/>
      <c r="H34" s="21"/>
      <c r="I34" s="13"/>
      <c r="J34" s="13"/>
      <c r="O34" s="31" t="s">
        <v>103</v>
      </c>
      <c r="P34" s="26">
        <f>P32+P33</f>
        <v>115.34400000000001</v>
      </c>
    </row>
    <row r="35" spans="2:16" x14ac:dyDescent="0.35">
      <c r="B35" s="21"/>
      <c r="C35" s="21"/>
      <c r="D35" s="21"/>
      <c r="E35" s="21"/>
      <c r="F35" s="21"/>
      <c r="G35" s="21"/>
      <c r="H35" s="21"/>
    </row>
    <row r="36" spans="2:16" x14ac:dyDescent="0.35">
      <c r="B36" s="13"/>
      <c r="C36" s="13"/>
      <c r="D36" s="13"/>
      <c r="E36" s="13"/>
      <c r="F36" s="13"/>
      <c r="G36" s="13"/>
      <c r="H36" s="13"/>
    </row>
    <row r="38" spans="2:16" x14ac:dyDescent="0.35">
      <c r="B38" s="39" t="s">
        <v>325</v>
      </c>
      <c r="C38" s="39"/>
      <c r="D38" s="39"/>
      <c r="E38" s="39"/>
      <c r="F38" s="39"/>
      <c r="G38" s="39"/>
      <c r="H38" s="39"/>
      <c r="I38" s="37" t="s">
        <v>322</v>
      </c>
      <c r="J38" s="37"/>
      <c r="K38" s="37"/>
      <c r="L38" s="37"/>
      <c r="M38" s="37"/>
      <c r="N38" s="37"/>
      <c r="O38" s="38" t="s">
        <v>323</v>
      </c>
      <c r="P38" s="38"/>
    </row>
    <row r="39" spans="2:16" x14ac:dyDescent="0.35">
      <c r="B39" s="27" t="s">
        <v>123</v>
      </c>
      <c r="C39" s="27" t="s">
        <v>144</v>
      </c>
      <c r="D39" s="27" t="s">
        <v>145</v>
      </c>
      <c r="E39" s="27" t="s">
        <v>146</v>
      </c>
      <c r="F39" s="27" t="s">
        <v>88</v>
      </c>
      <c r="G39" s="27" t="s">
        <v>147</v>
      </c>
      <c r="H39" s="28" t="s">
        <v>95</v>
      </c>
      <c r="I39" s="29" t="s">
        <v>146</v>
      </c>
      <c r="J39" s="29" t="s">
        <v>88</v>
      </c>
      <c r="K39" s="29" t="s">
        <v>147</v>
      </c>
      <c r="L39" s="29" t="s">
        <v>95</v>
      </c>
      <c r="M39" s="29" t="s">
        <v>319</v>
      </c>
      <c r="N39" s="29" t="s">
        <v>320</v>
      </c>
      <c r="O39" s="30" t="s">
        <v>87</v>
      </c>
      <c r="P39" s="30" t="s">
        <v>321</v>
      </c>
    </row>
    <row r="40" spans="2:16" x14ac:dyDescent="0.35">
      <c r="B40" s="21">
        <v>9</v>
      </c>
      <c r="C40" s="21">
        <v>14.007</v>
      </c>
      <c r="D40" s="21">
        <v>24.536000000000001</v>
      </c>
      <c r="E40" s="21" t="s">
        <v>83</v>
      </c>
      <c r="F40" s="21" t="s">
        <v>84</v>
      </c>
      <c r="G40" s="21" t="s">
        <v>85</v>
      </c>
      <c r="H40" s="21" t="s">
        <v>86</v>
      </c>
      <c r="I40" s="25" t="s">
        <v>83</v>
      </c>
      <c r="J40" s="25" t="s">
        <v>84</v>
      </c>
      <c r="K40" s="25" t="s">
        <v>85</v>
      </c>
      <c r="L40" s="25" t="s">
        <v>86</v>
      </c>
      <c r="M40" s="25" cm="1">
        <f t="array" ref="M40">IFERROR(INDEX($C$40:$C$53,MATCH($I40&amp;$J40&amp;$K40&amp;$L40,$E$40:$E$50&amp;$F$40:$F$50&amp;$G$40:$G$50&amp;$H$40:$H$50,0)),0)</f>
        <v>14.007</v>
      </c>
      <c r="N40" s="25" cm="1">
        <f t="array" ref="N40">IFERROR(INDEX($D$40:$D$53,MATCH($I40&amp;$J40&amp;$K40&amp;$L40,$E$40:$E$50&amp;$F$40:$F$50&amp;$G$40:$G$50&amp;$H$40:$H$50,0)),0)</f>
        <v>24.536000000000001</v>
      </c>
      <c r="O40" s="31" t="s">
        <v>89</v>
      </c>
      <c r="P40" s="36">
        <f>M40</f>
        <v>14.007</v>
      </c>
    </row>
    <row r="41" spans="2:16" x14ac:dyDescent="0.35">
      <c r="B41" s="21">
        <v>9</v>
      </c>
      <c r="C41" s="21">
        <v>16.408000000000001</v>
      </c>
      <c r="D41" s="21">
        <v>7.1260000000000003</v>
      </c>
      <c r="E41" s="21" t="s">
        <v>83</v>
      </c>
      <c r="F41" s="21" t="s">
        <v>88</v>
      </c>
      <c r="G41" s="21" t="s">
        <v>85</v>
      </c>
      <c r="H41" s="21" t="s">
        <v>86</v>
      </c>
      <c r="I41" s="25" t="s">
        <v>83</v>
      </c>
      <c r="J41" s="25" t="s">
        <v>88</v>
      </c>
      <c r="K41" s="25" t="s">
        <v>85</v>
      </c>
      <c r="L41" s="25" t="s">
        <v>86</v>
      </c>
      <c r="M41" s="25" cm="1">
        <f t="array" ref="M41">IFERROR(INDEX($C$40:$C$53,MATCH($I41&amp;$J41&amp;$K41&amp;$L41,$E$40:$E$50&amp;$F$40:$F$50&amp;$G$40:$G$50&amp;$H$40:$H$50,0)),0)</f>
        <v>16.408000000000001</v>
      </c>
      <c r="N41" s="25" cm="1">
        <f t="array" ref="N41">IFERROR(INDEX($D$40:$D$53,MATCH($I41&amp;$J41&amp;$K41&amp;$L41,$E$40:$E$50&amp;$F$40:$F$50&amp;$G$40:$G$50&amp;$H$40:$H$50,0)),0)</f>
        <v>7.1260000000000003</v>
      </c>
      <c r="O41" s="31" t="s">
        <v>88</v>
      </c>
      <c r="P41" s="36">
        <f>M41+N41</f>
        <v>23.534000000000002</v>
      </c>
    </row>
    <row r="42" spans="2:16" x14ac:dyDescent="0.35">
      <c r="B42" s="21">
        <v>9</v>
      </c>
      <c r="C42" s="21">
        <v>6.9429999999999996</v>
      </c>
      <c r="D42" s="21">
        <v>8.6159999999999997</v>
      </c>
      <c r="E42" s="21" t="s">
        <v>83</v>
      </c>
      <c r="F42" s="21" t="s">
        <v>84</v>
      </c>
      <c r="G42" s="21" t="s">
        <v>90</v>
      </c>
      <c r="H42" s="21" t="s">
        <v>86</v>
      </c>
      <c r="I42" s="25" t="s">
        <v>83</v>
      </c>
      <c r="J42" s="25" t="s">
        <v>84</v>
      </c>
      <c r="K42" s="25" t="s">
        <v>90</v>
      </c>
      <c r="L42" s="25" t="s">
        <v>86</v>
      </c>
      <c r="M42" s="25" cm="1">
        <f t="array" ref="M42">IFERROR(INDEX($C$40:$C$53,MATCH($I42&amp;$J42&amp;$K42&amp;$L42,$E$40:$E$50&amp;$F$40:$F$50&amp;$G$40:$G$50&amp;$H$40:$H$50,0)),0)</f>
        <v>6.9429999999999996</v>
      </c>
      <c r="N42" s="25" cm="1">
        <f t="array" ref="N42">IFERROR(INDEX($D$40:$D$53,MATCH($I42&amp;$J42&amp;$K42&amp;$L42,$E$40:$E$50&amp;$F$40:$F$50&amp;$G$40:$G$50&amp;$H$40:$H$50,0)),0)</f>
        <v>8.6159999999999997</v>
      </c>
      <c r="O42" s="31" t="s">
        <v>92</v>
      </c>
      <c r="P42" s="36">
        <f>N40</f>
        <v>24.536000000000001</v>
      </c>
    </row>
    <row r="43" spans="2:16" x14ac:dyDescent="0.35">
      <c r="B43" s="21">
        <v>9</v>
      </c>
      <c r="C43" s="21">
        <v>7.6269999999999998</v>
      </c>
      <c r="D43" s="21">
        <v>1.821</v>
      </c>
      <c r="E43" s="21" t="s">
        <v>91</v>
      </c>
      <c r="F43" s="21" t="s">
        <v>84</v>
      </c>
      <c r="G43" s="21" t="s">
        <v>85</v>
      </c>
      <c r="H43" s="21" t="s">
        <v>86</v>
      </c>
      <c r="I43" s="25" t="s">
        <v>91</v>
      </c>
      <c r="J43" s="25" t="s">
        <v>84</v>
      </c>
      <c r="K43" s="25" t="s">
        <v>85</v>
      </c>
      <c r="L43" s="25" t="s">
        <v>86</v>
      </c>
      <c r="M43" s="25" cm="1">
        <f t="array" ref="M43">IFERROR(INDEX($C$40:$C$53,MATCH($I43&amp;$J43&amp;$K43&amp;$L43,$E$40:$E$50&amp;$F$40:$F$50&amp;$G$40:$G$50&amp;$H$40:$H$50,0)),0)</f>
        <v>7.6269999999999998</v>
      </c>
      <c r="N43" s="25" cm="1">
        <f t="array" ref="N43">IFERROR(INDEX($D$40:$D$53,MATCH($I43&amp;$J43&amp;$K43&amp;$L43,$E$40:$E$50&amp;$F$40:$F$50&amp;$G$40:$G$50&amp;$H$40:$H$50,0)),0)</f>
        <v>1.821</v>
      </c>
      <c r="O43" s="31" t="s">
        <v>93</v>
      </c>
      <c r="P43" s="26">
        <f>SUM(P40:P42)</f>
        <v>62.077000000000005</v>
      </c>
    </row>
    <row r="44" spans="2:16" x14ac:dyDescent="0.35">
      <c r="B44" s="21">
        <v>9</v>
      </c>
      <c r="C44" s="21">
        <v>1.6180000000000001</v>
      </c>
      <c r="D44" s="21">
        <v>0</v>
      </c>
      <c r="E44" s="21" t="s">
        <v>91</v>
      </c>
      <c r="F44" s="21" t="s">
        <v>84</v>
      </c>
      <c r="G44" s="21" t="s">
        <v>90</v>
      </c>
      <c r="H44" s="21" t="s">
        <v>86</v>
      </c>
      <c r="I44" s="25" t="s">
        <v>91</v>
      </c>
      <c r="J44" s="25" t="s">
        <v>84</v>
      </c>
      <c r="K44" s="25" t="s">
        <v>90</v>
      </c>
      <c r="L44" s="25" t="s">
        <v>86</v>
      </c>
      <c r="M44" s="25" cm="1">
        <f t="array" ref="M44">IFERROR(INDEX($C$40:$C$53,MATCH($I44&amp;$J44&amp;$K44&amp;$L44,$E$40:$E$50&amp;$F$40:$F$50&amp;$G$40:$G$50&amp;$H$40:$H$50,0)),0)</f>
        <v>1.6180000000000001</v>
      </c>
      <c r="N44" s="25" cm="1">
        <f t="array" ref="N44">IFERROR(INDEX($D$40:$D$53,MATCH($I44&amp;$J44&amp;$K44&amp;$L44,$E$40:$E$50&amp;$F$40:$F$50&amp;$G$40:$G$50&amp;$H$40:$H$50,0)),0)</f>
        <v>0</v>
      </c>
      <c r="O44" s="31" t="s">
        <v>94</v>
      </c>
      <c r="P44" s="36">
        <f>M45+N45</f>
        <v>4.9489999999999998</v>
      </c>
    </row>
    <row r="45" spans="2:16" x14ac:dyDescent="0.35">
      <c r="B45" s="21">
        <v>9</v>
      </c>
      <c r="C45" s="21">
        <v>4.9489999999999998</v>
      </c>
      <c r="D45" s="21">
        <v>0</v>
      </c>
      <c r="E45" s="21" t="s">
        <v>94</v>
      </c>
      <c r="F45" s="21" t="s">
        <v>84</v>
      </c>
      <c r="G45" s="21" t="s">
        <v>85</v>
      </c>
      <c r="H45" s="21" t="s">
        <v>86</v>
      </c>
      <c r="I45" s="25" t="s">
        <v>94</v>
      </c>
      <c r="J45" s="25" t="s">
        <v>84</v>
      </c>
      <c r="K45" s="25" t="s">
        <v>85</v>
      </c>
      <c r="L45" s="25" t="s">
        <v>86</v>
      </c>
      <c r="M45" s="25" cm="1">
        <f t="array" ref="M45">IFERROR(INDEX($C$40:$C$53,MATCH($I45&amp;$J45&amp;$K45&amp;$L45,$E$40:$E$50&amp;$F$40:$F$50&amp;$G$40:$G$50&amp;$H$40:$H$50,0)),0)</f>
        <v>4.9489999999999998</v>
      </c>
      <c r="N45" s="25" cm="1">
        <f t="array" ref="N45">IFERROR(INDEX($D$40:$D$53,MATCH($I45&amp;$J45&amp;$K45&amp;$L45,$E$40:$E$50&amp;$F$40:$F$50&amp;$G$40:$G$50&amp;$H$40:$H$50,0)),0)</f>
        <v>0</v>
      </c>
      <c r="O45" s="31" t="s">
        <v>96</v>
      </c>
      <c r="P45" s="36">
        <f>M46+N46</f>
        <v>8.1000000000000003E-2</v>
      </c>
    </row>
    <row r="46" spans="2:16" x14ac:dyDescent="0.35">
      <c r="B46" s="21">
        <v>9</v>
      </c>
      <c r="C46" s="21">
        <v>8.1000000000000003E-2</v>
      </c>
      <c r="D46" s="21">
        <v>0</v>
      </c>
      <c r="E46" s="21" t="s">
        <v>94</v>
      </c>
      <c r="F46" s="21" t="s">
        <v>84</v>
      </c>
      <c r="G46" s="21" t="s">
        <v>85</v>
      </c>
      <c r="H46" s="21" t="s">
        <v>95</v>
      </c>
      <c r="I46" s="25" t="s">
        <v>94</v>
      </c>
      <c r="J46" s="25" t="s">
        <v>84</v>
      </c>
      <c r="K46" s="25" t="s">
        <v>85</v>
      </c>
      <c r="L46" s="25" t="s">
        <v>95</v>
      </c>
      <c r="M46" s="25" cm="1">
        <f t="array" ref="M46">IFERROR(INDEX($C$40:$C$53,MATCH($I46&amp;$J46&amp;$K46&amp;$L46,$E$40:$E$50&amp;$F$40:$F$50&amp;$G$40:$G$50&amp;$H$40:$H$50,0)),0)</f>
        <v>8.1000000000000003E-2</v>
      </c>
      <c r="N46" s="25" cm="1">
        <f t="array" ref="N46">IFERROR(INDEX($D$40:$D$53,MATCH($I46&amp;$J46&amp;$K46&amp;$L46,$E$40:$E$50&amp;$F$40:$F$50&amp;$G$40:$G$50&amp;$H$40:$H$50,0)),0)</f>
        <v>0</v>
      </c>
      <c r="O46" s="31" t="s">
        <v>98</v>
      </c>
      <c r="P46" s="36">
        <v>0</v>
      </c>
    </row>
    <row r="47" spans="2:16" x14ac:dyDescent="0.35">
      <c r="B47" s="21">
        <v>9</v>
      </c>
      <c r="C47" s="21">
        <v>83.504000000000005</v>
      </c>
      <c r="D47" s="21">
        <v>0</v>
      </c>
      <c r="E47" s="21" t="s">
        <v>97</v>
      </c>
      <c r="F47" s="21" t="s">
        <v>84</v>
      </c>
      <c r="G47" s="21" t="s">
        <v>85</v>
      </c>
      <c r="H47" s="21" t="s">
        <v>95</v>
      </c>
      <c r="I47" s="25" t="s">
        <v>97</v>
      </c>
      <c r="J47" s="25" t="s">
        <v>84</v>
      </c>
      <c r="K47" s="25" t="s">
        <v>85</v>
      </c>
      <c r="L47" s="25" t="s">
        <v>95</v>
      </c>
      <c r="M47" s="25" cm="1">
        <f t="array" ref="M47">IFERROR(INDEX($C$40:$C$53,MATCH($I47&amp;$J47&amp;$K47&amp;$L47,$E$40:$E$50&amp;$F$40:$F$50&amp;$G$40:$G$50&amp;$H$40:$H$50,0)),0)</f>
        <v>83.504000000000005</v>
      </c>
      <c r="N47" s="25" cm="1">
        <f t="array" ref="N47">IFERROR(INDEX($D$40:$D$53,MATCH($I47&amp;$J47&amp;$K47&amp;$L47,$E$40:$E$50&amp;$F$40:$F$50&amp;$G$40:$G$50&amp;$H$40:$H$50,0)),0)</f>
        <v>0</v>
      </c>
      <c r="O47" s="31" t="s">
        <v>91</v>
      </c>
      <c r="P47" s="36">
        <f>M43+N43</f>
        <v>9.4480000000000004</v>
      </c>
    </row>
    <row r="48" spans="2:16" x14ac:dyDescent="0.35">
      <c r="B48" s="21">
        <v>9</v>
      </c>
      <c r="C48" s="21">
        <v>5.5019999999999998</v>
      </c>
      <c r="D48" s="21">
        <v>0</v>
      </c>
      <c r="E48" s="21" t="s">
        <v>97</v>
      </c>
      <c r="F48" s="21" t="s">
        <v>84</v>
      </c>
      <c r="G48" s="21" t="s">
        <v>85</v>
      </c>
      <c r="H48" s="21" t="s">
        <v>86</v>
      </c>
      <c r="I48" s="25" t="s">
        <v>97</v>
      </c>
      <c r="J48" s="25" t="s">
        <v>84</v>
      </c>
      <c r="K48" s="25" t="s">
        <v>85</v>
      </c>
      <c r="L48" s="25" t="s">
        <v>86</v>
      </c>
      <c r="M48" s="25" cm="1">
        <f t="array" ref="M48">IFERROR(INDEX($C$40:$C$53,MATCH($I48&amp;$J48&amp;$K48&amp;$L48,$E$40:$E$50&amp;$F$40:$F$50&amp;$G$40:$G$50&amp;$H$40:$H$50,0)),0)</f>
        <v>5.5019999999999998</v>
      </c>
      <c r="N48" s="25" cm="1">
        <f t="array" ref="N48">IFERROR(INDEX($D$40:$D$53,MATCH($I48&amp;$J48&amp;$K48&amp;$L48,$E$40:$E$50&amp;$F$40:$F$50&amp;$G$40:$G$50&amp;$H$40:$H$50,0)),0)</f>
        <v>0</v>
      </c>
      <c r="O48" s="31" t="s">
        <v>99</v>
      </c>
      <c r="P48" s="36">
        <v>0</v>
      </c>
    </row>
    <row r="49" spans="2:16" x14ac:dyDescent="0.35">
      <c r="B49" s="21">
        <v>9</v>
      </c>
      <c r="C49" s="21">
        <v>1.0999999999999999E-2</v>
      </c>
      <c r="D49" s="21">
        <v>0</v>
      </c>
      <c r="E49" s="21" t="s">
        <v>97</v>
      </c>
      <c r="F49" s="21" t="s">
        <v>84</v>
      </c>
      <c r="G49" s="21" t="s">
        <v>90</v>
      </c>
      <c r="H49" s="21" t="s">
        <v>95</v>
      </c>
      <c r="I49" s="25" t="s">
        <v>97</v>
      </c>
      <c r="J49" s="25" t="s">
        <v>84</v>
      </c>
      <c r="K49" s="25" t="s">
        <v>90</v>
      </c>
      <c r="L49" s="25" t="s">
        <v>95</v>
      </c>
      <c r="M49" s="25" cm="1">
        <f t="array" ref="M49">IFERROR(INDEX($C$40:$C$53,MATCH($I49&amp;$J49&amp;$K49&amp;$L49,$E$40:$E$50&amp;$F$40:$F$50&amp;$G$40:$G$50&amp;$H$40:$H$50,0)),0)</f>
        <v>1.0999999999999999E-2</v>
      </c>
      <c r="N49" s="25" cm="1">
        <f t="array" ref="N49">IFERROR(INDEX($D$40:$D$53,MATCH($I49&amp;$J49&amp;$K49&amp;$L49,$E$40:$E$50&amp;$F$40:$F$50&amp;$G$40:$G$50&amp;$H$40:$H$50,0)),0)</f>
        <v>0</v>
      </c>
      <c r="O49" s="31" t="s">
        <v>100</v>
      </c>
      <c r="P49" s="36">
        <f>M47+M48</f>
        <v>89.006</v>
      </c>
    </row>
    <row r="50" spans="2:16" x14ac:dyDescent="0.35">
      <c r="B50" s="21"/>
      <c r="C50" s="21"/>
      <c r="D50" s="21"/>
      <c r="E50" s="21"/>
      <c r="F50" s="21"/>
      <c r="G50" s="21"/>
      <c r="H50" s="21"/>
      <c r="I50" s="25" t="s">
        <v>94</v>
      </c>
      <c r="J50" s="25" t="s">
        <v>84</v>
      </c>
      <c r="K50" s="25" t="s">
        <v>90</v>
      </c>
      <c r="L50" s="25" t="s">
        <v>86</v>
      </c>
      <c r="M50" s="25" cm="1">
        <f t="array" ref="M50">IFERROR(INDEX($C$40:$C$53,MATCH($I50&amp;$J50&amp;$K50&amp;$L50,$E$40:$E$50&amp;$F$40:$F$50&amp;$G$40:$G$50&amp;$H$40:$H$50,0)),0)</f>
        <v>0</v>
      </c>
      <c r="N50" s="25" cm="1">
        <f t="array" ref="N50">IFERROR(INDEX($D$40:$D$53,MATCH($I50&amp;$J50&amp;$K50&amp;$L50,$E$40:$E$50&amp;$F$40:$F$50&amp;$G$40:$G$50&amp;$H$40:$H$50,0)),0)</f>
        <v>0</v>
      </c>
      <c r="O50" s="31" t="s">
        <v>101</v>
      </c>
      <c r="P50" s="26">
        <f>SUM(P44:P49)+P43</f>
        <v>165.56100000000001</v>
      </c>
    </row>
    <row r="51" spans="2:16" x14ac:dyDescent="0.35">
      <c r="B51" s="21"/>
      <c r="C51" s="21"/>
      <c r="D51" s="21"/>
      <c r="E51" s="21"/>
      <c r="F51" s="21"/>
      <c r="G51" s="21"/>
      <c r="H51" s="21"/>
      <c r="I51" s="13"/>
      <c r="J51" s="13"/>
      <c r="O51" s="31" t="s">
        <v>102</v>
      </c>
      <c r="P51" s="36">
        <f>M42+N42+M44+N44+M49+N49+M50+N50</f>
        <v>17.187999999999999</v>
      </c>
    </row>
    <row r="52" spans="2:16" x14ac:dyDescent="0.35">
      <c r="B52" s="21"/>
      <c r="C52" s="21"/>
      <c r="D52" s="21"/>
      <c r="E52" s="21"/>
      <c r="F52" s="21"/>
      <c r="G52" s="21"/>
      <c r="H52" s="21"/>
      <c r="I52" s="13"/>
      <c r="J52" s="13"/>
      <c r="O52" s="31" t="s">
        <v>103</v>
      </c>
      <c r="P52" s="26">
        <f>P50+P51</f>
        <v>182.749</v>
      </c>
    </row>
    <row r="53" spans="2:16" x14ac:dyDescent="0.35">
      <c r="B53" s="21"/>
      <c r="C53" s="21"/>
      <c r="D53" s="21"/>
      <c r="E53" s="21"/>
      <c r="F53" s="21"/>
      <c r="G53" s="21"/>
      <c r="H53" s="21"/>
    </row>
  </sheetData>
  <mergeCells count="6">
    <mergeCell ref="I20:N20"/>
    <mergeCell ref="O20:P20"/>
    <mergeCell ref="B20:H20"/>
    <mergeCell ref="B38:H38"/>
    <mergeCell ref="I38:N38"/>
    <mergeCell ref="O38:P38"/>
  </mergeCells>
  <conditionalFormatting sqref="R19:U28">
    <cfRule type="cellIs" dxfId="1" priority="2" operator="equal">
      <formula>1</formula>
    </cfRule>
  </conditionalFormatting>
  <conditionalFormatting sqref="R29:U29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Kati.Kati">
                <anchor moveWithCells="1" sizeWithCells="1">
                  <from>
                    <xdr:col>3</xdr:col>
                    <xdr:colOff>1187450</xdr:colOff>
                    <xdr:row>3</xdr:row>
                    <xdr:rowOff>19050</xdr:rowOff>
                  </from>
                  <to>
                    <xdr:col>4</xdr:col>
                    <xdr:colOff>1111250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3</xdr:row>
                    <xdr:rowOff>19050</xdr:rowOff>
                  </from>
                  <to>
                    <xdr:col>6</xdr:col>
                    <xdr:colOff>889000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2:N46"/>
  <sheetViews>
    <sheetView workbookViewId="0">
      <selection activeCell="A9" sqref="A9"/>
    </sheetView>
  </sheetViews>
  <sheetFormatPr defaultRowHeight="14.5" x14ac:dyDescent="0.35"/>
  <sheetData>
    <row r="2" spans="4:14" x14ac:dyDescent="0.35">
      <c r="D2" t="s">
        <v>0</v>
      </c>
      <c r="J2" t="str">
        <f>LEFT(RIGHT(D2,LEN(D2)-FIND("&lt;",D2)),LEN(RIGHT(D2,LEN(D2)-FIND("&lt;",D2)))-1)</f>
        <v>Andy.Kramer@mfin.com</v>
      </c>
      <c r="N2" t="s">
        <v>42</v>
      </c>
    </row>
    <row r="3" spans="4:14" x14ac:dyDescent="0.35">
      <c r="D3" t="s">
        <v>1</v>
      </c>
      <c r="J3" t="str">
        <f t="shared" ref="J3:J46" si="0">LEFT(RIGHT(D3,LEN(D3)-FIND("&lt;",D3)),LEN(RIGHT(D3,LEN(D3)-FIND("&lt;",D3)))-1)</f>
        <v>Matt.Mylroie@mfin.com</v>
      </c>
      <c r="N3" t="s">
        <v>43</v>
      </c>
    </row>
    <row r="4" spans="4:14" x14ac:dyDescent="0.35">
      <c r="D4" t="s">
        <v>2</v>
      </c>
      <c r="J4" t="str">
        <f t="shared" si="0"/>
        <v>Michael.Banis@mfin.com</v>
      </c>
      <c r="N4" t="s">
        <v>44</v>
      </c>
    </row>
    <row r="5" spans="4:14" x14ac:dyDescent="0.35">
      <c r="D5" t="s">
        <v>3</v>
      </c>
      <c r="J5" t="str">
        <f t="shared" si="0"/>
        <v>Rodger.Hergenrader@mfin.com</v>
      </c>
      <c r="N5" t="s">
        <v>45</v>
      </c>
    </row>
    <row r="6" spans="4:14" x14ac:dyDescent="0.35">
      <c r="D6" t="s">
        <v>4</v>
      </c>
      <c r="J6" t="str">
        <f t="shared" si="0"/>
        <v>Aaron.Janssen@mfin.com</v>
      </c>
      <c r="N6" t="s">
        <v>46</v>
      </c>
    </row>
    <row r="7" spans="4:14" x14ac:dyDescent="0.35">
      <c r="D7" t="s">
        <v>5</v>
      </c>
      <c r="J7" t="str">
        <f t="shared" si="0"/>
        <v>Alanna.Buck@mfin.com</v>
      </c>
      <c r="N7" t="s">
        <v>47</v>
      </c>
    </row>
    <row r="8" spans="4:14" x14ac:dyDescent="0.35">
      <c r="D8" t="s">
        <v>6</v>
      </c>
      <c r="J8" t="str">
        <f t="shared" si="0"/>
        <v>David.Anderson@mfin.com</v>
      </c>
      <c r="N8" t="s">
        <v>48</v>
      </c>
    </row>
    <row r="9" spans="4:14" x14ac:dyDescent="0.35">
      <c r="D9" t="s">
        <v>7</v>
      </c>
      <c r="J9" t="str">
        <f t="shared" si="0"/>
        <v>Dennis.McMahan@mfin.com</v>
      </c>
      <c r="N9" t="s">
        <v>49</v>
      </c>
    </row>
    <row r="10" spans="4:14" x14ac:dyDescent="0.35">
      <c r="D10" t="s">
        <v>8</v>
      </c>
      <c r="J10" t="str">
        <f t="shared" si="0"/>
        <v>Erica.Wohlfahrt@mfin.com</v>
      </c>
      <c r="N10" t="s">
        <v>50</v>
      </c>
    </row>
    <row r="11" spans="4:14" x14ac:dyDescent="0.35">
      <c r="D11" t="s">
        <v>9</v>
      </c>
      <c r="J11" t="str">
        <f t="shared" si="0"/>
        <v>Evan.Seach@mfin.com</v>
      </c>
      <c r="N11" t="s">
        <v>51</v>
      </c>
    </row>
    <row r="12" spans="4:14" x14ac:dyDescent="0.35">
      <c r="D12" t="s">
        <v>10</v>
      </c>
      <c r="J12" t="str">
        <f t="shared" si="0"/>
        <v>Jeff.Struthers@mfin.com</v>
      </c>
      <c r="N12" t="s">
        <v>52</v>
      </c>
    </row>
    <row r="13" spans="4:14" x14ac:dyDescent="0.35">
      <c r="D13" t="s">
        <v>11</v>
      </c>
      <c r="J13" t="str">
        <f t="shared" si="0"/>
        <v>Kim.Williams@mfin.com</v>
      </c>
      <c r="N13" t="s">
        <v>53</v>
      </c>
    </row>
    <row r="14" spans="4:14" x14ac:dyDescent="0.35">
      <c r="D14" t="s">
        <v>12</v>
      </c>
      <c r="J14" t="str">
        <f t="shared" si="0"/>
        <v>Kimberley.Martindell@mfin.com</v>
      </c>
      <c r="N14" t="s">
        <v>54</v>
      </c>
    </row>
    <row r="15" spans="4:14" x14ac:dyDescent="0.35">
      <c r="D15" t="s">
        <v>13</v>
      </c>
      <c r="J15" t="str">
        <f t="shared" si="0"/>
        <v>Kyle.Jones@mfin.com</v>
      </c>
      <c r="N15" t="s">
        <v>55</v>
      </c>
    </row>
    <row r="16" spans="4:14" x14ac:dyDescent="0.35">
      <c r="D16" t="s">
        <v>14</v>
      </c>
      <c r="J16" t="str">
        <f t="shared" si="0"/>
        <v>Mark.Jones@mfin.com</v>
      </c>
      <c r="N16" t="s">
        <v>56</v>
      </c>
    </row>
    <row r="17" spans="4:14" x14ac:dyDescent="0.35">
      <c r="D17" t="s">
        <v>15</v>
      </c>
      <c r="J17" t="str">
        <f t="shared" si="0"/>
        <v>Kellie.Marx@mfin.com</v>
      </c>
      <c r="N17" t="s">
        <v>57</v>
      </c>
    </row>
    <row r="18" spans="4:14" x14ac:dyDescent="0.35">
      <c r="D18" t="s">
        <v>16</v>
      </c>
      <c r="J18" t="str">
        <f t="shared" si="0"/>
        <v>Peggy.Hoagland@mfin.com</v>
      </c>
      <c r="N18" t="s">
        <v>58</v>
      </c>
    </row>
    <row r="19" spans="4:14" x14ac:dyDescent="0.35">
      <c r="D19" t="s">
        <v>17</v>
      </c>
      <c r="J19" t="str">
        <f t="shared" si="0"/>
        <v>Tami.Barraclough@mfin.com</v>
      </c>
      <c r="N19" t="s">
        <v>59</v>
      </c>
    </row>
    <row r="20" spans="4:14" x14ac:dyDescent="0.35">
      <c r="D20" t="s">
        <v>18</v>
      </c>
      <c r="J20" t="str">
        <f t="shared" si="0"/>
        <v>Bruce.Fuller@mfin.com</v>
      </c>
      <c r="N20" t="s">
        <v>60</v>
      </c>
    </row>
    <row r="21" spans="4:14" x14ac:dyDescent="0.35">
      <c r="D21" t="s">
        <v>11</v>
      </c>
      <c r="J21" t="str">
        <f t="shared" si="0"/>
        <v>Kim.Williams@mfin.com</v>
      </c>
      <c r="N21" t="s">
        <v>53</v>
      </c>
    </row>
    <row r="22" spans="4:14" x14ac:dyDescent="0.35">
      <c r="D22" t="s">
        <v>19</v>
      </c>
      <c r="J22" t="str">
        <f t="shared" si="0"/>
        <v>Erik.Reynolds@mfin.com</v>
      </c>
      <c r="N22" t="s">
        <v>61</v>
      </c>
    </row>
    <row r="23" spans="4:14" x14ac:dyDescent="0.35">
      <c r="D23" t="s">
        <v>20</v>
      </c>
      <c r="J23" t="str">
        <f t="shared" si="0"/>
        <v>ReNae.Schwartz@mfin.com</v>
      </c>
      <c r="N23" t="s">
        <v>62</v>
      </c>
    </row>
    <row r="24" spans="4:14" x14ac:dyDescent="0.35">
      <c r="D24" t="s">
        <v>21</v>
      </c>
      <c r="J24" t="str">
        <f t="shared" si="0"/>
        <v>Shelley.Sievers@mfin.com</v>
      </c>
      <c r="N24" t="s">
        <v>63</v>
      </c>
    </row>
    <row r="25" spans="4:14" x14ac:dyDescent="0.35">
      <c r="D25" t="s">
        <v>22</v>
      </c>
      <c r="J25" t="str">
        <f t="shared" si="0"/>
        <v>Hans.Avery@mfin.com</v>
      </c>
      <c r="N25" t="s">
        <v>64</v>
      </c>
    </row>
    <row r="26" spans="4:14" x14ac:dyDescent="0.35">
      <c r="D26" t="s">
        <v>23</v>
      </c>
      <c r="J26" t="str">
        <f t="shared" si="0"/>
        <v>Kati.Anderson@mfin.com</v>
      </c>
      <c r="N26" t="s">
        <v>65</v>
      </c>
    </row>
    <row r="27" spans="4:14" x14ac:dyDescent="0.35">
      <c r="D27" t="s">
        <v>24</v>
      </c>
      <c r="J27" t="str">
        <f t="shared" si="0"/>
        <v>Phillip.Willsey@mfin.com</v>
      </c>
      <c r="N27" t="s">
        <v>66</v>
      </c>
    </row>
    <row r="28" spans="4:14" x14ac:dyDescent="0.35">
      <c r="D28" t="s">
        <v>25</v>
      </c>
      <c r="J28" t="str">
        <f t="shared" si="0"/>
        <v>Hannah.Hasbrook@mfin.com</v>
      </c>
      <c r="N28" t="s">
        <v>67</v>
      </c>
    </row>
    <row r="29" spans="4:14" x14ac:dyDescent="0.35">
      <c r="D29" t="s">
        <v>26</v>
      </c>
      <c r="J29" t="str">
        <f t="shared" si="0"/>
        <v>Carolyn.Bahrman@mfin.com</v>
      </c>
      <c r="N29" t="s">
        <v>68</v>
      </c>
    </row>
    <row r="30" spans="4:14" x14ac:dyDescent="0.35">
      <c r="D30" t="s">
        <v>27</v>
      </c>
      <c r="J30" t="str">
        <f t="shared" si="0"/>
        <v>Greg.Pelletier@mfin.com</v>
      </c>
      <c r="N30" t="s">
        <v>69</v>
      </c>
    </row>
    <row r="31" spans="4:14" x14ac:dyDescent="0.35">
      <c r="D31" t="s">
        <v>4</v>
      </c>
      <c r="J31" t="str">
        <f t="shared" si="0"/>
        <v>Aaron.Janssen@mfin.com</v>
      </c>
      <c r="N31" t="s">
        <v>46</v>
      </c>
    </row>
    <row r="32" spans="4:14" x14ac:dyDescent="0.35">
      <c r="D32" t="s">
        <v>28</v>
      </c>
      <c r="J32" t="str">
        <f t="shared" si="0"/>
        <v>Eric.Smith@mfin.com</v>
      </c>
      <c r="N32" t="s">
        <v>70</v>
      </c>
    </row>
    <row r="33" spans="4:14" x14ac:dyDescent="0.35">
      <c r="D33" t="s">
        <v>29</v>
      </c>
      <c r="J33" t="str">
        <f t="shared" si="0"/>
        <v>Andy.Kramer@mfin.com</v>
      </c>
      <c r="N33" t="s">
        <v>42</v>
      </c>
    </row>
    <row r="34" spans="4:14" x14ac:dyDescent="0.35">
      <c r="D34" t="s">
        <v>12</v>
      </c>
      <c r="J34" t="str">
        <f t="shared" si="0"/>
        <v>Kimberley.Martindell@mfin.com</v>
      </c>
      <c r="N34" t="s">
        <v>54</v>
      </c>
    </row>
    <row r="35" spans="4:14" x14ac:dyDescent="0.35">
      <c r="D35" t="s">
        <v>30</v>
      </c>
      <c r="J35" t="str">
        <f t="shared" si="0"/>
        <v>Elizabeth.Breedlove@mfin.com</v>
      </c>
      <c r="N35" t="s">
        <v>71</v>
      </c>
    </row>
    <row r="36" spans="4:14" x14ac:dyDescent="0.35">
      <c r="D36" t="s">
        <v>31</v>
      </c>
      <c r="J36" t="str">
        <f t="shared" si="0"/>
        <v>Kevin.Kukar@mfin.com</v>
      </c>
      <c r="N36" t="s">
        <v>72</v>
      </c>
    </row>
    <row r="37" spans="4:14" x14ac:dyDescent="0.35">
      <c r="D37" t="s">
        <v>32</v>
      </c>
      <c r="J37" t="str">
        <f t="shared" si="0"/>
        <v>Erik.Bjorvik@mfin.com</v>
      </c>
      <c r="N37" t="s">
        <v>73</v>
      </c>
    </row>
    <row r="38" spans="4:14" x14ac:dyDescent="0.35">
      <c r="D38" t="s">
        <v>33</v>
      </c>
      <c r="J38" t="str">
        <f t="shared" si="0"/>
        <v>Neil.Kulkarni@mfin.com</v>
      </c>
      <c r="N38" t="s">
        <v>74</v>
      </c>
    </row>
    <row r="39" spans="4:14" x14ac:dyDescent="0.35">
      <c r="D39" t="s">
        <v>34</v>
      </c>
      <c r="J39" t="str">
        <f t="shared" si="0"/>
        <v>Shauna.Peart@mfin.com</v>
      </c>
      <c r="N39" t="s">
        <v>75</v>
      </c>
    </row>
    <row r="40" spans="4:14" x14ac:dyDescent="0.35">
      <c r="D40" t="s">
        <v>35</v>
      </c>
      <c r="J40" t="str">
        <f t="shared" si="0"/>
        <v>Cheryl.Egazarian@mfin.com</v>
      </c>
      <c r="N40" t="s">
        <v>76</v>
      </c>
    </row>
    <row r="41" spans="4:14" x14ac:dyDescent="0.35">
      <c r="D41" t="s">
        <v>36</v>
      </c>
      <c r="J41" t="str">
        <f t="shared" si="0"/>
        <v>Amanda.Novak@mfin.com</v>
      </c>
      <c r="N41" t="s">
        <v>77</v>
      </c>
    </row>
    <row r="42" spans="4:14" x14ac:dyDescent="0.35">
      <c r="D42" t="s">
        <v>37</v>
      </c>
      <c r="J42" t="str">
        <f t="shared" si="0"/>
        <v>Antong.Hou@mfin.com</v>
      </c>
      <c r="N42" t="s">
        <v>78</v>
      </c>
    </row>
    <row r="43" spans="4:14" x14ac:dyDescent="0.35">
      <c r="D43" t="s">
        <v>38</v>
      </c>
      <c r="J43" t="str">
        <f t="shared" si="0"/>
        <v>Brian.Hong@mfin.com</v>
      </c>
      <c r="N43" t="s">
        <v>79</v>
      </c>
    </row>
    <row r="44" spans="4:14" x14ac:dyDescent="0.35">
      <c r="D44" t="s">
        <v>39</v>
      </c>
      <c r="J44" t="str">
        <f t="shared" si="0"/>
        <v>Kyle.Davis@mfin.com</v>
      </c>
      <c r="N44" t="s">
        <v>80</v>
      </c>
    </row>
    <row r="45" spans="4:14" x14ac:dyDescent="0.35">
      <c r="D45" t="s">
        <v>40</v>
      </c>
      <c r="J45" t="str">
        <f t="shared" si="0"/>
        <v>Robert.Wagner@mfin.com</v>
      </c>
      <c r="N45" t="s">
        <v>81</v>
      </c>
    </row>
    <row r="46" spans="4:14" x14ac:dyDescent="0.35">
      <c r="D46" t="s">
        <v>41</v>
      </c>
      <c r="J46" t="str">
        <f t="shared" si="0"/>
        <v>Riley.Skyles@mfin.com</v>
      </c>
      <c r="N46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Tami W Control</vt:lpstr>
      <vt:lpstr>Market Share</vt:lpstr>
      <vt:lpstr>ProdType</vt:lpstr>
      <vt:lpstr>Leslie Darrigo</vt:lpstr>
      <vt:lpstr>Derek Palumbo</vt:lpstr>
      <vt:lpstr>Kati Anderson</vt:lpstr>
      <vt:lpstr>Final Pivot Email List</vt:lpstr>
      <vt:lpstr>MarketShare</vt:lpstr>
      <vt:lpstr>Name_MarketShare</vt:lpstr>
      <vt:lpstr>Name_Prenetration</vt:lpstr>
      <vt:lpstr>Name_ProdStory</vt:lpstr>
      <vt:lpstr>Name_ProdType</vt:lpstr>
      <vt:lpstr>Name_Report</vt:lpstr>
      <vt:lpstr>Penetration</vt:lpstr>
      <vt:lpstr>ProdType</vt:lpstr>
      <vt:lpstr>ProductionStory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Yu-Sheng Lee</dc:creator>
  <cp:lastModifiedBy>Yu-Sheng Lee</cp:lastModifiedBy>
  <dcterms:created xsi:type="dcterms:W3CDTF">2015-06-05T18:17:20Z</dcterms:created>
  <dcterms:modified xsi:type="dcterms:W3CDTF">2022-11-24T00:30:48Z</dcterms:modified>
</cp:coreProperties>
</file>