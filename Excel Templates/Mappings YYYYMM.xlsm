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J:\Systems\Production &amp; Override\Production\Premium Data\Current Month\"/>
    </mc:Choice>
  </mc:AlternateContent>
  <xr:revisionPtr revIDLastSave="0" documentId="13_ncr:1_{C33056CD-CA5B-47E3-9ABA-D1E9AF7C6444}" xr6:coauthVersionLast="47" xr6:coauthVersionMax="47" xr10:uidLastSave="{00000000-0000-0000-0000-000000000000}"/>
  <bookViews>
    <workbookView xWindow="28680" yWindow="15" windowWidth="29040" windowHeight="15840" activeTab="4" xr2:uid="{00000000-000D-0000-FFFF-FFFF00000000}"/>
  </bookViews>
  <sheets>
    <sheet name="Settings" sheetId="5" r:id="rId1"/>
    <sheet name="Mapping" sheetId="1" r:id="rId2"/>
    <sheet name="Products" sheetId="2" r:id="rId3"/>
    <sheet name="carrier" sheetId="3" r:id="rId4"/>
    <sheet name="Product Mapping Report" sheetId="4" r:id="rId5"/>
    <sheet name="Queries" sheetId="6" r:id="rId6"/>
  </sheets>
  <functionGroups builtInGroupCount="19"/>
  <definedNames>
    <definedName name="_xlnm._FilterDatabase" localSheetId="1" hidden="1">Mapping!#REF!</definedName>
    <definedName name="_xlnm._FilterDatabase" localSheetId="4" hidden="1">'Product Mapping Report'!$A$7:$S$7</definedName>
    <definedName name="_xlnm.database">Settings!$D$8</definedName>
    <definedName name="dst">'Product Mapping Report'!$A$8:$S$60</definedName>
    <definedName name="idir">Settings!$D$10</definedName>
    <definedName name="ifile">Settings!$D$11</definedName>
    <definedName name="ipath">Settings!$D$10</definedName>
    <definedName name="MonthApplied">Settings!$D$6</definedName>
    <definedName name="path">Settings!$D$10</definedName>
    <definedName name="server">Settings!$D$7</definedName>
    <definedName name="WinZmBookmark_z33252" localSheetId="1">Mapping!#REF!</definedName>
    <definedName name="YearApplied">Settings!$D$5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2" i="1" l="1"/>
  <c r="H61" i="1"/>
  <c r="H59" i="1"/>
  <c r="I59" i="1"/>
  <c r="H60" i="1"/>
  <c r="I60" i="1"/>
  <c r="H9" i="1"/>
  <c r="I9" i="1"/>
  <c r="K9" i="1"/>
  <c r="H10" i="1"/>
  <c r="I10" i="1"/>
  <c r="K10" i="1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8" i="1"/>
  <c r="H7" i="1"/>
  <c r="H6" i="1"/>
  <c r="H5" i="1"/>
  <c r="H4" i="1"/>
  <c r="H3" i="1"/>
  <c r="M67" i="1" l="1"/>
  <c r="I67" i="1"/>
  <c r="P67" i="1" s="1"/>
  <c r="M66" i="1"/>
  <c r="I66" i="1"/>
  <c r="P66" i="1"/>
  <c r="P65" i="1"/>
  <c r="M65" i="1"/>
  <c r="I65" i="1"/>
  <c r="O65" i="1" s="1"/>
  <c r="M64" i="1"/>
  <c r="I64" i="1"/>
  <c r="P64" i="1"/>
  <c r="M63" i="1"/>
  <c r="I63" i="1"/>
  <c r="P63" i="1" s="1"/>
  <c r="M62" i="1"/>
  <c r="O62" i="1" s="1"/>
  <c r="I62" i="1"/>
  <c r="P62" i="1" s="1"/>
  <c r="M61" i="1"/>
  <c r="I61" i="1"/>
  <c r="P61" i="1" s="1"/>
  <c r="M13" i="1"/>
  <c r="I46" i="1"/>
  <c r="M51" i="1"/>
  <c r="K51" i="1"/>
  <c r="I51" i="1"/>
  <c r="P51" i="1" s="1"/>
  <c r="M50" i="1"/>
  <c r="K50" i="1"/>
  <c r="O50" i="1" s="1"/>
  <c r="I50" i="1"/>
  <c r="M7" i="1"/>
  <c r="M6" i="1"/>
  <c r="T5" i="2"/>
  <c r="O67" i="1" l="1"/>
  <c r="O64" i="1"/>
  <c r="O61" i="1"/>
  <c r="O66" i="1"/>
  <c r="O63" i="1"/>
  <c r="O51" i="1"/>
  <c r="P50" i="1"/>
  <c r="M11" i="1"/>
  <c r="K11" i="1"/>
  <c r="I11" i="1"/>
  <c r="M10" i="1"/>
  <c r="M25" i="1"/>
  <c r="K25" i="1"/>
  <c r="I25" i="1"/>
  <c r="T4" i="2"/>
  <c r="M9" i="1"/>
  <c r="M8" i="1"/>
  <c r="K8" i="1"/>
  <c r="I8" i="1"/>
  <c r="M12" i="1"/>
  <c r="K12" i="1"/>
  <c r="I12" i="1"/>
  <c r="M49" i="1"/>
  <c r="K49" i="1"/>
  <c r="I49" i="1"/>
  <c r="M48" i="1"/>
  <c r="K48" i="1"/>
  <c r="I48" i="1"/>
  <c r="M47" i="1"/>
  <c r="K47" i="1"/>
  <c r="I47" i="1"/>
  <c r="M46" i="1"/>
  <c r="K46" i="1"/>
  <c r="M45" i="1"/>
  <c r="K45" i="1"/>
  <c r="I45" i="1"/>
  <c r="M44" i="1"/>
  <c r="K44" i="1"/>
  <c r="I44" i="1"/>
  <c r="M43" i="1"/>
  <c r="K43" i="1"/>
  <c r="I43" i="1"/>
  <c r="M42" i="1"/>
  <c r="K42" i="1"/>
  <c r="I42" i="1"/>
  <c r="M41" i="1"/>
  <c r="K41" i="1"/>
  <c r="I41" i="1"/>
  <c r="M40" i="1"/>
  <c r="K40" i="1"/>
  <c r="I40" i="1"/>
  <c r="M39" i="1"/>
  <c r="K39" i="1"/>
  <c r="I39" i="1"/>
  <c r="M38" i="1"/>
  <c r="K38" i="1"/>
  <c r="I38" i="1"/>
  <c r="M37" i="1"/>
  <c r="K37" i="1"/>
  <c r="I37" i="1"/>
  <c r="M36" i="1"/>
  <c r="K36" i="1"/>
  <c r="I36" i="1"/>
  <c r="M35" i="1"/>
  <c r="K35" i="1"/>
  <c r="I35" i="1"/>
  <c r="P39" i="1" l="1"/>
  <c r="O45" i="1"/>
  <c r="P37" i="1"/>
  <c r="O41" i="1"/>
  <c r="P11" i="1"/>
  <c r="P10" i="1"/>
  <c r="P47" i="1"/>
  <c r="P8" i="1"/>
  <c r="P46" i="1"/>
  <c r="P48" i="1"/>
  <c r="O11" i="1"/>
  <c r="O10" i="1"/>
  <c r="P9" i="1"/>
  <c r="O9" i="1"/>
  <c r="O8" i="1"/>
  <c r="P49" i="1"/>
  <c r="P36" i="1"/>
  <c r="P45" i="1"/>
  <c r="P38" i="1"/>
  <c r="O44" i="1"/>
  <c r="P43" i="1"/>
  <c r="O37" i="1"/>
  <c r="P41" i="1"/>
  <c r="P35" i="1"/>
  <c r="P40" i="1"/>
  <c r="P42" i="1"/>
  <c r="P44" i="1"/>
  <c r="O47" i="1"/>
  <c r="O48" i="1"/>
  <c r="O49" i="1"/>
  <c r="O36" i="1"/>
  <c r="O40" i="1"/>
  <c r="O35" i="1"/>
  <c r="O39" i="1"/>
  <c r="O43" i="1"/>
  <c r="O38" i="1"/>
  <c r="O42" i="1"/>
  <c r="O46" i="1"/>
  <c r="M34" i="1" l="1"/>
  <c r="K34" i="1"/>
  <c r="I34" i="1"/>
  <c r="M33" i="1"/>
  <c r="K33" i="1"/>
  <c r="I33" i="1"/>
  <c r="M32" i="1"/>
  <c r="K32" i="1"/>
  <c r="I32" i="1"/>
  <c r="M31" i="1"/>
  <c r="K31" i="1"/>
  <c r="I31" i="1"/>
  <c r="M30" i="1"/>
  <c r="K30" i="1"/>
  <c r="I30" i="1"/>
  <c r="M29" i="1"/>
  <c r="K29" i="1"/>
  <c r="I29" i="1"/>
  <c r="M28" i="1"/>
  <c r="K28" i="1"/>
  <c r="I28" i="1"/>
  <c r="M27" i="1"/>
  <c r="K27" i="1"/>
  <c r="I27" i="1"/>
  <c r="M26" i="1"/>
  <c r="K26" i="1"/>
  <c r="I26" i="1"/>
  <c r="M24" i="1"/>
  <c r="K24" i="1"/>
  <c r="I24" i="1"/>
  <c r="M23" i="1"/>
  <c r="K23" i="1"/>
  <c r="I23" i="1"/>
  <c r="D11" i="5"/>
  <c r="D10" i="5"/>
  <c r="O34" i="1" l="1"/>
  <c r="O30" i="1"/>
  <c r="O26" i="1"/>
  <c r="O25" i="1"/>
  <c r="O29" i="1"/>
  <c r="P32" i="1"/>
  <c r="P24" i="1"/>
  <c r="O33" i="1"/>
  <c r="P28" i="1"/>
  <c r="P23" i="1"/>
  <c r="P25" i="1"/>
  <c r="P26" i="1"/>
  <c r="P27" i="1"/>
  <c r="P29" i="1"/>
  <c r="P30" i="1"/>
  <c r="P31" i="1"/>
  <c r="P33" i="1"/>
  <c r="P34" i="1"/>
  <c r="O24" i="1"/>
  <c r="O28" i="1"/>
  <c r="O32" i="1"/>
  <c r="O23" i="1"/>
  <c r="O27" i="1"/>
  <c r="O31" i="1"/>
  <c r="O12" i="1" l="1"/>
  <c r="P12" i="1"/>
  <c r="T2" i="2"/>
  <c r="T3" i="2"/>
  <c r="I3" i="1"/>
  <c r="K3" i="1"/>
  <c r="I4" i="1"/>
  <c r="K4" i="1"/>
  <c r="I5" i="1"/>
  <c r="K5" i="1"/>
  <c r="I6" i="1"/>
  <c r="K6" i="1"/>
  <c r="M22" i="1" l="1"/>
  <c r="K22" i="1"/>
  <c r="I22" i="1"/>
  <c r="M21" i="1"/>
  <c r="K21" i="1"/>
  <c r="I21" i="1"/>
  <c r="M20" i="1"/>
  <c r="K20" i="1"/>
  <c r="I20" i="1"/>
  <c r="M19" i="1"/>
  <c r="K19" i="1"/>
  <c r="I19" i="1"/>
  <c r="M18" i="1"/>
  <c r="K18" i="1"/>
  <c r="I18" i="1"/>
  <c r="M17" i="1"/>
  <c r="K17" i="1"/>
  <c r="I17" i="1"/>
  <c r="M16" i="1"/>
  <c r="K16" i="1"/>
  <c r="I16" i="1"/>
  <c r="M15" i="1"/>
  <c r="K15" i="1"/>
  <c r="I15" i="1"/>
  <c r="M14" i="1"/>
  <c r="K14" i="1"/>
  <c r="I14" i="1"/>
  <c r="K13" i="1"/>
  <c r="I13" i="1"/>
  <c r="S2" i="2"/>
  <c r="K7" i="1"/>
  <c r="I7" i="1"/>
  <c r="M5" i="1"/>
  <c r="M4" i="1"/>
  <c r="P13" i="1" l="1"/>
  <c r="P15" i="1"/>
  <c r="P17" i="1"/>
  <c r="P19" i="1"/>
  <c r="P21" i="1"/>
  <c r="P5" i="1"/>
  <c r="P4" i="1"/>
  <c r="P6" i="1"/>
  <c r="P7" i="1"/>
  <c r="P14" i="1"/>
  <c r="P18" i="1"/>
  <c r="P22" i="1"/>
  <c r="P16" i="1"/>
  <c r="P20" i="1"/>
  <c r="O17" i="1"/>
  <c r="O13" i="1"/>
  <c r="O18" i="1"/>
  <c r="O15" i="1"/>
  <c r="O19" i="1"/>
  <c r="O21" i="1"/>
  <c r="O14" i="1"/>
  <c r="O16" i="1"/>
  <c r="O20" i="1"/>
  <c r="O22" i="1"/>
  <c r="O5" i="1"/>
  <c r="O4" i="1"/>
  <c r="O7" i="1"/>
  <c r="O6" i="1"/>
  <c r="S4" i="2" l="1"/>
  <c r="M3" i="1"/>
  <c r="G2" i="3"/>
  <c r="P3" i="1" l="1"/>
  <c r="S3" i="2"/>
  <c r="S12" i="2" l="1"/>
  <c r="S11" i="2"/>
  <c r="S10" i="2" l="1"/>
  <c r="S7" i="2"/>
  <c r="S9" i="2"/>
  <c r="S8" i="2" l="1"/>
  <c r="S6" i="2" l="1"/>
  <c r="S5" i="2" l="1"/>
  <c r="O3" i="1" l="1"/>
  <c r="M60" i="1"/>
  <c r="P60" i="1" l="1"/>
  <c r="O60" i="1"/>
  <c r="P59" i="1" l="1"/>
  <c r="M59" i="1"/>
  <c r="O5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Yu-Sheng Lee</author>
  </authors>
  <commentList>
    <comment ref="H2" authorId="0" shapeId="0" xr:uid="{FA49823D-9C92-46F0-BF53-C8D2E43A7F50}">
      <text>
        <r>
          <rPr>
            <sz val="9"/>
            <color indexed="81"/>
            <rFont val="Tahoma"/>
            <family val="2"/>
          </rPr>
          <t xml:space="preserve">PD: Product
PR: Producer
</t>
        </r>
      </text>
    </comment>
    <comment ref="J2" authorId="0" shapeId="0" xr:uid="{0783AA0D-B2A5-435F-9840-BBC25D3F2DBF}">
      <text>
        <r>
          <rPr>
            <sz val="9"/>
            <color indexed="81"/>
            <rFont val="Tahoma"/>
            <family val="2"/>
          </rPr>
          <t>CA: carrier
MS: MHS</t>
        </r>
      </text>
    </comment>
    <comment ref="K2" authorId="0" shapeId="0" xr:uid="{6D8EE392-312D-40F3-866E-9EB0D6544436}">
      <text>
        <r>
          <rPr>
            <sz val="9"/>
            <color indexed="81"/>
            <rFont val="Tahoma"/>
            <family val="2"/>
          </rPr>
          <t>CarrierID</t>
        </r>
      </text>
    </comment>
    <comment ref="L2" authorId="0" shapeId="0" xr:uid="{4A22EC9B-8B0C-409A-81ED-BFEFC12AF143}">
      <text>
        <r>
          <rPr>
            <sz val="9"/>
            <color indexed="81"/>
            <rFont val="Tahoma"/>
            <family val="2"/>
          </rPr>
          <t xml:space="preserve">Internal ID for products and producers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Yu-Sheng Lee</author>
  </authors>
  <commentList>
    <comment ref="R1" authorId="0" shapeId="0" xr:uid="{11FCFCA2-A49C-4537-AD98-B2E567D2BFD5}">
      <text>
        <r>
          <rPr>
            <b/>
            <sz val="9"/>
            <color indexed="81"/>
            <rFont val="Tahoma"/>
            <family val="2"/>
          </rPr>
          <t>Yu-Sheng Lee:</t>
        </r>
        <r>
          <rPr>
            <sz val="9"/>
            <color indexed="81"/>
            <rFont val="Tahoma"/>
            <family val="2"/>
          </rPr>
          <t xml:space="preserve">
commisioner state ordinary</t>
        </r>
      </text>
    </comment>
  </commentList>
</comments>
</file>

<file path=xl/sharedStrings.xml><?xml version="1.0" encoding="utf-8"?>
<sst xmlns="http://schemas.openxmlformats.org/spreadsheetml/2006/main" count="303" uniqueCount="165">
  <si>
    <t>Source Type</t>
  </si>
  <si>
    <t>Source</t>
  </si>
  <si>
    <t>M ID</t>
  </si>
  <si>
    <t>Info</t>
  </si>
  <si>
    <t>CarrierID</t>
  </si>
  <si>
    <t>MHS</t>
  </si>
  <si>
    <t>ID</t>
  </si>
  <si>
    <t>ProdTypeID</t>
  </si>
  <si>
    <t>Name</t>
  </si>
  <si>
    <t>MProprietary</t>
  </si>
  <si>
    <t>PrivatePlacement</t>
  </si>
  <si>
    <t>TargetCreditID</t>
  </si>
  <si>
    <t>ExcessCreditID</t>
  </si>
  <si>
    <t>NLG</t>
  </si>
  <si>
    <t>CSO2001</t>
  </si>
  <si>
    <t>Modco</t>
  </si>
  <si>
    <t>YRT</t>
  </si>
  <si>
    <t>EquityIndexed</t>
  </si>
  <si>
    <t>Accumulation</t>
  </si>
  <si>
    <t>Performance</t>
  </si>
  <si>
    <t>LifeLTC</t>
  </si>
  <si>
    <t>MS</t>
  </si>
  <si>
    <t>NON MHS</t>
  </si>
  <si>
    <t>International</t>
  </si>
  <si>
    <t>CA</t>
  </si>
  <si>
    <t>CSO</t>
  </si>
  <si>
    <t>CarrierName</t>
  </si>
  <si>
    <t>MSecuritiesID</t>
  </si>
  <si>
    <t>CoreFlag</t>
  </si>
  <si>
    <t>StatusID</t>
  </si>
  <si>
    <t>StartDate</t>
  </si>
  <si>
    <t>carrierid</t>
  </si>
  <si>
    <t>Insert Statement</t>
  </si>
  <si>
    <t>Delete Statement</t>
  </si>
  <si>
    <t>Product Mapping Report</t>
  </si>
  <si>
    <t>-Green rows are products that could not be mapped to an existing product and have been added to the product table</t>
  </si>
  <si>
    <t>-Blue rows are  Product_IDs that are mapped to an existing product in the product table</t>
  </si>
  <si>
    <t>Carrier</t>
  </si>
  <si>
    <t>Provided_Product_ID</t>
  </si>
  <si>
    <t>Provided_Name</t>
  </si>
  <si>
    <t>Product_ID</t>
  </si>
  <si>
    <t>Product_Name</t>
  </si>
  <si>
    <t>Product_Type</t>
  </si>
  <si>
    <t>Line_of_Business</t>
  </si>
  <si>
    <t>COLI_Flag</t>
  </si>
  <si>
    <t>Variable_Flag</t>
  </si>
  <si>
    <t>Year</t>
  </si>
  <si>
    <t>Month</t>
  </si>
  <si>
    <t>output path</t>
  </si>
  <si>
    <t>Server</t>
  </si>
  <si>
    <t>Database</t>
  </si>
  <si>
    <t>pdxvmdb11</t>
  </si>
  <si>
    <t>ProductionAndOverride</t>
  </si>
  <si>
    <t>Life</t>
  </si>
  <si>
    <t>output filename</t>
  </si>
  <si>
    <t>&lt;-- Please keep this textbox in Mappings YYYYMM.xlsm. The name is now set as "Queries". It will break the macro if not</t>
  </si>
  <si>
    <t>John Hancock Life Insurance Company</t>
  </si>
  <si>
    <t>NULL</t>
  </si>
  <si>
    <t>PROTECTION NON CONVERTIBLE 10</t>
  </si>
  <si>
    <t>***ALERT!!!</t>
  </si>
  <si>
    <t>CarrierProduct/Producer IDs</t>
  </si>
  <si>
    <t>Carrier Product/Producer Name</t>
  </si>
  <si>
    <t>CarrierContracteeID</t>
  </si>
  <si>
    <t>CarrierContracteeName</t>
  </si>
  <si>
    <t>EntityID</t>
  </si>
  <si>
    <t>Entity Type ID</t>
  </si>
  <si>
    <t>Variable Life</t>
  </si>
  <si>
    <t>Penn Mutual</t>
  </si>
  <si>
    <t>Term</t>
  </si>
  <si>
    <t>Protection Non Convertible 10</t>
  </si>
  <si>
    <t>Prudential Select Brokerage</t>
  </si>
  <si>
    <t>Fixed Annuity - Deferred</t>
  </si>
  <si>
    <t>Annuity</t>
  </si>
  <si>
    <t>&lt;--integer value. Update year and month to the new month before use!</t>
  </si>
  <si>
    <t>*** ProductID NO MATCH***</t>
  </si>
  <si>
    <t>1236600000</t>
  </si>
  <si>
    <t>PROTECTION VUL</t>
  </si>
  <si>
    <t>ELITE20R1</t>
  </si>
  <si>
    <t xml:space="preserve">Pac Elite Term 20 - </t>
  </si>
  <si>
    <t>IVUL03</t>
  </si>
  <si>
    <t>FLXG IVUL-PA</t>
  </si>
  <si>
    <t>SM05</t>
  </si>
  <si>
    <t>SELECT MAX 5</t>
  </si>
  <si>
    <t>PFPIA</t>
  </si>
  <si>
    <t>PREMIER FOUNDATION PLUS IA</t>
  </si>
  <si>
    <t>TNC2310NY</t>
  </si>
  <si>
    <t>*** ProducerID NO MATCH***</t>
  </si>
  <si>
    <t>863297</t>
  </si>
  <si>
    <t>LORENZ, SEAN</t>
  </si>
  <si>
    <t>AEM PARTNERS, LLC</t>
  </si>
  <si>
    <t>863298</t>
  </si>
  <si>
    <t>O NEIL,DEBORAH</t>
  </si>
  <si>
    <t>863299</t>
  </si>
  <si>
    <t>FEIMAN,SHANE</t>
  </si>
  <si>
    <t>863745</t>
  </si>
  <si>
    <t>SHANNON, HAROLD PHILIP</t>
  </si>
  <si>
    <t>EXECUTIVE COMPENSATION GR</t>
  </si>
  <si>
    <t>863843</t>
  </si>
  <si>
    <t>KRISTIN MCGINNIS</t>
  </si>
  <si>
    <t>BENEFIT CONCEPTS OF COL.</t>
  </si>
  <si>
    <t>CBB4V</t>
  </si>
  <si>
    <t>Mojares, Dennis J</t>
  </si>
  <si>
    <t>M Holdings Securities Inc</t>
  </si>
  <si>
    <t>MAAHI</t>
  </si>
  <si>
    <t>STEVEN TABER</t>
  </si>
  <si>
    <t>0MW30</t>
  </si>
  <si>
    <t>NAVON WEALTH ADVISORS LLC</t>
  </si>
  <si>
    <t>MACDF</t>
  </si>
  <si>
    <t>DENNIS MOJARES</t>
  </si>
  <si>
    <t>0MD50</t>
  </si>
  <si>
    <t>GREENBERG &amp; RAPP FINANCIAL GRP</t>
  </si>
  <si>
    <t>MJTAA</t>
  </si>
  <si>
    <t>JONATHAN WILLIAMS</t>
  </si>
  <si>
    <t>0MK70</t>
  </si>
  <si>
    <t>BENEFITS GROUP</t>
  </si>
  <si>
    <t>YHGJC</t>
  </si>
  <si>
    <t xml:space="preserve"> Michael B Liebeskind</t>
  </si>
  <si>
    <t>PG000</t>
  </si>
  <si>
    <t>Producer Group RLO</t>
  </si>
  <si>
    <t>ZS068C</t>
  </si>
  <si>
    <t>HARPER, RYLEY</t>
  </si>
  <si>
    <t>MJDX</t>
  </si>
  <si>
    <t>VALLEY FORGE FINANCIAL GROUP INC</t>
  </si>
  <si>
    <t>1157848705</t>
  </si>
  <si>
    <t>GOODMAN, STEVEN H</t>
  </si>
  <si>
    <t>1157848707</t>
  </si>
  <si>
    <t>KOENIGER, COLE S</t>
  </si>
  <si>
    <t>GREENBERG &amp; RAPP FINANCIAL GROUP INC</t>
  </si>
  <si>
    <t>1158775003</t>
  </si>
  <si>
    <t>PHILLIPS, MATTHEW H</t>
  </si>
  <si>
    <t>WKG 3 PLUS LLC</t>
  </si>
  <si>
    <t>2109E</t>
  </si>
  <si>
    <t>JM BARRY &amp; ASSOCIATES LLC</t>
  </si>
  <si>
    <t>3120E</t>
  </si>
  <si>
    <t>ENZA INSURANCE LLC</t>
  </si>
  <si>
    <t>4465C</t>
  </si>
  <si>
    <t>LEGACY ADVISORS LLC</t>
  </si>
  <si>
    <t>6921D</t>
  </si>
  <si>
    <t>PERSPECTIVE FINANCIAL GROUP LLC</t>
  </si>
  <si>
    <t>7453D</t>
  </si>
  <si>
    <t>TPG CONSULTING</t>
  </si>
  <si>
    <t>Premier Foundation Plus Indexed Annuity</t>
  </si>
  <si>
    <t>FlexGuard Life IVUL</t>
  </si>
  <si>
    <t>Select Max</t>
  </si>
  <si>
    <t>Pacific Life Insurance Company</t>
  </si>
  <si>
    <t>Elite 20</t>
  </si>
  <si>
    <t>Protection VUL</t>
  </si>
  <si>
    <t>***ProductID NO MATCH***</t>
  </si>
  <si>
    <t xml:space="preserve">JNLMP     </t>
  </si>
  <si>
    <t>JACKSON MARKET LINK PRO</t>
  </si>
  <si>
    <t xml:space="preserve">MLPND     </t>
  </si>
  <si>
    <t>METLIFE VAIRABLE ANNUITY 3ISA30</t>
  </si>
  <si>
    <t>***ProducerID NO MATCH***</t>
  </si>
  <si>
    <t xml:space="preserve">VN5       </t>
  </si>
  <si>
    <t>ANN LIOTTA</t>
  </si>
  <si>
    <t>COHN FINANCIAL GROUP, LLC</t>
  </si>
  <si>
    <t xml:space="preserve">XV6       </t>
  </si>
  <si>
    <t>CHRISTOPHER CORLEY</t>
  </si>
  <si>
    <t>HARBOUR WEALTH MANAGEMENT GROUP, IN</t>
  </si>
  <si>
    <t>Jackson Market Link Pro</t>
  </si>
  <si>
    <t>Met Life - Non M</t>
  </si>
  <si>
    <t>Variable Annuity</t>
  </si>
  <si>
    <t>Variable Annuity - Deferred</t>
  </si>
  <si>
    <t>Symetra Life Insurance Company</t>
  </si>
  <si>
    <t>Jackson National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</si>
</sst>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-yyyy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0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0" fontId="7" fillId="0" borderId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3" borderId="0" xfId="0" applyFill="1"/>
    <xf numFmtId="0" fontId="0" fillId="4" borderId="0" xfId="0" applyFill="1"/>
    <xf numFmtId="0" fontId="1" fillId="4" borderId="0" xfId="0" applyFont="1" applyFill="1"/>
    <xf numFmtId="49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2" fillId="0" borderId="0" xfId="0" applyFont="1"/>
    <xf numFmtId="0" fontId="0" fillId="0" borderId="1" xfId="0" applyBorder="1"/>
    <xf numFmtId="0" fontId="0" fillId="0" borderId="4" xfId="0" applyBorder="1"/>
    <xf numFmtId="0" fontId="3" fillId="0" borderId="0" xfId="0" applyFont="1"/>
    <xf numFmtId="0" fontId="0" fillId="2" borderId="0" xfId="0" applyFill="1"/>
    <xf numFmtId="49" fontId="0" fillId="3" borderId="0" xfId="0" quotePrefix="1" applyNumberFormat="1" applyFill="1"/>
    <xf numFmtId="49" fontId="0" fillId="4" borderId="0" xfId="0" quotePrefix="1" applyNumberFormat="1" applyFill="1"/>
    <xf numFmtId="0" fontId="4" fillId="0" borderId="0" xfId="0" applyFont="1"/>
    <xf numFmtId="47" fontId="0" fillId="0" borderId="0" xfId="0" applyNumberFormat="1"/>
    <xf numFmtId="22" fontId="0" fillId="0" borderId="0" xfId="0" applyNumberFormat="1"/>
    <xf numFmtId="0" fontId="0" fillId="0" borderId="0" xfId="0" applyAlignment="1">
      <alignment vertical="center"/>
    </xf>
    <xf numFmtId="49" fontId="0" fillId="0" borderId="0" xfId="0" quotePrefix="1" applyNumberFormat="1"/>
    <xf numFmtId="0" fontId="7" fillId="0" borderId="0" xfId="1"/>
    <xf numFmtId="164" fontId="9" fillId="0" borderId="0" xfId="1" quotePrefix="1" applyNumberFormat="1" applyFont="1"/>
    <xf numFmtId="49" fontId="7" fillId="0" borderId="0" xfId="1" applyNumberFormat="1" applyAlignment="1">
      <alignment horizontal="center"/>
    </xf>
    <xf numFmtId="0" fontId="7" fillId="5" borderId="0" xfId="1" applyFill="1"/>
    <xf numFmtId="49" fontId="7" fillId="5" borderId="0" xfId="1" applyNumberFormat="1" applyFill="1"/>
    <xf numFmtId="0" fontId="7" fillId="3" borderId="0" xfId="1" applyFill="1"/>
    <xf numFmtId="49" fontId="7" fillId="3" borderId="0" xfId="1" applyNumberFormat="1" applyFill="1"/>
    <xf numFmtId="49" fontId="7" fillId="0" borderId="0" xfId="1" applyNumberFormat="1"/>
    <xf numFmtId="49" fontId="10" fillId="0" borderId="0" xfId="1" applyNumberFormat="1" applyFont="1"/>
    <xf numFmtId="0" fontId="10" fillId="0" borderId="0" xfId="1" applyFont="1"/>
    <xf numFmtId="0" fontId="11" fillId="6" borderId="5" xfId="1" applyFont="1" applyFill="1" applyBorder="1"/>
    <xf numFmtId="49" fontId="11" fillId="6" borderId="5" xfId="1" applyNumberFormat="1" applyFont="1" applyFill="1" applyBorder="1"/>
    <xf numFmtId="0" fontId="7" fillId="7" borderId="0" xfId="1" applyFill="1"/>
    <xf numFmtId="0" fontId="12" fillId="7" borderId="0" xfId="2" applyFill="1"/>
    <xf numFmtId="0" fontId="7" fillId="8" borderId="0" xfId="1" applyFill="1"/>
    <xf numFmtId="49" fontId="7" fillId="8" borderId="0" xfId="1" applyNumberFormat="1" applyFill="1"/>
    <xf numFmtId="0" fontId="1" fillId="0" borderId="0" xfId="0" applyFont="1"/>
    <xf numFmtId="0" fontId="14" fillId="7" borderId="0" xfId="1" applyFont="1" applyFill="1"/>
    <xf numFmtId="0" fontId="8" fillId="0" borderId="0" xfId="1" applyFont="1" applyAlignment="1">
      <alignment horizontal="center"/>
    </xf>
    <xf numFmtId="0" fontId="7" fillId="0" borderId="0" xfId="1" applyFill="1"/>
    <xf numFmtId="49" fontId="7" fillId="0" borderId="0" xfId="1" applyNumberFormat="1" applyFill="1"/>
  </cellXfs>
  <cellStyles count="3">
    <cellStyle name="Hyperlink" xfId="2" builtinId="8"/>
    <cellStyle name="Normal" xfId="0" builtinId="0"/>
    <cellStyle name="Normal 2" xfId="1" xr:uid="{A8B72972-9FCE-4B19-AC0A-5622605C8F70}"/>
  </cellStyles>
  <dxfs count="3">
    <dxf>
      <font>
        <color rgb="FF9C5700"/>
      </font>
      <fill>
        <patternFill>
          <bgColor rgb="FFFFEB9C"/>
        </patternFill>
      </fill>
    </dxf>
    <dxf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12</xdr:row>
          <xdr:rowOff>158750</xdr:rowOff>
        </xdr:from>
        <xdr:to>
          <xdr:col>4</xdr:col>
          <xdr:colOff>546100</xdr:colOff>
          <xdr:row>18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Product Mapping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13</xdr:row>
          <xdr:rowOff>12700</xdr:rowOff>
        </xdr:from>
        <xdr:to>
          <xdr:col>12</xdr:col>
          <xdr:colOff>38100</xdr:colOff>
          <xdr:row>18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Draft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13</xdr:row>
          <xdr:rowOff>0</xdr:rowOff>
        </xdr:from>
        <xdr:to>
          <xdr:col>8</xdr:col>
          <xdr:colOff>279400</xdr:colOff>
          <xdr:row>18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16328</xdr:colOff>
      <xdr:row>1</xdr:row>
      <xdr:rowOff>3175</xdr:rowOff>
    </xdr:from>
    <xdr:to>
      <xdr:col>20</xdr:col>
      <xdr:colOff>-1</xdr:colOff>
      <xdr:row>49</xdr:row>
      <xdr:rowOff>8618</xdr:rowOff>
    </xdr:to>
    <xdr:sp macro="" textlink="">
      <xdr:nvSpPr>
        <xdr:cNvPr id="19" name="Queries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628649" y="180068"/>
          <a:ext cx="11617779" cy="8496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--'Place all recently mapped products from the current month ProdOverride SQL file into the temp table from the current month #temp workbook</a:t>
          </a:r>
        </a:p>
        <a:p>
          <a:r>
            <a:rPr lang="en-US" sz="1100"/>
            <a:t>--'Highlight the brand new products in green in the report</a:t>
          </a:r>
        </a:p>
        <a:p>
          <a:r>
            <a:rPr lang="en-US" sz="1100"/>
            <a:t>--'use ProductionAndOverride</a:t>
          </a:r>
        </a:p>
        <a:p>
          <a:r>
            <a:rPr lang="en-US" sz="1100"/>
            <a:t>if object_id('tempdb..#temp') is not null drop table #temp</a:t>
          </a:r>
        </a:p>
        <a:p>
          <a:endParaRPr lang="en-US" sz="1100"/>
        </a:p>
        <a:p>
          <a:r>
            <a:rPr lang="en-US" sz="1100"/>
            <a:t>create table #temp (entityTypeId nvarchar(50), entityId nvarchar(50), sourceTypeId nvarchar(50), sourceId int , mId int , otherInfo nvarchar(50))</a:t>
          </a:r>
        </a:p>
        <a:p>
          <a:r>
            <a:rPr lang="en-US" sz="1100"/>
            <a:t>INSERT INTO dbo.#temp (entityTypeId, entityId, sourceTypeId, sourceId, mId, otherInfo) VALUES ('PD','1236600000','CA',1064,7454,'PROTECTION VUL')</a:t>
          </a:r>
        </a:p>
        <a:p>
          <a:r>
            <a:rPr lang="en-US" sz="1100"/>
            <a:t>INSERT INTO dbo.#temp (entityTypeId, entityId, sourceTypeId, sourceId, mId, otherInfo) VALUES ('PD','ELITE20R1','CA',1111,7437,'Pac Elite Term 20 - ')</a:t>
          </a:r>
        </a:p>
        <a:p>
          <a:r>
            <a:rPr lang="en-US" sz="1100"/>
            <a:t>INSERT INTO dbo.#temp (entityTypeId, entityId, sourceTypeId, sourceId, mId, otherInfo) VALUES ('PD','IVUL03','CA',1116,7596,'FLXG IVUL-PA')</a:t>
          </a:r>
        </a:p>
        <a:p>
          <a:r>
            <a:rPr lang="en-US" sz="1100"/>
            <a:t>INSERT INTO dbo.#temp (entityTypeId, entityId, sourceTypeId, sourceId, mId, otherInfo) VALUES ('PD','SM05','CA',1680,7597,'SELECT MAX 5')</a:t>
          </a:r>
        </a:p>
        <a:p>
          <a:r>
            <a:rPr lang="en-US" sz="1100"/>
            <a:t>INSERT INTO dbo.#temp (entityTypeId, entityId, sourceTypeId, sourceId, mId, otherInfo) VALUES ('PD','PFPIA','CA',1690,7595,'PREMIER FOUNDATION PLUS IA')</a:t>
          </a:r>
        </a:p>
        <a:p>
          <a:r>
            <a:rPr lang="en-US" sz="1100"/>
            <a:t>INSERT INTO dbo.#temp (entityTypeId, entityId, sourceTypeId, sourceId, mId, otherInfo) VALUES ('PD','TNC2310NY','CA',1690,7527,'PROTECTION NON CONVERTIBLE 10')</a:t>
          </a:r>
        </a:p>
        <a:p>
          <a:r>
            <a:rPr lang="en-US" sz="1100"/>
            <a:t>INSERT INTO dbo.#temp (entityTypeId, entityId, sourceTypeId, sourceId, mId, otherInfo) VALUES ('PD','JNLMP     ','MS',1000,7598,'JACKSON MARKET LINK PRO')</a:t>
          </a:r>
        </a:p>
        <a:p>
          <a:r>
            <a:rPr lang="en-US" sz="1100"/>
            <a:t>INSERT INTO dbo.#temp (entityTypeId, entityId, sourceTypeId, sourceId, mId, otherInfo) VALUES ('PD','MLPND     ','MS',1000,5144,'METLIFE VAIRABLE ANNUITY 3ISA30')</a:t>
          </a:r>
        </a:p>
        <a:p>
          <a:endParaRPr lang="en-US" sz="1100"/>
        </a:p>
        <a:p>
          <a:r>
            <a:rPr lang="en-US" sz="1100"/>
            <a:t>select</a:t>
          </a:r>
        </a:p>
        <a:p>
          <a:r>
            <a:rPr lang="en-US" sz="1100"/>
            <a:t>   c.[Name] Carrier,</a:t>
          </a:r>
        </a:p>
        <a:p>
          <a:r>
            <a:rPr lang="en-US" sz="1100"/>
            <a:t>   t.entityId Provided_Product_ID,</a:t>
          </a:r>
        </a:p>
        <a:p>
          <a:r>
            <a:rPr lang="en-US" sz="1100"/>
            <a:t>   t.otherInfo Provided_Name,</a:t>
          </a:r>
        </a:p>
        <a:p>
          <a:r>
            <a:rPr lang="en-US" sz="1100"/>
            <a:t>   p.ID Product_ID,</a:t>
          </a:r>
        </a:p>
        <a:p>
          <a:r>
            <a:rPr lang="en-US" sz="1100"/>
            <a:t>   p.[Name] Product_Name,</a:t>
          </a:r>
        </a:p>
        <a:p>
          <a:r>
            <a:rPr lang="en-US" sz="1100"/>
            <a:t>   pt.[Type] Product_Type,</a:t>
          </a:r>
        </a:p>
        <a:p>
          <a:r>
            <a:rPr lang="en-US" sz="1100"/>
            <a:t>   l.LOB Line_of_Business,</a:t>
          </a:r>
        </a:p>
        <a:p>
          <a:r>
            <a:rPr lang="en-US" sz="1100"/>
            <a:t>   p.MProprietary,</a:t>
          </a:r>
        </a:p>
        <a:p>
          <a:r>
            <a:rPr lang="en-US" sz="1100"/>
            <a:t>   p.PrivatePlacement,</a:t>
          </a:r>
        </a:p>
        <a:p>
          <a:r>
            <a:rPr lang="en-US" sz="1100"/>
            <a:t>   p.NLG,</a:t>
          </a:r>
        </a:p>
        <a:p>
          <a:r>
            <a:rPr lang="en-US" sz="1100"/>
            <a:t>   p.CSO,</a:t>
          </a:r>
        </a:p>
        <a:p>
          <a:r>
            <a:rPr lang="en-US" sz="1100"/>
            <a:t>   p.Modco,</a:t>
          </a:r>
        </a:p>
        <a:p>
          <a:r>
            <a:rPr lang="en-US" sz="1100"/>
            <a:t>   p.YRT,</a:t>
          </a:r>
        </a:p>
        <a:p>
          <a:r>
            <a:rPr lang="en-US" sz="1100"/>
            <a:t>   p.EquityIndexed,</a:t>
          </a:r>
        </a:p>
        <a:p>
          <a:r>
            <a:rPr lang="en-US" sz="1100"/>
            <a:t>   p.Accumulation,</a:t>
          </a:r>
        </a:p>
        <a:p>
          <a:r>
            <a:rPr lang="en-US" sz="1100"/>
            <a:t>   p.Performance,</a:t>
          </a:r>
        </a:p>
        <a:p>
          <a:r>
            <a:rPr lang="en-US" sz="1100"/>
            <a:t>   p.LifeLTC,</a:t>
          </a:r>
        </a:p>
        <a:p>
          <a:r>
            <a:rPr lang="en-US" sz="1100"/>
            <a:t>   pt.COLI COLI_Flag,</a:t>
          </a:r>
        </a:p>
        <a:p>
          <a:r>
            <a:rPr lang="en-US" sz="1100"/>
            <a:t>   pt.Variable Variable_Flag</a:t>
          </a:r>
        </a:p>
        <a:p>
          <a:r>
            <a:rPr lang="en-US" sz="1100"/>
            <a:t>from #temp t</a:t>
          </a:r>
        </a:p>
        <a:p>
          <a:r>
            <a:rPr lang="en-US" sz="1100"/>
            <a:t>inner join product p on p.ID = t.mId</a:t>
          </a:r>
        </a:p>
        <a:p>
          <a:r>
            <a:rPr lang="en-US" sz="1100"/>
            <a:t>inner join ProdType pt on p.ProdTypeID = pt.ID</a:t>
          </a:r>
        </a:p>
        <a:p>
          <a:r>
            <a:rPr lang="en-US" sz="1100"/>
            <a:t>inner join LOB l on l.ID = pt.LOBID</a:t>
          </a:r>
        </a:p>
        <a:p>
          <a:r>
            <a:rPr lang="en-US" sz="1100"/>
            <a:t>inner join Company c on p.CarrierID = c.COID</a:t>
          </a:r>
        </a:p>
        <a:p>
          <a:r>
            <a:rPr lang="en-US" sz="1100"/>
            <a:t>order by p.ID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9AA43-A44B-4E82-839C-9C36C80D8438}">
  <sheetPr codeName="Sheet5"/>
  <dimension ref="B3:M25"/>
  <sheetViews>
    <sheetView workbookViewId="0">
      <selection activeCell="P38" sqref="P38"/>
    </sheetView>
  </sheetViews>
  <sheetFormatPr defaultRowHeight="12.5" x14ac:dyDescent="0.25"/>
  <cols>
    <col min="1" max="2" width="8.7265625" style="20"/>
    <col min="3" max="3" width="9.81640625" style="20" bestFit="1" customWidth="1"/>
    <col min="4" max="16384" width="8.7265625" style="20"/>
  </cols>
  <sheetData>
    <row r="3" spans="2:13" x14ac:dyDescent="0.25"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2:13" x14ac:dyDescent="0.25"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</row>
    <row r="5" spans="2:13" x14ac:dyDescent="0.25">
      <c r="B5" s="32"/>
      <c r="C5" s="32" t="s">
        <v>46</v>
      </c>
      <c r="D5" s="32">
        <v>2023</v>
      </c>
      <c r="E5" s="32"/>
      <c r="F5" s="32"/>
      <c r="G5" s="32"/>
      <c r="H5" s="32"/>
      <c r="I5" s="32"/>
      <c r="J5" s="32"/>
      <c r="K5" s="32"/>
      <c r="L5" s="32"/>
      <c r="M5" s="32"/>
    </row>
    <row r="6" spans="2:13" x14ac:dyDescent="0.25">
      <c r="B6" s="32"/>
      <c r="C6" s="32" t="s">
        <v>47</v>
      </c>
      <c r="D6" s="32">
        <v>3</v>
      </c>
      <c r="E6" s="37" t="s">
        <v>73</v>
      </c>
      <c r="F6" s="32"/>
      <c r="G6" s="32"/>
      <c r="H6" s="32"/>
      <c r="I6" s="32"/>
      <c r="J6" s="32"/>
      <c r="K6" s="32"/>
      <c r="L6" s="32"/>
      <c r="M6" s="32"/>
    </row>
    <row r="7" spans="2:13" x14ac:dyDescent="0.25">
      <c r="B7" s="32"/>
      <c r="C7" s="32" t="s">
        <v>49</v>
      </c>
      <c r="D7" s="32" t="s">
        <v>51</v>
      </c>
      <c r="E7" s="32"/>
      <c r="F7" s="32"/>
      <c r="G7" s="32"/>
      <c r="H7" s="32"/>
      <c r="I7" s="32"/>
      <c r="J7" s="32"/>
      <c r="K7" s="32"/>
      <c r="L7" s="32"/>
      <c r="M7" s="32"/>
    </row>
    <row r="8" spans="2:13" x14ac:dyDescent="0.25">
      <c r="B8" s="32"/>
      <c r="C8" s="32" t="s">
        <v>50</v>
      </c>
      <c r="D8" s="32" t="s">
        <v>52</v>
      </c>
      <c r="E8" s="32"/>
      <c r="F8" s="32"/>
      <c r="G8" s="32"/>
      <c r="H8" s="32"/>
      <c r="I8" s="32"/>
      <c r="J8" s="32"/>
      <c r="K8" s="32"/>
      <c r="L8" s="32"/>
      <c r="M8" s="32"/>
    </row>
    <row r="9" spans="2:13" x14ac:dyDescent="0.25"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</row>
    <row r="10" spans="2:13" ht="14.5" x14ac:dyDescent="0.35">
      <c r="B10" s="32"/>
      <c r="C10" s="32" t="s">
        <v>48</v>
      </c>
      <c r="D10" s="33" t="str">
        <f>HYPERLINK("J:\Acctng\Production\"&amp;YearApplied&amp;"\Monthly Reviews"&amp;"\")</f>
        <v>J:\Acctng\Production\2023\Monthly Reviews\</v>
      </c>
      <c r="E10" s="32"/>
      <c r="F10" s="32"/>
      <c r="G10" s="32"/>
      <c r="H10" s="32"/>
      <c r="I10" s="32"/>
      <c r="J10" s="32"/>
      <c r="K10" s="32"/>
      <c r="L10" s="32"/>
      <c r="M10" s="32"/>
    </row>
    <row r="11" spans="2:13" x14ac:dyDescent="0.25">
      <c r="B11" s="32"/>
      <c r="C11" s="32" t="s">
        <v>54</v>
      </c>
      <c r="D11" s="32" t="str">
        <f>"Product Mapping Report - "&amp;YearApplied&amp;"-"&amp;RIGHT("00"&amp;MonthApplied,2)&amp;".xlsx"</f>
        <v>Product Mapping Report - 2023-03.xlsx</v>
      </c>
      <c r="E11" s="32"/>
      <c r="F11" s="32"/>
      <c r="G11" s="32"/>
      <c r="H11" s="32"/>
      <c r="I11" s="32"/>
      <c r="J11" s="32"/>
      <c r="K11" s="32"/>
      <c r="L11" s="32"/>
      <c r="M11" s="32"/>
    </row>
    <row r="12" spans="2:13" x14ac:dyDescent="0.25"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</row>
    <row r="13" spans="2:13" x14ac:dyDescent="0.25"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</row>
    <row r="14" spans="2:13" x14ac:dyDescent="0.25"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</row>
    <row r="15" spans="2:13" x14ac:dyDescent="0.25"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</row>
    <row r="16" spans="2:13" x14ac:dyDescent="0.25"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</row>
    <row r="17" spans="2:13" x14ac:dyDescent="0.25"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</row>
    <row r="18" spans="2:13" x14ac:dyDescent="0.25"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</row>
    <row r="19" spans="2:13" x14ac:dyDescent="0.25"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</row>
    <row r="20" spans="2:13" x14ac:dyDescent="0.25"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</row>
    <row r="21" spans="2:13" x14ac:dyDescent="0.25"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</row>
    <row r="22" spans="2:13" x14ac:dyDescent="0.25"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</row>
    <row r="23" spans="2:13" x14ac:dyDescent="0.25"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</row>
    <row r="24" spans="2:13" x14ac:dyDescent="0.25"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</row>
    <row r="25" spans="2:13" x14ac:dyDescent="0.25"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opulate">
                <anchor moveWithCells="1" sizeWithCells="1">
                  <from>
                    <xdr:col>1</xdr:col>
                    <xdr:colOff>609600</xdr:colOff>
                    <xdr:row>12</xdr:row>
                    <xdr:rowOff>158750</xdr:rowOff>
                  </from>
                  <to>
                    <xdr:col>4</xdr:col>
                    <xdr:colOff>546100</xdr:colOff>
                    <xdr:row>18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raftEmail">
                <anchor moveWithCells="1" sizeWithCells="1">
                  <from>
                    <xdr:col>9</xdr:col>
                    <xdr:colOff>25400</xdr:colOff>
                    <xdr:row>13</xdr:row>
                    <xdr:rowOff>12700</xdr:rowOff>
                  </from>
                  <to>
                    <xdr:col>12</xdr:col>
                    <xdr:colOff>38100</xdr:colOff>
                    <xdr:row>18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Export">
                <anchor moveWithCells="1" sizeWithCells="1">
                  <from>
                    <xdr:col>5</xdr:col>
                    <xdr:colOff>266700</xdr:colOff>
                    <xdr:row>13</xdr:row>
                    <xdr:rowOff>0</xdr:rowOff>
                  </from>
                  <to>
                    <xdr:col>8</xdr:col>
                    <xdr:colOff>279400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79998168889431442"/>
  </sheetPr>
  <dimension ref="A1:P67"/>
  <sheetViews>
    <sheetView topLeftCell="O37" zoomScale="80" zoomScaleNormal="80" workbookViewId="0">
      <selection activeCell="O59" sqref="O59:O62"/>
    </sheetView>
  </sheetViews>
  <sheetFormatPr defaultColWidth="9.26953125" defaultRowHeight="14.5" x14ac:dyDescent="0.35"/>
  <cols>
    <col min="1" max="1" width="32.453125" customWidth="1"/>
    <col min="2" max="2" width="8.7265625" customWidth="1"/>
    <col min="3" max="3" width="10.7265625" style="4" customWidth="1"/>
    <col min="4" max="4" width="28.1796875" customWidth="1"/>
    <col min="5" max="5" width="20.26953125" bestFit="1" customWidth="1"/>
    <col min="6" max="6" width="44.7265625" bestFit="1" customWidth="1"/>
    <col min="7" max="7" width="4.7265625" customWidth="1"/>
    <col min="8" max="8" width="10.7265625" bestFit="1" customWidth="1"/>
    <col min="9" max="9" width="45" customWidth="1"/>
    <col min="10" max="10" width="11.7265625" bestFit="1" customWidth="1"/>
    <col min="11" max="11" width="7" customWidth="1"/>
    <col min="12" max="12" width="7.453125" customWidth="1"/>
    <col min="13" max="13" width="49.453125" bestFit="1" customWidth="1"/>
    <col min="14" max="14" width="4.7265625" customWidth="1"/>
    <col min="15" max="15" width="170.7265625" customWidth="1"/>
    <col min="16" max="16" width="166.1796875" bestFit="1" customWidth="1"/>
    <col min="17" max="17" width="28.54296875" bestFit="1" customWidth="1"/>
  </cols>
  <sheetData>
    <row r="1" spans="1:16" x14ac:dyDescent="0.35">
      <c r="A1" s="1" t="s">
        <v>22</v>
      </c>
      <c r="G1" s="6"/>
      <c r="N1" s="6"/>
    </row>
    <row r="2" spans="1:16" x14ac:dyDescent="0.35">
      <c r="A2" s="1" t="s">
        <v>59</v>
      </c>
      <c r="B2" t="s">
        <v>31</v>
      </c>
      <c r="C2" s="4" t="s">
        <v>60</v>
      </c>
      <c r="D2" t="s">
        <v>61</v>
      </c>
      <c r="E2" t="s">
        <v>62</v>
      </c>
      <c r="F2" t="s">
        <v>63</v>
      </c>
      <c r="G2" s="7"/>
      <c r="H2" t="s">
        <v>65</v>
      </c>
      <c r="I2" t="s">
        <v>64</v>
      </c>
      <c r="J2" t="s">
        <v>0</v>
      </c>
      <c r="K2" t="s">
        <v>1</v>
      </c>
      <c r="L2" t="s">
        <v>2</v>
      </c>
      <c r="M2" t="s">
        <v>3</v>
      </c>
      <c r="N2" s="7"/>
    </row>
    <row r="3" spans="1:16" x14ac:dyDescent="0.35">
      <c r="A3" s="1" t="s">
        <v>74</v>
      </c>
      <c r="B3" s="1">
        <v>1064</v>
      </c>
      <c r="C3" s="13" t="s">
        <v>75</v>
      </c>
      <c r="D3" s="1" t="s">
        <v>76</v>
      </c>
      <c r="E3" s="1"/>
      <c r="F3" s="1"/>
      <c r="G3" s="7"/>
      <c r="H3" t="str">
        <f>IF(RIGHT(A3,22)="ProducerID NO MATCH***","PR",IF(RIGHT(A3,21)="ProductID NO MATCH***","PD",""))</f>
        <v>PD</v>
      </c>
      <c r="I3" s="11" t="str">
        <f t="shared" ref="I3" si="0">C3</f>
        <v>1236600000</v>
      </c>
      <c r="J3" s="11" t="s">
        <v>24</v>
      </c>
      <c r="K3" s="11">
        <f t="shared" ref="K3" si="1">B3</f>
        <v>1064</v>
      </c>
      <c r="L3">
        <v>7454</v>
      </c>
      <c r="M3" s="11" t="str">
        <f t="shared" ref="M3" si="2">D3</f>
        <v>PROTECTION VUL</v>
      </c>
      <c r="N3" s="7"/>
      <c r="O3" t="str">
        <f t="shared" ref="O3:O22" si="3">"INSERT INTO dbo.Mapping (entityTypeId, entityId, sourceTypeId, sourceId, mId, otherInfo) VALUES ('"&amp;H3&amp;"','"&amp;I3&amp;"','"&amp;J3&amp;"',"&amp;K3&amp;","&amp;L3&amp;",'"&amp;M3&amp;"')"</f>
        <v>INSERT INTO dbo.Mapping (entityTypeId, entityId, sourceTypeId, sourceId, mId, otherInfo) VALUES ('PD','1236600000','CA',1064,7454,'PROTECTION VUL')</v>
      </c>
      <c r="P3" t="str">
        <f>"DELETE FROM dbo.Mapping WHERE entityTypeId = '" &amp;H3&amp; "' and entityId ='" &amp;I3&amp; "' and sourceId = " &amp;K3&amp; " and mId= " &amp; L3</f>
        <v>DELETE FROM dbo.Mapping WHERE entityTypeId = 'PD' and entityId ='1236600000' and sourceId = 1064 and mId= 7454</v>
      </c>
    </row>
    <row r="4" spans="1:16" x14ac:dyDescent="0.35">
      <c r="A4" s="1" t="s">
        <v>74</v>
      </c>
      <c r="B4" s="1">
        <v>1111</v>
      </c>
      <c r="C4" s="13" t="s">
        <v>77</v>
      </c>
      <c r="D4" s="1" t="s">
        <v>78</v>
      </c>
      <c r="E4" s="1"/>
      <c r="F4" s="1"/>
      <c r="G4" s="7"/>
      <c r="H4" t="str">
        <f t="shared" ref="H4:H51" si="4">IF(RIGHT(A4,22)="ProducerID NO MATCH***","PR",IF(RIGHT(A4,21)="ProductID NO MATCH***","PD",""))</f>
        <v>PD</v>
      </c>
      <c r="I4" t="str">
        <f t="shared" ref="I4:I6" si="5">C4</f>
        <v>ELITE20R1</v>
      </c>
      <c r="J4" t="s">
        <v>24</v>
      </c>
      <c r="K4">
        <f t="shared" ref="K4:K6" si="6">B4</f>
        <v>1111</v>
      </c>
      <c r="L4" s="11">
        <v>7437</v>
      </c>
      <c r="M4" t="str">
        <f t="shared" ref="M4:M7" si="7">D4</f>
        <v xml:space="preserve">Pac Elite Term 20 - </v>
      </c>
      <c r="N4" s="7"/>
      <c r="O4" t="str">
        <f t="shared" si="3"/>
        <v>INSERT INTO dbo.Mapping (entityTypeId, entityId, sourceTypeId, sourceId, mId, otherInfo) VALUES ('PD','ELITE20R1','CA',1111,7437,'Pac Elite Term 20 - ')</v>
      </c>
      <c r="P4" t="str">
        <f t="shared" ref="P4:P22" si="8">"DELETE FROM dbo.Mapping WHERE entityTypeId = '" &amp;H4&amp; "' and entityId ='" &amp;I4&amp; "' and sourceId = " &amp;K4&amp; " and mId= " &amp; L4</f>
        <v>DELETE FROM dbo.Mapping WHERE entityTypeId = 'PD' and entityId ='ELITE20R1' and sourceId = 1111 and mId= 7437</v>
      </c>
    </row>
    <row r="5" spans="1:16" x14ac:dyDescent="0.35">
      <c r="A5" s="1" t="s">
        <v>74</v>
      </c>
      <c r="B5" s="1">
        <v>1116</v>
      </c>
      <c r="C5" s="13" t="s">
        <v>79</v>
      </c>
      <c r="D5" s="1" t="s">
        <v>80</v>
      </c>
      <c r="E5" s="1"/>
      <c r="F5" s="1"/>
      <c r="G5" s="7"/>
      <c r="H5" t="str">
        <f t="shared" si="4"/>
        <v>PD</v>
      </c>
      <c r="I5" t="str">
        <f t="shared" si="5"/>
        <v>IVUL03</v>
      </c>
      <c r="J5" t="s">
        <v>24</v>
      </c>
      <c r="K5">
        <f t="shared" si="6"/>
        <v>1116</v>
      </c>
      <c r="L5">
        <v>7596</v>
      </c>
      <c r="M5" t="str">
        <f t="shared" si="7"/>
        <v>FLXG IVUL-PA</v>
      </c>
      <c r="N5" s="7"/>
      <c r="O5" t="str">
        <f t="shared" si="3"/>
        <v>INSERT INTO dbo.Mapping (entityTypeId, entityId, sourceTypeId, sourceId, mId, otherInfo) VALUES ('PD','IVUL03','CA',1116,7596,'FLXG IVUL-PA')</v>
      </c>
      <c r="P5" t="str">
        <f t="shared" si="8"/>
        <v>DELETE FROM dbo.Mapping WHERE entityTypeId = 'PD' and entityId ='IVUL03' and sourceId = 1116 and mId= 7596</v>
      </c>
    </row>
    <row r="6" spans="1:16" x14ac:dyDescent="0.35">
      <c r="A6" s="1" t="s">
        <v>74</v>
      </c>
      <c r="B6" s="1">
        <v>1680</v>
      </c>
      <c r="C6" s="13" t="s">
        <v>81</v>
      </c>
      <c r="D6" s="1" t="s">
        <v>82</v>
      </c>
      <c r="E6" s="1"/>
      <c r="F6" s="1"/>
      <c r="G6" s="7"/>
      <c r="H6" t="str">
        <f t="shared" si="4"/>
        <v>PD</v>
      </c>
      <c r="I6" t="str">
        <f t="shared" si="5"/>
        <v>SM05</v>
      </c>
      <c r="J6" t="s">
        <v>24</v>
      </c>
      <c r="K6">
        <f t="shared" si="6"/>
        <v>1680</v>
      </c>
      <c r="L6">
        <v>7597</v>
      </c>
      <c r="M6" t="str">
        <f t="shared" si="7"/>
        <v>SELECT MAX 5</v>
      </c>
      <c r="N6" s="7"/>
      <c r="O6" t="str">
        <f t="shared" si="3"/>
        <v>INSERT INTO dbo.Mapping (entityTypeId, entityId, sourceTypeId, sourceId, mId, otherInfo) VALUES ('PD','SM05','CA',1680,7597,'SELECT MAX 5')</v>
      </c>
      <c r="P6" t="str">
        <f t="shared" si="8"/>
        <v>DELETE FROM dbo.Mapping WHERE entityTypeId = 'PD' and entityId ='SM05' and sourceId = 1680 and mId= 7597</v>
      </c>
    </row>
    <row r="7" spans="1:16" x14ac:dyDescent="0.35">
      <c r="A7" s="1" t="s">
        <v>74</v>
      </c>
      <c r="B7" s="1">
        <v>1690</v>
      </c>
      <c r="C7" s="13" t="s">
        <v>83</v>
      </c>
      <c r="D7" s="1" t="s">
        <v>84</v>
      </c>
      <c r="E7" s="1"/>
      <c r="F7" s="1"/>
      <c r="G7" s="7"/>
      <c r="H7" t="str">
        <f t="shared" si="4"/>
        <v>PD</v>
      </c>
      <c r="I7" t="str">
        <f t="shared" ref="I7" si="9">C7</f>
        <v>PFPIA</v>
      </c>
      <c r="J7" t="s">
        <v>24</v>
      </c>
      <c r="K7">
        <f t="shared" ref="K7" si="10">B7</f>
        <v>1690</v>
      </c>
      <c r="L7">
        <v>7595</v>
      </c>
      <c r="M7" t="str">
        <f t="shared" si="7"/>
        <v>PREMIER FOUNDATION PLUS IA</v>
      </c>
      <c r="N7" s="7"/>
      <c r="O7" t="str">
        <f t="shared" ref="O7" si="11">"INSERT INTO dbo.Mapping (entityTypeId, entityId, sourceTypeId, sourceId, mId, otherInfo) VALUES ('"&amp;H7&amp;"','"&amp;I7&amp;"','"&amp;J7&amp;"',"&amp;K7&amp;","&amp;L7&amp;",'"&amp;M7&amp;"')"</f>
        <v>INSERT INTO dbo.Mapping (entityTypeId, entityId, sourceTypeId, sourceId, mId, otherInfo) VALUES ('PD','PFPIA','CA',1690,7595,'PREMIER FOUNDATION PLUS IA')</v>
      </c>
      <c r="P7" t="str">
        <f t="shared" si="8"/>
        <v>DELETE FROM dbo.Mapping WHERE entityTypeId = 'PD' and entityId ='PFPIA' and sourceId = 1690 and mId= 7595</v>
      </c>
    </row>
    <row r="8" spans="1:16" x14ac:dyDescent="0.35">
      <c r="A8" s="1" t="s">
        <v>74</v>
      </c>
      <c r="B8" s="1">
        <v>1690</v>
      </c>
      <c r="C8" s="13" t="s">
        <v>85</v>
      </c>
      <c r="D8" s="1" t="s">
        <v>58</v>
      </c>
      <c r="E8" s="1"/>
      <c r="F8" s="1"/>
      <c r="G8" s="7"/>
      <c r="H8" t="str">
        <f t="shared" si="4"/>
        <v>PD</v>
      </c>
      <c r="I8" t="str">
        <f t="shared" ref="I8" si="12">C8</f>
        <v>TNC2310NY</v>
      </c>
      <c r="J8" t="s">
        <v>24</v>
      </c>
      <c r="K8">
        <f t="shared" ref="K8" si="13">B8</f>
        <v>1690</v>
      </c>
      <c r="L8" s="11">
        <v>7527</v>
      </c>
      <c r="M8" t="str">
        <f t="shared" ref="M8" si="14">D8</f>
        <v>PROTECTION NON CONVERTIBLE 10</v>
      </c>
      <c r="N8" s="7"/>
      <c r="O8" t="str">
        <f t="shared" ref="O8" si="15">"INSERT INTO dbo.Mapping (entityTypeId, entityId, sourceTypeId, sourceId, mId, otherInfo) VALUES ('"&amp;H8&amp;"','"&amp;I8&amp;"','"&amp;J8&amp;"',"&amp;K8&amp;","&amp;L8&amp;",'"&amp;M8&amp;"')"</f>
        <v>INSERT INTO dbo.Mapping (entityTypeId, entityId, sourceTypeId, sourceId, mId, otherInfo) VALUES ('PD','TNC2310NY','CA',1690,7527,'PROTECTION NON CONVERTIBLE 10')</v>
      </c>
      <c r="P8" t="str">
        <f t="shared" ref="P8" si="16">"DELETE FROM dbo.Mapping WHERE entityTypeId = '" &amp;H8&amp; "' and entityId ='" &amp;I8&amp; "' and sourceId = " &amp;K8&amp; " and mId= " &amp; L8</f>
        <v>DELETE FROM dbo.Mapping WHERE entityTypeId = 'PD' and entityId ='TNC2310NY' and sourceId = 1690 and mId= 7527</v>
      </c>
    </row>
    <row r="9" spans="1:16" x14ac:dyDescent="0.35">
      <c r="A9" s="1"/>
      <c r="B9" s="1"/>
      <c r="C9" s="13"/>
      <c r="D9" s="1"/>
      <c r="E9" s="1"/>
      <c r="F9" s="1"/>
      <c r="G9" s="7"/>
      <c r="H9" t="str">
        <f t="shared" si="4"/>
        <v/>
      </c>
      <c r="I9">
        <f t="shared" ref="I9" si="17">C9</f>
        <v>0</v>
      </c>
      <c r="J9" t="s">
        <v>24</v>
      </c>
      <c r="K9">
        <f t="shared" ref="K9" si="18">B9</f>
        <v>0</v>
      </c>
      <c r="L9" s="11"/>
      <c r="M9">
        <f t="shared" ref="M9" si="19">D9</f>
        <v>0</v>
      </c>
      <c r="N9" s="7"/>
      <c r="O9" t="str">
        <f t="shared" ref="O9" si="20">"INSERT INTO dbo.Mapping (entityTypeId, entityId, sourceTypeId, sourceId, mId, otherInfo) VALUES ('"&amp;H9&amp;"','"&amp;I9&amp;"','"&amp;J9&amp;"',"&amp;K9&amp;","&amp;L9&amp;",'"&amp;M9&amp;"')"</f>
        <v>INSERT INTO dbo.Mapping (entityTypeId, entityId, sourceTypeId, sourceId, mId, otherInfo) VALUES ('','0','CA',0,,'0')</v>
      </c>
      <c r="P9" t="str">
        <f t="shared" ref="P9" si="21">"DELETE FROM dbo.Mapping WHERE entityTypeId = '" &amp;H9&amp; "' and entityId ='" &amp;I9&amp; "' and sourceId = " &amp;K9&amp; " and mId= " &amp; L9</f>
        <v xml:space="preserve">DELETE FROM dbo.Mapping WHERE entityTypeId = '' and entityId ='0' and sourceId = 0 and mId= </v>
      </c>
    </row>
    <row r="10" spans="1:16" x14ac:dyDescent="0.35">
      <c r="A10" s="1"/>
      <c r="B10" s="1"/>
      <c r="C10" s="13"/>
      <c r="D10" s="1"/>
      <c r="E10" s="1"/>
      <c r="F10" s="1"/>
      <c r="G10" s="7"/>
      <c r="H10" t="str">
        <f t="shared" si="4"/>
        <v/>
      </c>
      <c r="I10">
        <f t="shared" ref="I10:I11" si="22">C10</f>
        <v>0</v>
      </c>
      <c r="J10" t="s">
        <v>24</v>
      </c>
      <c r="K10">
        <f t="shared" ref="K10:K11" si="23">B10</f>
        <v>0</v>
      </c>
      <c r="M10">
        <f t="shared" ref="M10:M11" si="24">D10</f>
        <v>0</v>
      </c>
      <c r="N10" s="7"/>
      <c r="O10" t="str">
        <f t="shared" ref="O10:O11" si="25">"INSERT INTO dbo.Mapping (entityTypeId, entityId, sourceTypeId, sourceId, mId, otherInfo) VALUES ('"&amp;H10&amp;"','"&amp;I10&amp;"','"&amp;J10&amp;"',"&amp;K10&amp;","&amp;L10&amp;",'"&amp;M10&amp;"')"</f>
        <v>INSERT INTO dbo.Mapping (entityTypeId, entityId, sourceTypeId, sourceId, mId, otherInfo) VALUES ('','0','CA',0,,'0')</v>
      </c>
      <c r="P10" t="str">
        <f t="shared" ref="P10:P11" si="26">"DELETE FROM dbo.Mapping WHERE entityTypeId = '" &amp;H10&amp; "' and entityId ='" &amp;I10&amp; "' and sourceId = " &amp;K10&amp; " and mId= " &amp; L10</f>
        <v xml:space="preserve">DELETE FROM dbo.Mapping WHERE entityTypeId = '' and entityId ='0' and sourceId = 0 and mId= </v>
      </c>
    </row>
    <row r="11" spans="1:16" x14ac:dyDescent="0.35">
      <c r="A11" s="1"/>
      <c r="B11" s="1"/>
      <c r="C11" s="13"/>
      <c r="D11" s="1"/>
      <c r="E11" s="1"/>
      <c r="F11" s="1"/>
      <c r="G11" s="7"/>
      <c r="H11" t="str">
        <f t="shared" si="4"/>
        <v/>
      </c>
      <c r="I11">
        <f t="shared" si="22"/>
        <v>0</v>
      </c>
      <c r="J11" t="s">
        <v>24</v>
      </c>
      <c r="K11">
        <f t="shared" si="23"/>
        <v>0</v>
      </c>
      <c r="L11" s="11"/>
      <c r="M11">
        <f t="shared" si="24"/>
        <v>0</v>
      </c>
      <c r="N11" s="7"/>
      <c r="O11" t="str">
        <f t="shared" si="25"/>
        <v>INSERT INTO dbo.Mapping (entityTypeId, entityId, sourceTypeId, sourceId, mId, otherInfo) VALUES ('','0','CA',0,,'0')</v>
      </c>
      <c r="P11" t="str">
        <f t="shared" si="26"/>
        <v xml:space="preserve">DELETE FROM dbo.Mapping WHERE entityTypeId = '' and entityId ='0' and sourceId = 0 and mId= </v>
      </c>
    </row>
    <row r="12" spans="1:16" x14ac:dyDescent="0.35">
      <c r="A12" s="1"/>
      <c r="B12" s="1"/>
      <c r="C12" s="13"/>
      <c r="D12" s="1"/>
      <c r="E12" s="1"/>
      <c r="F12" s="1"/>
      <c r="G12" s="7"/>
      <c r="H12" t="str">
        <f t="shared" si="4"/>
        <v/>
      </c>
      <c r="I12">
        <f t="shared" ref="I12" si="27">C12</f>
        <v>0</v>
      </c>
      <c r="J12" t="s">
        <v>24</v>
      </c>
      <c r="K12">
        <f t="shared" ref="K12" si="28">B12</f>
        <v>0</v>
      </c>
      <c r="L12" s="11"/>
      <c r="M12">
        <f t="shared" ref="M12:M13" si="29">D12</f>
        <v>0</v>
      </c>
      <c r="N12" s="7"/>
      <c r="O12" t="str">
        <f t="shared" si="3"/>
        <v>INSERT INTO dbo.Mapping (entityTypeId, entityId, sourceTypeId, sourceId, mId, otherInfo) VALUES ('','0','CA',0,,'0')</v>
      </c>
      <c r="P12" t="str">
        <f t="shared" si="8"/>
        <v xml:space="preserve">DELETE FROM dbo.Mapping WHERE entityTypeId = '' and entityId ='0' and sourceId = 0 and mId= </v>
      </c>
    </row>
    <row r="13" spans="1:16" x14ac:dyDescent="0.35">
      <c r="A13" s="1"/>
      <c r="B13" s="1"/>
      <c r="C13" s="13"/>
      <c r="D13" s="1"/>
      <c r="E13" s="1"/>
      <c r="F13" s="1"/>
      <c r="G13" s="7"/>
      <c r="H13" t="str">
        <f t="shared" si="4"/>
        <v/>
      </c>
      <c r="I13">
        <f t="shared" ref="I13:I22" si="30">C13</f>
        <v>0</v>
      </c>
      <c r="J13" t="s">
        <v>24</v>
      </c>
      <c r="K13">
        <f t="shared" ref="K13:K22" si="31">B13</f>
        <v>0</v>
      </c>
      <c r="L13" s="11"/>
      <c r="M13">
        <f t="shared" si="29"/>
        <v>0</v>
      </c>
      <c r="N13" s="7"/>
      <c r="O13" t="str">
        <f t="shared" si="3"/>
        <v>INSERT INTO dbo.Mapping (entityTypeId, entityId, sourceTypeId, sourceId, mId, otherInfo) VALUES ('','0','CA',0,,'0')</v>
      </c>
      <c r="P13" t="str">
        <f t="shared" si="8"/>
        <v xml:space="preserve">DELETE FROM dbo.Mapping WHERE entityTypeId = '' and entityId ='0' and sourceId = 0 and mId= </v>
      </c>
    </row>
    <row r="14" spans="1:16" x14ac:dyDescent="0.35">
      <c r="A14" s="1"/>
      <c r="B14" s="1"/>
      <c r="C14" s="13"/>
      <c r="D14" s="1"/>
      <c r="E14" s="1"/>
      <c r="F14" s="1"/>
      <c r="G14" s="7"/>
      <c r="H14" t="str">
        <f t="shared" si="4"/>
        <v/>
      </c>
      <c r="I14">
        <f t="shared" si="30"/>
        <v>0</v>
      </c>
      <c r="J14" t="s">
        <v>24</v>
      </c>
      <c r="K14">
        <f t="shared" si="31"/>
        <v>0</v>
      </c>
      <c r="L14" s="11"/>
      <c r="M14">
        <f t="shared" ref="M14:M22" si="32">D14</f>
        <v>0</v>
      </c>
      <c r="N14" s="7"/>
      <c r="O14" t="str">
        <f t="shared" si="3"/>
        <v>INSERT INTO dbo.Mapping (entityTypeId, entityId, sourceTypeId, sourceId, mId, otherInfo) VALUES ('','0','CA',0,,'0')</v>
      </c>
      <c r="P14" t="str">
        <f t="shared" si="8"/>
        <v xml:space="preserve">DELETE FROM dbo.Mapping WHERE entityTypeId = '' and entityId ='0' and sourceId = 0 and mId= </v>
      </c>
    </row>
    <row r="15" spans="1:16" x14ac:dyDescent="0.35">
      <c r="A15" s="1" t="s">
        <v>86</v>
      </c>
      <c r="B15" s="1">
        <v>1064</v>
      </c>
      <c r="C15" s="13" t="s">
        <v>87</v>
      </c>
      <c r="D15" s="1" t="s">
        <v>88</v>
      </c>
      <c r="E15" s="1">
        <v>863296</v>
      </c>
      <c r="F15" s="1" t="s">
        <v>89</v>
      </c>
      <c r="G15" s="7"/>
      <c r="H15" t="str">
        <f t="shared" si="4"/>
        <v>PR</v>
      </c>
      <c r="I15" t="str">
        <f t="shared" si="30"/>
        <v>863297</v>
      </c>
      <c r="J15" t="s">
        <v>24</v>
      </c>
      <c r="K15">
        <f t="shared" si="31"/>
        <v>1064</v>
      </c>
      <c r="L15" s="11">
        <v>6820</v>
      </c>
      <c r="M15" t="str">
        <f t="shared" si="32"/>
        <v>LORENZ, SEAN</v>
      </c>
      <c r="N15" s="7"/>
      <c r="O15" t="str">
        <f t="shared" si="3"/>
        <v>INSERT INTO dbo.Mapping (entityTypeId, entityId, sourceTypeId, sourceId, mId, otherInfo) VALUES ('PR','863297','CA',1064,6820,'LORENZ, SEAN')</v>
      </c>
      <c r="P15" t="str">
        <f t="shared" si="8"/>
        <v>DELETE FROM dbo.Mapping WHERE entityTypeId = 'PR' and entityId ='863297' and sourceId = 1064 and mId= 6820</v>
      </c>
    </row>
    <row r="16" spans="1:16" x14ac:dyDescent="0.35">
      <c r="A16" s="1" t="s">
        <v>86</v>
      </c>
      <c r="B16" s="1">
        <v>1064</v>
      </c>
      <c r="C16" s="13" t="s">
        <v>90</v>
      </c>
      <c r="D16" s="1" t="s">
        <v>91</v>
      </c>
      <c r="E16" s="1">
        <v>863296</v>
      </c>
      <c r="F16" s="1" t="s">
        <v>89</v>
      </c>
      <c r="G16" s="7"/>
      <c r="H16" t="str">
        <f t="shared" si="4"/>
        <v>PR</v>
      </c>
      <c r="I16" t="str">
        <f t="shared" si="30"/>
        <v>863298</v>
      </c>
      <c r="J16" t="s">
        <v>24</v>
      </c>
      <c r="K16">
        <f t="shared" si="31"/>
        <v>1064</v>
      </c>
      <c r="L16" s="11">
        <v>6819</v>
      </c>
      <c r="M16" t="str">
        <f t="shared" si="32"/>
        <v>O NEIL,DEBORAH</v>
      </c>
      <c r="N16" s="7"/>
      <c r="O16" t="str">
        <f t="shared" si="3"/>
        <v>INSERT INTO dbo.Mapping (entityTypeId, entityId, sourceTypeId, sourceId, mId, otherInfo) VALUES ('PR','863298','CA',1064,6819,'O NEIL,DEBORAH')</v>
      </c>
      <c r="P16" t="str">
        <f t="shared" si="8"/>
        <v>DELETE FROM dbo.Mapping WHERE entityTypeId = 'PR' and entityId ='863298' and sourceId = 1064 and mId= 6819</v>
      </c>
    </row>
    <row r="17" spans="1:16" x14ac:dyDescent="0.35">
      <c r="A17" s="1" t="s">
        <v>86</v>
      </c>
      <c r="B17" s="1">
        <v>1064</v>
      </c>
      <c r="C17" s="13" t="s">
        <v>92</v>
      </c>
      <c r="D17" s="1" t="s">
        <v>93</v>
      </c>
      <c r="E17" s="1">
        <v>863296</v>
      </c>
      <c r="F17" s="1" t="s">
        <v>89</v>
      </c>
      <c r="G17" s="7"/>
      <c r="H17" t="str">
        <f t="shared" si="4"/>
        <v>PR</v>
      </c>
      <c r="I17" t="str">
        <f t="shared" si="30"/>
        <v>863299</v>
      </c>
      <c r="J17" t="s">
        <v>24</v>
      </c>
      <c r="K17">
        <f t="shared" si="31"/>
        <v>1064</v>
      </c>
      <c r="L17" s="11">
        <v>6370</v>
      </c>
      <c r="M17" t="str">
        <f t="shared" si="32"/>
        <v>FEIMAN,SHANE</v>
      </c>
      <c r="N17" s="7"/>
      <c r="O17" t="str">
        <f t="shared" si="3"/>
        <v>INSERT INTO dbo.Mapping (entityTypeId, entityId, sourceTypeId, sourceId, mId, otherInfo) VALUES ('PR','863299','CA',1064,6370,'FEIMAN,SHANE')</v>
      </c>
      <c r="P17" t="str">
        <f t="shared" si="8"/>
        <v>DELETE FROM dbo.Mapping WHERE entityTypeId = 'PR' and entityId ='863299' and sourceId = 1064 and mId= 6370</v>
      </c>
    </row>
    <row r="18" spans="1:16" x14ac:dyDescent="0.35">
      <c r="A18" s="1" t="s">
        <v>86</v>
      </c>
      <c r="B18" s="1">
        <v>1064</v>
      </c>
      <c r="C18" s="13" t="s">
        <v>94</v>
      </c>
      <c r="D18" s="1" t="s">
        <v>95</v>
      </c>
      <c r="E18" s="1">
        <v>213267</v>
      </c>
      <c r="F18" s="1" t="s">
        <v>96</v>
      </c>
      <c r="G18" s="7"/>
      <c r="H18" t="str">
        <f t="shared" si="4"/>
        <v>PR</v>
      </c>
      <c r="I18" t="str">
        <f t="shared" si="30"/>
        <v>863745</v>
      </c>
      <c r="J18" t="s">
        <v>24</v>
      </c>
      <c r="K18">
        <f t="shared" si="31"/>
        <v>1064</v>
      </c>
      <c r="L18" s="11">
        <v>3423</v>
      </c>
      <c r="M18" t="str">
        <f t="shared" si="32"/>
        <v>SHANNON, HAROLD PHILIP</v>
      </c>
      <c r="N18" s="7"/>
      <c r="O18" t="str">
        <f t="shared" si="3"/>
        <v>INSERT INTO dbo.Mapping (entityTypeId, entityId, sourceTypeId, sourceId, mId, otherInfo) VALUES ('PR','863745','CA',1064,3423,'SHANNON, HAROLD PHILIP')</v>
      </c>
      <c r="P18" t="str">
        <f t="shared" si="8"/>
        <v>DELETE FROM dbo.Mapping WHERE entityTypeId = 'PR' and entityId ='863745' and sourceId = 1064 and mId= 3423</v>
      </c>
    </row>
    <row r="19" spans="1:16" x14ac:dyDescent="0.35">
      <c r="A19" s="1" t="s">
        <v>86</v>
      </c>
      <c r="B19" s="1">
        <v>1064</v>
      </c>
      <c r="C19" s="13" t="s">
        <v>97</v>
      </c>
      <c r="D19" s="1" t="s">
        <v>98</v>
      </c>
      <c r="E19" s="1">
        <v>216761</v>
      </c>
      <c r="F19" s="1" t="s">
        <v>99</v>
      </c>
      <c r="G19" s="7"/>
      <c r="H19" t="str">
        <f t="shared" si="4"/>
        <v>PR</v>
      </c>
      <c r="I19" t="str">
        <f t="shared" si="30"/>
        <v>863843</v>
      </c>
      <c r="J19" t="s">
        <v>24</v>
      </c>
      <c r="K19">
        <f t="shared" si="31"/>
        <v>1064</v>
      </c>
      <c r="L19" s="11">
        <v>6839</v>
      </c>
      <c r="M19" t="str">
        <f t="shared" si="32"/>
        <v>KRISTIN MCGINNIS</v>
      </c>
      <c r="N19" s="7"/>
      <c r="O19" t="str">
        <f t="shared" si="3"/>
        <v>INSERT INTO dbo.Mapping (entityTypeId, entityId, sourceTypeId, sourceId, mId, otherInfo) VALUES ('PR','863843','CA',1064,6839,'KRISTIN MCGINNIS')</v>
      </c>
      <c r="P19" t="str">
        <f t="shared" si="8"/>
        <v>DELETE FROM dbo.Mapping WHERE entityTypeId = 'PR' and entityId ='863843' and sourceId = 1064 and mId= 6839</v>
      </c>
    </row>
    <row r="20" spans="1:16" x14ac:dyDescent="0.35">
      <c r="A20" s="1" t="s">
        <v>86</v>
      </c>
      <c r="B20" s="1">
        <v>1111</v>
      </c>
      <c r="C20" s="13" t="s">
        <v>100</v>
      </c>
      <c r="D20" s="1" t="s">
        <v>101</v>
      </c>
      <c r="E20" s="1">
        <v>41652</v>
      </c>
      <c r="F20" s="1" t="s">
        <v>102</v>
      </c>
      <c r="G20" s="7"/>
      <c r="H20" t="str">
        <f t="shared" si="4"/>
        <v>PR</v>
      </c>
      <c r="I20" t="str">
        <f t="shared" si="30"/>
        <v>CBB4V</v>
      </c>
      <c r="J20" t="s">
        <v>24</v>
      </c>
      <c r="K20">
        <f t="shared" si="31"/>
        <v>1111</v>
      </c>
      <c r="L20" s="11">
        <v>4799</v>
      </c>
      <c r="M20" t="str">
        <f t="shared" si="32"/>
        <v>Mojares, Dennis J</v>
      </c>
      <c r="N20" s="7"/>
      <c r="O20" t="str">
        <f t="shared" si="3"/>
        <v>INSERT INTO dbo.Mapping (entityTypeId, entityId, sourceTypeId, sourceId, mId, otherInfo) VALUES ('PR','CBB4V','CA',1111,4799,'Mojares, Dennis J')</v>
      </c>
      <c r="P20" t="str">
        <f t="shared" si="8"/>
        <v>DELETE FROM dbo.Mapping WHERE entityTypeId = 'PR' and entityId ='CBB4V' and sourceId = 1111 and mId= 4799</v>
      </c>
    </row>
    <row r="21" spans="1:16" x14ac:dyDescent="0.35">
      <c r="A21" s="1" t="s">
        <v>86</v>
      </c>
      <c r="B21" s="1">
        <v>1111</v>
      </c>
      <c r="C21" s="13" t="s">
        <v>103</v>
      </c>
      <c r="D21" s="1" t="s">
        <v>104</v>
      </c>
      <c r="E21" s="1" t="s">
        <v>105</v>
      </c>
      <c r="F21" s="1" t="s">
        <v>106</v>
      </c>
      <c r="G21" s="7"/>
      <c r="H21" t="str">
        <f t="shared" si="4"/>
        <v>PR</v>
      </c>
      <c r="I21" t="str">
        <f t="shared" si="30"/>
        <v>MAAHI</v>
      </c>
      <c r="J21" t="s">
        <v>24</v>
      </c>
      <c r="K21">
        <f t="shared" si="31"/>
        <v>1111</v>
      </c>
      <c r="L21" s="11">
        <v>6807</v>
      </c>
      <c r="M21" t="str">
        <f t="shared" si="32"/>
        <v>STEVEN TABER</v>
      </c>
      <c r="N21" s="7"/>
      <c r="O21" t="str">
        <f t="shared" si="3"/>
        <v>INSERT INTO dbo.Mapping (entityTypeId, entityId, sourceTypeId, sourceId, mId, otherInfo) VALUES ('PR','MAAHI','CA',1111,6807,'STEVEN TABER')</v>
      </c>
      <c r="P21" t="str">
        <f t="shared" si="8"/>
        <v>DELETE FROM dbo.Mapping WHERE entityTypeId = 'PR' and entityId ='MAAHI' and sourceId = 1111 and mId= 6807</v>
      </c>
    </row>
    <row r="22" spans="1:16" x14ac:dyDescent="0.35">
      <c r="A22" s="1" t="s">
        <v>86</v>
      </c>
      <c r="B22" s="1">
        <v>1111</v>
      </c>
      <c r="C22" s="13" t="s">
        <v>107</v>
      </c>
      <c r="D22" s="1" t="s">
        <v>108</v>
      </c>
      <c r="E22" s="1" t="s">
        <v>109</v>
      </c>
      <c r="F22" s="1" t="s">
        <v>110</v>
      </c>
      <c r="G22" s="7"/>
      <c r="H22" t="str">
        <f t="shared" si="4"/>
        <v>PR</v>
      </c>
      <c r="I22" t="str">
        <f t="shared" si="30"/>
        <v>MACDF</v>
      </c>
      <c r="J22" t="s">
        <v>24</v>
      </c>
      <c r="K22">
        <f t="shared" si="31"/>
        <v>1111</v>
      </c>
      <c r="L22" s="11">
        <v>4799</v>
      </c>
      <c r="M22" t="str">
        <f t="shared" si="32"/>
        <v>DENNIS MOJARES</v>
      </c>
      <c r="N22" s="7"/>
      <c r="O22" t="str">
        <f t="shared" si="3"/>
        <v>INSERT INTO dbo.Mapping (entityTypeId, entityId, sourceTypeId, sourceId, mId, otherInfo) VALUES ('PR','MACDF','CA',1111,4799,'DENNIS MOJARES')</v>
      </c>
      <c r="P22" t="str">
        <f t="shared" si="8"/>
        <v>DELETE FROM dbo.Mapping WHERE entityTypeId = 'PR' and entityId ='MACDF' and sourceId = 1111 and mId= 4799</v>
      </c>
    </row>
    <row r="23" spans="1:16" x14ac:dyDescent="0.35">
      <c r="A23" s="1" t="s">
        <v>86</v>
      </c>
      <c r="B23" s="1">
        <v>1111</v>
      </c>
      <c r="C23" s="13" t="s">
        <v>111</v>
      </c>
      <c r="D23" s="1" t="s">
        <v>112</v>
      </c>
      <c r="E23" s="1" t="s">
        <v>113</v>
      </c>
      <c r="F23" s="1" t="s">
        <v>114</v>
      </c>
      <c r="G23" s="7"/>
      <c r="H23" t="str">
        <f t="shared" si="4"/>
        <v>PR</v>
      </c>
      <c r="I23" t="str">
        <f t="shared" ref="I23:I34" si="33">C23</f>
        <v>MJTAA</v>
      </c>
      <c r="J23" t="s">
        <v>24</v>
      </c>
      <c r="K23">
        <f t="shared" ref="K23:K34" si="34">B23</f>
        <v>1111</v>
      </c>
      <c r="L23" s="11">
        <v>6673</v>
      </c>
      <c r="M23" t="str">
        <f t="shared" ref="M23:M34" si="35">D23</f>
        <v>JONATHAN WILLIAMS</v>
      </c>
      <c r="N23" s="7"/>
      <c r="O23" t="str">
        <f t="shared" ref="O23:O34" si="36">"INSERT INTO dbo.Mapping (entityTypeId, entityId, sourceTypeId, sourceId, mId, otherInfo) VALUES ('"&amp;H23&amp;"','"&amp;I23&amp;"','"&amp;J23&amp;"',"&amp;K23&amp;","&amp;L23&amp;",'"&amp;M23&amp;"')"</f>
        <v>INSERT INTO dbo.Mapping (entityTypeId, entityId, sourceTypeId, sourceId, mId, otherInfo) VALUES ('PR','MJTAA','CA',1111,6673,'JONATHAN WILLIAMS')</v>
      </c>
      <c r="P23" t="str">
        <f t="shared" ref="P23:P34" si="37">"DELETE FROM dbo.Mapping WHERE entityTypeId = '" &amp;H23&amp; "' and entityId ='" &amp;I23&amp; "' and sourceId = " &amp;K23&amp; " and mId= " &amp; L23</f>
        <v>DELETE FROM dbo.Mapping WHERE entityTypeId = 'PR' and entityId ='MJTAA' and sourceId = 1111 and mId= 6673</v>
      </c>
    </row>
    <row r="24" spans="1:16" x14ac:dyDescent="0.35">
      <c r="A24" s="1" t="s">
        <v>86</v>
      </c>
      <c r="B24" s="1">
        <v>1111</v>
      </c>
      <c r="C24" s="13" t="s">
        <v>115</v>
      </c>
      <c r="D24" s="1" t="s">
        <v>116</v>
      </c>
      <c r="E24" s="1" t="s">
        <v>117</v>
      </c>
      <c r="F24" s="1" t="s">
        <v>118</v>
      </c>
      <c r="G24" s="7"/>
      <c r="H24" t="str">
        <f t="shared" si="4"/>
        <v>PR</v>
      </c>
      <c r="I24" t="str">
        <f t="shared" si="33"/>
        <v>YHGJC</v>
      </c>
      <c r="J24" t="s">
        <v>24</v>
      </c>
      <c r="K24">
        <f t="shared" si="34"/>
        <v>1111</v>
      </c>
      <c r="L24" s="11">
        <v>3287</v>
      </c>
      <c r="M24" t="str">
        <f t="shared" si="35"/>
        <v xml:space="preserve"> Michael B Liebeskind</v>
      </c>
      <c r="N24" s="7"/>
      <c r="O24" t="str">
        <f t="shared" si="36"/>
        <v>INSERT INTO dbo.Mapping (entityTypeId, entityId, sourceTypeId, sourceId, mId, otherInfo) VALUES ('PR','YHGJC','CA',1111,3287,' Michael B Liebeskind')</v>
      </c>
      <c r="P24" t="str">
        <f t="shared" si="37"/>
        <v>DELETE FROM dbo.Mapping WHERE entityTypeId = 'PR' and entityId ='YHGJC' and sourceId = 1111 and mId= 3287</v>
      </c>
    </row>
    <row r="25" spans="1:16" x14ac:dyDescent="0.35">
      <c r="A25" s="1" t="s">
        <v>86</v>
      </c>
      <c r="B25" s="1">
        <v>1116</v>
      </c>
      <c r="C25" s="13" t="s">
        <v>119</v>
      </c>
      <c r="D25" s="1" t="s">
        <v>120</v>
      </c>
      <c r="E25" s="1" t="s">
        <v>121</v>
      </c>
      <c r="F25" s="1" t="s">
        <v>122</v>
      </c>
      <c r="G25" s="7"/>
      <c r="H25" t="str">
        <f t="shared" si="4"/>
        <v>PR</v>
      </c>
      <c r="I25" t="str">
        <f t="shared" ref="I25" si="38">C25</f>
        <v>ZS068C</v>
      </c>
      <c r="J25" t="s">
        <v>24</v>
      </c>
      <c r="K25">
        <f t="shared" ref="K25" si="39">B25</f>
        <v>1116</v>
      </c>
      <c r="L25" s="11">
        <v>6717</v>
      </c>
      <c r="M25" t="str">
        <f t="shared" ref="M25" si="40">D25</f>
        <v>HARPER, RYLEY</v>
      </c>
      <c r="N25" s="7"/>
      <c r="O25" t="str">
        <f t="shared" si="36"/>
        <v>INSERT INTO dbo.Mapping (entityTypeId, entityId, sourceTypeId, sourceId, mId, otherInfo) VALUES ('PR','ZS068C','CA',1116,6717,'HARPER, RYLEY')</v>
      </c>
      <c r="P25" t="str">
        <f t="shared" si="37"/>
        <v>DELETE FROM dbo.Mapping WHERE entityTypeId = 'PR' and entityId ='ZS068C' and sourceId = 1116 and mId= 6717</v>
      </c>
    </row>
    <row r="26" spans="1:16" x14ac:dyDescent="0.35">
      <c r="A26" s="1" t="s">
        <v>86</v>
      </c>
      <c r="B26" s="1">
        <v>1680</v>
      </c>
      <c r="C26" s="13" t="s">
        <v>123</v>
      </c>
      <c r="D26" s="1" t="s">
        <v>124</v>
      </c>
      <c r="E26" s="1">
        <v>11578487</v>
      </c>
      <c r="F26" s="1" t="s">
        <v>124</v>
      </c>
      <c r="G26" s="7"/>
      <c r="H26" t="str">
        <f t="shared" si="4"/>
        <v>PR</v>
      </c>
      <c r="I26" t="str">
        <f t="shared" si="33"/>
        <v>1157848705</v>
      </c>
      <c r="J26" t="s">
        <v>24</v>
      </c>
      <c r="K26">
        <f t="shared" si="34"/>
        <v>1680</v>
      </c>
      <c r="L26" s="11">
        <v>6758</v>
      </c>
      <c r="M26" t="str">
        <f t="shared" si="35"/>
        <v>GOODMAN, STEVEN H</v>
      </c>
      <c r="N26" s="7"/>
      <c r="O26" t="str">
        <f t="shared" si="36"/>
        <v>INSERT INTO dbo.Mapping (entityTypeId, entityId, sourceTypeId, sourceId, mId, otherInfo) VALUES ('PR','1157848705','CA',1680,6758,'GOODMAN, STEVEN H')</v>
      </c>
      <c r="P26" t="str">
        <f t="shared" si="37"/>
        <v>DELETE FROM dbo.Mapping WHERE entityTypeId = 'PR' and entityId ='1157848705' and sourceId = 1680 and mId= 6758</v>
      </c>
    </row>
    <row r="27" spans="1:16" x14ac:dyDescent="0.35">
      <c r="A27" s="1" t="s">
        <v>86</v>
      </c>
      <c r="B27" s="1">
        <v>1680</v>
      </c>
      <c r="C27" s="13" t="s">
        <v>125</v>
      </c>
      <c r="D27" s="1" t="s">
        <v>126</v>
      </c>
      <c r="E27" s="1">
        <v>11578487</v>
      </c>
      <c r="F27" s="1" t="s">
        <v>127</v>
      </c>
      <c r="G27" s="7"/>
      <c r="H27" t="str">
        <f t="shared" si="4"/>
        <v>PR</v>
      </c>
      <c r="I27" t="str">
        <f t="shared" si="33"/>
        <v>1157848707</v>
      </c>
      <c r="J27" t="s">
        <v>24</v>
      </c>
      <c r="K27">
        <f t="shared" si="34"/>
        <v>1680</v>
      </c>
      <c r="L27" s="11">
        <v>6308</v>
      </c>
      <c r="M27" t="str">
        <f t="shared" si="35"/>
        <v>KOENIGER, COLE S</v>
      </c>
      <c r="N27" s="7"/>
      <c r="O27" t="str">
        <f t="shared" si="36"/>
        <v>INSERT INTO dbo.Mapping (entityTypeId, entityId, sourceTypeId, sourceId, mId, otherInfo) VALUES ('PR','1157848707','CA',1680,6308,'KOENIGER, COLE S')</v>
      </c>
      <c r="P27" t="str">
        <f t="shared" si="37"/>
        <v>DELETE FROM dbo.Mapping WHERE entityTypeId = 'PR' and entityId ='1157848707' and sourceId = 1680 and mId= 6308</v>
      </c>
    </row>
    <row r="28" spans="1:16" x14ac:dyDescent="0.35">
      <c r="A28" s="1" t="s">
        <v>86</v>
      </c>
      <c r="B28" s="1">
        <v>1680</v>
      </c>
      <c r="C28" s="13" t="s">
        <v>128</v>
      </c>
      <c r="D28" s="1" t="s">
        <v>129</v>
      </c>
      <c r="E28" s="1">
        <v>11587750</v>
      </c>
      <c r="F28" s="1" t="s">
        <v>130</v>
      </c>
      <c r="G28" s="7"/>
      <c r="H28" t="str">
        <f t="shared" si="4"/>
        <v>PR</v>
      </c>
      <c r="I28" t="str">
        <f t="shared" si="33"/>
        <v>1158775003</v>
      </c>
      <c r="J28" t="s">
        <v>24</v>
      </c>
      <c r="K28">
        <f t="shared" si="34"/>
        <v>1680</v>
      </c>
      <c r="L28" s="11">
        <v>3370</v>
      </c>
      <c r="M28" t="str">
        <f t="shared" si="35"/>
        <v>PHILLIPS, MATTHEW H</v>
      </c>
      <c r="N28" s="7"/>
      <c r="O28" t="str">
        <f t="shared" si="36"/>
        <v>INSERT INTO dbo.Mapping (entityTypeId, entityId, sourceTypeId, sourceId, mId, otherInfo) VALUES ('PR','1158775003','CA',1680,3370,'PHILLIPS, MATTHEW H')</v>
      </c>
      <c r="P28" t="str">
        <f t="shared" si="37"/>
        <v>DELETE FROM dbo.Mapping WHERE entityTypeId = 'PR' and entityId ='1158775003' and sourceId = 1680 and mId= 3370</v>
      </c>
    </row>
    <row r="29" spans="1:16" x14ac:dyDescent="0.35">
      <c r="A29" s="1" t="s">
        <v>86</v>
      </c>
      <c r="B29" s="1">
        <v>1690</v>
      </c>
      <c r="C29" s="13" t="s">
        <v>131</v>
      </c>
      <c r="D29" s="1" t="s">
        <v>132</v>
      </c>
      <c r="E29" s="1" t="s">
        <v>57</v>
      </c>
      <c r="F29" s="1" t="s">
        <v>57</v>
      </c>
      <c r="G29" s="7"/>
      <c r="H29" t="str">
        <f t="shared" si="4"/>
        <v>PR</v>
      </c>
      <c r="I29" t="str">
        <f t="shared" si="33"/>
        <v>2109E</v>
      </c>
      <c r="J29" t="s">
        <v>24</v>
      </c>
      <c r="K29">
        <f t="shared" si="34"/>
        <v>1690</v>
      </c>
      <c r="L29" s="11">
        <v>5417</v>
      </c>
      <c r="M29" t="str">
        <f t="shared" si="35"/>
        <v>JM BARRY &amp; ASSOCIATES LLC</v>
      </c>
      <c r="N29" s="7"/>
      <c r="O29" t="str">
        <f t="shared" si="36"/>
        <v>INSERT INTO dbo.Mapping (entityTypeId, entityId, sourceTypeId, sourceId, mId, otherInfo) VALUES ('PR','2109E','CA',1690,5417,'JM BARRY &amp; ASSOCIATES LLC')</v>
      </c>
      <c r="P29" t="str">
        <f t="shared" si="37"/>
        <v>DELETE FROM dbo.Mapping WHERE entityTypeId = 'PR' and entityId ='2109E' and sourceId = 1690 and mId= 5417</v>
      </c>
    </row>
    <row r="30" spans="1:16" x14ac:dyDescent="0.35">
      <c r="A30" s="1" t="s">
        <v>86</v>
      </c>
      <c r="B30" s="1">
        <v>1690</v>
      </c>
      <c r="C30" s="13" t="s">
        <v>133</v>
      </c>
      <c r="D30" s="1" t="s">
        <v>134</v>
      </c>
      <c r="E30" s="1" t="s">
        <v>57</v>
      </c>
      <c r="F30" s="1" t="s">
        <v>57</v>
      </c>
      <c r="G30" s="7"/>
      <c r="H30" t="str">
        <f t="shared" si="4"/>
        <v>PR</v>
      </c>
      <c r="I30" t="str">
        <f t="shared" si="33"/>
        <v>3120E</v>
      </c>
      <c r="J30" t="s">
        <v>24</v>
      </c>
      <c r="K30">
        <f t="shared" si="34"/>
        <v>1690</v>
      </c>
      <c r="L30" s="11">
        <v>3661</v>
      </c>
      <c r="M30" t="str">
        <f t="shared" si="35"/>
        <v>ENZA INSURANCE LLC</v>
      </c>
      <c r="N30" s="7"/>
      <c r="O30" t="str">
        <f t="shared" si="36"/>
        <v>INSERT INTO dbo.Mapping (entityTypeId, entityId, sourceTypeId, sourceId, mId, otherInfo) VALUES ('PR','3120E','CA',1690,3661,'ENZA INSURANCE LLC')</v>
      </c>
      <c r="P30" t="str">
        <f t="shared" si="37"/>
        <v>DELETE FROM dbo.Mapping WHERE entityTypeId = 'PR' and entityId ='3120E' and sourceId = 1690 and mId= 3661</v>
      </c>
    </row>
    <row r="31" spans="1:16" x14ac:dyDescent="0.35">
      <c r="A31" s="1" t="s">
        <v>86</v>
      </c>
      <c r="B31" s="1">
        <v>1690</v>
      </c>
      <c r="C31" s="13" t="s">
        <v>135</v>
      </c>
      <c r="D31" s="1" t="s">
        <v>136</v>
      </c>
      <c r="E31" s="1" t="s">
        <v>57</v>
      </c>
      <c r="F31" s="1" t="s">
        <v>57</v>
      </c>
      <c r="G31" s="7"/>
      <c r="H31" t="str">
        <f t="shared" si="4"/>
        <v>PR</v>
      </c>
      <c r="I31" t="str">
        <f t="shared" si="33"/>
        <v>4465C</v>
      </c>
      <c r="J31" t="s">
        <v>24</v>
      </c>
      <c r="K31">
        <f t="shared" si="34"/>
        <v>1690</v>
      </c>
      <c r="L31" s="11">
        <v>4820</v>
      </c>
      <c r="M31" t="str">
        <f t="shared" si="35"/>
        <v>LEGACY ADVISORS LLC</v>
      </c>
      <c r="N31" s="7"/>
      <c r="O31" t="str">
        <f t="shared" si="36"/>
        <v>INSERT INTO dbo.Mapping (entityTypeId, entityId, sourceTypeId, sourceId, mId, otherInfo) VALUES ('PR','4465C','CA',1690,4820,'LEGACY ADVISORS LLC')</v>
      </c>
      <c r="P31" t="str">
        <f t="shared" si="37"/>
        <v>DELETE FROM dbo.Mapping WHERE entityTypeId = 'PR' and entityId ='4465C' and sourceId = 1690 and mId= 4820</v>
      </c>
    </row>
    <row r="32" spans="1:16" x14ac:dyDescent="0.35">
      <c r="A32" s="1" t="s">
        <v>86</v>
      </c>
      <c r="B32" s="1">
        <v>1690</v>
      </c>
      <c r="C32" s="13" t="s">
        <v>137</v>
      </c>
      <c r="D32" s="1" t="s">
        <v>138</v>
      </c>
      <c r="E32" s="1" t="s">
        <v>57</v>
      </c>
      <c r="F32" s="1" t="s">
        <v>57</v>
      </c>
      <c r="G32" s="7"/>
      <c r="H32" t="str">
        <f t="shared" si="4"/>
        <v>PR</v>
      </c>
      <c r="I32" t="str">
        <f t="shared" si="33"/>
        <v>6921D</v>
      </c>
      <c r="J32" t="s">
        <v>24</v>
      </c>
      <c r="K32">
        <f t="shared" si="34"/>
        <v>1690</v>
      </c>
      <c r="L32" s="11">
        <v>5803</v>
      </c>
      <c r="M32" t="str">
        <f t="shared" si="35"/>
        <v>PERSPECTIVE FINANCIAL GROUP LLC</v>
      </c>
      <c r="N32" s="7"/>
      <c r="O32" t="str">
        <f t="shared" si="36"/>
        <v>INSERT INTO dbo.Mapping (entityTypeId, entityId, sourceTypeId, sourceId, mId, otherInfo) VALUES ('PR','6921D','CA',1690,5803,'PERSPECTIVE FINANCIAL GROUP LLC')</v>
      </c>
      <c r="P32" t="str">
        <f t="shared" si="37"/>
        <v>DELETE FROM dbo.Mapping WHERE entityTypeId = 'PR' and entityId ='6921D' and sourceId = 1690 and mId= 5803</v>
      </c>
    </row>
    <row r="33" spans="1:16" x14ac:dyDescent="0.35">
      <c r="A33" s="1" t="s">
        <v>86</v>
      </c>
      <c r="B33" s="1">
        <v>1690</v>
      </c>
      <c r="C33" s="13" t="s">
        <v>139</v>
      </c>
      <c r="D33" s="1" t="s">
        <v>140</v>
      </c>
      <c r="E33" s="1" t="s">
        <v>57</v>
      </c>
      <c r="F33" s="1" t="s">
        <v>57</v>
      </c>
      <c r="G33" s="7"/>
      <c r="H33" t="str">
        <f t="shared" si="4"/>
        <v>PR</v>
      </c>
      <c r="I33" t="str">
        <f t="shared" si="33"/>
        <v>7453D</v>
      </c>
      <c r="J33" t="s">
        <v>24</v>
      </c>
      <c r="K33">
        <f t="shared" si="34"/>
        <v>1690</v>
      </c>
      <c r="L33" s="11">
        <v>6608</v>
      </c>
      <c r="M33" t="str">
        <f t="shared" si="35"/>
        <v>TPG CONSULTING</v>
      </c>
      <c r="N33" s="7"/>
      <c r="O33" t="str">
        <f t="shared" si="36"/>
        <v>INSERT INTO dbo.Mapping (entityTypeId, entityId, sourceTypeId, sourceId, mId, otherInfo) VALUES ('PR','7453D','CA',1690,6608,'TPG CONSULTING')</v>
      </c>
      <c r="P33" t="str">
        <f t="shared" si="37"/>
        <v>DELETE FROM dbo.Mapping WHERE entityTypeId = 'PR' and entityId ='7453D' and sourceId = 1690 and mId= 6608</v>
      </c>
    </row>
    <row r="34" spans="1:16" x14ac:dyDescent="0.35">
      <c r="A34" s="1"/>
      <c r="B34" s="1"/>
      <c r="C34" s="13"/>
      <c r="D34" s="1"/>
      <c r="E34" s="1"/>
      <c r="F34" s="1"/>
      <c r="G34" s="7"/>
      <c r="H34" t="str">
        <f t="shared" si="4"/>
        <v/>
      </c>
      <c r="I34">
        <f t="shared" si="33"/>
        <v>0</v>
      </c>
      <c r="J34" t="s">
        <v>24</v>
      </c>
      <c r="K34">
        <f t="shared" si="34"/>
        <v>0</v>
      </c>
      <c r="L34" s="11"/>
      <c r="M34">
        <f t="shared" si="35"/>
        <v>0</v>
      </c>
      <c r="N34" s="7"/>
      <c r="O34" t="str">
        <f t="shared" si="36"/>
        <v>INSERT INTO dbo.Mapping (entityTypeId, entityId, sourceTypeId, sourceId, mId, otherInfo) VALUES ('','0','CA',0,,'0')</v>
      </c>
      <c r="P34" t="str">
        <f t="shared" si="37"/>
        <v xml:space="preserve">DELETE FROM dbo.Mapping WHERE entityTypeId = '' and entityId ='0' and sourceId = 0 and mId= </v>
      </c>
    </row>
    <row r="35" spans="1:16" x14ac:dyDescent="0.35">
      <c r="A35" s="1"/>
      <c r="B35" s="1"/>
      <c r="C35" s="13"/>
      <c r="D35" s="1"/>
      <c r="E35" s="1"/>
      <c r="F35" s="1"/>
      <c r="G35" s="7"/>
      <c r="H35" t="str">
        <f t="shared" si="4"/>
        <v/>
      </c>
      <c r="I35">
        <f t="shared" ref="I35:I46" si="41">C35</f>
        <v>0</v>
      </c>
      <c r="J35" t="s">
        <v>24</v>
      </c>
      <c r="K35">
        <f t="shared" ref="K35:K46" si="42">B35</f>
        <v>0</v>
      </c>
      <c r="L35" s="11"/>
      <c r="M35">
        <f t="shared" ref="M35:M46" si="43">D35</f>
        <v>0</v>
      </c>
      <c r="N35" s="7"/>
      <c r="O35" t="str">
        <f t="shared" ref="O35:O46" si="44">"INSERT INTO dbo.Mapping (entityTypeId, entityId, sourceTypeId, sourceId, mId, otherInfo) VALUES ('"&amp;H35&amp;"','"&amp;I35&amp;"','"&amp;J35&amp;"',"&amp;K35&amp;","&amp;L35&amp;",'"&amp;M35&amp;"')"</f>
        <v>INSERT INTO dbo.Mapping (entityTypeId, entityId, sourceTypeId, sourceId, mId, otherInfo) VALUES ('','0','CA',0,,'0')</v>
      </c>
      <c r="P35" t="str">
        <f t="shared" ref="P35:P46" si="45">"DELETE FROM dbo.Mapping WHERE entityTypeId = '" &amp;H35&amp; "' and entityId ='" &amp;I35&amp; "' and sourceId = " &amp;K35&amp; " and mId= " &amp; L35</f>
        <v xml:space="preserve">DELETE FROM dbo.Mapping WHERE entityTypeId = '' and entityId ='0' and sourceId = 0 and mId= </v>
      </c>
    </row>
    <row r="36" spans="1:16" x14ac:dyDescent="0.35">
      <c r="A36" s="1"/>
      <c r="B36" s="1"/>
      <c r="C36" s="13"/>
      <c r="D36" s="1"/>
      <c r="E36" s="1"/>
      <c r="F36" s="1"/>
      <c r="G36" s="7"/>
      <c r="H36" t="str">
        <f t="shared" si="4"/>
        <v/>
      </c>
      <c r="I36">
        <f t="shared" si="41"/>
        <v>0</v>
      </c>
      <c r="J36" t="s">
        <v>24</v>
      </c>
      <c r="K36">
        <f t="shared" si="42"/>
        <v>0</v>
      </c>
      <c r="L36" s="11"/>
      <c r="M36">
        <f t="shared" si="43"/>
        <v>0</v>
      </c>
      <c r="N36" s="7"/>
      <c r="O36" t="str">
        <f t="shared" si="44"/>
        <v>INSERT INTO dbo.Mapping (entityTypeId, entityId, sourceTypeId, sourceId, mId, otherInfo) VALUES ('','0','CA',0,,'0')</v>
      </c>
      <c r="P36" t="str">
        <f t="shared" si="45"/>
        <v xml:space="preserve">DELETE FROM dbo.Mapping WHERE entityTypeId = '' and entityId ='0' and sourceId = 0 and mId= </v>
      </c>
    </row>
    <row r="37" spans="1:16" x14ac:dyDescent="0.35">
      <c r="A37" s="1"/>
      <c r="B37" s="1"/>
      <c r="C37" s="13"/>
      <c r="D37" s="1"/>
      <c r="E37" s="1"/>
      <c r="F37" s="1"/>
      <c r="G37" s="7"/>
      <c r="H37" t="str">
        <f t="shared" si="4"/>
        <v/>
      </c>
      <c r="I37">
        <f t="shared" si="41"/>
        <v>0</v>
      </c>
      <c r="J37" t="s">
        <v>24</v>
      </c>
      <c r="K37">
        <f t="shared" si="42"/>
        <v>0</v>
      </c>
      <c r="L37" s="11"/>
      <c r="M37">
        <f t="shared" si="43"/>
        <v>0</v>
      </c>
      <c r="N37" s="7"/>
      <c r="O37" t="str">
        <f t="shared" si="44"/>
        <v>INSERT INTO dbo.Mapping (entityTypeId, entityId, sourceTypeId, sourceId, mId, otherInfo) VALUES ('','0','CA',0,,'0')</v>
      </c>
      <c r="P37" t="str">
        <f t="shared" si="45"/>
        <v xml:space="preserve">DELETE FROM dbo.Mapping WHERE entityTypeId = '' and entityId ='0' and sourceId = 0 and mId= </v>
      </c>
    </row>
    <row r="38" spans="1:16" x14ac:dyDescent="0.35">
      <c r="A38" s="1"/>
      <c r="B38" s="1"/>
      <c r="C38" s="13"/>
      <c r="D38" s="1"/>
      <c r="E38" s="1"/>
      <c r="F38" s="1"/>
      <c r="G38" s="7"/>
      <c r="H38" t="str">
        <f t="shared" si="4"/>
        <v/>
      </c>
      <c r="I38">
        <f t="shared" si="41"/>
        <v>0</v>
      </c>
      <c r="J38" t="s">
        <v>24</v>
      </c>
      <c r="K38">
        <f t="shared" si="42"/>
        <v>0</v>
      </c>
      <c r="L38" s="11"/>
      <c r="M38">
        <f t="shared" si="43"/>
        <v>0</v>
      </c>
      <c r="N38" s="7"/>
      <c r="O38" t="str">
        <f t="shared" si="44"/>
        <v>INSERT INTO dbo.Mapping (entityTypeId, entityId, sourceTypeId, sourceId, mId, otherInfo) VALUES ('','0','CA',0,,'0')</v>
      </c>
      <c r="P38" t="str">
        <f t="shared" si="45"/>
        <v xml:space="preserve">DELETE FROM dbo.Mapping WHERE entityTypeId = '' and entityId ='0' and sourceId = 0 and mId= </v>
      </c>
    </row>
    <row r="39" spans="1:16" x14ac:dyDescent="0.35">
      <c r="A39" s="1"/>
      <c r="B39" s="1"/>
      <c r="C39" s="13"/>
      <c r="D39" s="1"/>
      <c r="E39" s="1"/>
      <c r="F39" s="1"/>
      <c r="G39" s="7"/>
      <c r="H39" t="str">
        <f t="shared" si="4"/>
        <v/>
      </c>
      <c r="I39">
        <f t="shared" si="41"/>
        <v>0</v>
      </c>
      <c r="J39" t="s">
        <v>24</v>
      </c>
      <c r="K39">
        <f t="shared" si="42"/>
        <v>0</v>
      </c>
      <c r="L39" s="11"/>
      <c r="M39">
        <f t="shared" si="43"/>
        <v>0</v>
      </c>
      <c r="N39" s="7"/>
      <c r="O39" t="str">
        <f t="shared" si="44"/>
        <v>INSERT INTO dbo.Mapping (entityTypeId, entityId, sourceTypeId, sourceId, mId, otherInfo) VALUES ('','0','CA',0,,'0')</v>
      </c>
      <c r="P39" t="str">
        <f t="shared" si="45"/>
        <v xml:space="preserve">DELETE FROM dbo.Mapping WHERE entityTypeId = '' and entityId ='0' and sourceId = 0 and mId= </v>
      </c>
    </row>
    <row r="40" spans="1:16" x14ac:dyDescent="0.35">
      <c r="A40" s="1"/>
      <c r="B40" s="1"/>
      <c r="C40" s="13"/>
      <c r="D40" s="1"/>
      <c r="E40" s="1"/>
      <c r="F40" s="1"/>
      <c r="G40" s="7"/>
      <c r="H40" t="str">
        <f t="shared" si="4"/>
        <v/>
      </c>
      <c r="I40">
        <f t="shared" si="41"/>
        <v>0</v>
      </c>
      <c r="J40" t="s">
        <v>24</v>
      </c>
      <c r="K40">
        <f t="shared" si="42"/>
        <v>0</v>
      </c>
      <c r="L40" s="11"/>
      <c r="M40">
        <f t="shared" si="43"/>
        <v>0</v>
      </c>
      <c r="N40" s="7"/>
      <c r="O40" t="str">
        <f t="shared" si="44"/>
        <v>INSERT INTO dbo.Mapping (entityTypeId, entityId, sourceTypeId, sourceId, mId, otherInfo) VALUES ('','0','CA',0,,'0')</v>
      </c>
      <c r="P40" t="str">
        <f t="shared" si="45"/>
        <v xml:space="preserve">DELETE FROM dbo.Mapping WHERE entityTypeId = '' and entityId ='0' and sourceId = 0 and mId= </v>
      </c>
    </row>
    <row r="41" spans="1:16" x14ac:dyDescent="0.35">
      <c r="A41" s="1"/>
      <c r="B41" s="1"/>
      <c r="C41" s="13"/>
      <c r="D41" s="1"/>
      <c r="E41" s="1"/>
      <c r="F41" s="1"/>
      <c r="G41" s="7"/>
      <c r="H41" t="str">
        <f t="shared" si="4"/>
        <v/>
      </c>
      <c r="I41">
        <f t="shared" si="41"/>
        <v>0</v>
      </c>
      <c r="J41" t="s">
        <v>24</v>
      </c>
      <c r="K41">
        <f t="shared" si="42"/>
        <v>0</v>
      </c>
      <c r="L41" s="11"/>
      <c r="M41">
        <f t="shared" si="43"/>
        <v>0</v>
      </c>
      <c r="N41" s="7"/>
      <c r="O41" t="str">
        <f t="shared" si="44"/>
        <v>INSERT INTO dbo.Mapping (entityTypeId, entityId, sourceTypeId, sourceId, mId, otherInfo) VALUES ('','0','CA',0,,'0')</v>
      </c>
      <c r="P41" t="str">
        <f t="shared" si="45"/>
        <v xml:space="preserve">DELETE FROM dbo.Mapping WHERE entityTypeId = '' and entityId ='0' and sourceId = 0 and mId= </v>
      </c>
    </row>
    <row r="42" spans="1:16" x14ac:dyDescent="0.35">
      <c r="A42" s="1"/>
      <c r="B42" s="1"/>
      <c r="C42" s="13"/>
      <c r="D42" s="1"/>
      <c r="E42" s="1"/>
      <c r="F42" s="1"/>
      <c r="G42" s="7"/>
      <c r="H42" t="str">
        <f t="shared" si="4"/>
        <v/>
      </c>
      <c r="I42">
        <f t="shared" si="41"/>
        <v>0</v>
      </c>
      <c r="J42" t="s">
        <v>24</v>
      </c>
      <c r="K42">
        <f t="shared" si="42"/>
        <v>0</v>
      </c>
      <c r="L42" s="11"/>
      <c r="M42">
        <f t="shared" si="43"/>
        <v>0</v>
      </c>
      <c r="N42" s="7"/>
      <c r="O42" t="str">
        <f t="shared" si="44"/>
        <v>INSERT INTO dbo.Mapping (entityTypeId, entityId, sourceTypeId, sourceId, mId, otherInfo) VALUES ('','0','CA',0,,'0')</v>
      </c>
      <c r="P42" t="str">
        <f t="shared" si="45"/>
        <v xml:space="preserve">DELETE FROM dbo.Mapping WHERE entityTypeId = '' and entityId ='0' and sourceId = 0 and mId= </v>
      </c>
    </row>
    <row r="43" spans="1:16" x14ac:dyDescent="0.35">
      <c r="A43" s="1"/>
      <c r="B43" s="1"/>
      <c r="C43" s="13"/>
      <c r="D43" s="1"/>
      <c r="E43" s="1"/>
      <c r="F43" s="1"/>
      <c r="G43" s="7"/>
      <c r="H43" t="str">
        <f t="shared" si="4"/>
        <v/>
      </c>
      <c r="I43">
        <f t="shared" si="41"/>
        <v>0</v>
      </c>
      <c r="J43" t="s">
        <v>24</v>
      </c>
      <c r="K43">
        <f t="shared" si="42"/>
        <v>0</v>
      </c>
      <c r="L43" s="11"/>
      <c r="M43">
        <f t="shared" si="43"/>
        <v>0</v>
      </c>
      <c r="N43" s="7"/>
      <c r="O43" t="str">
        <f t="shared" si="44"/>
        <v>INSERT INTO dbo.Mapping (entityTypeId, entityId, sourceTypeId, sourceId, mId, otherInfo) VALUES ('','0','CA',0,,'0')</v>
      </c>
      <c r="P43" t="str">
        <f t="shared" si="45"/>
        <v xml:space="preserve">DELETE FROM dbo.Mapping WHERE entityTypeId = '' and entityId ='0' and sourceId = 0 and mId= </v>
      </c>
    </row>
    <row r="44" spans="1:16" x14ac:dyDescent="0.35">
      <c r="A44" s="1"/>
      <c r="B44" s="1"/>
      <c r="C44" s="13"/>
      <c r="D44" s="1"/>
      <c r="E44" s="1"/>
      <c r="F44" s="1"/>
      <c r="G44" s="7"/>
      <c r="H44" t="str">
        <f t="shared" si="4"/>
        <v/>
      </c>
      <c r="I44">
        <f t="shared" si="41"/>
        <v>0</v>
      </c>
      <c r="J44" t="s">
        <v>24</v>
      </c>
      <c r="K44">
        <f t="shared" si="42"/>
        <v>0</v>
      </c>
      <c r="L44" s="11"/>
      <c r="M44">
        <f t="shared" si="43"/>
        <v>0</v>
      </c>
      <c r="N44" s="7"/>
      <c r="O44" t="str">
        <f t="shared" si="44"/>
        <v>INSERT INTO dbo.Mapping (entityTypeId, entityId, sourceTypeId, sourceId, mId, otherInfo) VALUES ('','0','CA',0,,'0')</v>
      </c>
      <c r="P44" t="str">
        <f t="shared" si="45"/>
        <v xml:space="preserve">DELETE FROM dbo.Mapping WHERE entityTypeId = '' and entityId ='0' and sourceId = 0 and mId= </v>
      </c>
    </row>
    <row r="45" spans="1:16" x14ac:dyDescent="0.35">
      <c r="A45" s="1"/>
      <c r="B45" s="1"/>
      <c r="C45" s="13"/>
      <c r="D45" s="1"/>
      <c r="E45" s="1"/>
      <c r="F45" s="1"/>
      <c r="G45" s="7"/>
      <c r="H45" t="str">
        <f t="shared" si="4"/>
        <v/>
      </c>
      <c r="I45">
        <f t="shared" si="41"/>
        <v>0</v>
      </c>
      <c r="J45" t="s">
        <v>24</v>
      </c>
      <c r="K45">
        <f t="shared" si="42"/>
        <v>0</v>
      </c>
      <c r="L45" s="11"/>
      <c r="M45">
        <f t="shared" si="43"/>
        <v>0</v>
      </c>
      <c r="N45" s="7"/>
      <c r="O45" t="str">
        <f t="shared" si="44"/>
        <v>INSERT INTO dbo.Mapping (entityTypeId, entityId, sourceTypeId, sourceId, mId, otherInfo) VALUES ('','0','CA',0,,'0')</v>
      </c>
      <c r="P45" t="str">
        <f t="shared" si="45"/>
        <v xml:space="preserve">DELETE FROM dbo.Mapping WHERE entityTypeId = '' and entityId ='0' and sourceId = 0 and mId= </v>
      </c>
    </row>
    <row r="46" spans="1:16" x14ac:dyDescent="0.35">
      <c r="A46" s="1"/>
      <c r="B46" s="1"/>
      <c r="C46" s="13"/>
      <c r="D46" s="1"/>
      <c r="E46" s="1"/>
      <c r="F46" s="1"/>
      <c r="G46" s="7"/>
      <c r="H46" t="str">
        <f t="shared" si="4"/>
        <v/>
      </c>
      <c r="I46">
        <f t="shared" si="41"/>
        <v>0</v>
      </c>
      <c r="J46" t="s">
        <v>24</v>
      </c>
      <c r="K46">
        <f t="shared" si="42"/>
        <v>0</v>
      </c>
      <c r="L46" s="11"/>
      <c r="M46">
        <f t="shared" si="43"/>
        <v>0</v>
      </c>
      <c r="N46" s="7"/>
      <c r="O46" t="str">
        <f t="shared" si="44"/>
        <v>INSERT INTO dbo.Mapping (entityTypeId, entityId, sourceTypeId, sourceId, mId, otherInfo) VALUES ('','0','CA',0,,'0')</v>
      </c>
      <c r="P46" t="str">
        <f t="shared" si="45"/>
        <v xml:space="preserve">DELETE FROM dbo.Mapping WHERE entityTypeId = '' and entityId ='0' and sourceId = 0 and mId= </v>
      </c>
    </row>
    <row r="47" spans="1:16" x14ac:dyDescent="0.35">
      <c r="A47" s="1"/>
      <c r="B47" s="1"/>
      <c r="C47" s="13"/>
      <c r="D47" s="1"/>
      <c r="E47" s="1"/>
      <c r="F47" s="1"/>
      <c r="G47" s="7"/>
      <c r="H47" t="str">
        <f t="shared" si="4"/>
        <v/>
      </c>
      <c r="I47">
        <f t="shared" ref="I47:I49" si="46">C47</f>
        <v>0</v>
      </c>
      <c r="J47" t="s">
        <v>24</v>
      </c>
      <c r="K47">
        <f t="shared" ref="K47:K49" si="47">B47</f>
        <v>0</v>
      </c>
      <c r="L47" s="11"/>
      <c r="M47">
        <f t="shared" ref="M47:M49" si="48">D47</f>
        <v>0</v>
      </c>
      <c r="N47" s="7"/>
      <c r="O47" t="str">
        <f t="shared" ref="O47:O49" si="49">"INSERT INTO dbo.Mapping (entityTypeId, entityId, sourceTypeId, sourceId, mId, otherInfo) VALUES ('"&amp;H47&amp;"','"&amp;I47&amp;"','"&amp;J47&amp;"',"&amp;K47&amp;","&amp;L47&amp;",'"&amp;M47&amp;"')"</f>
        <v>INSERT INTO dbo.Mapping (entityTypeId, entityId, sourceTypeId, sourceId, mId, otherInfo) VALUES ('','0','CA',0,,'0')</v>
      </c>
      <c r="P47" t="str">
        <f t="shared" ref="P47:P49" si="50">"DELETE FROM dbo.Mapping WHERE entityTypeId = '" &amp;H47&amp; "' and entityId ='" &amp;I47&amp; "' and sourceId = " &amp;K47&amp; " and mId= " &amp; L47</f>
        <v xml:space="preserve">DELETE FROM dbo.Mapping WHERE entityTypeId = '' and entityId ='0' and sourceId = 0 and mId= </v>
      </c>
    </row>
    <row r="48" spans="1:16" x14ac:dyDescent="0.35">
      <c r="A48" s="1"/>
      <c r="B48" s="1"/>
      <c r="C48" s="13"/>
      <c r="D48" s="1"/>
      <c r="E48" s="1"/>
      <c r="F48" s="1"/>
      <c r="G48" s="7"/>
      <c r="H48" t="str">
        <f t="shared" si="4"/>
        <v/>
      </c>
      <c r="I48">
        <f t="shared" si="46"/>
        <v>0</v>
      </c>
      <c r="J48" t="s">
        <v>24</v>
      </c>
      <c r="K48">
        <f t="shared" si="47"/>
        <v>0</v>
      </c>
      <c r="L48" s="11"/>
      <c r="M48">
        <f t="shared" si="48"/>
        <v>0</v>
      </c>
      <c r="N48" s="7"/>
      <c r="O48" t="str">
        <f t="shared" si="49"/>
        <v>INSERT INTO dbo.Mapping (entityTypeId, entityId, sourceTypeId, sourceId, mId, otherInfo) VALUES ('','0','CA',0,,'0')</v>
      </c>
      <c r="P48" t="str">
        <f t="shared" si="50"/>
        <v xml:space="preserve">DELETE FROM dbo.Mapping WHERE entityTypeId = '' and entityId ='0' and sourceId = 0 and mId= </v>
      </c>
    </row>
    <row r="49" spans="1:16" x14ac:dyDescent="0.35">
      <c r="A49" s="1"/>
      <c r="B49" s="1"/>
      <c r="C49" s="13"/>
      <c r="D49" s="1"/>
      <c r="E49" s="1"/>
      <c r="F49" s="1"/>
      <c r="G49" s="7"/>
      <c r="H49" t="str">
        <f t="shared" si="4"/>
        <v/>
      </c>
      <c r="I49">
        <f t="shared" si="46"/>
        <v>0</v>
      </c>
      <c r="J49" t="s">
        <v>24</v>
      </c>
      <c r="K49">
        <f t="shared" si="47"/>
        <v>0</v>
      </c>
      <c r="L49" s="11"/>
      <c r="M49">
        <f t="shared" si="48"/>
        <v>0</v>
      </c>
      <c r="N49" s="7"/>
      <c r="O49" t="str">
        <f t="shared" si="49"/>
        <v>INSERT INTO dbo.Mapping (entityTypeId, entityId, sourceTypeId, sourceId, mId, otherInfo) VALUES ('','0','CA',0,,'0')</v>
      </c>
      <c r="P49" t="str">
        <f t="shared" si="50"/>
        <v xml:space="preserve">DELETE FROM dbo.Mapping WHERE entityTypeId = '' and entityId ='0' and sourceId = 0 and mId= </v>
      </c>
    </row>
    <row r="50" spans="1:16" x14ac:dyDescent="0.35">
      <c r="A50" s="1"/>
      <c r="B50" s="1"/>
      <c r="C50" s="13"/>
      <c r="D50" s="1"/>
      <c r="E50" s="1"/>
      <c r="F50" s="1"/>
      <c r="G50" s="7"/>
      <c r="H50" t="str">
        <f t="shared" si="4"/>
        <v/>
      </c>
      <c r="I50">
        <f t="shared" ref="I50" si="51">C50</f>
        <v>0</v>
      </c>
      <c r="J50" t="s">
        <v>24</v>
      </c>
      <c r="K50">
        <f t="shared" ref="K50" si="52">B50</f>
        <v>0</v>
      </c>
      <c r="L50" s="11"/>
      <c r="M50">
        <f t="shared" ref="M50" si="53">D50</f>
        <v>0</v>
      </c>
      <c r="N50" s="7"/>
      <c r="O50" t="str">
        <f t="shared" ref="O50" si="54">"INSERT INTO dbo.Mapping (entityTypeId, entityId, sourceTypeId, sourceId, mId, otherInfo) VALUES ('"&amp;H50&amp;"','"&amp;I50&amp;"','"&amp;J50&amp;"',"&amp;K50&amp;","&amp;L50&amp;",'"&amp;M50&amp;"')"</f>
        <v>INSERT INTO dbo.Mapping (entityTypeId, entityId, sourceTypeId, sourceId, mId, otherInfo) VALUES ('','0','CA',0,,'0')</v>
      </c>
      <c r="P50" t="str">
        <f t="shared" ref="P50" si="55">"DELETE FROM dbo.Mapping WHERE entityTypeId = '" &amp;H50&amp; "' and entityId ='" &amp;I50&amp; "' and sourceId = " &amp;K50&amp; " and mId= " &amp; L50</f>
        <v xml:space="preserve">DELETE FROM dbo.Mapping WHERE entityTypeId = '' and entityId ='0' and sourceId = 0 and mId= </v>
      </c>
    </row>
    <row r="51" spans="1:16" x14ac:dyDescent="0.35">
      <c r="A51" s="1"/>
      <c r="B51" s="1"/>
      <c r="C51" s="13"/>
      <c r="D51" s="1"/>
      <c r="E51" s="1"/>
      <c r="F51" s="1"/>
      <c r="G51" s="7"/>
      <c r="H51" t="str">
        <f t="shared" si="4"/>
        <v/>
      </c>
      <c r="I51">
        <f t="shared" ref="I51" si="56">C51</f>
        <v>0</v>
      </c>
      <c r="J51" t="s">
        <v>24</v>
      </c>
      <c r="K51">
        <f t="shared" ref="K51" si="57">B51</f>
        <v>0</v>
      </c>
      <c r="L51" s="11"/>
      <c r="M51">
        <f t="shared" ref="M51" si="58">D51</f>
        <v>0</v>
      </c>
      <c r="N51" s="7"/>
      <c r="O51" t="str">
        <f t="shared" ref="O51" si="59">"INSERT INTO dbo.Mapping (entityTypeId, entityId, sourceTypeId, sourceId, mId, otherInfo) VALUES ('"&amp;H51&amp;"','"&amp;I51&amp;"','"&amp;J51&amp;"',"&amp;K51&amp;","&amp;L51&amp;",'"&amp;M51&amp;"')"</f>
        <v>INSERT INTO dbo.Mapping (entityTypeId, entityId, sourceTypeId, sourceId, mId, otherInfo) VALUES ('','0','CA',0,,'0')</v>
      </c>
      <c r="P51" t="str">
        <f t="shared" ref="P51" si="60">"DELETE FROM dbo.Mapping WHERE entityTypeId = '" &amp;H51&amp; "' and entityId ='" &amp;I51&amp; "' and sourceId = " &amp;K51&amp; " and mId= " &amp; L51</f>
        <v xml:space="preserve">DELETE FROM dbo.Mapping WHERE entityTypeId = '' and entityId ='0' and sourceId = 0 and mId= </v>
      </c>
    </row>
    <row r="52" spans="1:16" x14ac:dyDescent="0.35">
      <c r="A52" s="1"/>
      <c r="B52" s="1"/>
      <c r="C52" s="13"/>
      <c r="D52" s="1"/>
      <c r="E52" s="1"/>
      <c r="F52" s="1"/>
      <c r="G52" s="7"/>
      <c r="L52" s="11"/>
      <c r="N52" s="7"/>
    </row>
    <row r="53" spans="1:16" x14ac:dyDescent="0.35">
      <c r="A53" s="1"/>
      <c r="B53" s="1"/>
      <c r="C53" s="13"/>
      <c r="D53" s="1"/>
      <c r="E53" s="1"/>
      <c r="F53" s="1"/>
      <c r="G53" s="7"/>
      <c r="L53" s="11"/>
      <c r="N53" s="7"/>
    </row>
    <row r="54" spans="1:16" x14ac:dyDescent="0.35">
      <c r="A54" s="1"/>
      <c r="B54" s="1"/>
      <c r="C54" s="13"/>
      <c r="D54" s="1"/>
      <c r="E54" s="1"/>
      <c r="F54" s="1"/>
      <c r="G54" s="7"/>
      <c r="L54" s="11"/>
      <c r="N54" s="7"/>
    </row>
    <row r="55" spans="1:16" x14ac:dyDescent="0.35">
      <c r="A55" s="1"/>
      <c r="B55" s="1"/>
      <c r="C55" s="13"/>
      <c r="D55" s="1"/>
      <c r="E55" s="1"/>
      <c r="F55" s="1"/>
      <c r="G55" s="7"/>
      <c r="L55" s="11"/>
      <c r="N55" s="7"/>
    </row>
    <row r="56" spans="1:16" x14ac:dyDescent="0.35">
      <c r="A56" s="1"/>
      <c r="B56" s="1"/>
      <c r="C56" s="13"/>
      <c r="D56" s="1"/>
      <c r="E56" s="1"/>
      <c r="F56" s="1"/>
      <c r="G56" s="7"/>
      <c r="L56" s="11"/>
      <c r="N56" s="7"/>
    </row>
    <row r="57" spans="1:16" x14ac:dyDescent="0.35">
      <c r="G57" s="7"/>
      <c r="N57" s="7"/>
    </row>
    <row r="58" spans="1:16" s="8" customFormat="1" x14ac:dyDescent="0.35">
      <c r="A58" s="3" t="s">
        <v>5</v>
      </c>
      <c r="B58"/>
      <c r="C58" s="4"/>
      <c r="D58"/>
      <c r="E58"/>
      <c r="F58"/>
      <c r="G58" s="10"/>
      <c r="H58"/>
      <c r="I58"/>
      <c r="J58"/>
      <c r="K58"/>
      <c r="L58"/>
      <c r="M58"/>
      <c r="N58" s="9"/>
      <c r="O58"/>
    </row>
    <row r="59" spans="1:16" x14ac:dyDescent="0.35">
      <c r="A59" s="2" t="s">
        <v>147</v>
      </c>
      <c r="B59" s="2">
        <v>1834</v>
      </c>
      <c r="C59" s="14" t="s">
        <v>148</v>
      </c>
      <c r="D59" s="2" t="s">
        <v>149</v>
      </c>
      <c r="E59" s="2"/>
      <c r="F59" s="2"/>
      <c r="G59" s="5" t="s">
        <v>57</v>
      </c>
      <c r="H59" t="str">
        <f t="shared" ref="H59:H62" si="61">IF(RIGHT(A59,22)="ProducerID NO MATCH***","PR",IF(RIGHT(A59,21)="ProductID NO MATCH***","PD",""))</f>
        <v>PD</v>
      </c>
      <c r="I59" t="str">
        <f t="shared" ref="I59" si="62">C59</f>
        <v xml:space="preserve">JNLMP     </v>
      </c>
      <c r="J59" t="s">
        <v>21</v>
      </c>
      <c r="K59">
        <v>1000</v>
      </c>
      <c r="L59">
        <v>7598</v>
      </c>
      <c r="M59" t="str">
        <f t="shared" ref="M59" si="63">D59</f>
        <v>JACKSON MARKET LINK PRO</v>
      </c>
      <c r="N59" s="7"/>
      <c r="O59" t="str">
        <f t="shared" ref="O59" si="64">"INSERT INTO dbo.Mapping (entityTypeId, entityId, sourceTypeId, sourceId, mId, otherInfo) VALUES ('"&amp;H59&amp;"','"&amp;SUBSTITUTE(I59,"'","''")&amp;"','"&amp;J59&amp;"',"&amp;K59&amp;","&amp;L59&amp;",'"&amp;SUBSTITUTE(M59,"'","''")&amp;"')"</f>
        <v>INSERT INTO dbo.Mapping (entityTypeId, entityId, sourceTypeId, sourceId, mId, otherInfo) VALUES ('PD','JNLMP     ','MS',1000,7598,'JACKSON MARKET LINK PRO')</v>
      </c>
      <c r="P59" t="str">
        <f t="shared" ref="P59:P60" si="65">"DELETE FROM dbo.Mapping WHERE entityTypeId = '" &amp;H59&amp; "' and entityId ='" &amp;I59&amp; "' and sourceId = " &amp;K59&amp; " and mId= " &amp; L59</f>
        <v>DELETE FROM dbo.Mapping WHERE entityTypeId = 'PD' and entityId ='JNLMP     ' and sourceId = 1000 and mId= 7598</v>
      </c>
    </row>
    <row r="60" spans="1:16" x14ac:dyDescent="0.35">
      <c r="A60" s="2" t="s">
        <v>147</v>
      </c>
      <c r="B60" s="2">
        <v>1805</v>
      </c>
      <c r="C60" s="14" t="s">
        <v>150</v>
      </c>
      <c r="D60" s="2" t="s">
        <v>151</v>
      </c>
      <c r="E60" s="2"/>
      <c r="F60" s="2"/>
      <c r="G60" s="12" t="s">
        <v>57</v>
      </c>
      <c r="H60" t="str">
        <f t="shared" si="61"/>
        <v>PD</v>
      </c>
      <c r="I60" t="str">
        <f t="shared" ref="I60" si="66">C60</f>
        <v xml:space="preserve">MLPND     </v>
      </c>
      <c r="J60" t="s">
        <v>21</v>
      </c>
      <c r="K60">
        <v>1000</v>
      </c>
      <c r="L60">
        <v>5144</v>
      </c>
      <c r="M60" t="str">
        <f t="shared" ref="M60" si="67">D60</f>
        <v>METLIFE VAIRABLE ANNUITY 3ISA30</v>
      </c>
      <c r="N60" s="7"/>
      <c r="O60" t="str">
        <f t="shared" ref="O60" si="68">"INSERT INTO dbo.Mapping (entityTypeId, entityId, sourceTypeId, sourceId, mId, otherInfo) VALUES ('"&amp;H60&amp;"','"&amp;SUBSTITUTE(I60,"'","''")&amp;"','"&amp;J60&amp;"',"&amp;K60&amp;","&amp;L60&amp;",'"&amp;SUBSTITUTE(M60,"'","''")&amp;"')"</f>
        <v>INSERT INTO dbo.Mapping (entityTypeId, entityId, sourceTypeId, sourceId, mId, otherInfo) VALUES ('PD','MLPND     ','MS',1000,5144,'METLIFE VAIRABLE ANNUITY 3ISA30')</v>
      </c>
      <c r="P60" t="str">
        <f t="shared" si="65"/>
        <v>DELETE FROM dbo.Mapping WHERE entityTypeId = 'PD' and entityId ='MLPND     ' and sourceId = 1000 and mId= 5144</v>
      </c>
    </row>
    <row r="61" spans="1:16" x14ac:dyDescent="0.35">
      <c r="A61" s="2" t="s">
        <v>152</v>
      </c>
      <c r="B61" s="2">
        <v>1804</v>
      </c>
      <c r="C61" s="14" t="s">
        <v>153</v>
      </c>
      <c r="D61" s="2" t="s">
        <v>154</v>
      </c>
      <c r="E61" s="2" t="s">
        <v>155</v>
      </c>
      <c r="F61" s="2" t="s">
        <v>57</v>
      </c>
      <c r="G61" s="12"/>
      <c r="H61" t="str">
        <f t="shared" si="61"/>
        <v>PR</v>
      </c>
      <c r="I61" t="str">
        <f t="shared" ref="I61:I67" si="69">C61</f>
        <v xml:space="preserve">VN5       </v>
      </c>
      <c r="J61" t="s">
        <v>21</v>
      </c>
      <c r="K61">
        <v>1000</v>
      </c>
      <c r="L61">
        <v>6684</v>
      </c>
      <c r="M61" t="str">
        <f t="shared" ref="M61:M67" si="70">D61</f>
        <v>ANN LIOTTA</v>
      </c>
      <c r="N61" s="7"/>
      <c r="O61" t="str">
        <f t="shared" ref="O61:O67" si="71">"INSERT INTO dbo.Mapping (entityTypeId, entityId, sourceTypeId, sourceId, mId, otherInfo) VALUES ('"&amp;H61&amp;"','"&amp;SUBSTITUTE(I61,"'","''")&amp;"','"&amp;J61&amp;"',"&amp;K61&amp;","&amp;L61&amp;",'"&amp;SUBSTITUTE(M61,"'","''")&amp;"')"</f>
        <v>INSERT INTO dbo.Mapping (entityTypeId, entityId, sourceTypeId, sourceId, mId, otherInfo) VALUES ('PR','VN5       ','MS',1000,6684,'ANN LIOTTA')</v>
      </c>
      <c r="P61" t="str">
        <f t="shared" ref="P61:P67" si="72">"DELETE FROM dbo.Mapping WHERE entityTypeId = '" &amp;H61&amp; "' and entityId ='" &amp;I61&amp; "' and sourceId = " &amp;K61&amp; " and mId= " &amp; L61</f>
        <v>DELETE FROM dbo.Mapping WHERE entityTypeId = 'PR' and entityId ='VN5       ' and sourceId = 1000 and mId= 6684</v>
      </c>
    </row>
    <row r="62" spans="1:16" x14ac:dyDescent="0.35">
      <c r="A62" s="2" t="s">
        <v>152</v>
      </c>
      <c r="B62" s="2">
        <v>1849</v>
      </c>
      <c r="C62" s="14" t="s">
        <v>156</v>
      </c>
      <c r="D62" s="2" t="s">
        <v>157</v>
      </c>
      <c r="E62" s="2" t="s">
        <v>158</v>
      </c>
      <c r="F62" s="2" t="s">
        <v>57</v>
      </c>
      <c r="G62" s="12"/>
      <c r="H62" t="str">
        <f t="shared" si="61"/>
        <v>PR</v>
      </c>
      <c r="I62" t="str">
        <f t="shared" si="69"/>
        <v xml:space="preserve">XV6       </v>
      </c>
      <c r="J62" t="s">
        <v>21</v>
      </c>
      <c r="K62">
        <v>1000</v>
      </c>
      <c r="L62">
        <v>6774</v>
      </c>
      <c r="M62" t="str">
        <f t="shared" si="70"/>
        <v>CHRISTOPHER CORLEY</v>
      </c>
      <c r="N62" s="7"/>
      <c r="O62" t="str">
        <f t="shared" si="71"/>
        <v>INSERT INTO dbo.Mapping (entityTypeId, entityId, sourceTypeId, sourceId, mId, otherInfo) VALUES ('PR','XV6       ','MS',1000,6774,'CHRISTOPHER CORLEY')</v>
      </c>
      <c r="P62" t="str">
        <f t="shared" si="72"/>
        <v>DELETE FROM dbo.Mapping WHERE entityTypeId = 'PR' and entityId ='XV6       ' and sourceId = 1000 and mId= 6774</v>
      </c>
    </row>
    <row r="63" spans="1:16" x14ac:dyDescent="0.35">
      <c r="A63" s="2"/>
      <c r="B63" s="2"/>
      <c r="C63" s="14"/>
      <c r="D63" s="2"/>
      <c r="E63" s="2"/>
      <c r="F63" s="2"/>
      <c r="G63" s="12"/>
      <c r="I63">
        <f t="shared" si="69"/>
        <v>0</v>
      </c>
      <c r="J63" t="s">
        <v>21</v>
      </c>
      <c r="K63">
        <v>1000</v>
      </c>
      <c r="M63">
        <f t="shared" si="70"/>
        <v>0</v>
      </c>
      <c r="N63" s="7"/>
      <c r="O63" t="str">
        <f t="shared" si="71"/>
        <v>INSERT INTO dbo.Mapping (entityTypeId, entityId, sourceTypeId, sourceId, mId, otherInfo) VALUES ('','0','MS',1000,,'0')</v>
      </c>
      <c r="P63" t="str">
        <f t="shared" si="72"/>
        <v xml:space="preserve">DELETE FROM dbo.Mapping WHERE entityTypeId = '' and entityId ='0' and sourceId = 1000 and mId= </v>
      </c>
    </row>
    <row r="64" spans="1:16" x14ac:dyDescent="0.35">
      <c r="A64" s="2"/>
      <c r="B64" s="2"/>
      <c r="C64" s="14"/>
      <c r="D64" s="2"/>
      <c r="E64" s="2"/>
      <c r="F64" s="2"/>
      <c r="G64" s="12"/>
      <c r="I64">
        <f t="shared" si="69"/>
        <v>0</v>
      </c>
      <c r="J64" t="s">
        <v>21</v>
      </c>
      <c r="K64">
        <v>1000</v>
      </c>
      <c r="M64">
        <f t="shared" si="70"/>
        <v>0</v>
      </c>
      <c r="N64" s="7"/>
      <c r="O64" t="str">
        <f t="shared" si="71"/>
        <v>INSERT INTO dbo.Mapping (entityTypeId, entityId, sourceTypeId, sourceId, mId, otherInfo) VALUES ('','0','MS',1000,,'0')</v>
      </c>
      <c r="P64" t="str">
        <f t="shared" si="72"/>
        <v xml:space="preserve">DELETE FROM dbo.Mapping WHERE entityTypeId = '' and entityId ='0' and sourceId = 1000 and mId= </v>
      </c>
    </row>
    <row r="65" spans="1:16" x14ac:dyDescent="0.35">
      <c r="A65" s="2"/>
      <c r="B65" s="2"/>
      <c r="C65" s="14"/>
      <c r="D65" s="2"/>
      <c r="E65" s="2"/>
      <c r="F65" s="2"/>
      <c r="G65" s="12"/>
      <c r="I65">
        <f t="shared" si="69"/>
        <v>0</v>
      </c>
      <c r="J65" t="s">
        <v>21</v>
      </c>
      <c r="K65">
        <v>1000</v>
      </c>
      <c r="M65">
        <f t="shared" si="70"/>
        <v>0</v>
      </c>
      <c r="N65" s="7"/>
      <c r="O65" t="str">
        <f t="shared" si="71"/>
        <v>INSERT INTO dbo.Mapping (entityTypeId, entityId, sourceTypeId, sourceId, mId, otherInfo) VALUES ('','0','MS',1000,,'0')</v>
      </c>
      <c r="P65" t="str">
        <f t="shared" si="72"/>
        <v xml:space="preserve">DELETE FROM dbo.Mapping WHERE entityTypeId = '' and entityId ='0' and sourceId = 1000 and mId= </v>
      </c>
    </row>
    <row r="66" spans="1:16" x14ac:dyDescent="0.35">
      <c r="A66" s="2"/>
      <c r="B66" s="2"/>
      <c r="C66" s="14"/>
      <c r="D66" s="2"/>
      <c r="E66" s="2"/>
      <c r="F66" s="2"/>
      <c r="G66" s="12"/>
      <c r="I66">
        <f t="shared" si="69"/>
        <v>0</v>
      </c>
      <c r="J66" t="s">
        <v>21</v>
      </c>
      <c r="K66">
        <v>1000</v>
      </c>
      <c r="M66">
        <f t="shared" si="70"/>
        <v>0</v>
      </c>
      <c r="N66" s="7"/>
      <c r="O66" t="str">
        <f t="shared" si="71"/>
        <v>INSERT INTO dbo.Mapping (entityTypeId, entityId, sourceTypeId, sourceId, mId, otherInfo) VALUES ('','0','MS',1000,,'0')</v>
      </c>
      <c r="P66" t="str">
        <f t="shared" si="72"/>
        <v xml:space="preserve">DELETE FROM dbo.Mapping WHERE entityTypeId = '' and entityId ='0' and sourceId = 1000 and mId= </v>
      </c>
    </row>
    <row r="67" spans="1:16" x14ac:dyDescent="0.35">
      <c r="A67" s="2"/>
      <c r="B67" s="2"/>
      <c r="C67" s="14"/>
      <c r="D67" s="2"/>
      <c r="E67" s="2"/>
      <c r="F67" s="2"/>
      <c r="G67" s="12"/>
      <c r="I67">
        <f t="shared" si="69"/>
        <v>0</v>
      </c>
      <c r="J67" t="s">
        <v>21</v>
      </c>
      <c r="K67">
        <v>1000</v>
      </c>
      <c r="M67">
        <f t="shared" si="70"/>
        <v>0</v>
      </c>
      <c r="N67" s="7"/>
      <c r="O67" t="str">
        <f t="shared" si="71"/>
        <v>INSERT INTO dbo.Mapping (entityTypeId, entityId, sourceTypeId, sourceId, mId, otherInfo) VALUES ('','0','MS',1000,,'0')</v>
      </c>
      <c r="P67" t="str">
        <f t="shared" si="72"/>
        <v xml:space="preserve">DELETE FROM dbo.Mapping WHERE entityTypeId = '' and entityId ='0' and sourceId = 1000 and mId= </v>
      </c>
    </row>
  </sheetData>
  <conditionalFormatting sqref="G58">
    <cfRule type="expression" dxfId="2" priority="10">
      <formula>IF(A58&lt;&gt;"", TRUE, FALSE)</formula>
    </cfRule>
  </conditionalFormatting>
  <conditionalFormatting sqref="N58">
    <cfRule type="expression" dxfId="1" priority="9">
      <formula>IF(A58&lt;&gt;"", TRUE, FALSE)</formula>
    </cfRule>
  </conditionalFormatting>
  <conditionalFormatting sqref="H2:H1048576">
    <cfRule type="cellIs" dxfId="0" priority="6" operator="equal">
      <formula>"PD"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</sheetPr>
  <dimension ref="A1:T12"/>
  <sheetViews>
    <sheetView zoomScaleNormal="100" workbookViewId="0">
      <selection activeCell="S19" sqref="S19"/>
    </sheetView>
  </sheetViews>
  <sheetFormatPr defaultColWidth="4.7265625" defaultRowHeight="14.5" x14ac:dyDescent="0.35"/>
  <cols>
    <col min="1" max="1" width="9" bestFit="1" customWidth="1"/>
    <col min="2" max="2" width="11.26953125" bestFit="1" customWidth="1"/>
    <col min="3" max="3" width="8.7265625" bestFit="1" customWidth="1"/>
    <col min="4" max="4" width="46" bestFit="1" customWidth="1"/>
    <col min="5" max="5" width="12.7265625" bestFit="1" customWidth="1"/>
    <col min="6" max="6" width="16.7265625" bestFit="1" customWidth="1"/>
    <col min="7" max="7" width="14" bestFit="1" customWidth="1"/>
    <col min="8" max="8" width="14.26953125" bestFit="1" customWidth="1"/>
    <col min="9" max="9" width="4.54296875" bestFit="1" customWidth="1"/>
    <col min="10" max="10" width="8.54296875" bestFit="1" customWidth="1"/>
    <col min="11" max="11" width="7" bestFit="1" customWidth="1"/>
    <col min="12" max="12" width="4.26953125" bestFit="1" customWidth="1"/>
    <col min="13" max="13" width="14" bestFit="1" customWidth="1"/>
    <col min="14" max="14" width="13.26953125" bestFit="1" customWidth="1"/>
    <col min="15" max="15" width="12.453125" bestFit="1" customWidth="1"/>
    <col min="16" max="16" width="7.26953125" bestFit="1" customWidth="1"/>
    <col min="17" max="17" width="12.54296875" bestFit="1" customWidth="1"/>
    <col min="18" max="18" width="5.81640625" customWidth="1"/>
    <col min="19" max="19" width="99.26953125" bestFit="1" customWidth="1"/>
    <col min="20" max="20" width="35.6328125" bestFit="1" customWidth="1"/>
  </cols>
  <sheetData>
    <row r="1" spans="1:20" x14ac:dyDescent="0.35">
      <c r="A1" t="s">
        <v>6</v>
      </c>
      <c r="B1" t="s">
        <v>7</v>
      </c>
      <c r="C1" t="s">
        <v>4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23</v>
      </c>
      <c r="R1" t="s">
        <v>25</v>
      </c>
      <c r="S1" t="s">
        <v>32</v>
      </c>
      <c r="T1" t="s">
        <v>33</v>
      </c>
    </row>
    <row r="2" spans="1:20" x14ac:dyDescent="0.35">
      <c r="A2">
        <v>7595</v>
      </c>
      <c r="B2">
        <v>21</v>
      </c>
      <c r="C2">
        <v>1690</v>
      </c>
      <c r="D2" t="s">
        <v>141</v>
      </c>
      <c r="E2">
        <v>0</v>
      </c>
      <c r="F2">
        <v>0</v>
      </c>
      <c r="G2">
        <v>406</v>
      </c>
      <c r="H2">
        <v>406</v>
      </c>
      <c r="I2">
        <v>0</v>
      </c>
      <c r="J2">
        <v>0</v>
      </c>
      <c r="K2">
        <v>0</v>
      </c>
      <c r="L2">
        <v>0</v>
      </c>
      <c r="M2">
        <v>1</v>
      </c>
      <c r="N2">
        <v>0</v>
      </c>
      <c r="O2">
        <v>0</v>
      </c>
      <c r="P2">
        <v>0</v>
      </c>
      <c r="Q2">
        <v>0</v>
      </c>
      <c r="R2">
        <v>2017</v>
      </c>
      <c r="S2" t="str">
        <f>"INSERT INTO dbo.Product VALUES ("&amp;A2&amp;","&amp;B2&amp;","&amp;C2&amp;",'"&amp;D2&amp;"',"&amp;E2&amp;","&amp;F2&amp;","&amp;G2&amp;","&amp;H2&amp;","&amp;I2&amp;","&amp;J2&amp;","&amp;K2&amp;","&amp;L2&amp;","&amp;M2&amp;","&amp;N2&amp;","&amp;O2&amp;","&amp;P2&amp;","&amp;Q2&amp;","&amp;R2&amp;")"</f>
        <v>INSERT INTO dbo.Product VALUES (7595,21,1690,'Premier Foundation Plus Indexed Annuity',0,0,406,406,0,0,0,0,1,0,0,0,0,2017)</v>
      </c>
      <c r="T2" t="str">
        <f>"DELETE FROM dbo.Product where id = "&amp;A2</f>
        <v>DELETE FROM dbo.Product where id = 7595</v>
      </c>
    </row>
    <row r="3" spans="1:20" x14ac:dyDescent="0.35">
      <c r="A3">
        <v>7596</v>
      </c>
      <c r="B3">
        <v>5</v>
      </c>
      <c r="C3">
        <v>1116</v>
      </c>
      <c r="D3" t="s">
        <v>142</v>
      </c>
      <c r="E3">
        <v>0</v>
      </c>
      <c r="F3">
        <v>0</v>
      </c>
      <c r="G3">
        <v>406</v>
      </c>
      <c r="H3">
        <v>406</v>
      </c>
      <c r="I3">
        <v>0</v>
      </c>
      <c r="J3">
        <v>0</v>
      </c>
      <c r="K3">
        <v>0</v>
      </c>
      <c r="L3">
        <v>0</v>
      </c>
      <c r="M3">
        <v>1</v>
      </c>
      <c r="N3">
        <v>0</v>
      </c>
      <c r="O3">
        <v>0</v>
      </c>
      <c r="P3">
        <v>0</v>
      </c>
      <c r="Q3">
        <v>0</v>
      </c>
      <c r="R3">
        <v>2017</v>
      </c>
      <c r="S3" t="str">
        <f>"INSERT INTO dbo.Product VALUES ("&amp;A3&amp;","&amp;B3&amp;","&amp;C3&amp;",'"&amp;D3&amp;"',"&amp;E3&amp;","&amp;F3&amp;","&amp;G3&amp;","&amp;H3&amp;","&amp;I3&amp;","&amp;J3&amp;","&amp;K3&amp;","&amp;L3&amp;","&amp;M3&amp;","&amp;N3&amp;","&amp;O3&amp;","&amp;P3&amp;","&amp;Q3&amp;","&amp;R3&amp;")"</f>
        <v>INSERT INTO dbo.Product VALUES (7596,5,1116,'FlexGuard Life IVUL',0,0,406,406,0,0,0,0,1,0,0,0,0,2017)</v>
      </c>
      <c r="T3" t="str">
        <f>"DELETE FROM dbo.Product where id = "&amp;A3</f>
        <v>DELETE FROM dbo.Product where id = 7596</v>
      </c>
    </row>
    <row r="4" spans="1:20" x14ac:dyDescent="0.35">
      <c r="A4">
        <v>7597</v>
      </c>
      <c r="B4">
        <v>21</v>
      </c>
      <c r="C4">
        <v>1680</v>
      </c>
      <c r="D4" s="19" t="s">
        <v>143</v>
      </c>
      <c r="E4">
        <v>0</v>
      </c>
      <c r="F4">
        <v>0</v>
      </c>
      <c r="G4">
        <v>406</v>
      </c>
      <c r="H4">
        <v>406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2017</v>
      </c>
      <c r="S4" t="str">
        <f>"INSERT INTO dbo.Product VALUES ("&amp;A4&amp;","&amp;B4&amp;","&amp;C4&amp;",'"&amp;D4&amp;"',"&amp;E4&amp;","&amp;F4&amp;","&amp;G4&amp;","&amp;H4&amp;","&amp;I4&amp;","&amp;J4&amp;","&amp;K4&amp;","&amp;L4&amp;","&amp;M4&amp;","&amp;N4&amp;","&amp;O4&amp;","&amp;P4&amp;","&amp;Q4&amp;","&amp;R4&amp;")"</f>
        <v>INSERT INTO dbo.Product VALUES (7597,21,1680,'Select Max',0,0,406,406,0,0,0,0,0,0,0,0,0,2017)</v>
      </c>
      <c r="T4" t="str">
        <f>"DELETE FROM dbo.Product where id = "&amp;A4</f>
        <v>DELETE FROM dbo.Product where id = 7597</v>
      </c>
    </row>
    <row r="5" spans="1:20" x14ac:dyDescent="0.35">
      <c r="A5">
        <v>7598</v>
      </c>
      <c r="B5">
        <v>21</v>
      </c>
      <c r="C5">
        <v>1834</v>
      </c>
      <c r="D5" s="18" t="s">
        <v>159</v>
      </c>
      <c r="E5">
        <v>0</v>
      </c>
      <c r="F5">
        <v>0</v>
      </c>
      <c r="G5">
        <v>406</v>
      </c>
      <c r="H5">
        <v>406</v>
      </c>
      <c r="I5">
        <v>0</v>
      </c>
      <c r="J5">
        <v>0</v>
      </c>
      <c r="K5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0</v>
      </c>
      <c r="R5">
        <v>2017</v>
      </c>
      <c r="S5" t="str">
        <f t="shared" ref="S5:S6" si="0">"INSERT INTO dbo.Product VALUES ("&amp;A5&amp;","&amp;B5&amp;","&amp;C5&amp;",'"&amp;D5&amp;"',"&amp;E5&amp;","&amp;F5&amp;","&amp;G5&amp;","&amp;H5&amp;","&amp;I5&amp;","&amp;J5&amp;","&amp;K5&amp;","&amp;L5&amp;","&amp;M5&amp;","&amp;N5&amp;","&amp;O5&amp;","&amp;P5&amp;","&amp;Q5&amp;","&amp;R5&amp;")"</f>
        <v>INSERT INTO dbo.Product VALUES (7598,21,1834,'Jackson Market Link Pro',0,0,406,406,0,0,0,0,1,0,0,0,0,2017)</v>
      </c>
      <c r="T5" t="str">
        <f>"DELETE FROM dbo.Product where id = "&amp;A5</f>
        <v>DELETE FROM dbo.Product where id = 7598</v>
      </c>
    </row>
    <row r="6" spans="1:20" x14ac:dyDescent="0.35">
      <c r="S6" t="str">
        <f t="shared" si="0"/>
        <v>INSERT INTO dbo.Product VALUES (,,,'',,,,,,,,,,,,,,)</v>
      </c>
    </row>
    <row r="7" spans="1:20" x14ac:dyDescent="0.35">
      <c r="S7" t="str">
        <f>"INSERT INTO dbo.Product VALUES ("&amp;A7&amp;","&amp;B7&amp;","&amp;C7&amp;",'"&amp;D7&amp;"',"&amp;E7&amp;","&amp;F7&amp;","&amp;G7&amp;","&amp;H7&amp;","&amp;I7&amp;","&amp;J7&amp;","&amp;K7&amp;","&amp;L7&amp;","&amp;M7&amp;","&amp;N7&amp;","&amp;O7&amp;","&amp;P7&amp;","&amp;Q7&amp;","&amp;R7&amp;")"</f>
        <v>INSERT INTO dbo.Product VALUES (,,,'',,,,,,,,,,,,,,)</v>
      </c>
    </row>
    <row r="8" spans="1:20" x14ac:dyDescent="0.35">
      <c r="S8" t="str">
        <f>"INSERT INTO dbo.Product VALUES ("&amp;A8&amp;","&amp;B8&amp;","&amp;C8&amp;",'"&amp;D8&amp;"',"&amp;E8&amp;","&amp;F8&amp;","&amp;G8&amp;","&amp;H8&amp;","&amp;I8&amp;","&amp;J8&amp;","&amp;K8&amp;","&amp;L8&amp;","&amp;M8&amp;","&amp;N8&amp;","&amp;O8&amp;","&amp;P8&amp;","&amp;Q8&amp;","&amp;R8&amp;")"</f>
        <v>INSERT INTO dbo.Product VALUES (,,,'',,,,,,,,,,,,,,)</v>
      </c>
    </row>
    <row r="9" spans="1:20" x14ac:dyDescent="0.35">
      <c r="S9" t="str">
        <f t="shared" ref="S9:S12" si="1">"INSERT INTO dbo.Product VALUES ("&amp;A9&amp;","&amp;B9&amp;","&amp;C9&amp;",'"&amp;D9&amp;"',"&amp;E9&amp;","&amp;F9&amp;","&amp;G9&amp;","&amp;H9&amp;","&amp;I9&amp;","&amp;J9&amp;","&amp;K9&amp;","&amp;L9&amp;","&amp;M9&amp;","&amp;N9&amp;","&amp;O9&amp;","&amp;P9&amp;","&amp;Q9&amp;","&amp;R9&amp;")"</f>
        <v>INSERT INTO dbo.Product VALUES (,,,'',,,,,,,,,,,,,,)</v>
      </c>
    </row>
    <row r="10" spans="1:20" x14ac:dyDescent="0.35">
      <c r="D10" s="15"/>
      <c r="S10" t="str">
        <f>"INSERT INTO dbo.Product VALUES ("&amp;A10&amp;","&amp;B10&amp;","&amp;C10&amp;",'"&amp;D10&amp;"',"&amp;E10&amp;","&amp;F10&amp;","&amp;G10&amp;","&amp;H10&amp;","&amp;I10&amp;","&amp;J10&amp;","&amp;K10&amp;","&amp;L10&amp;","&amp;M10&amp;","&amp;N10&amp;","&amp;O10&amp;","&amp;P10&amp;","&amp;Q10&amp;","&amp;R10&amp;")"</f>
        <v>INSERT INTO dbo.Product VALUES (,,,'',,,,,,,,,,,,,,)</v>
      </c>
    </row>
    <row r="11" spans="1:20" x14ac:dyDescent="0.35">
      <c r="S11" t="str">
        <f t="shared" si="1"/>
        <v>INSERT INTO dbo.Product VALUES (,,,'',,,,,,,,,,,,,,)</v>
      </c>
    </row>
    <row r="12" spans="1:20" x14ac:dyDescent="0.35">
      <c r="S12" t="str">
        <f t="shared" si="1"/>
        <v>INSERT INTO dbo.Product VALUES (,,,'',,,,,,,,,,,,,,)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AFB1B-FF5E-4C9D-A182-2A1554806BAB}">
  <sheetPr codeName="Sheet3">
    <tabColor theme="8" tint="0.79998168889431442"/>
  </sheetPr>
  <dimension ref="A1:AA12"/>
  <sheetViews>
    <sheetView workbookViewId="0">
      <selection activeCell="K16" sqref="K16"/>
    </sheetView>
  </sheetViews>
  <sheetFormatPr defaultRowHeight="14.5" x14ac:dyDescent="0.35"/>
  <cols>
    <col min="6" max="6" width="12.7265625" bestFit="1" customWidth="1"/>
  </cols>
  <sheetData>
    <row r="1" spans="1:27" x14ac:dyDescent="0.35">
      <c r="A1" t="s">
        <v>4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</row>
    <row r="2" spans="1:27" x14ac:dyDescent="0.35">
      <c r="F2" s="17">
        <v>44197</v>
      </c>
      <c r="G2" t="str">
        <f>"INSERT INTO dbo.carrier (carrierId, carriername,MSecuritiesId, CoreFlag, StatusID, Startdate) VALUES ('"&amp;A2&amp;"','"&amp;B2&amp;"','"&amp;C2&amp;"',"&amp;D2&amp;","&amp;E2&amp;",'"&amp;F2&amp;"')"</f>
        <v>INSERT INTO dbo.carrier (carrierId, carriername,MSecuritiesId, CoreFlag, StatusID, Startdate) VALUES ('','','',,,'44197')</v>
      </c>
    </row>
    <row r="9" spans="1:27" x14ac:dyDescent="0.35">
      <c r="F9" s="17"/>
    </row>
    <row r="12" spans="1:27" x14ac:dyDescent="0.35">
      <c r="Y12" s="16"/>
      <c r="AA12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08BF4-7FD8-4E7D-B3D6-FAE871122EC4}">
  <sheetPr codeName="Sheet4">
    <tabColor theme="9" tint="0.79998168889431442"/>
  </sheetPr>
  <dimension ref="A1:S300"/>
  <sheetViews>
    <sheetView tabSelected="1" workbookViewId="0">
      <selection activeCell="E29" sqref="E29"/>
    </sheetView>
  </sheetViews>
  <sheetFormatPr defaultColWidth="0" defaultRowHeight="12.5" x14ac:dyDescent="0.25"/>
  <cols>
    <col min="1" max="1" width="34" style="20" bestFit="1" customWidth="1"/>
    <col min="2" max="2" width="24.453125" style="27" bestFit="1" customWidth="1"/>
    <col min="3" max="3" width="38.453125" style="20" bestFit="1" customWidth="1"/>
    <col min="4" max="4" width="11.7265625" style="20" bestFit="1" customWidth="1"/>
    <col min="5" max="5" width="38.453125" style="20" bestFit="1" customWidth="1"/>
    <col min="6" max="6" width="23.54296875" style="20" bestFit="1" customWidth="1"/>
    <col min="7" max="7" width="17.54296875" style="20" bestFit="1" customWidth="1"/>
    <col min="8" max="8" width="13.54296875" style="20" bestFit="1" customWidth="1"/>
    <col min="9" max="9" width="17.1796875" style="20" bestFit="1" customWidth="1"/>
    <col min="10" max="10" width="6.453125" style="20" bestFit="1" customWidth="1"/>
    <col min="11" max="11" width="6.54296875" style="20" bestFit="1" customWidth="1"/>
    <col min="12" max="12" width="8.54296875" style="20" bestFit="1" customWidth="1"/>
    <col min="13" max="13" width="6.26953125" style="20" bestFit="1" customWidth="1"/>
    <col min="14" max="14" width="14.26953125" style="20" bestFit="1" customWidth="1"/>
    <col min="15" max="15" width="14" style="20" bestFit="1" customWidth="1"/>
    <col min="16" max="16" width="13.54296875" style="20" bestFit="1" customWidth="1"/>
    <col min="17" max="17" width="9.453125" style="20" bestFit="1" customWidth="1"/>
    <col min="18" max="18" width="11" style="20" bestFit="1" customWidth="1"/>
    <col min="19" max="19" width="13.7265625" style="20" bestFit="1" customWidth="1"/>
    <col min="20" max="16384" width="9.1796875" style="20" hidden="1"/>
  </cols>
  <sheetData>
    <row r="1" spans="1:19" ht="18.75" customHeight="1" x14ac:dyDescent="0.4">
      <c r="A1" s="38" t="s">
        <v>34</v>
      </c>
      <c r="B1" s="38"/>
    </row>
    <row r="2" spans="1:19" ht="13" x14ac:dyDescent="0.3">
      <c r="A2" s="21"/>
      <c r="B2" s="22"/>
    </row>
    <row r="3" spans="1:19" x14ac:dyDescent="0.25">
      <c r="A3" s="23" t="s">
        <v>35</v>
      </c>
      <c r="B3" s="24"/>
      <c r="C3" s="23"/>
      <c r="D3" s="23"/>
    </row>
    <row r="4" spans="1:19" x14ac:dyDescent="0.25">
      <c r="A4" s="25" t="s">
        <v>36</v>
      </c>
      <c r="B4" s="26"/>
      <c r="C4" s="25"/>
      <c r="D4" s="25"/>
    </row>
    <row r="6" spans="1:19" x14ac:dyDescent="0.25"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</row>
    <row r="7" spans="1:19" x14ac:dyDescent="0.25">
      <c r="A7" s="30" t="s">
        <v>37</v>
      </c>
      <c r="B7" s="31" t="s">
        <v>38</v>
      </c>
      <c r="C7" s="30" t="s">
        <v>39</v>
      </c>
      <c r="D7" s="30" t="s">
        <v>40</v>
      </c>
      <c r="E7" s="30" t="s">
        <v>41</v>
      </c>
      <c r="F7" s="30" t="s">
        <v>42</v>
      </c>
      <c r="G7" s="30" t="s">
        <v>43</v>
      </c>
      <c r="H7" s="30" t="s">
        <v>9</v>
      </c>
      <c r="I7" s="30" t="s">
        <v>10</v>
      </c>
      <c r="J7" s="30" t="s">
        <v>13</v>
      </c>
      <c r="K7" s="30" t="s">
        <v>25</v>
      </c>
      <c r="L7" s="30" t="s">
        <v>15</v>
      </c>
      <c r="M7" s="30" t="s">
        <v>16</v>
      </c>
      <c r="N7" s="30" t="s">
        <v>17</v>
      </c>
      <c r="O7" s="30" t="s">
        <v>18</v>
      </c>
      <c r="P7" s="30" t="s">
        <v>19</v>
      </c>
      <c r="Q7" s="30" t="s">
        <v>20</v>
      </c>
      <c r="R7" s="30" t="s">
        <v>44</v>
      </c>
      <c r="S7" s="30" t="s">
        <v>45</v>
      </c>
    </row>
    <row r="8" spans="1:19" x14ac:dyDescent="0.25">
      <c r="A8" s="34" t="s">
        <v>160</v>
      </c>
      <c r="B8" s="35" t="s">
        <v>150</v>
      </c>
      <c r="C8" s="34" t="s">
        <v>151</v>
      </c>
      <c r="D8" s="34">
        <v>5144</v>
      </c>
      <c r="E8" s="34" t="s">
        <v>161</v>
      </c>
      <c r="F8" s="34" t="s">
        <v>162</v>
      </c>
      <c r="G8" s="34" t="s">
        <v>72</v>
      </c>
      <c r="H8" s="34">
        <v>0</v>
      </c>
      <c r="I8" s="34">
        <v>0</v>
      </c>
      <c r="J8" s="34">
        <v>0</v>
      </c>
      <c r="K8" s="34">
        <v>1980</v>
      </c>
      <c r="L8" s="34">
        <v>0</v>
      </c>
      <c r="M8" s="34">
        <v>0</v>
      </c>
      <c r="N8" s="34">
        <v>0</v>
      </c>
      <c r="O8" s="34">
        <v>0</v>
      </c>
      <c r="P8" s="34">
        <v>0</v>
      </c>
      <c r="Q8" s="34">
        <v>0</v>
      </c>
      <c r="R8" s="34">
        <v>0</v>
      </c>
      <c r="S8" s="34">
        <v>1</v>
      </c>
    </row>
    <row r="9" spans="1:19" x14ac:dyDescent="0.25">
      <c r="A9" s="34" t="s">
        <v>144</v>
      </c>
      <c r="B9" s="35" t="s">
        <v>77</v>
      </c>
      <c r="C9" s="34" t="s">
        <v>78</v>
      </c>
      <c r="D9" s="34">
        <v>7437</v>
      </c>
      <c r="E9" s="34" t="s">
        <v>145</v>
      </c>
      <c r="F9" s="34" t="s">
        <v>68</v>
      </c>
      <c r="G9" s="34" t="s">
        <v>53</v>
      </c>
      <c r="H9" s="34">
        <v>0</v>
      </c>
      <c r="I9" s="34">
        <v>0</v>
      </c>
      <c r="J9" s="34">
        <v>0</v>
      </c>
      <c r="K9" s="34">
        <v>2017</v>
      </c>
      <c r="L9" s="34">
        <v>0</v>
      </c>
      <c r="M9" s="34">
        <v>0</v>
      </c>
      <c r="N9" s="34">
        <v>0</v>
      </c>
      <c r="O9" s="34">
        <v>0</v>
      </c>
      <c r="P9" s="34">
        <v>0</v>
      </c>
      <c r="Q9" s="34">
        <v>0</v>
      </c>
      <c r="R9" s="34">
        <v>0</v>
      </c>
      <c r="S9" s="34">
        <v>0</v>
      </c>
    </row>
    <row r="10" spans="1:19" x14ac:dyDescent="0.25">
      <c r="A10" s="34" t="s">
        <v>56</v>
      </c>
      <c r="B10" s="35">
        <v>1236600000</v>
      </c>
      <c r="C10" s="34" t="s">
        <v>76</v>
      </c>
      <c r="D10" s="34">
        <v>7454</v>
      </c>
      <c r="E10" s="34" t="s">
        <v>146</v>
      </c>
      <c r="F10" s="34" t="s">
        <v>66</v>
      </c>
      <c r="G10" s="34" t="s">
        <v>53</v>
      </c>
      <c r="H10" s="34">
        <v>0</v>
      </c>
      <c r="I10" s="34">
        <v>0</v>
      </c>
      <c r="J10" s="34">
        <v>0</v>
      </c>
      <c r="K10" s="34">
        <v>2017</v>
      </c>
      <c r="L10" s="34">
        <v>0</v>
      </c>
      <c r="M10" s="34">
        <v>0</v>
      </c>
      <c r="N10" s="34">
        <v>0</v>
      </c>
      <c r="O10" s="34">
        <v>0</v>
      </c>
      <c r="P10" s="34">
        <v>0</v>
      </c>
      <c r="Q10" s="34">
        <v>0</v>
      </c>
      <c r="R10" s="34">
        <v>0</v>
      </c>
      <c r="S10" s="34">
        <v>1</v>
      </c>
    </row>
    <row r="11" spans="1:19" x14ac:dyDescent="0.25">
      <c r="A11" s="34" t="s">
        <v>67</v>
      </c>
      <c r="B11" s="35" t="s">
        <v>85</v>
      </c>
      <c r="C11" s="34" t="s">
        <v>58</v>
      </c>
      <c r="D11" s="34">
        <v>7527</v>
      </c>
      <c r="E11" s="34" t="s">
        <v>69</v>
      </c>
      <c r="F11" s="34" t="s">
        <v>68</v>
      </c>
      <c r="G11" s="34" t="s">
        <v>53</v>
      </c>
      <c r="H11" s="34">
        <v>0</v>
      </c>
      <c r="I11" s="34">
        <v>0</v>
      </c>
      <c r="J11" s="34">
        <v>0</v>
      </c>
      <c r="K11" s="34">
        <v>2017</v>
      </c>
      <c r="L11" s="34">
        <v>0</v>
      </c>
      <c r="M11" s="34">
        <v>0</v>
      </c>
      <c r="N11" s="34">
        <v>0</v>
      </c>
      <c r="O11" s="34">
        <v>0</v>
      </c>
      <c r="P11" s="34">
        <v>0</v>
      </c>
      <c r="Q11" s="34">
        <v>0</v>
      </c>
      <c r="R11" s="34">
        <v>0</v>
      </c>
      <c r="S11" s="34">
        <v>0</v>
      </c>
    </row>
    <row r="12" spans="1:19" x14ac:dyDescent="0.25">
      <c r="A12" s="23" t="s">
        <v>67</v>
      </c>
      <c r="B12" s="24" t="s">
        <v>83</v>
      </c>
      <c r="C12" s="23" t="s">
        <v>84</v>
      </c>
      <c r="D12" s="23">
        <v>7595</v>
      </c>
      <c r="E12" s="23" t="s">
        <v>141</v>
      </c>
      <c r="F12" s="23" t="s">
        <v>71</v>
      </c>
      <c r="G12" s="23" t="s">
        <v>72</v>
      </c>
      <c r="H12" s="23">
        <v>0</v>
      </c>
      <c r="I12" s="23">
        <v>0</v>
      </c>
      <c r="J12" s="23">
        <v>0</v>
      </c>
      <c r="K12" s="23">
        <v>2017</v>
      </c>
      <c r="L12" s="23">
        <v>0</v>
      </c>
      <c r="M12" s="23">
        <v>0</v>
      </c>
      <c r="N12" s="23">
        <v>1</v>
      </c>
      <c r="O12" s="23">
        <v>0</v>
      </c>
      <c r="P12" s="23">
        <v>0</v>
      </c>
      <c r="Q12" s="23">
        <v>0</v>
      </c>
      <c r="R12" s="23">
        <v>0</v>
      </c>
      <c r="S12" s="23">
        <v>0</v>
      </c>
    </row>
    <row r="13" spans="1:19" x14ac:dyDescent="0.25">
      <c r="A13" s="23" t="s">
        <v>70</v>
      </c>
      <c r="B13" s="24" t="s">
        <v>79</v>
      </c>
      <c r="C13" s="23" t="s">
        <v>80</v>
      </c>
      <c r="D13" s="23">
        <v>7596</v>
      </c>
      <c r="E13" s="23" t="s">
        <v>142</v>
      </c>
      <c r="F13" s="23" t="s">
        <v>66</v>
      </c>
      <c r="G13" s="23" t="s">
        <v>53</v>
      </c>
      <c r="H13" s="23">
        <v>0</v>
      </c>
      <c r="I13" s="23">
        <v>0</v>
      </c>
      <c r="J13" s="23">
        <v>0</v>
      </c>
      <c r="K13" s="23">
        <v>2017</v>
      </c>
      <c r="L13" s="23">
        <v>0</v>
      </c>
      <c r="M13" s="23">
        <v>0</v>
      </c>
      <c r="N13" s="23">
        <v>1</v>
      </c>
      <c r="O13" s="23">
        <v>0</v>
      </c>
      <c r="P13" s="23">
        <v>0</v>
      </c>
      <c r="Q13" s="23">
        <v>0</v>
      </c>
      <c r="R13" s="23">
        <v>0</v>
      </c>
      <c r="S13" s="23">
        <v>1</v>
      </c>
    </row>
    <row r="14" spans="1:19" x14ac:dyDescent="0.25">
      <c r="A14" s="23" t="s">
        <v>163</v>
      </c>
      <c r="B14" s="24" t="s">
        <v>81</v>
      </c>
      <c r="C14" s="23" t="s">
        <v>82</v>
      </c>
      <c r="D14" s="23">
        <v>7597</v>
      </c>
      <c r="E14" s="23" t="s">
        <v>143</v>
      </c>
      <c r="F14" s="23" t="s">
        <v>71</v>
      </c>
      <c r="G14" s="23" t="s">
        <v>72</v>
      </c>
      <c r="H14" s="23">
        <v>0</v>
      </c>
      <c r="I14" s="23">
        <v>0</v>
      </c>
      <c r="J14" s="23">
        <v>0</v>
      </c>
      <c r="K14" s="23">
        <v>2017</v>
      </c>
      <c r="L14" s="23">
        <v>0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  <c r="R14" s="23">
        <v>0</v>
      </c>
      <c r="S14" s="23">
        <v>0</v>
      </c>
    </row>
    <row r="15" spans="1:19" x14ac:dyDescent="0.25">
      <c r="A15" s="23" t="s">
        <v>164</v>
      </c>
      <c r="B15" s="24" t="s">
        <v>148</v>
      </c>
      <c r="C15" s="23" t="s">
        <v>149</v>
      </c>
      <c r="D15" s="23">
        <v>7598</v>
      </c>
      <c r="E15" s="23" t="s">
        <v>159</v>
      </c>
      <c r="F15" s="23" t="s">
        <v>71</v>
      </c>
      <c r="G15" s="23" t="s">
        <v>72</v>
      </c>
      <c r="H15" s="23">
        <v>0</v>
      </c>
      <c r="I15" s="23">
        <v>0</v>
      </c>
      <c r="J15" s="23">
        <v>0</v>
      </c>
      <c r="K15" s="23">
        <v>2017</v>
      </c>
      <c r="L15" s="23">
        <v>0</v>
      </c>
      <c r="M15" s="23">
        <v>0</v>
      </c>
      <c r="N15" s="23">
        <v>1</v>
      </c>
      <c r="O15" s="23">
        <v>0</v>
      </c>
      <c r="P15" s="23">
        <v>0</v>
      </c>
      <c r="Q15" s="23">
        <v>0</v>
      </c>
      <c r="R15" s="23">
        <v>0</v>
      </c>
      <c r="S15" s="23">
        <v>0</v>
      </c>
    </row>
    <row r="16" spans="1:19" x14ac:dyDescent="0.25">
      <c r="A16" s="39"/>
      <c r="B16" s="40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</row>
    <row r="17" spans="1:19" x14ac:dyDescent="0.25">
      <c r="A17" s="39"/>
      <c r="B17" s="40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</row>
    <row r="18" spans="1:19" x14ac:dyDescent="0.25">
      <c r="A18" s="39"/>
      <c r="B18" s="40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</row>
    <row r="19" spans="1:19" x14ac:dyDescent="0.25">
      <c r="A19" s="39"/>
      <c r="B19" s="40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</row>
    <row r="20" spans="1:19" x14ac:dyDescent="0.25">
      <c r="A20" s="39"/>
      <c r="B20" s="40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</row>
    <row r="21" spans="1:19" x14ac:dyDescent="0.25">
      <c r="A21" s="39"/>
      <c r="B21" s="40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</row>
    <row r="22" spans="1:19" x14ac:dyDescent="0.25">
      <c r="A22" s="39"/>
      <c r="B22" s="40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</row>
    <row r="23" spans="1:19" x14ac:dyDescent="0.25">
      <c r="A23" s="39"/>
      <c r="B23" s="40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</row>
    <row r="24" spans="1:19" x14ac:dyDescent="0.25">
      <c r="A24" s="39"/>
      <c r="B24" s="40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</row>
    <row r="25" spans="1:19" x14ac:dyDescent="0.25">
      <c r="A25" s="39"/>
      <c r="B25" s="40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</row>
    <row r="26" spans="1:19" x14ac:dyDescent="0.25">
      <c r="A26" s="39"/>
      <c r="B26" s="40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</row>
    <row r="27" spans="1:19" x14ac:dyDescent="0.25">
      <c r="A27" s="39"/>
      <c r="B27" s="40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</row>
    <row r="28" spans="1:19" x14ac:dyDescent="0.25">
      <c r="A28" s="39"/>
      <c r="B28" s="40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</row>
    <row r="29" spans="1:19" x14ac:dyDescent="0.25">
      <c r="A29" s="39"/>
      <c r="B29" s="40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</row>
    <row r="30" spans="1:19" x14ac:dyDescent="0.25">
      <c r="A30" s="39"/>
      <c r="B30" s="40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</row>
    <row r="31" spans="1:19" x14ac:dyDescent="0.25">
      <c r="A31" s="39"/>
      <c r="B31" s="40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</row>
    <row r="32" spans="1:19" x14ac:dyDescent="0.25">
      <c r="A32" s="39"/>
      <c r="B32" s="40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</row>
    <row r="33" spans="1:19" x14ac:dyDescent="0.25">
      <c r="A33" s="39"/>
      <c r="B33" s="40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</row>
    <row r="34" spans="1:19" x14ac:dyDescent="0.25">
      <c r="A34" s="39"/>
      <c r="B34" s="40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</row>
    <row r="35" spans="1:19" x14ac:dyDescent="0.25">
      <c r="A35" s="39"/>
      <c r="B35" s="40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</row>
    <row r="36" spans="1:19" x14ac:dyDescent="0.25">
      <c r="A36" s="39"/>
      <c r="B36" s="40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</row>
    <row r="37" spans="1:19" x14ac:dyDescent="0.25">
      <c r="A37" s="39"/>
      <c r="B37" s="40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</row>
    <row r="38" spans="1:19" x14ac:dyDescent="0.25">
      <c r="A38" s="39"/>
      <c r="B38" s="40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</row>
    <row r="39" spans="1:19" x14ac:dyDescent="0.25">
      <c r="A39" s="39"/>
      <c r="B39" s="40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</row>
    <row r="40" spans="1:19" x14ac:dyDescent="0.25">
      <c r="A40" s="39"/>
      <c r="B40" s="40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</row>
    <row r="41" spans="1:19" x14ac:dyDescent="0.25">
      <c r="A41" s="39"/>
      <c r="B41" s="40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</row>
    <row r="42" spans="1:19" x14ac:dyDescent="0.25">
      <c r="A42" s="39"/>
      <c r="B42" s="40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</row>
    <row r="43" spans="1:19" x14ac:dyDescent="0.25">
      <c r="A43" s="39"/>
      <c r="B43" s="40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</row>
    <row r="44" spans="1:19" x14ac:dyDescent="0.25">
      <c r="A44" s="39"/>
      <c r="B44" s="40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</row>
    <row r="45" spans="1:19" x14ac:dyDescent="0.25">
      <c r="A45" s="39"/>
      <c r="B45" s="40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</row>
    <row r="46" spans="1:19" x14ac:dyDescent="0.25">
      <c r="A46" s="39"/>
      <c r="B46" s="40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</row>
    <row r="47" spans="1:19" x14ac:dyDescent="0.25">
      <c r="A47" s="39"/>
      <c r="B47" s="40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</row>
    <row r="48" spans="1:19" x14ac:dyDescent="0.25">
      <c r="A48" s="39"/>
      <c r="B48" s="40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</row>
    <row r="49" spans="1:19" x14ac:dyDescent="0.25">
      <c r="A49" s="39"/>
      <c r="B49" s="40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</row>
    <row r="50" spans="1:19" x14ac:dyDescent="0.25">
      <c r="A50" s="39"/>
      <c r="B50" s="40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</row>
    <row r="51" spans="1:19" x14ac:dyDescent="0.25">
      <c r="A51" s="39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</row>
    <row r="52" spans="1:19" x14ac:dyDescent="0.25">
      <c r="A52" s="39"/>
      <c r="B52" s="40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</row>
    <row r="53" spans="1:19" x14ac:dyDescent="0.25">
      <c r="A53" s="39"/>
      <c r="B53" s="40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</row>
    <row r="54" spans="1:19" x14ac:dyDescent="0.25">
      <c r="A54" s="39"/>
      <c r="B54" s="40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</row>
    <row r="55" spans="1:19" x14ac:dyDescent="0.25">
      <c r="A55" s="39"/>
      <c r="B55" s="40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</row>
    <row r="56" spans="1:19" x14ac:dyDescent="0.25">
      <c r="A56" s="39"/>
      <c r="B56" s="40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</row>
    <row r="57" spans="1:19" x14ac:dyDescent="0.25">
      <c r="A57" s="39"/>
      <c r="B57" s="40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</row>
    <row r="58" spans="1:19" x14ac:dyDescent="0.25">
      <c r="A58" s="39"/>
      <c r="B58" s="40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</row>
    <row r="59" spans="1:19" x14ac:dyDescent="0.25">
      <c r="A59" s="39"/>
      <c r="B59" s="40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</row>
    <row r="60" spans="1:19" x14ac:dyDescent="0.25">
      <c r="A60" s="39"/>
      <c r="B60" s="40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</row>
    <row r="61" spans="1:19" x14ac:dyDescent="0.25">
      <c r="A61" s="39"/>
      <c r="B61" s="40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</row>
    <row r="62" spans="1:19" x14ac:dyDescent="0.25">
      <c r="A62" s="39"/>
      <c r="B62" s="40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</row>
    <row r="63" spans="1:19" x14ac:dyDescent="0.25">
      <c r="A63" s="39"/>
      <c r="B63" s="40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</row>
    <row r="64" spans="1:19" x14ac:dyDescent="0.25">
      <c r="A64" s="39"/>
      <c r="B64" s="40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</row>
    <row r="65" spans="1:19" x14ac:dyDescent="0.25">
      <c r="A65" s="39"/>
      <c r="B65" s="40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</row>
    <row r="66" spans="1:19" x14ac:dyDescent="0.25">
      <c r="A66" s="39"/>
      <c r="B66" s="40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</row>
    <row r="67" spans="1:19" x14ac:dyDescent="0.25">
      <c r="A67" s="39"/>
      <c r="B67" s="40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</row>
    <row r="68" spans="1:19" x14ac:dyDescent="0.25">
      <c r="A68" s="39"/>
      <c r="B68" s="40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</row>
    <row r="69" spans="1:19" x14ac:dyDescent="0.25">
      <c r="A69" s="39"/>
      <c r="B69" s="40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</row>
    <row r="70" spans="1:19" x14ac:dyDescent="0.25">
      <c r="A70" s="39"/>
      <c r="B70" s="40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</row>
    <row r="71" spans="1:19" x14ac:dyDescent="0.25">
      <c r="A71" s="39"/>
      <c r="B71" s="40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</row>
    <row r="72" spans="1:19" x14ac:dyDescent="0.25">
      <c r="A72" s="39"/>
      <c r="B72" s="40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</row>
    <row r="73" spans="1:19" x14ac:dyDescent="0.2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</row>
    <row r="74" spans="1:19" x14ac:dyDescent="0.2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</row>
    <row r="75" spans="1:19" x14ac:dyDescent="0.2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</row>
    <row r="76" spans="1:19" x14ac:dyDescent="0.25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</row>
    <row r="77" spans="1:19" x14ac:dyDescent="0.2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</row>
    <row r="78" spans="1:19" x14ac:dyDescent="0.2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</row>
    <row r="79" spans="1:19" x14ac:dyDescent="0.2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</row>
    <row r="80" spans="1:19" x14ac:dyDescent="0.2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</row>
    <row r="81" spans="1:19" x14ac:dyDescent="0.2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</row>
    <row r="82" spans="1:19" x14ac:dyDescent="0.2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</row>
    <row r="83" spans="1:19" x14ac:dyDescent="0.2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</row>
    <row r="84" spans="1:19" x14ac:dyDescent="0.2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</row>
    <row r="85" spans="1:19" x14ac:dyDescent="0.2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</row>
    <row r="86" spans="1:19" x14ac:dyDescent="0.2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</row>
    <row r="87" spans="1:19" x14ac:dyDescent="0.2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</row>
    <row r="88" spans="1:19" x14ac:dyDescent="0.2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</row>
    <row r="89" spans="1:19" x14ac:dyDescent="0.2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</row>
    <row r="90" spans="1:19" x14ac:dyDescent="0.2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</row>
    <row r="91" spans="1:19" x14ac:dyDescent="0.2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</row>
    <row r="92" spans="1:19" x14ac:dyDescent="0.2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</row>
    <row r="93" spans="1:19" x14ac:dyDescent="0.2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</row>
    <row r="94" spans="1:19" x14ac:dyDescent="0.2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</row>
    <row r="95" spans="1:19" x14ac:dyDescent="0.2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</row>
    <row r="96" spans="1:19" x14ac:dyDescent="0.2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</row>
    <row r="97" spans="1:19" x14ac:dyDescent="0.2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</row>
    <row r="98" spans="1:19" x14ac:dyDescent="0.2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</row>
    <row r="99" spans="1:19" x14ac:dyDescent="0.2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</row>
    <row r="100" spans="1:19" x14ac:dyDescent="0.2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</row>
    <row r="101" spans="1:19" x14ac:dyDescent="0.2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</row>
    <row r="102" spans="1:19" x14ac:dyDescent="0.2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</row>
    <row r="103" spans="1:19" x14ac:dyDescent="0.2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</row>
    <row r="104" spans="1:19" x14ac:dyDescent="0.2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</row>
    <row r="105" spans="1:19" x14ac:dyDescent="0.2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</row>
    <row r="106" spans="1:19" x14ac:dyDescent="0.2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</row>
    <row r="107" spans="1:19" x14ac:dyDescent="0.2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</row>
    <row r="108" spans="1:19" x14ac:dyDescent="0.2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</row>
    <row r="109" spans="1:19" x14ac:dyDescent="0.2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</row>
    <row r="110" spans="1:19" x14ac:dyDescent="0.2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</row>
    <row r="111" spans="1:19" x14ac:dyDescent="0.2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</row>
    <row r="112" spans="1:19" x14ac:dyDescent="0.2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</row>
    <row r="113" spans="1:19" x14ac:dyDescent="0.2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</row>
    <row r="114" spans="1:19" x14ac:dyDescent="0.2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</row>
    <row r="115" spans="1:19" x14ac:dyDescent="0.2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</row>
    <row r="116" spans="1:19" x14ac:dyDescent="0.2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</row>
    <row r="117" spans="1:19" x14ac:dyDescent="0.2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</row>
    <row r="118" spans="1:19" x14ac:dyDescent="0.2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</row>
    <row r="119" spans="1:19" x14ac:dyDescent="0.25">
      <c r="A119" s="39"/>
      <c r="B119" s="40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</row>
    <row r="120" spans="1:19" x14ac:dyDescent="0.25">
      <c r="A120" s="39"/>
      <c r="B120" s="40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</row>
    <row r="121" spans="1:19" x14ac:dyDescent="0.25">
      <c r="A121" s="39"/>
      <c r="B121" s="40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</row>
    <row r="122" spans="1:19" x14ac:dyDescent="0.25">
      <c r="A122" s="39"/>
      <c r="B122" s="40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</row>
    <row r="123" spans="1:19" x14ac:dyDescent="0.25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</row>
    <row r="124" spans="1:19" x14ac:dyDescent="0.2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</row>
    <row r="125" spans="1:19" x14ac:dyDescent="0.2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</row>
    <row r="126" spans="1:19" x14ac:dyDescent="0.2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</row>
    <row r="127" spans="1:19" x14ac:dyDescent="0.2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</row>
    <row r="128" spans="1:19" x14ac:dyDescent="0.2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</row>
    <row r="129" spans="1:19" x14ac:dyDescent="0.2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</row>
    <row r="130" spans="1:19" x14ac:dyDescent="0.2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</row>
    <row r="131" spans="1:19" x14ac:dyDescent="0.2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</row>
    <row r="132" spans="1:19" x14ac:dyDescent="0.2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</row>
    <row r="133" spans="1:19" x14ac:dyDescent="0.2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</row>
    <row r="134" spans="1:19" x14ac:dyDescent="0.2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</row>
    <row r="135" spans="1:19" x14ac:dyDescent="0.2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</row>
    <row r="136" spans="1:19" x14ac:dyDescent="0.2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</row>
    <row r="137" spans="1:19" x14ac:dyDescent="0.2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</row>
    <row r="138" spans="1:19" x14ac:dyDescent="0.2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</row>
    <row r="139" spans="1:19" x14ac:dyDescent="0.2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</row>
    <row r="140" spans="1:19" x14ac:dyDescent="0.2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</row>
    <row r="141" spans="1:19" x14ac:dyDescent="0.2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</row>
    <row r="142" spans="1:19" x14ac:dyDescent="0.2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</row>
    <row r="143" spans="1:19" x14ac:dyDescent="0.2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</row>
    <row r="144" spans="1:19" x14ac:dyDescent="0.2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</row>
    <row r="145" spans="1:19" x14ac:dyDescent="0.2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1:19" x14ac:dyDescent="0.2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1:19" x14ac:dyDescent="0.2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</row>
    <row r="148" spans="1:19" x14ac:dyDescent="0.2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</row>
    <row r="149" spans="1:19" x14ac:dyDescent="0.2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</row>
    <row r="150" spans="1:19" x14ac:dyDescent="0.2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</row>
    <row r="151" spans="1:19" x14ac:dyDescent="0.2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</row>
    <row r="152" spans="1:19" x14ac:dyDescent="0.2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</row>
    <row r="153" spans="1:19" x14ac:dyDescent="0.2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</row>
    <row r="154" spans="1:19" x14ac:dyDescent="0.2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</row>
    <row r="155" spans="1:19" x14ac:dyDescent="0.2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</row>
    <row r="156" spans="1:19" x14ac:dyDescent="0.2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</row>
    <row r="157" spans="1:19" x14ac:dyDescent="0.2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</row>
    <row r="158" spans="1:19" x14ac:dyDescent="0.2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</row>
    <row r="159" spans="1:19" x14ac:dyDescent="0.2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</row>
    <row r="160" spans="1:19" x14ac:dyDescent="0.2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</row>
    <row r="161" spans="1:19" x14ac:dyDescent="0.2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</row>
    <row r="162" spans="1:19" x14ac:dyDescent="0.2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</row>
    <row r="163" spans="1:19" x14ac:dyDescent="0.2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</row>
    <row r="164" spans="1:19" x14ac:dyDescent="0.2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</row>
    <row r="165" spans="1:19" x14ac:dyDescent="0.2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</row>
    <row r="166" spans="1:19" x14ac:dyDescent="0.2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</row>
    <row r="167" spans="1:19" x14ac:dyDescent="0.2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</row>
    <row r="168" spans="1:19" x14ac:dyDescent="0.2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</row>
    <row r="169" spans="1:19" x14ac:dyDescent="0.2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</row>
    <row r="170" spans="1:19" x14ac:dyDescent="0.2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</row>
    <row r="171" spans="1:19" x14ac:dyDescent="0.2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</row>
    <row r="172" spans="1:19" x14ac:dyDescent="0.2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</row>
    <row r="173" spans="1:19" x14ac:dyDescent="0.2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</row>
    <row r="174" spans="1:19" x14ac:dyDescent="0.2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</row>
    <row r="175" spans="1:19" x14ac:dyDescent="0.2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</row>
    <row r="176" spans="1:19" x14ac:dyDescent="0.2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</row>
    <row r="177" spans="1:19" x14ac:dyDescent="0.2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</row>
    <row r="178" spans="1:19" x14ac:dyDescent="0.2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</row>
    <row r="179" spans="1:19" x14ac:dyDescent="0.2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</row>
    <row r="180" spans="1:19" x14ac:dyDescent="0.2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</row>
    <row r="181" spans="1:19" x14ac:dyDescent="0.2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</row>
    <row r="182" spans="1:19" x14ac:dyDescent="0.2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</row>
    <row r="183" spans="1:19" x14ac:dyDescent="0.2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</row>
    <row r="184" spans="1:19" x14ac:dyDescent="0.2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</row>
    <row r="185" spans="1:19" x14ac:dyDescent="0.2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</row>
    <row r="186" spans="1:19" x14ac:dyDescent="0.25">
      <c r="A186" s="39"/>
      <c r="B186" s="40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</row>
    <row r="187" spans="1:19" x14ac:dyDescent="0.25">
      <c r="A187" s="39"/>
      <c r="B187" s="40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</row>
    <row r="188" spans="1:19" x14ac:dyDescent="0.25">
      <c r="A188" s="39"/>
      <c r="B188" s="40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</row>
    <row r="189" spans="1:19" x14ac:dyDescent="0.25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</row>
    <row r="190" spans="1:19" x14ac:dyDescent="0.2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</row>
    <row r="191" spans="1:19" x14ac:dyDescent="0.2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</row>
    <row r="192" spans="1:19" x14ac:dyDescent="0.2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</row>
    <row r="193" spans="1:19" x14ac:dyDescent="0.2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</row>
    <row r="194" spans="1:19" x14ac:dyDescent="0.2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</row>
    <row r="195" spans="1:19" x14ac:dyDescent="0.2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</row>
    <row r="196" spans="1:19" x14ac:dyDescent="0.2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</row>
    <row r="197" spans="1:19" x14ac:dyDescent="0.2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</row>
    <row r="198" spans="1:19" x14ac:dyDescent="0.2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</row>
    <row r="199" spans="1:19" x14ac:dyDescent="0.2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</row>
    <row r="200" spans="1:19" x14ac:dyDescent="0.2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</row>
    <row r="201" spans="1:19" x14ac:dyDescent="0.2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</row>
    <row r="202" spans="1:19" x14ac:dyDescent="0.2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</row>
    <row r="203" spans="1:19" x14ac:dyDescent="0.2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</row>
    <row r="204" spans="1:19" x14ac:dyDescent="0.2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</row>
    <row r="205" spans="1:19" x14ac:dyDescent="0.2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</row>
    <row r="206" spans="1:19" x14ac:dyDescent="0.2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</row>
    <row r="207" spans="1:19" x14ac:dyDescent="0.2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</row>
    <row r="208" spans="1:19" x14ac:dyDescent="0.2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</row>
    <row r="209" spans="1:19" x14ac:dyDescent="0.2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</row>
    <row r="210" spans="1:19" x14ac:dyDescent="0.2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</row>
    <row r="211" spans="1:19" x14ac:dyDescent="0.2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</row>
    <row r="212" spans="1:19" x14ac:dyDescent="0.2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</row>
    <row r="213" spans="1:19" x14ac:dyDescent="0.2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</row>
    <row r="214" spans="1:19" x14ac:dyDescent="0.2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</row>
    <row r="215" spans="1:19" x14ac:dyDescent="0.2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</row>
    <row r="216" spans="1:19" x14ac:dyDescent="0.2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</row>
    <row r="217" spans="1:19" x14ac:dyDescent="0.2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</row>
    <row r="218" spans="1:19" x14ac:dyDescent="0.2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</row>
    <row r="219" spans="1:19" x14ac:dyDescent="0.2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</row>
    <row r="220" spans="1:19" x14ac:dyDescent="0.2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</row>
    <row r="221" spans="1:19" x14ac:dyDescent="0.2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</row>
    <row r="222" spans="1:19" x14ac:dyDescent="0.2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</row>
    <row r="223" spans="1:19" x14ac:dyDescent="0.2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</row>
    <row r="224" spans="1:19" x14ac:dyDescent="0.2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</row>
    <row r="225" spans="1:19" x14ac:dyDescent="0.2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</row>
    <row r="226" spans="1:19" x14ac:dyDescent="0.2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</row>
    <row r="227" spans="1:19" x14ac:dyDescent="0.2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</row>
    <row r="228" spans="1:19" x14ac:dyDescent="0.2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</row>
    <row r="229" spans="1:19" x14ac:dyDescent="0.2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</row>
    <row r="230" spans="1:19" x14ac:dyDescent="0.2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</row>
    <row r="231" spans="1:19" x14ac:dyDescent="0.2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</row>
    <row r="232" spans="1:19" x14ac:dyDescent="0.2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</row>
    <row r="233" spans="1:19" x14ac:dyDescent="0.2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</row>
    <row r="234" spans="1:19" x14ac:dyDescent="0.2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</row>
    <row r="235" spans="1:19" x14ac:dyDescent="0.2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</row>
    <row r="236" spans="1:19" x14ac:dyDescent="0.2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</row>
    <row r="237" spans="1:19" x14ac:dyDescent="0.2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</row>
    <row r="238" spans="1:19" x14ac:dyDescent="0.2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</row>
    <row r="239" spans="1:19" x14ac:dyDescent="0.2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</row>
    <row r="240" spans="1:19" x14ac:dyDescent="0.2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</row>
    <row r="241" spans="1:19" x14ac:dyDescent="0.2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</row>
    <row r="242" spans="1:19" x14ac:dyDescent="0.2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</row>
    <row r="243" spans="1:19" x14ac:dyDescent="0.2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</row>
    <row r="244" spans="1:19" x14ac:dyDescent="0.2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</row>
    <row r="245" spans="1:19" x14ac:dyDescent="0.2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</row>
    <row r="246" spans="1:19" x14ac:dyDescent="0.2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</row>
    <row r="247" spans="1:19" x14ac:dyDescent="0.2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</row>
    <row r="248" spans="1:19" x14ac:dyDescent="0.2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</row>
    <row r="249" spans="1:19" x14ac:dyDescent="0.2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</row>
    <row r="250" spans="1:19" x14ac:dyDescent="0.2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</row>
    <row r="251" spans="1:19" x14ac:dyDescent="0.2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</row>
    <row r="252" spans="1:19" x14ac:dyDescent="0.2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</row>
    <row r="253" spans="1:19" x14ac:dyDescent="0.2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</row>
    <row r="254" spans="1:19" x14ac:dyDescent="0.2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</row>
    <row r="255" spans="1:19" x14ac:dyDescent="0.2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</row>
    <row r="256" spans="1:19" x14ac:dyDescent="0.2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</row>
    <row r="257" spans="1:19" x14ac:dyDescent="0.2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</row>
    <row r="258" spans="1:19" x14ac:dyDescent="0.2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</row>
    <row r="259" spans="1:19" x14ac:dyDescent="0.2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</row>
    <row r="260" spans="1:19" x14ac:dyDescent="0.2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</row>
    <row r="261" spans="1:19" x14ac:dyDescent="0.2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</row>
    <row r="262" spans="1:19" x14ac:dyDescent="0.2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</row>
    <row r="263" spans="1:19" x14ac:dyDescent="0.2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</row>
    <row r="264" spans="1:19" x14ac:dyDescent="0.2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</row>
    <row r="265" spans="1:19" x14ac:dyDescent="0.2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</row>
    <row r="266" spans="1:19" x14ac:dyDescent="0.2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</row>
    <row r="267" spans="1:19" x14ac:dyDescent="0.2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</row>
    <row r="268" spans="1:19" x14ac:dyDescent="0.2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</row>
    <row r="269" spans="1:19" x14ac:dyDescent="0.2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</row>
    <row r="270" spans="1:19" x14ac:dyDescent="0.2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</row>
    <row r="271" spans="1:19" x14ac:dyDescent="0.2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</row>
    <row r="272" spans="1:19" x14ac:dyDescent="0.25">
      <c r="A272" s="39"/>
      <c r="B272" s="40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</row>
    <row r="273" spans="1:19" x14ac:dyDescent="0.25">
      <c r="A273" s="39"/>
      <c r="B273" s="40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</row>
    <row r="274" spans="1:19" x14ac:dyDescent="0.25">
      <c r="A274" s="39"/>
      <c r="B274" s="40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</row>
    <row r="275" spans="1:19" x14ac:dyDescent="0.25">
      <c r="A275" s="39"/>
      <c r="B275" s="40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</row>
    <row r="276" spans="1:19" x14ac:dyDescent="0.25">
      <c r="A276" s="39"/>
      <c r="B276" s="40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</row>
    <row r="277" spans="1:19" x14ac:dyDescent="0.25">
      <c r="A277" s="39"/>
      <c r="B277" s="40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</row>
    <row r="278" spans="1:19" x14ac:dyDescent="0.25">
      <c r="A278" s="39"/>
      <c r="B278" s="40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</row>
    <row r="279" spans="1:19" x14ac:dyDescent="0.25">
      <c r="A279" s="39"/>
      <c r="B279" s="40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</row>
    <row r="280" spans="1:19" x14ac:dyDescent="0.25">
      <c r="A280" s="39"/>
      <c r="B280" s="40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</row>
    <row r="281" spans="1:19" x14ac:dyDescent="0.25">
      <c r="A281" s="39"/>
      <c r="B281" s="40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</row>
    <row r="282" spans="1:19" x14ac:dyDescent="0.25">
      <c r="A282" s="39"/>
      <c r="B282" s="40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</row>
    <row r="283" spans="1:19" x14ac:dyDescent="0.25">
      <c r="A283" s="39"/>
      <c r="B283" s="40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</row>
    <row r="284" spans="1:19" x14ac:dyDescent="0.25">
      <c r="A284" s="39"/>
      <c r="B284" s="40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</row>
    <row r="285" spans="1:19" x14ac:dyDescent="0.25">
      <c r="A285" s="39"/>
      <c r="B285" s="40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</row>
    <row r="286" spans="1:19" x14ac:dyDescent="0.25">
      <c r="A286" s="39"/>
      <c r="B286" s="40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</row>
    <row r="287" spans="1:19" x14ac:dyDescent="0.25">
      <c r="A287" s="39"/>
      <c r="B287" s="40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</row>
    <row r="288" spans="1:19" x14ac:dyDescent="0.25">
      <c r="A288" s="39"/>
      <c r="B288" s="40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</row>
    <row r="289" spans="1:19" x14ac:dyDescent="0.25">
      <c r="A289" s="39"/>
      <c r="B289" s="40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</row>
    <row r="290" spans="1:19" x14ac:dyDescent="0.25">
      <c r="A290" s="39"/>
      <c r="B290" s="40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</row>
    <row r="291" spans="1:19" x14ac:dyDescent="0.25">
      <c r="A291" s="39"/>
      <c r="B291" s="40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</row>
    <row r="292" spans="1:19" x14ac:dyDescent="0.25">
      <c r="A292" s="39"/>
      <c r="B292" s="40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</row>
    <row r="293" spans="1:19" x14ac:dyDescent="0.25">
      <c r="A293" s="39"/>
      <c r="B293" s="40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</row>
    <row r="294" spans="1:19" x14ac:dyDescent="0.25">
      <c r="A294" s="39"/>
      <c r="B294" s="40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</row>
    <row r="295" spans="1:19" x14ac:dyDescent="0.25">
      <c r="A295" s="39"/>
      <c r="B295" s="40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</row>
    <row r="296" spans="1:19" x14ac:dyDescent="0.25">
      <c r="A296" s="39"/>
      <c r="B296" s="40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</row>
    <row r="297" spans="1:19" x14ac:dyDescent="0.25">
      <c r="A297" s="39"/>
      <c r="B297" s="40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</row>
    <row r="298" spans="1:19" x14ac:dyDescent="0.25">
      <c r="A298" s="39"/>
      <c r="B298" s="40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</row>
    <row r="299" spans="1:19" x14ac:dyDescent="0.25">
      <c r="A299" s="39"/>
      <c r="B299" s="40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</row>
    <row r="300" spans="1:19" x14ac:dyDescent="0.25">
      <c r="A300" s="39"/>
      <c r="B300" s="40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</row>
  </sheetData>
  <autoFilter ref="A7:S7" xr:uid="{00000000-0009-0000-0000-000000000000}">
    <sortState xmlns:xlrd2="http://schemas.microsoft.com/office/spreadsheetml/2017/richdata2" ref="A8:S16">
      <sortCondition ref="A7"/>
    </sortState>
  </autoFilter>
  <mergeCells count="1">
    <mergeCell ref="A1:B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B749C-3509-4338-9254-5B4EAE832A9F}">
  <sheetPr codeName="Sheet6">
    <tabColor theme="9" tint="0.79998168889431442"/>
  </sheetPr>
  <dimension ref="B2:U62"/>
  <sheetViews>
    <sheetView zoomScale="70" zoomScaleNormal="70" workbookViewId="0">
      <selection activeCell="X34" sqref="X34"/>
    </sheetView>
  </sheetViews>
  <sheetFormatPr defaultRowHeight="14.5" x14ac:dyDescent="0.35"/>
  <sheetData>
    <row r="2" spans="2:21" x14ac:dyDescent="0.35">
      <c r="B2" s="20"/>
      <c r="C2" s="20"/>
    </row>
    <row r="3" spans="2:21" x14ac:dyDescent="0.35">
      <c r="B3" s="20"/>
      <c r="C3" s="20"/>
      <c r="U3" s="36" t="s">
        <v>55</v>
      </c>
    </row>
    <row r="4" spans="2:21" x14ac:dyDescent="0.35">
      <c r="B4" s="20"/>
      <c r="C4" s="20"/>
    </row>
    <row r="5" spans="2:21" x14ac:dyDescent="0.35">
      <c r="B5" s="20"/>
      <c r="C5" s="20"/>
    </row>
    <row r="6" spans="2:21" x14ac:dyDescent="0.35">
      <c r="B6" s="20"/>
      <c r="C6" s="20"/>
    </row>
    <row r="7" spans="2:21" x14ac:dyDescent="0.35">
      <c r="B7" s="20"/>
      <c r="C7" s="20"/>
    </row>
    <row r="8" spans="2:21" x14ac:dyDescent="0.35">
      <c r="B8" s="20"/>
      <c r="C8" s="20"/>
    </row>
    <row r="9" spans="2:21" x14ac:dyDescent="0.35">
      <c r="B9" s="20"/>
      <c r="C9" s="20"/>
    </row>
    <row r="10" spans="2:21" x14ac:dyDescent="0.35">
      <c r="B10" s="20"/>
      <c r="C10" s="20"/>
    </row>
    <row r="11" spans="2:21" x14ac:dyDescent="0.35">
      <c r="B11" s="20"/>
      <c r="C11" s="20"/>
    </row>
    <row r="12" spans="2:21" x14ac:dyDescent="0.35">
      <c r="B12" s="20"/>
      <c r="C12" s="20"/>
    </row>
    <row r="13" spans="2:21" x14ac:dyDescent="0.35">
      <c r="B13" s="20"/>
      <c r="C13" s="20"/>
    </row>
    <row r="14" spans="2:21" x14ac:dyDescent="0.35">
      <c r="B14" s="20"/>
      <c r="C14" s="20"/>
    </row>
    <row r="15" spans="2:21" x14ac:dyDescent="0.35">
      <c r="B15" s="20"/>
      <c r="C15" s="20"/>
    </row>
    <row r="16" spans="2:21" x14ac:dyDescent="0.35">
      <c r="B16" s="20"/>
      <c r="C16" s="20"/>
    </row>
    <row r="17" spans="2:3" x14ac:dyDescent="0.35">
      <c r="B17" s="20"/>
      <c r="C17" s="20"/>
    </row>
    <row r="18" spans="2:3" x14ac:dyDescent="0.35">
      <c r="B18" s="20"/>
      <c r="C18" s="20"/>
    </row>
    <row r="19" spans="2:3" x14ac:dyDescent="0.35">
      <c r="B19" s="20"/>
      <c r="C19" s="20"/>
    </row>
    <row r="20" spans="2:3" x14ac:dyDescent="0.35">
      <c r="B20" s="20"/>
      <c r="C20" s="20"/>
    </row>
    <row r="21" spans="2:3" x14ac:dyDescent="0.35">
      <c r="B21" s="20"/>
      <c r="C21" s="20"/>
    </row>
    <row r="22" spans="2:3" x14ac:dyDescent="0.35">
      <c r="B22" s="20"/>
      <c r="C22" s="20"/>
    </row>
    <row r="23" spans="2:3" x14ac:dyDescent="0.35">
      <c r="B23" s="20"/>
      <c r="C23" s="20"/>
    </row>
    <row r="24" spans="2:3" x14ac:dyDescent="0.35">
      <c r="B24" s="20"/>
      <c r="C24" s="20"/>
    </row>
    <row r="25" spans="2:3" x14ac:dyDescent="0.35">
      <c r="B25" s="20"/>
      <c r="C25" s="20"/>
    </row>
    <row r="26" spans="2:3" x14ac:dyDescent="0.35">
      <c r="B26" s="20"/>
      <c r="C26" s="20"/>
    </row>
    <row r="27" spans="2:3" x14ac:dyDescent="0.35">
      <c r="B27" s="20"/>
      <c r="C27" s="20"/>
    </row>
    <row r="28" spans="2:3" x14ac:dyDescent="0.35">
      <c r="B28" s="20"/>
      <c r="C28" s="20"/>
    </row>
    <row r="29" spans="2:3" x14ac:dyDescent="0.35">
      <c r="B29" s="20"/>
      <c r="C29" s="20"/>
    </row>
    <row r="30" spans="2:3" x14ac:dyDescent="0.35">
      <c r="B30" s="20"/>
      <c r="C30" s="20"/>
    </row>
    <row r="31" spans="2:3" x14ac:dyDescent="0.35">
      <c r="B31" s="20"/>
      <c r="C31" s="20"/>
    </row>
    <row r="32" spans="2:3" x14ac:dyDescent="0.35">
      <c r="B32" s="20"/>
      <c r="C32" s="20"/>
    </row>
    <row r="33" spans="2:3" x14ac:dyDescent="0.35">
      <c r="B33" s="20"/>
      <c r="C33" s="20"/>
    </row>
    <row r="34" spans="2:3" x14ac:dyDescent="0.35">
      <c r="B34" s="20"/>
      <c r="C34" s="20"/>
    </row>
    <row r="35" spans="2:3" x14ac:dyDescent="0.35">
      <c r="B35" s="20"/>
      <c r="C35" s="20"/>
    </row>
    <row r="36" spans="2:3" x14ac:dyDescent="0.35">
      <c r="B36" s="20"/>
      <c r="C36" s="20"/>
    </row>
    <row r="37" spans="2:3" x14ac:dyDescent="0.35">
      <c r="B37" s="20"/>
      <c r="C37" s="20"/>
    </row>
    <row r="38" spans="2:3" x14ac:dyDescent="0.35">
      <c r="B38" s="20"/>
      <c r="C38" s="20"/>
    </row>
    <row r="39" spans="2:3" x14ac:dyDescent="0.35">
      <c r="B39" s="20"/>
      <c r="C39" s="20"/>
    </row>
    <row r="40" spans="2:3" x14ac:dyDescent="0.35">
      <c r="B40" s="20"/>
      <c r="C40" s="20"/>
    </row>
    <row r="41" spans="2:3" x14ac:dyDescent="0.35">
      <c r="B41" s="20"/>
      <c r="C41" s="20"/>
    </row>
    <row r="42" spans="2:3" x14ac:dyDescent="0.35">
      <c r="B42" s="20"/>
      <c r="C42" s="20"/>
    </row>
    <row r="43" spans="2:3" x14ac:dyDescent="0.35">
      <c r="B43" s="20"/>
      <c r="C43" s="20"/>
    </row>
    <row r="44" spans="2:3" x14ac:dyDescent="0.35">
      <c r="B44" s="20"/>
      <c r="C44" s="20"/>
    </row>
    <row r="45" spans="2:3" x14ac:dyDescent="0.35">
      <c r="B45" s="20"/>
      <c r="C45" s="20"/>
    </row>
    <row r="46" spans="2:3" x14ac:dyDescent="0.35">
      <c r="B46" s="20"/>
      <c r="C46" s="20"/>
    </row>
    <row r="47" spans="2:3" x14ac:dyDescent="0.35">
      <c r="B47" s="20"/>
      <c r="C47" s="20"/>
    </row>
    <row r="48" spans="2:3" x14ac:dyDescent="0.35">
      <c r="B48" s="20"/>
      <c r="C48" s="20"/>
    </row>
    <row r="49" spans="2:3" x14ac:dyDescent="0.35">
      <c r="B49" s="20"/>
      <c r="C49" s="20"/>
    </row>
    <row r="50" spans="2:3" x14ac:dyDescent="0.35">
      <c r="B50" s="20"/>
      <c r="C50" s="20"/>
    </row>
    <row r="51" spans="2:3" x14ac:dyDescent="0.35">
      <c r="B51" s="20"/>
      <c r="C51" s="20"/>
    </row>
    <row r="52" spans="2:3" x14ac:dyDescent="0.35">
      <c r="B52" s="20"/>
      <c r="C52" s="20"/>
    </row>
    <row r="53" spans="2:3" x14ac:dyDescent="0.35">
      <c r="B53" s="20"/>
      <c r="C53" s="20"/>
    </row>
    <row r="54" spans="2:3" x14ac:dyDescent="0.35">
      <c r="B54" s="20"/>
      <c r="C54" s="20"/>
    </row>
    <row r="55" spans="2:3" x14ac:dyDescent="0.35">
      <c r="B55" s="20"/>
      <c r="C55" s="20"/>
    </row>
    <row r="56" spans="2:3" x14ac:dyDescent="0.35">
      <c r="B56" s="20"/>
      <c r="C56" s="20"/>
    </row>
    <row r="57" spans="2:3" x14ac:dyDescent="0.35">
      <c r="B57" s="20"/>
      <c r="C57" s="20"/>
    </row>
    <row r="58" spans="2:3" x14ac:dyDescent="0.35">
      <c r="B58" s="20"/>
      <c r="C58" s="20"/>
    </row>
    <row r="59" spans="2:3" x14ac:dyDescent="0.35">
      <c r="B59" s="20"/>
      <c r="C59" s="20"/>
    </row>
    <row r="60" spans="2:3" x14ac:dyDescent="0.35">
      <c r="B60" s="20"/>
      <c r="C60" s="20"/>
    </row>
    <row r="61" spans="2:3" x14ac:dyDescent="0.35">
      <c r="B61" s="20"/>
      <c r="C61" s="20"/>
    </row>
    <row r="62" spans="2:3" x14ac:dyDescent="0.35">
      <c r="B62" s="20"/>
      <c r="C62" s="20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CD8F85-8C6C-4EB9-A0FE-6EF9CF8FD4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Settings</vt:lpstr>
      <vt:lpstr>Mapping</vt:lpstr>
      <vt:lpstr>Products</vt:lpstr>
      <vt:lpstr>carrier</vt:lpstr>
      <vt:lpstr>Product Mapping Report</vt:lpstr>
      <vt:lpstr>Queries</vt:lpstr>
      <vt:lpstr>database</vt:lpstr>
      <vt:lpstr>dst</vt:lpstr>
      <vt:lpstr>idir</vt:lpstr>
      <vt:lpstr>ifile</vt:lpstr>
      <vt:lpstr>ipath</vt:lpstr>
      <vt:lpstr>MonthApplied</vt:lpstr>
      <vt:lpstr>path</vt:lpstr>
      <vt:lpstr>server</vt:lpstr>
      <vt:lpstr>YearApplied</vt:lpstr>
    </vt:vector>
  </TitlesOfParts>
  <Company>M Financial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Avery</dc:creator>
  <cp:lastModifiedBy>Yu-Sheng Lee</cp:lastModifiedBy>
  <dcterms:created xsi:type="dcterms:W3CDTF">2014-08-13T16:34:50Z</dcterms:created>
  <dcterms:modified xsi:type="dcterms:W3CDTF">2023-04-11T22:10:15Z</dcterms:modified>
</cp:coreProperties>
</file>