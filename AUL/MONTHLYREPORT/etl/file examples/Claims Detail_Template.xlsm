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lee\Desktop\Mike's Data\Bannister\"/>
    </mc:Choice>
  </mc:AlternateContent>
  <bookViews>
    <workbookView xWindow="120" yWindow="15" windowWidth="23835" windowHeight="9465"/>
  </bookViews>
  <sheets>
    <sheet name="Documentation" sheetId="22" r:id="rId1"/>
    <sheet name="pivot" sheetId="13" r:id="rId2"/>
    <sheet name="pivot (2)" sheetId="20" r:id="rId3"/>
    <sheet name="pivot (3)" sheetId="21" r:id="rId4"/>
    <sheet name="data" sheetId="1" r:id="rId5"/>
    <sheet name="vlookup" sheetId="4" r:id="rId6"/>
  </sheets>
  <definedNames>
    <definedName name="_xlnm.Print_Area" localSheetId="1">pivot!$A$1:$S$49</definedName>
    <definedName name="_xlnm.Print_Area" localSheetId="2">'pivot (2)'!$A$1:$L$38</definedName>
    <definedName name="_xlnm.Print_Area" localSheetId="3">'pivot (3)'!$A$1:$T$47</definedName>
    <definedName name="_xlnm.Print_Titles" localSheetId="1">pivot!$14:$14</definedName>
    <definedName name="_xlnm.Print_Titles" localSheetId="2">'pivot (2)'!$1:$14</definedName>
    <definedName name="_xlnm.Print_Titles" localSheetId="3">'pivot (3)'!$1:$14</definedName>
    <definedName name="Query_from_AulliveTHOR" localSheetId="4" hidden="1">data!$E$1:$Z$1019</definedName>
  </definedNames>
  <calcPr calcId="162913"/>
  <pivotCaches>
    <pivotCache cacheId="0" r:id="rId7"/>
  </pivotCaches>
</workbook>
</file>

<file path=xl/calcChain.xml><?xml version="1.0" encoding="utf-8"?>
<calcChain xmlns="http://schemas.openxmlformats.org/spreadsheetml/2006/main">
  <c r="AG3" i="1" l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H3" i="1"/>
  <c r="AI3" i="1"/>
  <c r="AJ3" i="1"/>
  <c r="AH4" i="1"/>
  <c r="AI4" i="1"/>
  <c r="AJ4" i="1"/>
  <c r="AH5" i="1"/>
  <c r="AI5" i="1"/>
  <c r="AJ5" i="1"/>
  <c r="AH6" i="1"/>
  <c r="AI6" i="1"/>
  <c r="AJ6" i="1"/>
  <c r="AH7" i="1"/>
  <c r="AI7" i="1"/>
  <c r="AJ7" i="1"/>
  <c r="AH8" i="1"/>
  <c r="AI8" i="1"/>
  <c r="AJ8" i="1"/>
  <c r="AH9" i="1"/>
  <c r="AI9" i="1"/>
  <c r="AJ9" i="1"/>
  <c r="AH10" i="1"/>
  <c r="AI10" i="1"/>
  <c r="AJ10" i="1"/>
  <c r="AH11" i="1"/>
  <c r="AI11" i="1"/>
  <c r="AJ11" i="1"/>
  <c r="AH12" i="1"/>
  <c r="AI12" i="1"/>
  <c r="AJ12" i="1"/>
  <c r="AH13" i="1"/>
  <c r="AI13" i="1"/>
  <c r="AJ13" i="1"/>
  <c r="AH14" i="1"/>
  <c r="AI14" i="1"/>
  <c r="AJ14" i="1"/>
  <c r="AH15" i="1"/>
  <c r="AI15" i="1"/>
  <c r="AJ15" i="1"/>
  <c r="AH16" i="1"/>
  <c r="AI16" i="1"/>
  <c r="AJ16" i="1"/>
  <c r="AH17" i="1"/>
  <c r="AI17" i="1"/>
  <c r="AJ17" i="1"/>
  <c r="AH18" i="1"/>
  <c r="AI18" i="1"/>
  <c r="AJ18" i="1"/>
  <c r="AH19" i="1"/>
  <c r="AI19" i="1"/>
  <c r="AJ19" i="1"/>
  <c r="AH20" i="1"/>
  <c r="AI20" i="1"/>
  <c r="AJ20" i="1"/>
  <c r="AH21" i="1"/>
  <c r="AI21" i="1"/>
  <c r="AJ21" i="1"/>
  <c r="AH22" i="1"/>
  <c r="AI22" i="1"/>
  <c r="AJ22" i="1"/>
  <c r="AH23" i="1"/>
  <c r="AI23" i="1"/>
  <c r="AJ23" i="1"/>
  <c r="AH24" i="1"/>
  <c r="AI24" i="1"/>
  <c r="AJ24" i="1"/>
  <c r="AH25" i="1"/>
  <c r="AI25" i="1"/>
  <c r="AJ25" i="1"/>
  <c r="AH26" i="1"/>
  <c r="AI26" i="1"/>
  <c r="AJ26" i="1"/>
  <c r="AH27" i="1"/>
  <c r="AI27" i="1"/>
  <c r="AJ27" i="1"/>
  <c r="AH28" i="1"/>
  <c r="AI28" i="1"/>
  <c r="AJ28" i="1"/>
  <c r="AH29" i="1"/>
  <c r="AI29" i="1"/>
  <c r="AJ29" i="1"/>
  <c r="AH30" i="1"/>
  <c r="AI30" i="1"/>
  <c r="AJ30" i="1"/>
  <c r="AH31" i="1"/>
  <c r="AI31" i="1"/>
  <c r="AJ31" i="1"/>
  <c r="AH32" i="1"/>
  <c r="AI32" i="1"/>
  <c r="AJ32" i="1"/>
  <c r="AH33" i="1"/>
  <c r="AI33" i="1"/>
  <c r="AJ33" i="1"/>
  <c r="AH34" i="1"/>
  <c r="AI34" i="1"/>
  <c r="AJ34" i="1"/>
  <c r="AH35" i="1"/>
  <c r="AI35" i="1"/>
  <c r="AJ35" i="1"/>
  <c r="AH36" i="1"/>
  <c r="AI36" i="1"/>
  <c r="AJ36" i="1"/>
  <c r="AH37" i="1"/>
  <c r="AI37" i="1"/>
  <c r="AJ37" i="1"/>
  <c r="AH38" i="1"/>
  <c r="AI38" i="1"/>
  <c r="AJ38" i="1"/>
  <c r="AH39" i="1"/>
  <c r="AI39" i="1"/>
  <c r="AJ39" i="1"/>
  <c r="AH40" i="1"/>
  <c r="AI40" i="1"/>
  <c r="AJ40" i="1"/>
  <c r="AH41" i="1"/>
  <c r="AI41" i="1"/>
  <c r="AJ41" i="1"/>
  <c r="AH42" i="1"/>
  <c r="AI42" i="1"/>
  <c r="AJ42" i="1"/>
  <c r="AH43" i="1"/>
  <c r="AI43" i="1"/>
  <c r="AJ43" i="1"/>
  <c r="AH44" i="1"/>
  <c r="AI44" i="1"/>
  <c r="AJ44" i="1"/>
  <c r="AH45" i="1"/>
  <c r="AI45" i="1"/>
  <c r="AJ45" i="1"/>
  <c r="AH46" i="1"/>
  <c r="AI46" i="1"/>
  <c r="AJ46" i="1"/>
  <c r="AH47" i="1"/>
  <c r="AI47" i="1"/>
  <c r="AJ47" i="1"/>
  <c r="AH48" i="1"/>
  <c r="AI48" i="1"/>
  <c r="AJ48" i="1"/>
  <c r="AH49" i="1"/>
  <c r="AI49" i="1"/>
  <c r="AJ49" i="1"/>
  <c r="AH50" i="1"/>
  <c r="AI50" i="1"/>
  <c r="AJ50" i="1"/>
  <c r="AH51" i="1"/>
  <c r="AI51" i="1"/>
  <c r="AJ51" i="1"/>
  <c r="AH52" i="1"/>
  <c r="AI52" i="1"/>
  <c r="AJ52" i="1"/>
  <c r="AH53" i="1"/>
  <c r="AI53" i="1"/>
  <c r="AJ53" i="1"/>
  <c r="AH54" i="1"/>
  <c r="AI54" i="1"/>
  <c r="AJ54" i="1"/>
  <c r="AH55" i="1"/>
  <c r="AI55" i="1"/>
  <c r="AJ55" i="1"/>
  <c r="AH56" i="1"/>
  <c r="AI56" i="1"/>
  <c r="AJ56" i="1"/>
  <c r="AH57" i="1"/>
  <c r="AI57" i="1"/>
  <c r="AJ57" i="1"/>
  <c r="AH58" i="1"/>
  <c r="AI58" i="1"/>
  <c r="AJ58" i="1"/>
  <c r="AH59" i="1"/>
  <c r="AI59" i="1"/>
  <c r="AJ59" i="1"/>
  <c r="AH60" i="1"/>
  <c r="AI60" i="1"/>
  <c r="AJ60" i="1"/>
  <c r="AH61" i="1"/>
  <c r="AI61" i="1"/>
  <c r="AJ61" i="1"/>
  <c r="AH62" i="1"/>
  <c r="AI62" i="1"/>
  <c r="AJ62" i="1"/>
  <c r="AH63" i="1"/>
  <c r="AI63" i="1"/>
  <c r="AJ63" i="1"/>
  <c r="AH64" i="1"/>
  <c r="AI64" i="1"/>
  <c r="AJ64" i="1"/>
  <c r="AH65" i="1"/>
  <c r="AI65" i="1"/>
  <c r="AJ65" i="1"/>
  <c r="AH66" i="1"/>
  <c r="AI66" i="1"/>
  <c r="AJ66" i="1"/>
  <c r="AH67" i="1"/>
  <c r="AI67" i="1"/>
  <c r="AJ67" i="1"/>
  <c r="AH68" i="1"/>
  <c r="AI68" i="1"/>
  <c r="AJ68" i="1"/>
  <c r="AH69" i="1"/>
  <c r="AI69" i="1"/>
  <c r="AJ69" i="1"/>
  <c r="AH70" i="1"/>
  <c r="AI70" i="1"/>
  <c r="AJ70" i="1"/>
  <c r="AH71" i="1"/>
  <c r="AI71" i="1"/>
  <c r="AJ71" i="1"/>
  <c r="AH72" i="1"/>
  <c r="AI72" i="1"/>
  <c r="AJ72" i="1"/>
  <c r="AH73" i="1"/>
  <c r="AI73" i="1"/>
  <c r="AJ73" i="1"/>
  <c r="AH74" i="1"/>
  <c r="AI74" i="1"/>
  <c r="AJ74" i="1"/>
  <c r="AH75" i="1"/>
  <c r="AI75" i="1"/>
  <c r="AJ75" i="1"/>
  <c r="AH76" i="1"/>
  <c r="AI76" i="1"/>
  <c r="AJ76" i="1"/>
  <c r="AH77" i="1"/>
  <c r="AI77" i="1"/>
  <c r="AJ77" i="1"/>
  <c r="AH78" i="1"/>
  <c r="AI78" i="1"/>
  <c r="AJ78" i="1"/>
  <c r="AH79" i="1"/>
  <c r="AI79" i="1"/>
  <c r="AJ79" i="1"/>
  <c r="AH80" i="1"/>
  <c r="AI80" i="1"/>
  <c r="AJ80" i="1"/>
  <c r="AH81" i="1"/>
  <c r="AI81" i="1"/>
  <c r="AJ81" i="1"/>
  <c r="AH82" i="1"/>
  <c r="AI82" i="1"/>
  <c r="AJ82" i="1"/>
  <c r="AH83" i="1"/>
  <c r="AI83" i="1"/>
  <c r="AJ83" i="1"/>
  <c r="AH84" i="1"/>
  <c r="AI84" i="1"/>
  <c r="AJ84" i="1"/>
  <c r="AH85" i="1"/>
  <c r="AI85" i="1"/>
  <c r="AJ85" i="1"/>
  <c r="AH86" i="1"/>
  <c r="AI86" i="1"/>
  <c r="AJ86" i="1"/>
  <c r="AH87" i="1"/>
  <c r="AI87" i="1"/>
  <c r="AJ87" i="1"/>
  <c r="AH88" i="1"/>
  <c r="AI88" i="1"/>
  <c r="AJ88" i="1"/>
  <c r="AH89" i="1"/>
  <c r="AI89" i="1"/>
  <c r="AJ89" i="1"/>
  <c r="AH90" i="1"/>
  <c r="AI90" i="1"/>
  <c r="AJ90" i="1"/>
  <c r="AH91" i="1"/>
  <c r="AI91" i="1"/>
  <c r="AJ91" i="1"/>
  <c r="AH92" i="1"/>
  <c r="AI92" i="1"/>
  <c r="AJ92" i="1"/>
  <c r="AH93" i="1"/>
  <c r="AI93" i="1"/>
  <c r="AJ93" i="1"/>
  <c r="AH94" i="1"/>
  <c r="AI94" i="1"/>
  <c r="AJ94" i="1"/>
  <c r="AH95" i="1"/>
  <c r="AI95" i="1"/>
  <c r="AJ95" i="1"/>
  <c r="AH96" i="1"/>
  <c r="AI96" i="1"/>
  <c r="AJ96" i="1"/>
  <c r="AH97" i="1"/>
  <c r="AI97" i="1"/>
  <c r="AJ97" i="1"/>
  <c r="AH98" i="1"/>
  <c r="AI98" i="1"/>
  <c r="AJ98" i="1"/>
  <c r="AH99" i="1"/>
  <c r="AI99" i="1"/>
  <c r="AJ99" i="1"/>
  <c r="AH100" i="1"/>
  <c r="AI100" i="1"/>
  <c r="AJ100" i="1"/>
  <c r="AH101" i="1"/>
  <c r="AI101" i="1"/>
  <c r="AJ101" i="1"/>
  <c r="AH102" i="1"/>
  <c r="AI102" i="1"/>
  <c r="AJ102" i="1"/>
  <c r="AH103" i="1"/>
  <c r="AI103" i="1"/>
  <c r="AJ103" i="1"/>
  <c r="AH104" i="1"/>
  <c r="AI104" i="1"/>
  <c r="AJ104" i="1"/>
  <c r="AH105" i="1"/>
  <c r="AI105" i="1"/>
  <c r="AJ105" i="1"/>
  <c r="AH106" i="1"/>
  <c r="AI106" i="1"/>
  <c r="AJ106" i="1"/>
  <c r="AH107" i="1"/>
  <c r="AI107" i="1"/>
  <c r="AJ107" i="1"/>
  <c r="AH108" i="1"/>
  <c r="AI108" i="1"/>
  <c r="AJ108" i="1"/>
  <c r="AH109" i="1"/>
  <c r="AI109" i="1"/>
  <c r="AJ109" i="1"/>
  <c r="AH110" i="1"/>
  <c r="AI110" i="1"/>
  <c r="AJ110" i="1"/>
  <c r="AH111" i="1"/>
  <c r="AI111" i="1"/>
  <c r="AJ111" i="1"/>
  <c r="AH112" i="1"/>
  <c r="AI112" i="1"/>
  <c r="AJ112" i="1"/>
  <c r="AH113" i="1"/>
  <c r="AI113" i="1"/>
  <c r="AJ113" i="1"/>
  <c r="AH114" i="1"/>
  <c r="AI114" i="1"/>
  <c r="AJ114" i="1"/>
  <c r="AH115" i="1"/>
  <c r="AI115" i="1"/>
  <c r="AJ115" i="1"/>
  <c r="AH116" i="1"/>
  <c r="AI116" i="1"/>
  <c r="AJ116" i="1"/>
  <c r="AH117" i="1"/>
  <c r="AI117" i="1"/>
  <c r="AJ117" i="1"/>
  <c r="AH118" i="1"/>
  <c r="AI118" i="1"/>
  <c r="AJ118" i="1"/>
  <c r="AH119" i="1"/>
  <c r="AI119" i="1"/>
  <c r="AJ119" i="1"/>
  <c r="AH120" i="1"/>
  <c r="AI120" i="1"/>
  <c r="AJ120" i="1"/>
  <c r="AH121" i="1"/>
  <c r="AI121" i="1"/>
  <c r="AJ121" i="1"/>
  <c r="AH122" i="1"/>
  <c r="AI122" i="1"/>
  <c r="AJ122" i="1"/>
  <c r="AH123" i="1"/>
  <c r="AI123" i="1"/>
  <c r="AJ123" i="1"/>
  <c r="AH124" i="1"/>
  <c r="AI124" i="1"/>
  <c r="AJ124" i="1"/>
  <c r="AH125" i="1"/>
  <c r="AI125" i="1"/>
  <c r="AJ125" i="1"/>
  <c r="AH126" i="1"/>
  <c r="AI126" i="1"/>
  <c r="AJ126" i="1"/>
  <c r="AH127" i="1"/>
  <c r="AI127" i="1"/>
  <c r="AJ127" i="1"/>
  <c r="AH128" i="1"/>
  <c r="AI128" i="1"/>
  <c r="AJ128" i="1"/>
  <c r="AH129" i="1"/>
  <c r="AI129" i="1"/>
  <c r="AJ129" i="1"/>
  <c r="AH130" i="1"/>
  <c r="AI130" i="1"/>
  <c r="AJ130" i="1"/>
  <c r="AH131" i="1"/>
  <c r="AI131" i="1"/>
  <c r="AJ131" i="1"/>
  <c r="AH132" i="1"/>
  <c r="AI132" i="1"/>
  <c r="AJ132" i="1"/>
  <c r="AH133" i="1"/>
  <c r="AI133" i="1"/>
  <c r="AJ133" i="1"/>
  <c r="AH134" i="1"/>
  <c r="AI134" i="1"/>
  <c r="AJ134" i="1"/>
  <c r="AH135" i="1"/>
  <c r="AI135" i="1"/>
  <c r="AJ135" i="1"/>
  <c r="AH136" i="1"/>
  <c r="AI136" i="1"/>
  <c r="AJ136" i="1"/>
  <c r="AH137" i="1"/>
  <c r="AI137" i="1"/>
  <c r="AJ137" i="1"/>
  <c r="AH138" i="1"/>
  <c r="AI138" i="1"/>
  <c r="AJ138" i="1"/>
  <c r="AH139" i="1"/>
  <c r="AI139" i="1"/>
  <c r="AJ139" i="1"/>
  <c r="AH140" i="1"/>
  <c r="AI140" i="1"/>
  <c r="AJ140" i="1"/>
  <c r="AH141" i="1"/>
  <c r="AI141" i="1"/>
  <c r="AJ141" i="1"/>
  <c r="AH142" i="1"/>
  <c r="AI142" i="1"/>
  <c r="AJ142" i="1"/>
  <c r="AH143" i="1"/>
  <c r="AI143" i="1"/>
  <c r="AJ143" i="1"/>
  <c r="AH144" i="1"/>
  <c r="AI144" i="1"/>
  <c r="AJ144" i="1"/>
  <c r="AH145" i="1"/>
  <c r="AI145" i="1"/>
  <c r="AJ145" i="1"/>
  <c r="AH146" i="1"/>
  <c r="AI146" i="1"/>
  <c r="AJ146" i="1"/>
  <c r="AH147" i="1"/>
  <c r="AI147" i="1"/>
  <c r="AJ147" i="1"/>
  <c r="AH148" i="1"/>
  <c r="AI148" i="1"/>
  <c r="AJ148" i="1"/>
  <c r="AH149" i="1"/>
  <c r="AI149" i="1"/>
  <c r="AJ149" i="1"/>
  <c r="AH150" i="1"/>
  <c r="AI150" i="1"/>
  <c r="AJ150" i="1"/>
  <c r="AH151" i="1"/>
  <c r="AI151" i="1"/>
  <c r="AJ151" i="1"/>
  <c r="AH152" i="1"/>
  <c r="AI152" i="1"/>
  <c r="AJ152" i="1"/>
  <c r="AH153" i="1"/>
  <c r="AI153" i="1"/>
  <c r="AJ153" i="1"/>
  <c r="AH154" i="1"/>
  <c r="AI154" i="1"/>
  <c r="AJ154" i="1"/>
  <c r="AH155" i="1"/>
  <c r="AI155" i="1"/>
  <c r="AJ155" i="1"/>
  <c r="AH156" i="1"/>
  <c r="AI156" i="1"/>
  <c r="AJ156" i="1"/>
  <c r="AH157" i="1"/>
  <c r="AI157" i="1"/>
  <c r="AJ157" i="1"/>
  <c r="AH158" i="1"/>
  <c r="AI158" i="1"/>
  <c r="AJ158" i="1"/>
  <c r="AH159" i="1"/>
  <c r="AI159" i="1"/>
  <c r="AJ159" i="1"/>
  <c r="AH160" i="1"/>
  <c r="AI160" i="1"/>
  <c r="AJ160" i="1"/>
  <c r="AH161" i="1"/>
  <c r="AI161" i="1"/>
  <c r="AJ161" i="1"/>
  <c r="AH162" i="1"/>
  <c r="AI162" i="1"/>
  <c r="AJ162" i="1"/>
  <c r="AH163" i="1"/>
  <c r="AI163" i="1"/>
  <c r="AJ163" i="1"/>
  <c r="AH164" i="1"/>
  <c r="AI164" i="1"/>
  <c r="AJ164" i="1"/>
  <c r="AH165" i="1"/>
  <c r="AI165" i="1"/>
  <c r="AJ165" i="1"/>
  <c r="AH166" i="1"/>
  <c r="AI166" i="1"/>
  <c r="AJ166" i="1"/>
  <c r="AH167" i="1"/>
  <c r="AI167" i="1"/>
  <c r="AJ167" i="1"/>
  <c r="AH168" i="1"/>
  <c r="AI168" i="1"/>
  <c r="AJ168" i="1"/>
  <c r="AH169" i="1"/>
  <c r="AI169" i="1"/>
  <c r="AJ169" i="1"/>
  <c r="AH170" i="1"/>
  <c r="AI170" i="1"/>
  <c r="AJ170" i="1"/>
  <c r="AH171" i="1"/>
  <c r="AI171" i="1"/>
  <c r="AJ171" i="1"/>
  <c r="AH172" i="1"/>
  <c r="AI172" i="1"/>
  <c r="AJ172" i="1"/>
  <c r="AH173" i="1"/>
  <c r="AI173" i="1"/>
  <c r="AJ173" i="1"/>
  <c r="AH174" i="1"/>
  <c r="AI174" i="1"/>
  <c r="AJ174" i="1"/>
  <c r="AH175" i="1"/>
  <c r="AI175" i="1"/>
  <c r="AJ175" i="1"/>
  <c r="AH176" i="1"/>
  <c r="AI176" i="1"/>
  <c r="AJ176" i="1"/>
  <c r="AH177" i="1"/>
  <c r="AI177" i="1"/>
  <c r="AJ177" i="1"/>
  <c r="AH178" i="1"/>
  <c r="AI178" i="1"/>
  <c r="AJ178" i="1"/>
  <c r="AH179" i="1"/>
  <c r="AI179" i="1"/>
  <c r="AJ179" i="1"/>
  <c r="AH180" i="1"/>
  <c r="AI180" i="1"/>
  <c r="AJ180" i="1"/>
  <c r="AH181" i="1"/>
  <c r="AI181" i="1"/>
  <c r="AJ181" i="1"/>
  <c r="AH182" i="1"/>
  <c r="AI182" i="1"/>
  <c r="AJ182" i="1"/>
  <c r="AH183" i="1"/>
  <c r="AI183" i="1"/>
  <c r="AJ183" i="1"/>
  <c r="AH184" i="1"/>
  <c r="AI184" i="1"/>
  <c r="AJ184" i="1"/>
  <c r="AH185" i="1"/>
  <c r="AI185" i="1"/>
  <c r="AJ185" i="1"/>
  <c r="AH186" i="1"/>
  <c r="AI186" i="1"/>
  <c r="AJ186" i="1"/>
  <c r="AH187" i="1"/>
  <c r="AI187" i="1"/>
  <c r="AJ187" i="1"/>
  <c r="AH188" i="1"/>
  <c r="AI188" i="1"/>
  <c r="AJ188" i="1"/>
  <c r="AH189" i="1"/>
  <c r="AI189" i="1"/>
  <c r="AJ189" i="1"/>
  <c r="AH190" i="1"/>
  <c r="AI190" i="1"/>
  <c r="AJ190" i="1"/>
  <c r="AH191" i="1"/>
  <c r="AI191" i="1"/>
  <c r="AJ191" i="1"/>
  <c r="AH192" i="1"/>
  <c r="AI192" i="1"/>
  <c r="AJ192" i="1"/>
  <c r="AH193" i="1"/>
  <c r="AI193" i="1"/>
  <c r="AJ193" i="1"/>
  <c r="AH194" i="1"/>
  <c r="AI194" i="1"/>
  <c r="AJ194" i="1"/>
  <c r="AH195" i="1"/>
  <c r="AI195" i="1"/>
  <c r="AJ195" i="1"/>
  <c r="AH196" i="1"/>
  <c r="AI196" i="1"/>
  <c r="AJ196" i="1"/>
  <c r="AH197" i="1"/>
  <c r="AI197" i="1"/>
  <c r="AJ197" i="1"/>
  <c r="AH198" i="1"/>
  <c r="AI198" i="1"/>
  <c r="AJ198" i="1"/>
  <c r="AH199" i="1"/>
  <c r="AI199" i="1"/>
  <c r="AJ199" i="1"/>
  <c r="AH200" i="1"/>
  <c r="AI200" i="1"/>
  <c r="AJ200" i="1"/>
  <c r="AH201" i="1"/>
  <c r="AI201" i="1"/>
  <c r="AJ201" i="1"/>
  <c r="AH202" i="1"/>
  <c r="AI202" i="1"/>
  <c r="AJ202" i="1"/>
  <c r="AH203" i="1"/>
  <c r="AI203" i="1"/>
  <c r="AJ203" i="1"/>
  <c r="AH204" i="1"/>
  <c r="AI204" i="1"/>
  <c r="AJ204" i="1"/>
  <c r="AH205" i="1"/>
  <c r="AI205" i="1"/>
  <c r="AJ205" i="1"/>
  <c r="AH206" i="1"/>
  <c r="AI206" i="1"/>
  <c r="AJ206" i="1"/>
  <c r="AH207" i="1"/>
  <c r="AI207" i="1"/>
  <c r="AJ207" i="1"/>
  <c r="AH208" i="1"/>
  <c r="AI208" i="1"/>
  <c r="AJ208" i="1"/>
  <c r="AH209" i="1"/>
  <c r="AI209" i="1"/>
  <c r="AJ209" i="1"/>
  <c r="AH210" i="1"/>
  <c r="AI210" i="1"/>
  <c r="AJ210" i="1"/>
  <c r="AH211" i="1"/>
  <c r="AI211" i="1"/>
  <c r="AJ211" i="1"/>
  <c r="AH212" i="1"/>
  <c r="AI212" i="1"/>
  <c r="AJ212" i="1"/>
  <c r="AH213" i="1"/>
  <c r="AI213" i="1"/>
  <c r="AJ213" i="1"/>
  <c r="AH214" i="1"/>
  <c r="AI214" i="1"/>
  <c r="AJ214" i="1"/>
  <c r="AH215" i="1"/>
  <c r="AI215" i="1"/>
  <c r="AJ215" i="1"/>
  <c r="AH216" i="1"/>
  <c r="AI216" i="1"/>
  <c r="AJ216" i="1"/>
  <c r="AH217" i="1"/>
  <c r="AI217" i="1"/>
  <c r="AJ217" i="1"/>
  <c r="AH218" i="1"/>
  <c r="AI218" i="1"/>
  <c r="AJ218" i="1"/>
  <c r="AH219" i="1"/>
  <c r="AI219" i="1"/>
  <c r="AJ219" i="1"/>
  <c r="AH220" i="1"/>
  <c r="AI220" i="1"/>
  <c r="AJ220" i="1"/>
  <c r="AH221" i="1"/>
  <c r="AI221" i="1"/>
  <c r="AJ221" i="1"/>
  <c r="AH222" i="1"/>
  <c r="AI222" i="1"/>
  <c r="AJ222" i="1"/>
  <c r="AH223" i="1"/>
  <c r="AI223" i="1"/>
  <c r="AJ223" i="1"/>
  <c r="AH224" i="1"/>
  <c r="AI224" i="1"/>
  <c r="AJ224" i="1"/>
  <c r="AH225" i="1"/>
  <c r="AI225" i="1"/>
  <c r="AJ225" i="1"/>
  <c r="AH226" i="1"/>
  <c r="AI226" i="1"/>
  <c r="AJ226" i="1"/>
  <c r="AH227" i="1"/>
  <c r="AI227" i="1"/>
  <c r="AJ227" i="1"/>
  <c r="AH228" i="1"/>
  <c r="AI228" i="1"/>
  <c r="AJ228" i="1"/>
  <c r="AH229" i="1"/>
  <c r="AI229" i="1"/>
  <c r="AJ229" i="1"/>
  <c r="AH230" i="1"/>
  <c r="AI230" i="1"/>
  <c r="AJ230" i="1"/>
  <c r="AH231" i="1"/>
  <c r="AI231" i="1"/>
  <c r="AJ231" i="1"/>
  <c r="AH232" i="1"/>
  <c r="AI232" i="1"/>
  <c r="AJ232" i="1"/>
  <c r="AH233" i="1"/>
  <c r="AI233" i="1"/>
  <c r="AJ233" i="1"/>
  <c r="AH234" i="1"/>
  <c r="AI234" i="1"/>
  <c r="AJ234" i="1"/>
  <c r="AH235" i="1"/>
  <c r="AI235" i="1"/>
  <c r="AJ235" i="1"/>
  <c r="AH236" i="1"/>
  <c r="AI236" i="1"/>
  <c r="AJ236" i="1"/>
  <c r="AH237" i="1"/>
  <c r="AI237" i="1"/>
  <c r="AJ237" i="1"/>
  <c r="AH238" i="1"/>
  <c r="AI238" i="1"/>
  <c r="AJ238" i="1"/>
  <c r="AH239" i="1"/>
  <c r="AI239" i="1"/>
  <c r="AJ239" i="1"/>
  <c r="AH240" i="1"/>
  <c r="AI240" i="1"/>
  <c r="AJ240" i="1"/>
  <c r="AH241" i="1"/>
  <c r="AI241" i="1"/>
  <c r="AJ241" i="1"/>
  <c r="AH242" i="1"/>
  <c r="AI242" i="1"/>
  <c r="AJ242" i="1"/>
  <c r="AH243" i="1"/>
  <c r="AI243" i="1"/>
  <c r="AJ243" i="1"/>
  <c r="AH244" i="1"/>
  <c r="AI244" i="1"/>
  <c r="AJ244" i="1"/>
  <c r="AH245" i="1"/>
  <c r="AI245" i="1"/>
  <c r="AJ245" i="1"/>
  <c r="AH246" i="1"/>
  <c r="AI246" i="1"/>
  <c r="AJ246" i="1"/>
  <c r="AH247" i="1"/>
  <c r="AI247" i="1"/>
  <c r="AJ247" i="1"/>
  <c r="AH248" i="1"/>
  <c r="AI248" i="1"/>
  <c r="AJ248" i="1"/>
  <c r="AH249" i="1"/>
  <c r="AI249" i="1"/>
  <c r="AJ249" i="1"/>
  <c r="AH250" i="1"/>
  <c r="AI250" i="1"/>
  <c r="AJ250" i="1"/>
  <c r="AH251" i="1"/>
  <c r="AI251" i="1"/>
  <c r="AJ251" i="1"/>
  <c r="AH252" i="1"/>
  <c r="AI252" i="1"/>
  <c r="AJ252" i="1"/>
  <c r="AH253" i="1"/>
  <c r="AI253" i="1"/>
  <c r="AJ253" i="1"/>
  <c r="AH254" i="1"/>
  <c r="AI254" i="1"/>
  <c r="AJ254" i="1"/>
  <c r="AH255" i="1"/>
  <c r="AI255" i="1"/>
  <c r="AJ255" i="1"/>
  <c r="AH256" i="1"/>
  <c r="AI256" i="1"/>
  <c r="AJ256" i="1"/>
  <c r="AH257" i="1"/>
  <c r="AI257" i="1"/>
  <c r="AJ257" i="1"/>
  <c r="AH258" i="1"/>
  <c r="AI258" i="1"/>
  <c r="AJ258" i="1"/>
  <c r="AH259" i="1"/>
  <c r="AI259" i="1"/>
  <c r="AJ259" i="1"/>
  <c r="AH260" i="1"/>
  <c r="AI260" i="1"/>
  <c r="AJ260" i="1"/>
  <c r="AH261" i="1"/>
  <c r="AI261" i="1"/>
  <c r="AJ261" i="1"/>
  <c r="AH262" i="1"/>
  <c r="AI262" i="1"/>
  <c r="AJ262" i="1"/>
  <c r="AH263" i="1"/>
  <c r="AI263" i="1"/>
  <c r="AJ263" i="1"/>
  <c r="AH264" i="1"/>
  <c r="AI264" i="1"/>
  <c r="AJ264" i="1"/>
  <c r="AH265" i="1"/>
  <c r="AI265" i="1"/>
  <c r="AJ265" i="1"/>
  <c r="AH266" i="1"/>
  <c r="AI266" i="1"/>
  <c r="AJ266" i="1"/>
  <c r="AH267" i="1"/>
  <c r="AI267" i="1"/>
  <c r="AJ267" i="1"/>
  <c r="AH268" i="1"/>
  <c r="AI268" i="1"/>
  <c r="AJ268" i="1"/>
  <c r="AH269" i="1"/>
  <c r="AI269" i="1"/>
  <c r="AJ269" i="1"/>
  <c r="AH270" i="1"/>
  <c r="AI270" i="1"/>
  <c r="AJ270" i="1"/>
  <c r="AH271" i="1"/>
  <c r="AI271" i="1"/>
  <c r="AJ271" i="1"/>
  <c r="AH272" i="1"/>
  <c r="AI272" i="1"/>
  <c r="AJ272" i="1"/>
  <c r="AH273" i="1"/>
  <c r="AI273" i="1"/>
  <c r="AJ273" i="1"/>
  <c r="AH274" i="1"/>
  <c r="AI274" i="1"/>
  <c r="AJ274" i="1"/>
  <c r="AH275" i="1"/>
  <c r="AI275" i="1"/>
  <c r="AJ275" i="1"/>
  <c r="AH276" i="1"/>
  <c r="AI276" i="1"/>
  <c r="AJ276" i="1"/>
  <c r="AH277" i="1"/>
  <c r="AI277" i="1"/>
  <c r="AJ277" i="1"/>
  <c r="AH278" i="1"/>
  <c r="AI278" i="1"/>
  <c r="AJ278" i="1"/>
  <c r="AH279" i="1"/>
  <c r="AI279" i="1"/>
  <c r="AJ279" i="1"/>
  <c r="AH280" i="1"/>
  <c r="AI280" i="1"/>
  <c r="AJ280" i="1"/>
  <c r="AH281" i="1"/>
  <c r="AI281" i="1"/>
  <c r="AJ281" i="1"/>
  <c r="AH282" i="1"/>
  <c r="AI282" i="1"/>
  <c r="AJ282" i="1"/>
  <c r="AH283" i="1"/>
  <c r="AI283" i="1"/>
  <c r="AJ283" i="1"/>
  <c r="AH284" i="1"/>
  <c r="AI284" i="1"/>
  <c r="AJ284" i="1"/>
  <c r="AH285" i="1"/>
  <c r="AI285" i="1"/>
  <c r="AJ285" i="1"/>
  <c r="AH286" i="1"/>
  <c r="AI286" i="1"/>
  <c r="AJ286" i="1"/>
  <c r="AH287" i="1"/>
  <c r="AI287" i="1"/>
  <c r="AJ287" i="1"/>
  <c r="AH288" i="1"/>
  <c r="AI288" i="1"/>
  <c r="AJ288" i="1"/>
  <c r="AH289" i="1"/>
  <c r="AI289" i="1"/>
  <c r="AJ289" i="1"/>
  <c r="AH290" i="1"/>
  <c r="AI290" i="1"/>
  <c r="AJ290" i="1"/>
  <c r="AH291" i="1"/>
  <c r="AI291" i="1"/>
  <c r="AJ291" i="1"/>
  <c r="AH292" i="1"/>
  <c r="AI292" i="1"/>
  <c r="AJ292" i="1"/>
  <c r="AH293" i="1"/>
  <c r="AI293" i="1"/>
  <c r="AJ293" i="1"/>
  <c r="AH294" i="1"/>
  <c r="AI294" i="1"/>
  <c r="AJ294" i="1"/>
  <c r="AH295" i="1"/>
  <c r="AI295" i="1"/>
  <c r="AJ295" i="1"/>
  <c r="AH296" i="1"/>
  <c r="AI296" i="1"/>
  <c r="AJ296" i="1"/>
  <c r="AH297" i="1"/>
  <c r="AI297" i="1"/>
  <c r="AJ297" i="1"/>
  <c r="AH298" i="1"/>
  <c r="AI298" i="1"/>
  <c r="AJ298" i="1"/>
  <c r="AH299" i="1"/>
  <c r="AI299" i="1"/>
  <c r="AJ299" i="1"/>
  <c r="AH300" i="1"/>
  <c r="AI300" i="1"/>
  <c r="AJ300" i="1"/>
  <c r="AH301" i="1"/>
  <c r="AI301" i="1"/>
  <c r="AJ301" i="1"/>
  <c r="AH302" i="1"/>
  <c r="AI302" i="1"/>
  <c r="AJ302" i="1"/>
  <c r="AH303" i="1"/>
  <c r="AI303" i="1"/>
  <c r="AJ303" i="1"/>
  <c r="AH304" i="1"/>
  <c r="AI304" i="1"/>
  <c r="AJ304" i="1"/>
  <c r="AH305" i="1"/>
  <c r="AI305" i="1"/>
  <c r="AJ305" i="1"/>
  <c r="AH306" i="1"/>
  <c r="AI306" i="1"/>
  <c r="AJ306" i="1"/>
  <c r="AH307" i="1"/>
  <c r="AI307" i="1"/>
  <c r="AJ307" i="1"/>
  <c r="AH308" i="1"/>
  <c r="AI308" i="1"/>
  <c r="AJ308" i="1"/>
  <c r="AH309" i="1"/>
  <c r="AI309" i="1"/>
  <c r="AJ309" i="1"/>
  <c r="AH310" i="1"/>
  <c r="AI310" i="1"/>
  <c r="AJ310" i="1"/>
  <c r="AH311" i="1"/>
  <c r="AI311" i="1"/>
  <c r="AJ311" i="1"/>
  <c r="AH312" i="1"/>
  <c r="AI312" i="1"/>
  <c r="AJ312" i="1"/>
  <c r="AH313" i="1"/>
  <c r="AI313" i="1"/>
  <c r="AJ313" i="1"/>
  <c r="AH314" i="1"/>
  <c r="AI314" i="1"/>
  <c r="AJ314" i="1"/>
  <c r="AH315" i="1"/>
  <c r="AI315" i="1"/>
  <c r="AJ315" i="1"/>
  <c r="AH316" i="1"/>
  <c r="AI316" i="1"/>
  <c r="AJ316" i="1"/>
  <c r="AH317" i="1"/>
  <c r="AI317" i="1"/>
  <c r="AJ317" i="1"/>
  <c r="AH318" i="1"/>
  <c r="AI318" i="1"/>
  <c r="AJ318" i="1"/>
  <c r="AH319" i="1"/>
  <c r="AI319" i="1"/>
  <c r="AJ319" i="1"/>
  <c r="AH320" i="1"/>
  <c r="AI320" i="1"/>
  <c r="AJ320" i="1"/>
  <c r="AH321" i="1"/>
  <c r="AI321" i="1"/>
  <c r="AJ321" i="1"/>
  <c r="AH322" i="1"/>
  <c r="AI322" i="1"/>
  <c r="AJ322" i="1"/>
  <c r="AH323" i="1"/>
  <c r="AI323" i="1"/>
  <c r="AJ323" i="1"/>
  <c r="AH324" i="1"/>
  <c r="AI324" i="1"/>
  <c r="AJ324" i="1"/>
  <c r="AH325" i="1"/>
  <c r="AI325" i="1"/>
  <c r="AJ325" i="1"/>
  <c r="AH326" i="1"/>
  <c r="AI326" i="1"/>
  <c r="AJ326" i="1"/>
  <c r="AH327" i="1"/>
  <c r="AI327" i="1"/>
  <c r="AJ327" i="1"/>
  <c r="AH328" i="1"/>
  <c r="AI328" i="1"/>
  <c r="AJ328" i="1"/>
  <c r="AH329" i="1"/>
  <c r="AI329" i="1"/>
  <c r="AJ329" i="1"/>
  <c r="AH330" i="1"/>
  <c r="AI330" i="1"/>
  <c r="AJ330" i="1"/>
  <c r="AH331" i="1"/>
  <c r="AI331" i="1"/>
  <c r="AJ331" i="1"/>
  <c r="AH332" i="1"/>
  <c r="AI332" i="1"/>
  <c r="AJ332" i="1"/>
  <c r="AH333" i="1"/>
  <c r="AI333" i="1"/>
  <c r="AJ333" i="1"/>
  <c r="AH334" i="1"/>
  <c r="AI334" i="1"/>
  <c r="AJ334" i="1"/>
  <c r="AH335" i="1"/>
  <c r="AI335" i="1"/>
  <c r="AJ335" i="1"/>
  <c r="AH336" i="1"/>
  <c r="AI336" i="1"/>
  <c r="AJ336" i="1"/>
  <c r="AH337" i="1"/>
  <c r="AI337" i="1"/>
  <c r="AJ337" i="1"/>
  <c r="AH338" i="1"/>
  <c r="AI338" i="1"/>
  <c r="AJ338" i="1"/>
  <c r="AH339" i="1"/>
  <c r="AI339" i="1"/>
  <c r="AJ339" i="1"/>
  <c r="AH340" i="1"/>
  <c r="AI340" i="1"/>
  <c r="AJ340" i="1"/>
  <c r="AH341" i="1"/>
  <c r="AI341" i="1"/>
  <c r="AJ341" i="1"/>
  <c r="AH342" i="1"/>
  <c r="AI342" i="1"/>
  <c r="AJ342" i="1"/>
  <c r="AH343" i="1"/>
  <c r="AI343" i="1"/>
  <c r="AJ343" i="1"/>
  <c r="AH344" i="1"/>
  <c r="AI344" i="1"/>
  <c r="AJ344" i="1"/>
  <c r="AH345" i="1"/>
  <c r="AI345" i="1"/>
  <c r="AJ345" i="1"/>
  <c r="AH346" i="1"/>
  <c r="AI346" i="1"/>
  <c r="AJ346" i="1"/>
  <c r="AH347" i="1"/>
  <c r="AI347" i="1"/>
  <c r="AJ347" i="1"/>
  <c r="AH348" i="1"/>
  <c r="AI348" i="1"/>
  <c r="AJ348" i="1"/>
  <c r="AH349" i="1"/>
  <c r="AI349" i="1"/>
  <c r="AJ349" i="1"/>
  <c r="AH350" i="1"/>
  <c r="AI350" i="1"/>
  <c r="AJ350" i="1"/>
  <c r="AH351" i="1"/>
  <c r="AI351" i="1"/>
  <c r="AJ351" i="1"/>
  <c r="AH352" i="1"/>
  <c r="AI352" i="1"/>
  <c r="AJ352" i="1"/>
  <c r="AH353" i="1"/>
  <c r="AI353" i="1"/>
  <c r="AJ353" i="1"/>
  <c r="AH354" i="1"/>
  <c r="AI354" i="1"/>
  <c r="AJ354" i="1"/>
  <c r="AH355" i="1"/>
  <c r="AI355" i="1"/>
  <c r="AJ355" i="1"/>
  <c r="AH356" i="1"/>
  <c r="AI356" i="1"/>
  <c r="AJ356" i="1"/>
  <c r="AH357" i="1"/>
  <c r="AI357" i="1"/>
  <c r="AJ357" i="1"/>
  <c r="AH358" i="1"/>
  <c r="AI358" i="1"/>
  <c r="AJ358" i="1"/>
  <c r="AH359" i="1"/>
  <c r="AI359" i="1"/>
  <c r="AJ359" i="1"/>
  <c r="AH360" i="1"/>
  <c r="AI360" i="1"/>
  <c r="AJ360" i="1"/>
  <c r="AH361" i="1"/>
  <c r="AI361" i="1"/>
  <c r="AJ361" i="1"/>
  <c r="AH362" i="1"/>
  <c r="AI362" i="1"/>
  <c r="AJ362" i="1"/>
  <c r="AH363" i="1"/>
  <c r="AI363" i="1"/>
  <c r="AJ363" i="1"/>
  <c r="AH364" i="1"/>
  <c r="AI364" i="1"/>
  <c r="AJ364" i="1"/>
  <c r="AH365" i="1"/>
  <c r="AI365" i="1"/>
  <c r="AJ365" i="1"/>
  <c r="AH366" i="1"/>
  <c r="AI366" i="1"/>
  <c r="AJ366" i="1"/>
  <c r="AH367" i="1"/>
  <c r="AI367" i="1"/>
  <c r="AJ367" i="1"/>
  <c r="AH368" i="1"/>
  <c r="AI368" i="1"/>
  <c r="AJ368" i="1"/>
  <c r="AH369" i="1"/>
  <c r="AI369" i="1"/>
  <c r="AJ369" i="1"/>
  <c r="AH370" i="1"/>
  <c r="AI370" i="1"/>
  <c r="AJ370" i="1"/>
  <c r="AH371" i="1"/>
  <c r="AI371" i="1"/>
  <c r="AJ371" i="1"/>
  <c r="AH372" i="1"/>
  <c r="AI372" i="1"/>
  <c r="AJ372" i="1"/>
  <c r="AH373" i="1"/>
  <c r="AI373" i="1"/>
  <c r="AJ373" i="1"/>
  <c r="AH374" i="1"/>
  <c r="AI374" i="1"/>
  <c r="AJ374" i="1"/>
  <c r="AH375" i="1"/>
  <c r="AI375" i="1"/>
  <c r="AJ375" i="1"/>
  <c r="AH376" i="1"/>
  <c r="AI376" i="1"/>
  <c r="AJ376" i="1"/>
  <c r="AH377" i="1"/>
  <c r="AI377" i="1"/>
  <c r="AJ377" i="1"/>
  <c r="AH378" i="1"/>
  <c r="AI378" i="1"/>
  <c r="AJ378" i="1"/>
  <c r="AH379" i="1"/>
  <c r="AI379" i="1"/>
  <c r="AJ379" i="1"/>
  <c r="AH380" i="1"/>
  <c r="AI380" i="1"/>
  <c r="AJ380" i="1"/>
  <c r="AH381" i="1"/>
  <c r="AI381" i="1"/>
  <c r="AJ381" i="1"/>
  <c r="AH382" i="1"/>
  <c r="AI382" i="1"/>
  <c r="AJ382" i="1"/>
  <c r="AH383" i="1"/>
  <c r="AI383" i="1"/>
  <c r="AJ383" i="1"/>
  <c r="AH384" i="1"/>
  <c r="AI384" i="1"/>
  <c r="AJ384" i="1"/>
  <c r="AH385" i="1"/>
  <c r="AI385" i="1"/>
  <c r="AJ385" i="1"/>
  <c r="AH386" i="1"/>
  <c r="AI386" i="1"/>
  <c r="AJ386" i="1"/>
  <c r="AH387" i="1"/>
  <c r="AI387" i="1"/>
  <c r="AJ387" i="1"/>
  <c r="AH388" i="1"/>
  <c r="AI388" i="1"/>
  <c r="AJ388" i="1"/>
  <c r="AH389" i="1"/>
  <c r="AI389" i="1"/>
  <c r="AJ389" i="1"/>
  <c r="AH390" i="1"/>
  <c r="AI390" i="1"/>
  <c r="AJ390" i="1"/>
  <c r="AH391" i="1"/>
  <c r="AI391" i="1"/>
  <c r="AJ391" i="1"/>
  <c r="AH392" i="1"/>
  <c r="AI392" i="1"/>
  <c r="AJ392" i="1"/>
  <c r="AH393" i="1"/>
  <c r="AI393" i="1"/>
  <c r="AJ393" i="1"/>
  <c r="AH394" i="1"/>
  <c r="AI394" i="1"/>
  <c r="AJ394" i="1"/>
  <c r="AH395" i="1"/>
  <c r="AI395" i="1"/>
  <c r="AJ395" i="1"/>
  <c r="AH396" i="1"/>
  <c r="AI396" i="1"/>
  <c r="AJ396" i="1"/>
  <c r="AH397" i="1"/>
  <c r="AI397" i="1"/>
  <c r="AJ397" i="1"/>
  <c r="AH398" i="1"/>
  <c r="AI398" i="1"/>
  <c r="AJ398" i="1"/>
  <c r="AH399" i="1"/>
  <c r="AI399" i="1"/>
  <c r="AJ399" i="1"/>
  <c r="AH400" i="1"/>
  <c r="AI400" i="1"/>
  <c r="AJ400" i="1"/>
  <c r="AH401" i="1"/>
  <c r="AI401" i="1"/>
  <c r="AJ401" i="1"/>
  <c r="AH402" i="1"/>
  <c r="AI402" i="1"/>
  <c r="AJ402" i="1"/>
  <c r="AH403" i="1"/>
  <c r="AI403" i="1"/>
  <c r="AJ403" i="1"/>
  <c r="AH404" i="1"/>
  <c r="AI404" i="1"/>
  <c r="AJ404" i="1"/>
  <c r="AH405" i="1"/>
  <c r="AI405" i="1"/>
  <c r="AJ405" i="1"/>
  <c r="AH406" i="1"/>
  <c r="AI406" i="1"/>
  <c r="AJ406" i="1"/>
  <c r="AH407" i="1"/>
  <c r="AI407" i="1"/>
  <c r="AJ407" i="1"/>
  <c r="AH408" i="1"/>
  <c r="AI408" i="1"/>
  <c r="AJ408" i="1"/>
  <c r="AH409" i="1"/>
  <c r="AI409" i="1"/>
  <c r="AJ409" i="1"/>
  <c r="AH410" i="1"/>
  <c r="AI410" i="1"/>
  <c r="AJ410" i="1"/>
  <c r="AH411" i="1"/>
  <c r="AI411" i="1"/>
  <c r="AJ411" i="1"/>
  <c r="AH412" i="1"/>
  <c r="AI412" i="1"/>
  <c r="AJ412" i="1"/>
  <c r="AH413" i="1"/>
  <c r="AI413" i="1"/>
  <c r="AJ413" i="1"/>
  <c r="AH414" i="1"/>
  <c r="AI414" i="1"/>
  <c r="AJ414" i="1"/>
  <c r="AH415" i="1"/>
  <c r="AI415" i="1"/>
  <c r="AJ415" i="1"/>
  <c r="AH416" i="1"/>
  <c r="AI416" i="1"/>
  <c r="AJ416" i="1"/>
  <c r="AH417" i="1"/>
  <c r="AI417" i="1"/>
  <c r="AJ417" i="1"/>
  <c r="AH418" i="1"/>
  <c r="AI418" i="1"/>
  <c r="AJ418" i="1"/>
  <c r="AH419" i="1"/>
  <c r="AI419" i="1"/>
  <c r="AJ419" i="1"/>
  <c r="AH420" i="1"/>
  <c r="AI420" i="1"/>
  <c r="AJ420" i="1"/>
  <c r="AH421" i="1"/>
  <c r="AI421" i="1"/>
  <c r="AJ421" i="1"/>
  <c r="AH422" i="1"/>
  <c r="AI422" i="1"/>
  <c r="AJ422" i="1"/>
  <c r="AH423" i="1"/>
  <c r="AI423" i="1"/>
  <c r="AJ423" i="1"/>
  <c r="AH424" i="1"/>
  <c r="AI424" i="1"/>
  <c r="AJ424" i="1"/>
  <c r="AH425" i="1"/>
  <c r="AI425" i="1"/>
  <c r="AJ425" i="1"/>
  <c r="AH426" i="1"/>
  <c r="AI426" i="1"/>
  <c r="AJ426" i="1"/>
  <c r="AH427" i="1"/>
  <c r="AI427" i="1"/>
  <c r="AJ427" i="1"/>
  <c r="AH428" i="1"/>
  <c r="AI428" i="1"/>
  <c r="AJ428" i="1"/>
  <c r="AH429" i="1"/>
  <c r="AI429" i="1"/>
  <c r="AJ429" i="1"/>
  <c r="AH430" i="1"/>
  <c r="AI430" i="1"/>
  <c r="AJ430" i="1"/>
  <c r="AH431" i="1"/>
  <c r="AI431" i="1"/>
  <c r="AJ431" i="1"/>
  <c r="AH432" i="1"/>
  <c r="AI432" i="1"/>
  <c r="AJ432" i="1"/>
  <c r="AH433" i="1"/>
  <c r="AI433" i="1"/>
  <c r="AJ433" i="1"/>
  <c r="AH434" i="1"/>
  <c r="AI434" i="1"/>
  <c r="AJ434" i="1"/>
  <c r="AH435" i="1"/>
  <c r="AI435" i="1"/>
  <c r="AJ435" i="1"/>
  <c r="AH436" i="1"/>
  <c r="AI436" i="1"/>
  <c r="AJ436" i="1"/>
  <c r="AH437" i="1"/>
  <c r="AI437" i="1"/>
  <c r="AJ437" i="1"/>
  <c r="AJ2" i="1"/>
  <c r="AI2" i="1"/>
  <c r="AH2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G2" i="1"/>
  <c r="AC2" i="1" l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U4" i="1" l="1"/>
  <c r="AU5" i="1"/>
  <c r="AU6" i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119" i="1"/>
  <c r="AU120" i="1"/>
  <c r="AU121" i="1"/>
  <c r="AU122" i="1"/>
  <c r="AU123" i="1"/>
  <c r="AU124" i="1"/>
  <c r="AU125" i="1"/>
  <c r="AU126" i="1"/>
  <c r="AU127" i="1"/>
  <c r="AU128" i="1"/>
  <c r="AU129" i="1"/>
  <c r="AU130" i="1"/>
  <c r="AU131" i="1"/>
  <c r="AU132" i="1"/>
  <c r="AU133" i="1"/>
  <c r="AU134" i="1"/>
  <c r="AU135" i="1"/>
  <c r="AU136" i="1"/>
  <c r="AU137" i="1"/>
  <c r="AU138" i="1"/>
  <c r="AU139" i="1"/>
  <c r="AU140" i="1"/>
  <c r="AU141" i="1"/>
  <c r="AU142" i="1"/>
  <c r="AU143" i="1"/>
  <c r="AU144" i="1"/>
  <c r="AU145" i="1"/>
  <c r="AU146" i="1"/>
  <c r="AU147" i="1"/>
  <c r="AU148" i="1"/>
  <c r="AU149" i="1"/>
  <c r="AU150" i="1"/>
  <c r="AU151" i="1"/>
  <c r="AU152" i="1"/>
  <c r="AU153" i="1"/>
  <c r="AT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M4" i="1"/>
  <c r="AQ4" i="1" s="1"/>
  <c r="AM5" i="1"/>
  <c r="AQ5" i="1" s="1"/>
  <c r="AM6" i="1"/>
  <c r="AP6" i="1" s="1"/>
  <c r="AM7" i="1"/>
  <c r="AP7" i="1" s="1"/>
  <c r="AM8" i="1"/>
  <c r="AO8" i="1" s="1"/>
  <c r="AM9" i="1"/>
  <c r="AM10" i="1"/>
  <c r="AM11" i="1"/>
  <c r="AR11" i="1" s="1"/>
  <c r="AM12" i="1"/>
  <c r="AQ12" i="1" s="1"/>
  <c r="AM13" i="1"/>
  <c r="AQ13" i="1" s="1"/>
  <c r="AM14" i="1"/>
  <c r="AP14" i="1" s="1"/>
  <c r="AM15" i="1"/>
  <c r="AP15" i="1" s="1"/>
  <c r="AM16" i="1"/>
  <c r="AO16" i="1" s="1"/>
  <c r="AM17" i="1"/>
  <c r="AM18" i="1"/>
  <c r="AM19" i="1"/>
  <c r="AR19" i="1" s="1"/>
  <c r="AM20" i="1"/>
  <c r="AQ20" i="1" s="1"/>
  <c r="AM21" i="1"/>
  <c r="AQ21" i="1" s="1"/>
  <c r="AM22" i="1"/>
  <c r="AP22" i="1" s="1"/>
  <c r="AM23" i="1"/>
  <c r="AP23" i="1" s="1"/>
  <c r="AM24" i="1"/>
  <c r="AO24" i="1" s="1"/>
  <c r="AM25" i="1"/>
  <c r="AM26" i="1"/>
  <c r="AM27" i="1"/>
  <c r="AR27" i="1" s="1"/>
  <c r="AM28" i="1"/>
  <c r="AQ28" i="1" s="1"/>
  <c r="AM29" i="1"/>
  <c r="AQ29" i="1" s="1"/>
  <c r="AM30" i="1"/>
  <c r="AP30" i="1" s="1"/>
  <c r="AM31" i="1"/>
  <c r="AP31" i="1" s="1"/>
  <c r="AM32" i="1"/>
  <c r="AO32" i="1" s="1"/>
  <c r="AM33" i="1"/>
  <c r="AM34" i="1"/>
  <c r="AM35" i="1"/>
  <c r="AR35" i="1" s="1"/>
  <c r="AM36" i="1"/>
  <c r="AQ36" i="1" s="1"/>
  <c r="AM37" i="1"/>
  <c r="AQ37" i="1" s="1"/>
  <c r="AM38" i="1"/>
  <c r="AP38" i="1" s="1"/>
  <c r="AM39" i="1"/>
  <c r="AP39" i="1" s="1"/>
  <c r="AM40" i="1"/>
  <c r="AO40" i="1" s="1"/>
  <c r="AM41" i="1"/>
  <c r="AM42" i="1"/>
  <c r="AM43" i="1"/>
  <c r="AR43" i="1" s="1"/>
  <c r="AM44" i="1"/>
  <c r="AQ44" i="1" s="1"/>
  <c r="AM45" i="1"/>
  <c r="AQ45" i="1" s="1"/>
  <c r="AM46" i="1"/>
  <c r="AP46" i="1" s="1"/>
  <c r="AM47" i="1"/>
  <c r="AP47" i="1" s="1"/>
  <c r="AM48" i="1"/>
  <c r="AO48" i="1" s="1"/>
  <c r="AM49" i="1"/>
  <c r="AM50" i="1"/>
  <c r="AM51" i="1"/>
  <c r="AR51" i="1" s="1"/>
  <c r="AM52" i="1"/>
  <c r="AQ52" i="1" s="1"/>
  <c r="AM53" i="1"/>
  <c r="AQ53" i="1" s="1"/>
  <c r="AM54" i="1"/>
  <c r="AP54" i="1" s="1"/>
  <c r="AM55" i="1"/>
  <c r="AP55" i="1" s="1"/>
  <c r="AM56" i="1"/>
  <c r="AO56" i="1" s="1"/>
  <c r="AM57" i="1"/>
  <c r="AM58" i="1"/>
  <c r="AM59" i="1"/>
  <c r="AR59" i="1" s="1"/>
  <c r="AM60" i="1"/>
  <c r="AQ60" i="1" s="1"/>
  <c r="AM61" i="1"/>
  <c r="AQ61" i="1" s="1"/>
  <c r="AM62" i="1"/>
  <c r="AP62" i="1" s="1"/>
  <c r="AM63" i="1"/>
  <c r="AP63" i="1" s="1"/>
  <c r="AM64" i="1"/>
  <c r="AO64" i="1" s="1"/>
  <c r="AM65" i="1"/>
  <c r="AM66" i="1"/>
  <c r="AM67" i="1"/>
  <c r="AR67" i="1" s="1"/>
  <c r="AM68" i="1"/>
  <c r="AQ68" i="1" s="1"/>
  <c r="AM69" i="1"/>
  <c r="AQ69" i="1" s="1"/>
  <c r="AM70" i="1"/>
  <c r="AP70" i="1" s="1"/>
  <c r="AM71" i="1"/>
  <c r="AP71" i="1" s="1"/>
  <c r="AM72" i="1"/>
  <c r="AO72" i="1" s="1"/>
  <c r="AM73" i="1"/>
  <c r="AM74" i="1"/>
  <c r="AM75" i="1"/>
  <c r="AR75" i="1" s="1"/>
  <c r="AM76" i="1"/>
  <c r="AQ76" i="1" s="1"/>
  <c r="AM77" i="1"/>
  <c r="AQ77" i="1" s="1"/>
  <c r="AM78" i="1"/>
  <c r="AP78" i="1" s="1"/>
  <c r="AM79" i="1"/>
  <c r="AP79" i="1" s="1"/>
  <c r="AM80" i="1"/>
  <c r="AO80" i="1" s="1"/>
  <c r="AM81" i="1"/>
  <c r="AM82" i="1"/>
  <c r="AM83" i="1"/>
  <c r="AR83" i="1" s="1"/>
  <c r="AM84" i="1"/>
  <c r="AQ84" i="1" s="1"/>
  <c r="AM85" i="1"/>
  <c r="AQ85" i="1" s="1"/>
  <c r="AM86" i="1"/>
  <c r="AP86" i="1" s="1"/>
  <c r="AM87" i="1"/>
  <c r="AP87" i="1" s="1"/>
  <c r="AM88" i="1"/>
  <c r="AO88" i="1" s="1"/>
  <c r="AM89" i="1"/>
  <c r="AM90" i="1"/>
  <c r="AM91" i="1"/>
  <c r="AR91" i="1" s="1"/>
  <c r="AM92" i="1"/>
  <c r="AQ92" i="1" s="1"/>
  <c r="AM93" i="1"/>
  <c r="AQ93" i="1" s="1"/>
  <c r="AM94" i="1"/>
  <c r="AP94" i="1" s="1"/>
  <c r="AM95" i="1"/>
  <c r="AP95" i="1" s="1"/>
  <c r="AM96" i="1"/>
  <c r="AO96" i="1" s="1"/>
  <c r="AM97" i="1"/>
  <c r="AM98" i="1"/>
  <c r="AM99" i="1"/>
  <c r="AR99" i="1" s="1"/>
  <c r="AM100" i="1"/>
  <c r="AQ100" i="1" s="1"/>
  <c r="AM101" i="1"/>
  <c r="AQ101" i="1" s="1"/>
  <c r="AM102" i="1"/>
  <c r="AP102" i="1" s="1"/>
  <c r="AM103" i="1"/>
  <c r="AP103" i="1" s="1"/>
  <c r="AM104" i="1"/>
  <c r="AO104" i="1" s="1"/>
  <c r="AM105" i="1"/>
  <c r="AM106" i="1"/>
  <c r="AM107" i="1"/>
  <c r="AR107" i="1" s="1"/>
  <c r="AM108" i="1"/>
  <c r="AQ108" i="1" s="1"/>
  <c r="AM109" i="1"/>
  <c r="AQ109" i="1" s="1"/>
  <c r="AM110" i="1"/>
  <c r="AP110" i="1" s="1"/>
  <c r="AM111" i="1"/>
  <c r="AP111" i="1" s="1"/>
  <c r="AM112" i="1"/>
  <c r="AO112" i="1" s="1"/>
  <c r="AM113" i="1"/>
  <c r="AM114" i="1"/>
  <c r="AM115" i="1"/>
  <c r="AR115" i="1" s="1"/>
  <c r="AM116" i="1"/>
  <c r="AQ116" i="1" s="1"/>
  <c r="AM117" i="1"/>
  <c r="AQ117" i="1" s="1"/>
  <c r="AM118" i="1"/>
  <c r="AP118" i="1" s="1"/>
  <c r="AM119" i="1"/>
  <c r="AP119" i="1" s="1"/>
  <c r="AM120" i="1"/>
  <c r="AO120" i="1" s="1"/>
  <c r="AM121" i="1"/>
  <c r="AM122" i="1"/>
  <c r="AM123" i="1"/>
  <c r="AR123" i="1" s="1"/>
  <c r="AM124" i="1"/>
  <c r="AQ124" i="1" s="1"/>
  <c r="AM125" i="1"/>
  <c r="AQ125" i="1" s="1"/>
  <c r="AM126" i="1"/>
  <c r="AP126" i="1" s="1"/>
  <c r="AM127" i="1"/>
  <c r="AP127" i="1" s="1"/>
  <c r="AM128" i="1"/>
  <c r="AO128" i="1" s="1"/>
  <c r="AM129" i="1"/>
  <c r="AM130" i="1"/>
  <c r="AM131" i="1"/>
  <c r="AR131" i="1" s="1"/>
  <c r="AM132" i="1"/>
  <c r="AQ132" i="1" s="1"/>
  <c r="AM133" i="1"/>
  <c r="AQ133" i="1" s="1"/>
  <c r="AM134" i="1"/>
  <c r="AP134" i="1" s="1"/>
  <c r="AM135" i="1"/>
  <c r="AP135" i="1" s="1"/>
  <c r="AM136" i="1"/>
  <c r="AO136" i="1" s="1"/>
  <c r="AM137" i="1"/>
  <c r="AM138" i="1"/>
  <c r="AM139" i="1"/>
  <c r="AR139" i="1" s="1"/>
  <c r="AM140" i="1"/>
  <c r="AQ140" i="1" s="1"/>
  <c r="AM141" i="1"/>
  <c r="AQ141" i="1" s="1"/>
  <c r="AM142" i="1"/>
  <c r="AP142" i="1" s="1"/>
  <c r="AM143" i="1"/>
  <c r="AP143" i="1" s="1"/>
  <c r="AM144" i="1"/>
  <c r="AO144" i="1" s="1"/>
  <c r="AM145" i="1"/>
  <c r="AM146" i="1"/>
  <c r="AM147" i="1"/>
  <c r="AR147" i="1" s="1"/>
  <c r="AM148" i="1"/>
  <c r="AQ148" i="1" s="1"/>
  <c r="AM149" i="1"/>
  <c r="AQ149" i="1" s="1"/>
  <c r="AM150" i="1"/>
  <c r="AP150" i="1" s="1"/>
  <c r="AM151" i="1"/>
  <c r="AP151" i="1" s="1"/>
  <c r="AM152" i="1"/>
  <c r="AO152" i="1" s="1"/>
  <c r="AM15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M154" i="1"/>
  <c r="AQ154" i="1" s="1"/>
  <c r="AM155" i="1"/>
  <c r="AP155" i="1" s="1"/>
  <c r="AM156" i="1"/>
  <c r="AQ156" i="1" s="1"/>
  <c r="AM157" i="1"/>
  <c r="AR157" i="1" s="1"/>
  <c r="AM158" i="1"/>
  <c r="AP158" i="1" s="1"/>
  <c r="AM159" i="1"/>
  <c r="AQ159" i="1" s="1"/>
  <c r="AM160" i="1"/>
  <c r="AM161" i="1"/>
  <c r="AM162" i="1"/>
  <c r="AQ162" i="1" s="1"/>
  <c r="AM163" i="1"/>
  <c r="AR163" i="1" s="1"/>
  <c r="AM164" i="1"/>
  <c r="AM165" i="1"/>
  <c r="AQ165" i="1" s="1"/>
  <c r="AM166" i="1"/>
  <c r="AM167" i="1"/>
  <c r="AP167" i="1" s="1"/>
  <c r="AM168" i="1"/>
  <c r="AM169" i="1"/>
  <c r="AP169" i="1" s="1"/>
  <c r="AM170" i="1"/>
  <c r="AQ170" i="1" s="1"/>
  <c r="AM171" i="1"/>
  <c r="AQ171" i="1" s="1"/>
  <c r="AM172" i="1"/>
  <c r="AM173" i="1"/>
  <c r="AR173" i="1" s="1"/>
  <c r="AM174" i="1"/>
  <c r="AQ174" i="1" s="1"/>
  <c r="AM175" i="1"/>
  <c r="AP175" i="1" s="1"/>
  <c r="AM176" i="1"/>
  <c r="AQ176" i="1" s="1"/>
  <c r="AM177" i="1"/>
  <c r="AP177" i="1" s="1"/>
  <c r="AM178" i="1"/>
  <c r="AQ178" i="1" s="1"/>
  <c r="AM179" i="1"/>
  <c r="AR179" i="1" s="1"/>
  <c r="AM180" i="1"/>
  <c r="AR180" i="1" s="1"/>
  <c r="AM181" i="1"/>
  <c r="AR181" i="1" s="1"/>
  <c r="AM182" i="1"/>
  <c r="AQ182" i="1" s="1"/>
  <c r="AM183" i="1"/>
  <c r="AP183" i="1" s="1"/>
  <c r="AM184" i="1"/>
  <c r="AM185" i="1"/>
  <c r="AP185" i="1" s="1"/>
  <c r="AM186" i="1"/>
  <c r="AQ186" i="1" s="1"/>
  <c r="AM187" i="1"/>
  <c r="AQ187" i="1" s="1"/>
  <c r="AM188" i="1"/>
  <c r="AP188" i="1" s="1"/>
  <c r="AM189" i="1"/>
  <c r="AR189" i="1" s="1"/>
  <c r="AM190" i="1"/>
  <c r="AQ190" i="1" s="1"/>
  <c r="AM191" i="1"/>
  <c r="AR191" i="1" s="1"/>
  <c r="AM192" i="1"/>
  <c r="AM193" i="1"/>
  <c r="AQ193" i="1" s="1"/>
  <c r="AM194" i="1"/>
  <c r="AQ194" i="1" s="1"/>
  <c r="AM195" i="1"/>
  <c r="AR195" i="1" s="1"/>
  <c r="AM196" i="1"/>
  <c r="AP196" i="1" s="1"/>
  <c r="AM197" i="1"/>
  <c r="AR197" i="1" s="1"/>
  <c r="AM198" i="1"/>
  <c r="AR198" i="1" s="1"/>
  <c r="AM199" i="1"/>
  <c r="AP199" i="1" s="1"/>
  <c r="AM200" i="1"/>
  <c r="AM201" i="1"/>
  <c r="AP201" i="1" s="1"/>
  <c r="AM202" i="1"/>
  <c r="AQ202" i="1" s="1"/>
  <c r="AM203" i="1"/>
  <c r="AM204" i="1"/>
  <c r="AM205" i="1"/>
  <c r="AR205" i="1" s="1"/>
  <c r="AM206" i="1"/>
  <c r="AP206" i="1" s="1"/>
  <c r="AM207" i="1"/>
  <c r="AP207" i="1" s="1"/>
  <c r="AM208" i="1"/>
  <c r="AP208" i="1" s="1"/>
  <c r="AM209" i="1"/>
  <c r="AP209" i="1" s="1"/>
  <c r="AM210" i="1"/>
  <c r="AQ210" i="1" s="1"/>
  <c r="AM211" i="1"/>
  <c r="AR211" i="1" s="1"/>
  <c r="AM212" i="1"/>
  <c r="AM213" i="1"/>
  <c r="AQ213" i="1" s="1"/>
  <c r="AM214" i="1"/>
  <c r="AP214" i="1" s="1"/>
  <c r="AM215" i="1"/>
  <c r="AR215" i="1" s="1"/>
  <c r="AM216" i="1"/>
  <c r="AM217" i="1"/>
  <c r="AP217" i="1" s="1"/>
  <c r="AM218" i="1"/>
  <c r="AQ218" i="1" s="1"/>
  <c r="AM219" i="1"/>
  <c r="AP219" i="1" s="1"/>
  <c r="AM220" i="1"/>
  <c r="AM221" i="1"/>
  <c r="AQ221" i="1" s="1"/>
  <c r="AM222" i="1"/>
  <c r="AQ222" i="1" s="1"/>
  <c r="AM223" i="1"/>
  <c r="AP223" i="1" s="1"/>
  <c r="AM224" i="1"/>
  <c r="AM225" i="1"/>
  <c r="AM226" i="1"/>
  <c r="AQ226" i="1" s="1"/>
  <c r="AM227" i="1"/>
  <c r="AP227" i="1" s="1"/>
  <c r="AM228" i="1"/>
  <c r="AP228" i="1" s="1"/>
  <c r="AM229" i="1"/>
  <c r="AR229" i="1" s="1"/>
  <c r="AM230" i="1"/>
  <c r="AQ230" i="1" s="1"/>
  <c r="AM231" i="1"/>
  <c r="AQ231" i="1" s="1"/>
  <c r="AM232" i="1"/>
  <c r="AM233" i="1"/>
  <c r="AP233" i="1" s="1"/>
  <c r="AM234" i="1"/>
  <c r="AQ234" i="1" s="1"/>
  <c r="AM235" i="1"/>
  <c r="AP235" i="1" s="1"/>
  <c r="AM236" i="1"/>
  <c r="AR236" i="1" s="1"/>
  <c r="AM237" i="1"/>
  <c r="AR237" i="1" s="1"/>
  <c r="AM238" i="1"/>
  <c r="AP238" i="1" s="1"/>
  <c r="AM239" i="1"/>
  <c r="AP239" i="1" s="1"/>
  <c r="AM240" i="1"/>
  <c r="AP240" i="1" s="1"/>
  <c r="AM241" i="1"/>
  <c r="AP241" i="1" s="1"/>
  <c r="AM242" i="1"/>
  <c r="AQ242" i="1" s="1"/>
  <c r="AM243" i="1"/>
  <c r="AQ243" i="1" s="1"/>
  <c r="AM244" i="1"/>
  <c r="AQ244" i="1" s="1"/>
  <c r="AM245" i="1"/>
  <c r="AQ245" i="1" s="1"/>
  <c r="AM246" i="1"/>
  <c r="AR246" i="1" s="1"/>
  <c r="AM247" i="1"/>
  <c r="AP247" i="1" s="1"/>
  <c r="AM248" i="1"/>
  <c r="AR248" i="1" s="1"/>
  <c r="AM249" i="1"/>
  <c r="AP249" i="1" s="1"/>
  <c r="AM250" i="1"/>
  <c r="AQ250" i="1" s="1"/>
  <c r="AM251" i="1"/>
  <c r="AR251" i="1" s="1"/>
  <c r="AM252" i="1"/>
  <c r="AR252" i="1" s="1"/>
  <c r="AM253" i="1"/>
  <c r="AM254" i="1"/>
  <c r="AQ254" i="1" s="1"/>
  <c r="AM255" i="1"/>
  <c r="AP255" i="1" s="1"/>
  <c r="AM256" i="1"/>
  <c r="AM257" i="1"/>
  <c r="AP257" i="1" s="1"/>
  <c r="AM258" i="1"/>
  <c r="AR258" i="1" s="1"/>
  <c r="AM259" i="1"/>
  <c r="AP259" i="1" s="1"/>
  <c r="AM260" i="1"/>
  <c r="AM261" i="1"/>
  <c r="AR261" i="1" s="1"/>
  <c r="AM262" i="1"/>
  <c r="AQ262" i="1" s="1"/>
  <c r="AM263" i="1"/>
  <c r="AP263" i="1" s="1"/>
  <c r="AM264" i="1"/>
  <c r="AM265" i="1"/>
  <c r="AQ265" i="1" s="1"/>
  <c r="AM266" i="1"/>
  <c r="AM267" i="1"/>
  <c r="AP267" i="1" s="1"/>
  <c r="AM268" i="1"/>
  <c r="AP268" i="1" s="1"/>
  <c r="AM269" i="1"/>
  <c r="AQ269" i="1" s="1"/>
  <c r="AM270" i="1"/>
  <c r="AM271" i="1"/>
  <c r="AP271" i="1" s="1"/>
  <c r="AM272" i="1"/>
  <c r="AM273" i="1"/>
  <c r="AP273" i="1" s="1"/>
  <c r="AM274" i="1"/>
  <c r="AM275" i="1"/>
  <c r="AR275" i="1" s="1"/>
  <c r="AM276" i="1"/>
  <c r="AP276" i="1" s="1"/>
  <c r="AM277" i="1"/>
  <c r="AQ277" i="1" s="1"/>
  <c r="AM278" i="1"/>
  <c r="AP278" i="1" s="1"/>
  <c r="AM279" i="1"/>
  <c r="AR279" i="1" s="1"/>
  <c r="AM280" i="1"/>
  <c r="AM281" i="1"/>
  <c r="AQ281" i="1" s="1"/>
  <c r="AM282" i="1"/>
  <c r="AR282" i="1" s="1"/>
  <c r="AM283" i="1"/>
  <c r="AR283" i="1" s="1"/>
  <c r="AM284" i="1"/>
  <c r="AP284" i="1" s="1"/>
  <c r="AM285" i="1"/>
  <c r="AR285" i="1" s="1"/>
  <c r="AM286" i="1"/>
  <c r="AP286" i="1" s="1"/>
  <c r="AM287" i="1"/>
  <c r="AR287" i="1" s="1"/>
  <c r="AM288" i="1"/>
  <c r="AM289" i="1"/>
  <c r="AM290" i="1"/>
  <c r="AM291" i="1"/>
  <c r="AP291" i="1" s="1"/>
  <c r="AM292" i="1"/>
  <c r="AP292" i="1" s="1"/>
  <c r="AM293" i="1"/>
  <c r="AR293" i="1" s="1"/>
  <c r="AM294" i="1"/>
  <c r="AP294" i="1" s="1"/>
  <c r="AM295" i="1"/>
  <c r="AP295" i="1" s="1"/>
  <c r="AM296" i="1"/>
  <c r="AM297" i="1"/>
  <c r="AP297" i="1" s="1"/>
  <c r="AM298" i="1"/>
  <c r="AR298" i="1" s="1"/>
  <c r="AM299" i="1"/>
  <c r="AQ299" i="1" s="1"/>
  <c r="AM300" i="1"/>
  <c r="AP300" i="1" s="1"/>
  <c r="AM301" i="1"/>
  <c r="AM302" i="1"/>
  <c r="AR302" i="1" s="1"/>
  <c r="AM303" i="1"/>
  <c r="AP303" i="1" s="1"/>
  <c r="AM304" i="1"/>
  <c r="AQ304" i="1" s="1"/>
  <c r="AM305" i="1"/>
  <c r="AP305" i="1" s="1"/>
  <c r="AM306" i="1"/>
  <c r="AR306" i="1" s="1"/>
  <c r="AM307" i="1"/>
  <c r="AP307" i="1" s="1"/>
  <c r="AM308" i="1"/>
  <c r="AM309" i="1"/>
  <c r="AR309" i="1" s="1"/>
  <c r="AM310" i="1"/>
  <c r="AM311" i="1"/>
  <c r="AQ311" i="1" s="1"/>
  <c r="AM312" i="1"/>
  <c r="AQ312" i="1" s="1"/>
  <c r="AM313" i="1"/>
  <c r="AQ313" i="1" s="1"/>
  <c r="AM314" i="1"/>
  <c r="AR314" i="1" s="1"/>
  <c r="AM315" i="1"/>
  <c r="AP315" i="1" s="1"/>
  <c r="AM316" i="1"/>
  <c r="AP316" i="1" s="1"/>
  <c r="AM317" i="1"/>
  <c r="AM318" i="1"/>
  <c r="AR318" i="1" s="1"/>
  <c r="AM319" i="1"/>
  <c r="AP319" i="1" s="1"/>
  <c r="AM320" i="1"/>
  <c r="AM321" i="1"/>
  <c r="AP321" i="1" s="1"/>
  <c r="AM322" i="1"/>
  <c r="AR322" i="1" s="1"/>
  <c r="AM323" i="1"/>
  <c r="AQ323" i="1" s="1"/>
  <c r="AM324" i="1"/>
  <c r="AP324" i="1" s="1"/>
  <c r="AM325" i="1"/>
  <c r="AR325" i="1" s="1"/>
  <c r="AM326" i="1"/>
  <c r="AQ326" i="1" s="1"/>
  <c r="AM327" i="1"/>
  <c r="AP327" i="1" s="1"/>
  <c r="AM328" i="1"/>
  <c r="AM329" i="1"/>
  <c r="AM330" i="1"/>
  <c r="AM331" i="1"/>
  <c r="AP331" i="1" s="1"/>
  <c r="AM332" i="1"/>
  <c r="AM333" i="1"/>
  <c r="AR333" i="1" s="1"/>
  <c r="AM334" i="1"/>
  <c r="AP334" i="1" s="1"/>
  <c r="AM335" i="1"/>
  <c r="AQ335" i="1" s="1"/>
  <c r="AM336" i="1"/>
  <c r="AM337" i="1"/>
  <c r="AP337" i="1" s="1"/>
  <c r="AM338" i="1"/>
  <c r="AM339" i="1"/>
  <c r="AP339" i="1" s="1"/>
  <c r="AM340" i="1"/>
  <c r="AR340" i="1" s="1"/>
  <c r="AM341" i="1"/>
  <c r="AR341" i="1" s="1"/>
  <c r="AM342" i="1"/>
  <c r="AQ342" i="1" s="1"/>
  <c r="AM343" i="1"/>
  <c r="AP343" i="1" s="1"/>
  <c r="AM344" i="1"/>
  <c r="AP344" i="1" s="1"/>
  <c r="AM345" i="1"/>
  <c r="AM346" i="1"/>
  <c r="AR346" i="1" s="1"/>
  <c r="AM347" i="1"/>
  <c r="AQ347" i="1" s="1"/>
  <c r="AM348" i="1"/>
  <c r="AP348" i="1" s="1"/>
  <c r="AM349" i="1"/>
  <c r="AR349" i="1" s="1"/>
  <c r="AM350" i="1"/>
  <c r="AQ350" i="1" s="1"/>
  <c r="AM351" i="1"/>
  <c r="AP351" i="1" s="1"/>
  <c r="AM352" i="1"/>
  <c r="AM353" i="1"/>
  <c r="AR353" i="1" s="1"/>
  <c r="AM354" i="1"/>
  <c r="AM355" i="1"/>
  <c r="AP355" i="1" s="1"/>
  <c r="AM356" i="1"/>
  <c r="AR356" i="1" s="1"/>
  <c r="AM357" i="1"/>
  <c r="AM358" i="1"/>
  <c r="AM359" i="1"/>
  <c r="AQ359" i="1" s="1"/>
  <c r="AM360" i="1"/>
  <c r="AM361" i="1"/>
  <c r="AP361" i="1" s="1"/>
  <c r="AM362" i="1"/>
  <c r="AR362" i="1" s="1"/>
  <c r="AM363" i="1"/>
  <c r="AQ363" i="1" s="1"/>
  <c r="AM364" i="1"/>
  <c r="AP364" i="1" s="1"/>
  <c r="AM365" i="1"/>
  <c r="AR365" i="1" s="1"/>
  <c r="AM366" i="1"/>
  <c r="AR366" i="1" s="1"/>
  <c r="AM367" i="1"/>
  <c r="AP367" i="1" s="1"/>
  <c r="AM368" i="1"/>
  <c r="AM369" i="1"/>
  <c r="AP369" i="1" s="1"/>
  <c r="AM370" i="1"/>
  <c r="AR370" i="1" s="1"/>
  <c r="AM371" i="1"/>
  <c r="AP371" i="1" s="1"/>
  <c r="AM372" i="1"/>
  <c r="AM373" i="1"/>
  <c r="AR373" i="1" s="1"/>
  <c r="AM374" i="1"/>
  <c r="AR374" i="1" s="1"/>
  <c r="AM375" i="1"/>
  <c r="AP375" i="1" s="1"/>
  <c r="AM376" i="1"/>
  <c r="AQ376" i="1" s="1"/>
  <c r="AM377" i="1"/>
  <c r="AP377" i="1" s="1"/>
  <c r="AM378" i="1"/>
  <c r="AR378" i="1" s="1"/>
  <c r="AM379" i="1"/>
  <c r="AP379" i="1" s="1"/>
  <c r="AM380" i="1"/>
  <c r="AM381" i="1"/>
  <c r="AM382" i="1"/>
  <c r="AP382" i="1" s="1"/>
  <c r="AM383" i="1"/>
  <c r="AP383" i="1" s="1"/>
  <c r="AM384" i="1"/>
  <c r="AM385" i="1"/>
  <c r="AM386" i="1"/>
  <c r="AR386" i="1" s="1"/>
  <c r="AM387" i="1"/>
  <c r="AM388" i="1"/>
  <c r="AM389" i="1"/>
  <c r="AR389" i="1" s="1"/>
  <c r="AM390" i="1"/>
  <c r="AP390" i="1" s="1"/>
  <c r="AM391" i="1"/>
  <c r="AP391" i="1" s="1"/>
  <c r="AM392" i="1"/>
  <c r="AM393" i="1"/>
  <c r="AM394" i="1"/>
  <c r="AM395" i="1"/>
  <c r="AP395" i="1" s="1"/>
  <c r="AM396" i="1"/>
  <c r="AQ396" i="1" s="1"/>
  <c r="AM397" i="1"/>
  <c r="AQ397" i="1" s="1"/>
  <c r="AM398" i="1"/>
  <c r="AP398" i="1" s="1"/>
  <c r="AM399" i="1"/>
  <c r="AP399" i="1" s="1"/>
  <c r="AM400" i="1"/>
  <c r="AM401" i="1"/>
  <c r="AM402" i="1"/>
  <c r="AM403" i="1"/>
  <c r="AM404" i="1"/>
  <c r="AP404" i="1" s="1"/>
  <c r="AM405" i="1"/>
  <c r="AQ405" i="1" s="1"/>
  <c r="AM406" i="1"/>
  <c r="AP406" i="1" s="1"/>
  <c r="AM407" i="1"/>
  <c r="AP407" i="1" s="1"/>
  <c r="AM408" i="1"/>
  <c r="AP408" i="1" s="1"/>
  <c r="AM409" i="1"/>
  <c r="AQ409" i="1" s="1"/>
  <c r="AM410" i="1"/>
  <c r="AR410" i="1" s="1"/>
  <c r="AM411" i="1"/>
  <c r="AQ411" i="1" s="1"/>
  <c r="AM412" i="1"/>
  <c r="AP412" i="1" s="1"/>
  <c r="AM413" i="1"/>
  <c r="AQ413" i="1" s="1"/>
  <c r="AM414" i="1"/>
  <c r="AP414" i="1" s="1"/>
  <c r="AM415" i="1"/>
  <c r="AP415" i="1" s="1"/>
  <c r="AM416" i="1"/>
  <c r="AM417" i="1"/>
  <c r="AR417" i="1" s="1"/>
  <c r="AM418" i="1"/>
  <c r="AM419" i="1"/>
  <c r="AM420" i="1"/>
  <c r="AR420" i="1" s="1"/>
  <c r="AM421" i="1"/>
  <c r="AR421" i="1" s="1"/>
  <c r="AM422" i="1"/>
  <c r="AQ422" i="1" s="1"/>
  <c r="AM423" i="1"/>
  <c r="AQ423" i="1" s="1"/>
  <c r="AM424" i="1"/>
  <c r="AM425" i="1"/>
  <c r="AP425" i="1" s="1"/>
  <c r="AM426" i="1"/>
  <c r="AR426" i="1" s="1"/>
  <c r="AM427" i="1"/>
  <c r="AR427" i="1" s="1"/>
  <c r="AM428" i="1"/>
  <c r="AR428" i="1" s="1"/>
  <c r="AM429" i="1"/>
  <c r="AR429" i="1" s="1"/>
  <c r="AM430" i="1"/>
  <c r="AP430" i="1" s="1"/>
  <c r="AM431" i="1"/>
  <c r="AQ431" i="1" s="1"/>
  <c r="AM432" i="1"/>
  <c r="AQ432" i="1" s="1"/>
  <c r="AM433" i="1"/>
  <c r="AP433" i="1" s="1"/>
  <c r="AM434" i="1"/>
  <c r="AR434" i="1" s="1"/>
  <c r="AM435" i="1"/>
  <c r="AP435" i="1" s="1"/>
  <c r="AM436" i="1"/>
  <c r="AP436" i="1" s="1"/>
  <c r="AM437" i="1"/>
  <c r="AQ437" i="1" s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P159" i="1"/>
  <c r="AP163" i="1"/>
  <c r="AP179" i="1"/>
  <c r="AP187" i="1"/>
  <c r="AP215" i="1"/>
  <c r="AP251" i="1"/>
  <c r="AP275" i="1"/>
  <c r="AP299" i="1"/>
  <c r="AP323" i="1"/>
  <c r="AP347" i="1"/>
  <c r="AP359" i="1"/>
  <c r="AP363" i="1"/>
  <c r="AP387" i="1"/>
  <c r="AP403" i="1"/>
  <c r="AP423" i="1"/>
  <c r="AQ163" i="1"/>
  <c r="AQ179" i="1"/>
  <c r="AQ195" i="1"/>
  <c r="AQ215" i="1"/>
  <c r="AQ219" i="1"/>
  <c r="AQ228" i="1"/>
  <c r="AQ235" i="1"/>
  <c r="AQ247" i="1"/>
  <c r="AQ259" i="1"/>
  <c r="AQ276" i="1"/>
  <c r="AQ283" i="1"/>
  <c r="AQ295" i="1"/>
  <c r="AQ324" i="1"/>
  <c r="AQ339" i="1"/>
  <c r="AQ356" i="1"/>
  <c r="AQ367" i="1"/>
  <c r="AQ379" i="1"/>
  <c r="AQ387" i="1"/>
  <c r="AQ391" i="1"/>
  <c r="AQ403" i="1"/>
  <c r="AQ415" i="1"/>
  <c r="AQ435" i="1"/>
  <c r="AR164" i="1"/>
  <c r="AR166" i="1"/>
  <c r="AR196" i="1"/>
  <c r="AR206" i="1"/>
  <c r="AR219" i="1"/>
  <c r="AR235" i="1"/>
  <c r="AR247" i="1"/>
  <c r="AR260" i="1"/>
  <c r="AR268" i="1"/>
  <c r="AR295" i="1"/>
  <c r="AR299" i="1"/>
  <c r="AR301" i="1"/>
  <c r="AR307" i="1"/>
  <c r="AR315" i="1"/>
  <c r="AR324" i="1"/>
  <c r="AR327" i="1"/>
  <c r="AR335" i="1"/>
  <c r="AR351" i="1"/>
  <c r="AR363" i="1"/>
  <c r="AR371" i="1"/>
  <c r="AR379" i="1"/>
  <c r="AR387" i="1"/>
  <c r="AR388" i="1"/>
  <c r="AR403" i="1"/>
  <c r="AR407" i="1"/>
  <c r="AR411" i="1"/>
  <c r="AR419" i="1"/>
  <c r="AR42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T154" i="1"/>
  <c r="AT155" i="1"/>
  <c r="AT156" i="1"/>
  <c r="AT157" i="1"/>
  <c r="AT158" i="1"/>
  <c r="AT159" i="1"/>
  <c r="AT160" i="1"/>
  <c r="AT161" i="1"/>
  <c r="AT162" i="1"/>
  <c r="AT163" i="1"/>
  <c r="AT164" i="1"/>
  <c r="AT165" i="1"/>
  <c r="AT166" i="1"/>
  <c r="AT167" i="1"/>
  <c r="AT168" i="1"/>
  <c r="AT169" i="1"/>
  <c r="AT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220" i="1"/>
  <c r="AT221" i="1"/>
  <c r="AT222" i="1"/>
  <c r="AT223" i="1"/>
  <c r="AT224" i="1"/>
  <c r="AT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75" i="1"/>
  <c r="AT276" i="1"/>
  <c r="AT277" i="1"/>
  <c r="AT278" i="1"/>
  <c r="AT279" i="1"/>
  <c r="AT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330" i="1"/>
  <c r="AT331" i="1"/>
  <c r="AT332" i="1"/>
  <c r="AT333" i="1"/>
  <c r="AT334" i="1"/>
  <c r="AT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85" i="1"/>
  <c r="AT386" i="1"/>
  <c r="AT387" i="1"/>
  <c r="AT388" i="1"/>
  <c r="AT389" i="1"/>
  <c r="AT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U154" i="1"/>
  <c r="AU155" i="1"/>
  <c r="AU156" i="1"/>
  <c r="AU157" i="1"/>
  <c r="AU158" i="1"/>
  <c r="AU159" i="1"/>
  <c r="AU160" i="1"/>
  <c r="AU161" i="1"/>
  <c r="AU162" i="1"/>
  <c r="AU163" i="1"/>
  <c r="AU164" i="1"/>
  <c r="AU165" i="1"/>
  <c r="AU166" i="1"/>
  <c r="AU167" i="1"/>
  <c r="AU168" i="1"/>
  <c r="AU169" i="1"/>
  <c r="AU170" i="1"/>
  <c r="AU171" i="1"/>
  <c r="AU172" i="1"/>
  <c r="AU173" i="1"/>
  <c r="AU174" i="1"/>
  <c r="AU175" i="1"/>
  <c r="AU176" i="1"/>
  <c r="AU177" i="1"/>
  <c r="AU178" i="1"/>
  <c r="AU179" i="1"/>
  <c r="AU180" i="1"/>
  <c r="AU181" i="1"/>
  <c r="AU182" i="1"/>
  <c r="AU183" i="1"/>
  <c r="AU184" i="1"/>
  <c r="AU185" i="1"/>
  <c r="AU186" i="1"/>
  <c r="AU187" i="1"/>
  <c r="AU188" i="1"/>
  <c r="AU189" i="1"/>
  <c r="AU190" i="1"/>
  <c r="AU191" i="1"/>
  <c r="AU192" i="1"/>
  <c r="AU193" i="1"/>
  <c r="AU194" i="1"/>
  <c r="AU195" i="1"/>
  <c r="AU196" i="1"/>
  <c r="AU197" i="1"/>
  <c r="AU198" i="1"/>
  <c r="AU199" i="1"/>
  <c r="AU200" i="1"/>
  <c r="AU201" i="1"/>
  <c r="AU202" i="1"/>
  <c r="AU203" i="1"/>
  <c r="AU204" i="1"/>
  <c r="AU205" i="1"/>
  <c r="AU206" i="1"/>
  <c r="AU207" i="1"/>
  <c r="AU208" i="1"/>
  <c r="AU209" i="1"/>
  <c r="AU210" i="1"/>
  <c r="AU211" i="1"/>
  <c r="AU212" i="1"/>
  <c r="AU213" i="1"/>
  <c r="AU214" i="1"/>
  <c r="AU215" i="1"/>
  <c r="AU216" i="1"/>
  <c r="AU217" i="1"/>
  <c r="AU218" i="1"/>
  <c r="AU219" i="1"/>
  <c r="AU220" i="1"/>
  <c r="AU221" i="1"/>
  <c r="AU222" i="1"/>
  <c r="AU223" i="1"/>
  <c r="AU224" i="1"/>
  <c r="AU225" i="1"/>
  <c r="AU226" i="1"/>
  <c r="AU227" i="1"/>
  <c r="AU228" i="1"/>
  <c r="AU229" i="1"/>
  <c r="AU230" i="1"/>
  <c r="AU231" i="1"/>
  <c r="AU232" i="1"/>
  <c r="AU233" i="1"/>
  <c r="AU234" i="1"/>
  <c r="AU235" i="1"/>
  <c r="AU236" i="1"/>
  <c r="AU237" i="1"/>
  <c r="AU238" i="1"/>
  <c r="AU239" i="1"/>
  <c r="AU240" i="1"/>
  <c r="AU241" i="1"/>
  <c r="AU242" i="1"/>
  <c r="AU243" i="1"/>
  <c r="AU244" i="1"/>
  <c r="AU245" i="1"/>
  <c r="AU246" i="1"/>
  <c r="AU247" i="1"/>
  <c r="AU248" i="1"/>
  <c r="AU249" i="1"/>
  <c r="AU250" i="1"/>
  <c r="AU251" i="1"/>
  <c r="AU252" i="1"/>
  <c r="AU253" i="1"/>
  <c r="AU254" i="1"/>
  <c r="AU255" i="1"/>
  <c r="AU256" i="1"/>
  <c r="AU257" i="1"/>
  <c r="AU258" i="1"/>
  <c r="AU259" i="1"/>
  <c r="AU260" i="1"/>
  <c r="AU261" i="1"/>
  <c r="AU262" i="1"/>
  <c r="AU263" i="1"/>
  <c r="AU264" i="1"/>
  <c r="AU265" i="1"/>
  <c r="AU266" i="1"/>
  <c r="AU267" i="1"/>
  <c r="AU268" i="1"/>
  <c r="AU269" i="1"/>
  <c r="AU270" i="1"/>
  <c r="AU271" i="1"/>
  <c r="AU272" i="1"/>
  <c r="AU273" i="1"/>
  <c r="AU274" i="1"/>
  <c r="AU275" i="1"/>
  <c r="AU276" i="1"/>
  <c r="AU277" i="1"/>
  <c r="AU278" i="1"/>
  <c r="AU279" i="1"/>
  <c r="AU280" i="1"/>
  <c r="AU281" i="1"/>
  <c r="AU282" i="1"/>
  <c r="AU283" i="1"/>
  <c r="AU284" i="1"/>
  <c r="AU285" i="1"/>
  <c r="AU286" i="1"/>
  <c r="AU287" i="1"/>
  <c r="AU288" i="1"/>
  <c r="AU289" i="1"/>
  <c r="AU290" i="1"/>
  <c r="AU291" i="1"/>
  <c r="AU292" i="1"/>
  <c r="AU293" i="1"/>
  <c r="AU294" i="1"/>
  <c r="AU295" i="1"/>
  <c r="AU296" i="1"/>
  <c r="AU297" i="1"/>
  <c r="AU298" i="1"/>
  <c r="AU299" i="1"/>
  <c r="AU300" i="1"/>
  <c r="AU301" i="1"/>
  <c r="AU302" i="1"/>
  <c r="AU303" i="1"/>
  <c r="AU304" i="1"/>
  <c r="AU305" i="1"/>
  <c r="AU306" i="1"/>
  <c r="AU307" i="1"/>
  <c r="AU308" i="1"/>
  <c r="AU309" i="1"/>
  <c r="AU310" i="1"/>
  <c r="AU311" i="1"/>
  <c r="AU312" i="1"/>
  <c r="AU313" i="1"/>
  <c r="AU314" i="1"/>
  <c r="AU315" i="1"/>
  <c r="AU316" i="1"/>
  <c r="AU317" i="1"/>
  <c r="AU318" i="1"/>
  <c r="AU319" i="1"/>
  <c r="AU320" i="1"/>
  <c r="AU321" i="1"/>
  <c r="AU322" i="1"/>
  <c r="AU323" i="1"/>
  <c r="AU324" i="1"/>
  <c r="AU325" i="1"/>
  <c r="AU326" i="1"/>
  <c r="AU327" i="1"/>
  <c r="AU328" i="1"/>
  <c r="AU329" i="1"/>
  <c r="AU330" i="1"/>
  <c r="AU331" i="1"/>
  <c r="AU332" i="1"/>
  <c r="AU333" i="1"/>
  <c r="AU334" i="1"/>
  <c r="AU335" i="1"/>
  <c r="AU336" i="1"/>
  <c r="AU337" i="1"/>
  <c r="AU338" i="1"/>
  <c r="AU339" i="1"/>
  <c r="AU340" i="1"/>
  <c r="AU341" i="1"/>
  <c r="AU342" i="1"/>
  <c r="AU343" i="1"/>
  <c r="AU344" i="1"/>
  <c r="AU345" i="1"/>
  <c r="AU346" i="1"/>
  <c r="AU347" i="1"/>
  <c r="AU348" i="1"/>
  <c r="AU349" i="1"/>
  <c r="AU350" i="1"/>
  <c r="AU351" i="1"/>
  <c r="AU352" i="1"/>
  <c r="AU353" i="1"/>
  <c r="AU354" i="1"/>
  <c r="AU355" i="1"/>
  <c r="AU356" i="1"/>
  <c r="AU357" i="1"/>
  <c r="AU358" i="1"/>
  <c r="AU359" i="1"/>
  <c r="AU360" i="1"/>
  <c r="AU361" i="1"/>
  <c r="AU362" i="1"/>
  <c r="AU363" i="1"/>
  <c r="AU364" i="1"/>
  <c r="AU365" i="1"/>
  <c r="AU366" i="1"/>
  <c r="AU367" i="1"/>
  <c r="AU368" i="1"/>
  <c r="AU369" i="1"/>
  <c r="AU370" i="1"/>
  <c r="AU371" i="1"/>
  <c r="AU372" i="1"/>
  <c r="AU373" i="1"/>
  <c r="AU374" i="1"/>
  <c r="AU375" i="1"/>
  <c r="AU376" i="1"/>
  <c r="AU377" i="1"/>
  <c r="AU378" i="1"/>
  <c r="AU379" i="1"/>
  <c r="AU380" i="1"/>
  <c r="AU381" i="1"/>
  <c r="AU382" i="1"/>
  <c r="AU383" i="1"/>
  <c r="AU384" i="1"/>
  <c r="AU385" i="1"/>
  <c r="AU386" i="1"/>
  <c r="AU387" i="1"/>
  <c r="AU388" i="1"/>
  <c r="AU389" i="1"/>
  <c r="AU390" i="1"/>
  <c r="AU391" i="1"/>
  <c r="AU392" i="1"/>
  <c r="AU393" i="1"/>
  <c r="AU394" i="1"/>
  <c r="AU395" i="1"/>
  <c r="AU396" i="1"/>
  <c r="AU397" i="1"/>
  <c r="AU398" i="1"/>
  <c r="AU399" i="1"/>
  <c r="AU400" i="1"/>
  <c r="AU401" i="1"/>
  <c r="AU402" i="1"/>
  <c r="AU403" i="1"/>
  <c r="AU404" i="1"/>
  <c r="AU405" i="1"/>
  <c r="AU406" i="1"/>
  <c r="AU407" i="1"/>
  <c r="AU408" i="1"/>
  <c r="AU409" i="1"/>
  <c r="AU410" i="1"/>
  <c r="AU411" i="1"/>
  <c r="AU412" i="1"/>
  <c r="AU413" i="1"/>
  <c r="AU414" i="1"/>
  <c r="AU415" i="1"/>
  <c r="AU416" i="1"/>
  <c r="AU417" i="1"/>
  <c r="AU418" i="1"/>
  <c r="AU419" i="1"/>
  <c r="AU420" i="1"/>
  <c r="AU421" i="1"/>
  <c r="AU422" i="1"/>
  <c r="AU423" i="1"/>
  <c r="AU424" i="1"/>
  <c r="AU425" i="1"/>
  <c r="AU426" i="1"/>
  <c r="AU427" i="1"/>
  <c r="AU428" i="1"/>
  <c r="AU429" i="1"/>
  <c r="AU430" i="1"/>
  <c r="AU431" i="1"/>
  <c r="AU432" i="1"/>
  <c r="AU433" i="1"/>
  <c r="AU434" i="1"/>
  <c r="AU435" i="1"/>
  <c r="AU436" i="1"/>
  <c r="AU437" i="1"/>
  <c r="AR228" i="1" l="1"/>
  <c r="AQ348" i="1"/>
  <c r="AQ284" i="1"/>
  <c r="AP236" i="1"/>
  <c r="AR276" i="1"/>
  <c r="AQ412" i="1"/>
  <c r="AR425" i="1"/>
  <c r="AR395" i="1"/>
  <c r="AR359" i="1"/>
  <c r="AR303" i="1"/>
  <c r="AR227" i="1"/>
  <c r="AQ427" i="1"/>
  <c r="AQ315" i="1"/>
  <c r="AQ255" i="1"/>
  <c r="AQ188" i="1"/>
  <c r="AP427" i="1"/>
  <c r="AP311" i="1"/>
  <c r="AP211" i="1"/>
  <c r="AQ351" i="1"/>
  <c r="AQ177" i="1"/>
  <c r="AR249" i="1"/>
  <c r="AR127" i="1"/>
  <c r="AR377" i="1"/>
  <c r="AR273" i="1"/>
  <c r="AQ337" i="1"/>
  <c r="AQ273" i="1"/>
  <c r="AR399" i="1"/>
  <c r="AR367" i="1"/>
  <c r="AR271" i="1"/>
  <c r="AQ327" i="1"/>
  <c r="AQ271" i="1"/>
  <c r="AQ207" i="1"/>
  <c r="AP231" i="1"/>
  <c r="AR397" i="1"/>
  <c r="AR437" i="1"/>
  <c r="AO95" i="1"/>
  <c r="AP147" i="1"/>
  <c r="AR64" i="1"/>
  <c r="AR40" i="1"/>
  <c r="AR405" i="1"/>
  <c r="AP397" i="1"/>
  <c r="AR396" i="1"/>
  <c r="AR278" i="1"/>
  <c r="AR190" i="1"/>
  <c r="AR174" i="1"/>
  <c r="AQ404" i="1"/>
  <c r="AQ292" i="1"/>
  <c r="AQ206" i="1"/>
  <c r="AP342" i="1"/>
  <c r="AP358" i="1"/>
  <c r="AR358" i="1"/>
  <c r="AQ310" i="1"/>
  <c r="AP310" i="1"/>
  <c r="AP254" i="1"/>
  <c r="AR254" i="1"/>
  <c r="AR398" i="1"/>
  <c r="AR350" i="1"/>
  <c r="AR316" i="1"/>
  <c r="AR286" i="1"/>
  <c r="AR182" i="1"/>
  <c r="AQ414" i="1"/>
  <c r="AQ214" i="1"/>
  <c r="AP396" i="1"/>
  <c r="AP356" i="1"/>
  <c r="AR342" i="1"/>
  <c r="AR238" i="1"/>
  <c r="AP302" i="1"/>
  <c r="AP262" i="1"/>
  <c r="AP174" i="1"/>
  <c r="AQ380" i="1"/>
  <c r="AP380" i="1"/>
  <c r="AP336" i="1"/>
  <c r="AQ336" i="1"/>
  <c r="AP332" i="1"/>
  <c r="AR332" i="1"/>
  <c r="AR308" i="1"/>
  <c r="AQ308" i="1"/>
  <c r="AP204" i="1"/>
  <c r="AR204" i="1"/>
  <c r="AP172" i="1"/>
  <c r="AR172" i="1"/>
  <c r="AP164" i="1"/>
  <c r="AQ164" i="1"/>
  <c r="AP156" i="1"/>
  <c r="AR156" i="1"/>
  <c r="AO102" i="1"/>
  <c r="AO62" i="1"/>
  <c r="AO15" i="1"/>
  <c r="AQ43" i="1"/>
  <c r="AO38" i="1"/>
  <c r="AO150" i="1"/>
  <c r="AO86" i="1"/>
  <c r="AO31" i="1"/>
  <c r="AP124" i="1"/>
  <c r="AR96" i="1"/>
  <c r="AR32" i="1"/>
  <c r="AO127" i="1"/>
  <c r="AO79" i="1"/>
  <c r="AO22" i="1"/>
  <c r="AP84" i="1"/>
  <c r="AR72" i="1"/>
  <c r="AR8" i="1"/>
  <c r="AR431" i="1"/>
  <c r="AR414" i="1"/>
  <c r="AR404" i="1"/>
  <c r="AR380" i="1"/>
  <c r="AR364" i="1"/>
  <c r="AR355" i="1"/>
  <c r="AR343" i="1"/>
  <c r="AR339" i="1"/>
  <c r="AR331" i="1"/>
  <c r="AR319" i="1"/>
  <c r="AR300" i="1"/>
  <c r="AR263" i="1"/>
  <c r="AR255" i="1"/>
  <c r="AR239" i="1"/>
  <c r="AR230" i="1"/>
  <c r="AR222" i="1"/>
  <c r="AR207" i="1"/>
  <c r="AR199" i="1"/>
  <c r="AR183" i="1"/>
  <c r="AR175" i="1"/>
  <c r="AR167" i="1"/>
  <c r="AR159" i="1"/>
  <c r="AQ436" i="1"/>
  <c r="AQ420" i="1"/>
  <c r="AQ407" i="1"/>
  <c r="AQ395" i="1"/>
  <c r="AQ382" i="1"/>
  <c r="AQ371" i="1"/>
  <c r="AQ355" i="1"/>
  <c r="AQ343" i="1"/>
  <c r="AQ331" i="1"/>
  <c r="AQ316" i="1"/>
  <c r="AQ303" i="1"/>
  <c r="AQ286" i="1"/>
  <c r="AQ275" i="1"/>
  <c r="AQ263" i="1"/>
  <c r="AQ251" i="1"/>
  <c r="AQ238" i="1"/>
  <c r="AQ223" i="1"/>
  <c r="AQ211" i="1"/>
  <c r="AQ196" i="1"/>
  <c r="AQ183" i="1"/>
  <c r="AQ167" i="1"/>
  <c r="AQ155" i="1"/>
  <c r="AP431" i="1"/>
  <c r="AP350" i="1"/>
  <c r="AP308" i="1"/>
  <c r="AP283" i="1"/>
  <c r="AP243" i="1"/>
  <c r="AP195" i="1"/>
  <c r="AP171" i="1"/>
  <c r="AQ428" i="1"/>
  <c r="AP428" i="1"/>
  <c r="AP400" i="1"/>
  <c r="AQ400" i="1"/>
  <c r="AP388" i="1"/>
  <c r="AQ388" i="1"/>
  <c r="AP372" i="1"/>
  <c r="AQ372" i="1"/>
  <c r="AR368" i="1"/>
  <c r="AP368" i="1"/>
  <c r="AP340" i="1"/>
  <c r="AQ340" i="1"/>
  <c r="AP272" i="1"/>
  <c r="AQ272" i="1"/>
  <c r="AP260" i="1"/>
  <c r="AQ260" i="1"/>
  <c r="AP252" i="1"/>
  <c r="AQ252" i="1"/>
  <c r="AR244" i="1"/>
  <c r="AP244" i="1"/>
  <c r="AR220" i="1"/>
  <c r="AP220" i="1"/>
  <c r="AQ220" i="1"/>
  <c r="AP212" i="1"/>
  <c r="AQ212" i="1"/>
  <c r="AP180" i="1"/>
  <c r="AQ180" i="1"/>
  <c r="AP419" i="1"/>
  <c r="AQ419" i="1"/>
  <c r="AP287" i="1"/>
  <c r="AQ287" i="1"/>
  <c r="AP279" i="1"/>
  <c r="AQ279" i="1"/>
  <c r="AP203" i="1"/>
  <c r="AQ203" i="1"/>
  <c r="AP191" i="1"/>
  <c r="AQ191" i="1"/>
  <c r="AR435" i="1"/>
  <c r="AR415" i="1"/>
  <c r="AR391" i="1"/>
  <c r="AR383" i="1"/>
  <c r="AR375" i="1"/>
  <c r="AR347" i="1"/>
  <c r="AR323" i="1"/>
  <c r="AR311" i="1"/>
  <c r="AR291" i="1"/>
  <c r="AR267" i="1"/>
  <c r="AR259" i="1"/>
  <c r="AR243" i="1"/>
  <c r="AR231" i="1"/>
  <c r="AR223" i="1"/>
  <c r="AR203" i="1"/>
  <c r="AR187" i="1"/>
  <c r="AR171" i="1"/>
  <c r="AR155" i="1"/>
  <c r="AQ399" i="1"/>
  <c r="AQ383" i="1"/>
  <c r="AQ375" i="1"/>
  <c r="AQ319" i="1"/>
  <c r="AQ307" i="1"/>
  <c r="AQ291" i="1"/>
  <c r="AQ267" i="1"/>
  <c r="AQ239" i="1"/>
  <c r="AQ227" i="1"/>
  <c r="AQ199" i="1"/>
  <c r="AQ175" i="1"/>
  <c r="AP411" i="1"/>
  <c r="AP335" i="1"/>
  <c r="AQ270" i="1"/>
  <c r="AP270" i="1"/>
  <c r="AQ166" i="1"/>
  <c r="AP166" i="1"/>
  <c r="AO109" i="1"/>
  <c r="AO45" i="1"/>
  <c r="AP61" i="1"/>
  <c r="AP21" i="1"/>
  <c r="AP5" i="1"/>
  <c r="AO149" i="1"/>
  <c r="AO126" i="1"/>
  <c r="AO103" i="1"/>
  <c r="AO93" i="1"/>
  <c r="AO78" i="1"/>
  <c r="AO61" i="1"/>
  <c r="AO39" i="1"/>
  <c r="AO29" i="1"/>
  <c r="AO14" i="1"/>
  <c r="AP141" i="1"/>
  <c r="AP117" i="1"/>
  <c r="AP83" i="1"/>
  <c r="AP60" i="1"/>
  <c r="AP20" i="1"/>
  <c r="AQ139" i="1"/>
  <c r="AQ11" i="1"/>
  <c r="AR103" i="1"/>
  <c r="AR71" i="1"/>
  <c r="AR39" i="1"/>
  <c r="AR7" i="1"/>
  <c r="AO143" i="1"/>
  <c r="AO125" i="1"/>
  <c r="AO77" i="1"/>
  <c r="AO55" i="1"/>
  <c r="AO13" i="1"/>
  <c r="AP133" i="1"/>
  <c r="AP101" i="1"/>
  <c r="AP77" i="1"/>
  <c r="AP53" i="1"/>
  <c r="AP19" i="1"/>
  <c r="AQ107" i="1"/>
  <c r="AR135" i="1"/>
  <c r="AO141" i="1"/>
  <c r="AO119" i="1"/>
  <c r="AO101" i="1"/>
  <c r="AO85" i="1"/>
  <c r="AO63" i="1"/>
  <c r="AO47" i="1"/>
  <c r="AO37" i="1"/>
  <c r="AO21" i="1"/>
  <c r="AP149" i="1"/>
  <c r="AP125" i="1"/>
  <c r="AP85" i="1"/>
  <c r="AP69" i="1"/>
  <c r="AP37" i="1"/>
  <c r="AP13" i="1"/>
  <c r="AQ75" i="1"/>
  <c r="AR128" i="1"/>
  <c r="AR95" i="1"/>
  <c r="AR63" i="1"/>
  <c r="AR31" i="1"/>
  <c r="AQ373" i="1"/>
  <c r="AP373" i="1"/>
  <c r="AQ285" i="1"/>
  <c r="AP285" i="1"/>
  <c r="AR382" i="1"/>
  <c r="AR326" i="1"/>
  <c r="AR270" i="1"/>
  <c r="AR214" i="1"/>
  <c r="AQ430" i="1"/>
  <c r="AQ398" i="1"/>
  <c r="AQ366" i="1"/>
  <c r="AQ318" i="1"/>
  <c r="AQ302" i="1"/>
  <c r="AQ233" i="1"/>
  <c r="AQ217" i="1"/>
  <c r="AP422" i="1"/>
  <c r="AP366" i="1"/>
  <c r="AP326" i="1"/>
  <c r="AP245" i="1"/>
  <c r="AP230" i="1"/>
  <c r="AQ357" i="1"/>
  <c r="AP357" i="1"/>
  <c r="AR433" i="1"/>
  <c r="AR422" i="1"/>
  <c r="AR406" i="1"/>
  <c r="AR310" i="1"/>
  <c r="AR269" i="1"/>
  <c r="AR245" i="1"/>
  <c r="AR213" i="1"/>
  <c r="AR158" i="1"/>
  <c r="AQ334" i="1"/>
  <c r="AP437" i="1"/>
  <c r="AP213" i="1"/>
  <c r="AP190" i="1"/>
  <c r="AR146" i="1"/>
  <c r="AQ146" i="1"/>
  <c r="AR138" i="1"/>
  <c r="AQ138" i="1"/>
  <c r="AR130" i="1"/>
  <c r="AQ130" i="1"/>
  <c r="AR122" i="1"/>
  <c r="AQ122" i="1"/>
  <c r="AR114" i="1"/>
  <c r="AQ114" i="1"/>
  <c r="AR106" i="1"/>
  <c r="AQ106" i="1"/>
  <c r="AR98" i="1"/>
  <c r="AQ98" i="1"/>
  <c r="AR90" i="1"/>
  <c r="AQ90" i="1"/>
  <c r="AR82" i="1"/>
  <c r="AQ82" i="1"/>
  <c r="AR74" i="1"/>
  <c r="AQ74" i="1"/>
  <c r="AR66" i="1"/>
  <c r="AQ66" i="1"/>
  <c r="AR58" i="1"/>
  <c r="AQ58" i="1"/>
  <c r="AR50" i="1"/>
  <c r="AQ50" i="1"/>
  <c r="AR42" i="1"/>
  <c r="AQ42" i="1"/>
  <c r="AR34" i="1"/>
  <c r="AQ34" i="1"/>
  <c r="AR26" i="1"/>
  <c r="AQ26" i="1"/>
  <c r="AR18" i="1"/>
  <c r="AQ18" i="1"/>
  <c r="AR10" i="1"/>
  <c r="AQ10" i="1"/>
  <c r="AR430" i="1"/>
  <c r="AR390" i="1"/>
  <c r="AR334" i="1"/>
  <c r="AR294" i="1"/>
  <c r="AR277" i="1"/>
  <c r="AQ406" i="1"/>
  <c r="AQ390" i="1"/>
  <c r="AQ358" i="1"/>
  <c r="AQ294" i="1"/>
  <c r="AQ278" i="1"/>
  <c r="AP318" i="1"/>
  <c r="AP222" i="1"/>
  <c r="AP165" i="1"/>
  <c r="AP401" i="1"/>
  <c r="AQ401" i="1"/>
  <c r="AQ374" i="1"/>
  <c r="AQ158" i="1"/>
  <c r="AP413" i="1"/>
  <c r="AP374" i="1"/>
  <c r="AP221" i="1"/>
  <c r="AP182" i="1"/>
  <c r="AR413" i="1"/>
  <c r="AR262" i="1"/>
  <c r="AR221" i="1"/>
  <c r="AR165" i="1"/>
  <c r="AP246" i="1"/>
  <c r="AQ246" i="1"/>
  <c r="AP198" i="1"/>
  <c r="AQ198" i="1"/>
  <c r="AO142" i="1"/>
  <c r="AP123" i="1"/>
  <c r="AP100" i="1"/>
  <c r="AP59" i="1"/>
  <c r="AP36" i="1"/>
  <c r="AO118" i="1"/>
  <c r="AO54" i="1"/>
  <c r="AP140" i="1"/>
  <c r="AP99" i="1"/>
  <c r="AP76" i="1"/>
  <c r="AP35" i="1"/>
  <c r="AP12" i="1"/>
  <c r="AQ131" i="1"/>
  <c r="AQ99" i="1"/>
  <c r="AQ67" i="1"/>
  <c r="AQ35" i="1"/>
  <c r="AR152" i="1"/>
  <c r="AR120" i="1"/>
  <c r="AR88" i="1"/>
  <c r="AR56" i="1"/>
  <c r="AR24" i="1"/>
  <c r="AO135" i="1"/>
  <c r="AO117" i="1"/>
  <c r="AO94" i="1"/>
  <c r="AO71" i="1"/>
  <c r="AO53" i="1"/>
  <c r="AO30" i="1"/>
  <c r="AO7" i="1"/>
  <c r="AP139" i="1"/>
  <c r="AP116" i="1"/>
  <c r="AP93" i="1"/>
  <c r="AP75" i="1"/>
  <c r="AP52" i="1"/>
  <c r="AP29" i="1"/>
  <c r="AP11" i="1"/>
  <c r="AR151" i="1"/>
  <c r="AR119" i="1"/>
  <c r="AR87" i="1"/>
  <c r="AR55" i="1"/>
  <c r="AR23" i="1"/>
  <c r="AO134" i="1"/>
  <c r="AO111" i="1"/>
  <c r="AO70" i="1"/>
  <c r="AO6" i="1"/>
  <c r="AP115" i="1"/>
  <c r="AP92" i="1"/>
  <c r="AP51" i="1"/>
  <c r="AP28" i="1"/>
  <c r="AQ123" i="1"/>
  <c r="AQ91" i="1"/>
  <c r="AQ59" i="1"/>
  <c r="AQ27" i="1"/>
  <c r="AR144" i="1"/>
  <c r="AR112" i="1"/>
  <c r="AR80" i="1"/>
  <c r="AR48" i="1"/>
  <c r="AR16" i="1"/>
  <c r="AO151" i="1"/>
  <c r="AO133" i="1"/>
  <c r="AO110" i="1"/>
  <c r="AO87" i="1"/>
  <c r="AO69" i="1"/>
  <c r="AO46" i="1"/>
  <c r="AO23" i="1"/>
  <c r="AO5" i="1"/>
  <c r="AP132" i="1"/>
  <c r="AP109" i="1"/>
  <c r="AP91" i="1"/>
  <c r="AP68" i="1"/>
  <c r="AP45" i="1"/>
  <c r="AP27" i="1"/>
  <c r="AP4" i="1"/>
  <c r="AR143" i="1"/>
  <c r="AR111" i="1"/>
  <c r="AR79" i="1"/>
  <c r="AR47" i="1"/>
  <c r="AR15" i="1"/>
  <c r="AP131" i="1"/>
  <c r="AP108" i="1"/>
  <c r="AP67" i="1"/>
  <c r="AP44" i="1"/>
  <c r="AQ147" i="1"/>
  <c r="AQ115" i="1"/>
  <c r="AQ83" i="1"/>
  <c r="AQ51" i="1"/>
  <c r="AQ19" i="1"/>
  <c r="AR136" i="1"/>
  <c r="AR104" i="1"/>
  <c r="AP148" i="1"/>
  <c r="AP107" i="1"/>
  <c r="AP43" i="1"/>
  <c r="AP385" i="1"/>
  <c r="AQ385" i="1"/>
  <c r="AR385" i="1"/>
  <c r="AP345" i="1"/>
  <c r="AR345" i="1"/>
  <c r="AR297" i="1"/>
  <c r="AP280" i="1"/>
  <c r="AQ280" i="1"/>
  <c r="AP256" i="1"/>
  <c r="AQ256" i="1"/>
  <c r="AP232" i="1"/>
  <c r="AQ232" i="1"/>
  <c r="AP200" i="1"/>
  <c r="AQ200" i="1"/>
  <c r="AP168" i="1"/>
  <c r="AQ168" i="1"/>
  <c r="AP329" i="1"/>
  <c r="AR329" i="1"/>
  <c r="AP289" i="1"/>
  <c r="AQ289" i="1"/>
  <c r="AQ361" i="1"/>
  <c r="AP384" i="1"/>
  <c r="AQ384" i="1"/>
  <c r="AP360" i="1"/>
  <c r="AQ360" i="1"/>
  <c r="AP320" i="1"/>
  <c r="AQ320" i="1"/>
  <c r="AP296" i="1"/>
  <c r="AQ296" i="1"/>
  <c r="AP216" i="1"/>
  <c r="AQ216" i="1"/>
  <c r="AP184" i="1"/>
  <c r="AR184" i="1"/>
  <c r="AQ184" i="1"/>
  <c r="AR305" i="1"/>
  <c r="AQ345" i="1"/>
  <c r="AQ241" i="1"/>
  <c r="AR337" i="1"/>
  <c r="AQ408" i="1"/>
  <c r="AQ344" i="1"/>
  <c r="AQ240" i="1"/>
  <c r="AQ185" i="1"/>
  <c r="AP313" i="1"/>
  <c r="AP193" i="1"/>
  <c r="AP417" i="1"/>
  <c r="AQ417" i="1"/>
  <c r="AP161" i="1"/>
  <c r="AQ161" i="1"/>
  <c r="AR193" i="1"/>
  <c r="AQ425" i="1"/>
  <c r="AQ297" i="1"/>
  <c r="AP424" i="1"/>
  <c r="AQ424" i="1"/>
  <c r="AP416" i="1"/>
  <c r="AQ416" i="1"/>
  <c r="AP392" i="1"/>
  <c r="AQ392" i="1"/>
  <c r="AR376" i="1"/>
  <c r="AP376" i="1"/>
  <c r="AP352" i="1"/>
  <c r="AQ352" i="1"/>
  <c r="AP248" i="1"/>
  <c r="AQ248" i="1"/>
  <c r="AP224" i="1"/>
  <c r="AQ224" i="1"/>
  <c r="AP192" i="1"/>
  <c r="AQ192" i="1"/>
  <c r="AP160" i="1"/>
  <c r="AQ160" i="1"/>
  <c r="AQ201" i="1"/>
  <c r="AR361" i="1"/>
  <c r="AR313" i="1"/>
  <c r="AQ433" i="1"/>
  <c r="AQ369" i="1"/>
  <c r="AQ305" i="1"/>
  <c r="AP393" i="1"/>
  <c r="AR393" i="1"/>
  <c r="AP353" i="1"/>
  <c r="AQ353" i="1"/>
  <c r="AQ321" i="1"/>
  <c r="AR321" i="1"/>
  <c r="AP281" i="1"/>
  <c r="AR281" i="1"/>
  <c r="AQ257" i="1"/>
  <c r="AR257" i="1"/>
  <c r="AR369" i="1"/>
  <c r="AR289" i="1"/>
  <c r="AQ393" i="1"/>
  <c r="AQ368" i="1"/>
  <c r="AQ329" i="1"/>
  <c r="AQ249" i="1"/>
  <c r="AQ209" i="1"/>
  <c r="AQ169" i="1"/>
  <c r="AP409" i="1"/>
  <c r="AR409" i="1"/>
  <c r="AP265" i="1"/>
  <c r="AR265" i="1"/>
  <c r="AP225" i="1"/>
  <c r="AQ225" i="1"/>
  <c r="AR432" i="1"/>
  <c r="AP432" i="1"/>
  <c r="AP328" i="1"/>
  <c r="AQ328" i="1"/>
  <c r="AR312" i="1"/>
  <c r="AP312" i="1"/>
  <c r="AR304" i="1"/>
  <c r="AP304" i="1"/>
  <c r="AP288" i="1"/>
  <c r="AQ288" i="1"/>
  <c r="AP264" i="1"/>
  <c r="AQ264" i="1"/>
  <c r="AP176" i="1"/>
  <c r="AR176" i="1"/>
  <c r="AR401" i="1"/>
  <c r="AR240" i="1"/>
  <c r="AR185" i="1"/>
  <c r="AQ377" i="1"/>
  <c r="AQ208" i="1"/>
  <c r="AP434" i="1"/>
  <c r="AQ434" i="1"/>
  <c r="AP426" i="1"/>
  <c r="AQ426" i="1"/>
  <c r="AP418" i="1"/>
  <c r="AQ418" i="1"/>
  <c r="AR418" i="1"/>
  <c r="AP410" i="1"/>
  <c r="AQ410" i="1"/>
  <c r="AP402" i="1"/>
  <c r="AQ402" i="1"/>
  <c r="AR402" i="1"/>
  <c r="AP394" i="1"/>
  <c r="AQ394" i="1"/>
  <c r="AR394" i="1"/>
  <c r="AP386" i="1"/>
  <c r="AQ386" i="1"/>
  <c r="AP378" i="1"/>
  <c r="AQ378" i="1"/>
  <c r="AP370" i="1"/>
  <c r="AQ370" i="1"/>
  <c r="AP362" i="1"/>
  <c r="AQ362" i="1"/>
  <c r="AP354" i="1"/>
  <c r="AQ354" i="1"/>
  <c r="AR354" i="1"/>
  <c r="AP346" i="1"/>
  <c r="AQ346" i="1"/>
  <c r="AP338" i="1"/>
  <c r="AQ338" i="1"/>
  <c r="AR338" i="1"/>
  <c r="AP330" i="1"/>
  <c r="AQ330" i="1"/>
  <c r="AR330" i="1"/>
  <c r="AP322" i="1"/>
  <c r="AQ322" i="1"/>
  <c r="AP314" i="1"/>
  <c r="AQ314" i="1"/>
  <c r="AP306" i="1"/>
  <c r="AQ306" i="1"/>
  <c r="AP298" i="1"/>
  <c r="AQ298" i="1"/>
  <c r="AP290" i="1"/>
  <c r="AQ290" i="1"/>
  <c r="AR290" i="1"/>
  <c r="AP282" i="1"/>
  <c r="AQ282" i="1"/>
  <c r="AP274" i="1"/>
  <c r="AQ274" i="1"/>
  <c r="AR274" i="1"/>
  <c r="AP266" i="1"/>
  <c r="AQ266" i="1"/>
  <c r="AR266" i="1"/>
  <c r="AP258" i="1"/>
  <c r="AQ258" i="1"/>
  <c r="AR412" i="1"/>
  <c r="AR357" i="1"/>
  <c r="AR348" i="1"/>
  <c r="AR284" i="1"/>
  <c r="AR212" i="1"/>
  <c r="AR188" i="1"/>
  <c r="AQ364" i="1"/>
  <c r="AQ332" i="1"/>
  <c r="AQ300" i="1"/>
  <c r="AQ268" i="1"/>
  <c r="AQ236" i="1"/>
  <c r="AQ204" i="1"/>
  <c r="AQ172" i="1"/>
  <c r="AP420" i="1"/>
  <c r="AP405" i="1"/>
  <c r="AP269" i="1"/>
  <c r="AR292" i="1"/>
  <c r="AP429" i="1"/>
  <c r="AQ429" i="1"/>
  <c r="AP421" i="1"/>
  <c r="AQ421" i="1"/>
  <c r="AP389" i="1"/>
  <c r="AQ389" i="1"/>
  <c r="AP381" i="1"/>
  <c r="AQ381" i="1"/>
  <c r="AP365" i="1"/>
  <c r="AQ365" i="1"/>
  <c r="AP349" i="1"/>
  <c r="AQ349" i="1"/>
  <c r="AP341" i="1"/>
  <c r="AQ341" i="1"/>
  <c r="AP333" i="1"/>
  <c r="AQ333" i="1"/>
  <c r="AP325" i="1"/>
  <c r="AQ325" i="1"/>
  <c r="AP317" i="1"/>
  <c r="AQ317" i="1"/>
  <c r="AP309" i="1"/>
  <c r="AQ309" i="1"/>
  <c r="AP301" i="1"/>
  <c r="AQ301" i="1"/>
  <c r="AP293" i="1"/>
  <c r="AQ293" i="1"/>
  <c r="AP261" i="1"/>
  <c r="AQ261" i="1"/>
  <c r="AP253" i="1"/>
  <c r="AQ253" i="1"/>
  <c r="AP237" i="1"/>
  <c r="AQ237" i="1"/>
  <c r="AP229" i="1"/>
  <c r="AQ229" i="1"/>
  <c r="AP205" i="1"/>
  <c r="AQ205" i="1"/>
  <c r="AP197" i="1"/>
  <c r="AQ197" i="1"/>
  <c r="AP189" i="1"/>
  <c r="AQ189" i="1"/>
  <c r="AP181" i="1"/>
  <c r="AQ181" i="1"/>
  <c r="AP173" i="1"/>
  <c r="AQ173" i="1"/>
  <c r="AQ157" i="1"/>
  <c r="AP157" i="1"/>
  <c r="AR436" i="1"/>
  <c r="AR381" i="1"/>
  <c r="AR372" i="1"/>
  <c r="AR317" i="1"/>
  <c r="AR253" i="1"/>
  <c r="AP277" i="1"/>
  <c r="AO153" i="1"/>
  <c r="AP153" i="1"/>
  <c r="AQ153" i="1"/>
  <c r="AR153" i="1"/>
  <c r="AO145" i="1"/>
  <c r="AP145" i="1"/>
  <c r="AQ145" i="1"/>
  <c r="AR145" i="1"/>
  <c r="AO137" i="1"/>
  <c r="AP137" i="1"/>
  <c r="AQ137" i="1"/>
  <c r="AR137" i="1"/>
  <c r="AO129" i="1"/>
  <c r="AP129" i="1"/>
  <c r="AQ129" i="1"/>
  <c r="AR129" i="1"/>
  <c r="AO121" i="1"/>
  <c r="AP121" i="1"/>
  <c r="AQ121" i="1"/>
  <c r="AR121" i="1"/>
  <c r="AO113" i="1"/>
  <c r="AP113" i="1"/>
  <c r="AQ113" i="1"/>
  <c r="AR113" i="1"/>
  <c r="AO105" i="1"/>
  <c r="AP105" i="1"/>
  <c r="AQ105" i="1"/>
  <c r="AR105" i="1"/>
  <c r="AO97" i="1"/>
  <c r="AP97" i="1"/>
  <c r="AQ97" i="1"/>
  <c r="AR97" i="1"/>
  <c r="AO89" i="1"/>
  <c r="AP89" i="1"/>
  <c r="AQ89" i="1"/>
  <c r="AR89" i="1"/>
  <c r="AO81" i="1"/>
  <c r="AP81" i="1"/>
  <c r="AQ81" i="1"/>
  <c r="AR81" i="1"/>
  <c r="AO73" i="1"/>
  <c r="AP73" i="1"/>
  <c r="AQ73" i="1"/>
  <c r="AR73" i="1"/>
  <c r="AO65" i="1"/>
  <c r="AP65" i="1"/>
  <c r="AQ65" i="1"/>
  <c r="AR65" i="1"/>
  <c r="AO57" i="1"/>
  <c r="AP57" i="1"/>
  <c r="AQ57" i="1"/>
  <c r="AR57" i="1"/>
  <c r="AO49" i="1"/>
  <c r="AP49" i="1"/>
  <c r="AQ49" i="1"/>
  <c r="AR49" i="1"/>
  <c r="AO41" i="1"/>
  <c r="AP41" i="1"/>
  <c r="AQ41" i="1"/>
  <c r="AR41" i="1"/>
  <c r="AO33" i="1"/>
  <c r="AP33" i="1"/>
  <c r="AQ33" i="1"/>
  <c r="AR33" i="1"/>
  <c r="AO25" i="1"/>
  <c r="AP25" i="1"/>
  <c r="AQ25" i="1"/>
  <c r="AR25" i="1"/>
  <c r="AO17" i="1"/>
  <c r="AP17" i="1"/>
  <c r="AQ17" i="1"/>
  <c r="AR17" i="1"/>
  <c r="AO9" i="1"/>
  <c r="AP9" i="1"/>
  <c r="AQ9" i="1"/>
  <c r="AR9" i="1"/>
  <c r="AO148" i="1"/>
  <c r="AO140" i="1"/>
  <c r="AO132" i="1"/>
  <c r="AO124" i="1"/>
  <c r="AO116" i="1"/>
  <c r="AO108" i="1"/>
  <c r="AO100" i="1"/>
  <c r="AO92" i="1"/>
  <c r="AO84" i="1"/>
  <c r="AO76" i="1"/>
  <c r="AO68" i="1"/>
  <c r="AO60" i="1"/>
  <c r="AO52" i="1"/>
  <c r="AO44" i="1"/>
  <c r="AO36" i="1"/>
  <c r="AO28" i="1"/>
  <c r="AO20" i="1"/>
  <c r="AO12" i="1"/>
  <c r="AO4" i="1"/>
  <c r="AP146" i="1"/>
  <c r="AP138" i="1"/>
  <c r="AP130" i="1"/>
  <c r="AP122" i="1"/>
  <c r="AP114" i="1"/>
  <c r="AP106" i="1"/>
  <c r="AP98" i="1"/>
  <c r="AP90" i="1"/>
  <c r="AP82" i="1"/>
  <c r="AP74" i="1"/>
  <c r="AP66" i="1"/>
  <c r="AP58" i="1"/>
  <c r="AP50" i="1"/>
  <c r="AP42" i="1"/>
  <c r="AP34" i="1"/>
  <c r="AP26" i="1"/>
  <c r="AP18" i="1"/>
  <c r="AP10" i="1"/>
  <c r="AQ152" i="1"/>
  <c r="AQ144" i="1"/>
  <c r="AQ136" i="1"/>
  <c r="AQ128" i="1"/>
  <c r="AQ120" i="1"/>
  <c r="AQ112" i="1"/>
  <c r="AQ104" i="1"/>
  <c r="AQ96" i="1"/>
  <c r="AQ88" i="1"/>
  <c r="AQ80" i="1"/>
  <c r="AQ72" i="1"/>
  <c r="AQ64" i="1"/>
  <c r="AQ56" i="1"/>
  <c r="AQ48" i="1"/>
  <c r="AQ40" i="1"/>
  <c r="AQ32" i="1"/>
  <c r="AQ24" i="1"/>
  <c r="AQ16" i="1"/>
  <c r="AQ8" i="1"/>
  <c r="AR150" i="1"/>
  <c r="AR142" i="1"/>
  <c r="AR134" i="1"/>
  <c r="AR126" i="1"/>
  <c r="AR118" i="1"/>
  <c r="AR110" i="1"/>
  <c r="AR102" i="1"/>
  <c r="AR94" i="1"/>
  <c r="AR86" i="1"/>
  <c r="AR78" i="1"/>
  <c r="AR70" i="1"/>
  <c r="AR62" i="1"/>
  <c r="AR54" i="1"/>
  <c r="AR46" i="1"/>
  <c r="AR38" i="1"/>
  <c r="AR30" i="1"/>
  <c r="AR22" i="1"/>
  <c r="AR14" i="1"/>
  <c r="AR6" i="1"/>
  <c r="AO147" i="1"/>
  <c r="AO139" i="1"/>
  <c r="AO131" i="1"/>
  <c r="AO123" i="1"/>
  <c r="AO115" i="1"/>
  <c r="AO107" i="1"/>
  <c r="AO99" i="1"/>
  <c r="AO91" i="1"/>
  <c r="AO83" i="1"/>
  <c r="AO75" i="1"/>
  <c r="AO67" i="1"/>
  <c r="AO59" i="1"/>
  <c r="AO51" i="1"/>
  <c r="AO43" i="1"/>
  <c r="AO35" i="1"/>
  <c r="AO27" i="1"/>
  <c r="AO19" i="1"/>
  <c r="AO11" i="1"/>
  <c r="AQ151" i="1"/>
  <c r="AQ143" i="1"/>
  <c r="AQ135" i="1"/>
  <c r="AQ127" i="1"/>
  <c r="AQ119" i="1"/>
  <c r="AQ111" i="1"/>
  <c r="AQ103" i="1"/>
  <c r="AQ95" i="1"/>
  <c r="AQ87" i="1"/>
  <c r="AQ79" i="1"/>
  <c r="AQ71" i="1"/>
  <c r="AQ63" i="1"/>
  <c r="AQ55" i="1"/>
  <c r="AQ47" i="1"/>
  <c r="AQ39" i="1"/>
  <c r="AQ31" i="1"/>
  <c r="AQ23" i="1"/>
  <c r="AQ15" i="1"/>
  <c r="AQ7" i="1"/>
  <c r="AR149" i="1"/>
  <c r="AR141" i="1"/>
  <c r="AR133" i="1"/>
  <c r="AR125" i="1"/>
  <c r="AR117" i="1"/>
  <c r="AR109" i="1"/>
  <c r="AR101" i="1"/>
  <c r="AR93" i="1"/>
  <c r="AR85" i="1"/>
  <c r="AR77" i="1"/>
  <c r="AR69" i="1"/>
  <c r="AR61" i="1"/>
  <c r="AR53" i="1"/>
  <c r="AR45" i="1"/>
  <c r="AR37" i="1"/>
  <c r="AR29" i="1"/>
  <c r="AR21" i="1"/>
  <c r="AR13" i="1"/>
  <c r="AR5" i="1"/>
  <c r="AO146" i="1"/>
  <c r="AO138" i="1"/>
  <c r="AO130" i="1"/>
  <c r="AO122" i="1"/>
  <c r="AO114" i="1"/>
  <c r="AO106" i="1"/>
  <c r="AO98" i="1"/>
  <c r="AO90" i="1"/>
  <c r="AO82" i="1"/>
  <c r="AO74" i="1"/>
  <c r="AO66" i="1"/>
  <c r="AO58" i="1"/>
  <c r="AO50" i="1"/>
  <c r="AO42" i="1"/>
  <c r="AO34" i="1"/>
  <c r="AO26" i="1"/>
  <c r="AO18" i="1"/>
  <c r="AO10" i="1"/>
  <c r="AP152" i="1"/>
  <c r="AP144" i="1"/>
  <c r="AP136" i="1"/>
  <c r="AP128" i="1"/>
  <c r="AP120" i="1"/>
  <c r="AP112" i="1"/>
  <c r="AP104" i="1"/>
  <c r="AP96" i="1"/>
  <c r="AP88" i="1"/>
  <c r="AP80" i="1"/>
  <c r="AP72" i="1"/>
  <c r="AP64" i="1"/>
  <c r="AP56" i="1"/>
  <c r="AP48" i="1"/>
  <c r="AP40" i="1"/>
  <c r="AP32" i="1"/>
  <c r="AP24" i="1"/>
  <c r="AP16" i="1"/>
  <c r="AP8" i="1"/>
  <c r="AQ150" i="1"/>
  <c r="AQ142" i="1"/>
  <c r="AQ134" i="1"/>
  <c r="AQ126" i="1"/>
  <c r="AQ118" i="1"/>
  <c r="AQ110" i="1"/>
  <c r="AQ102" i="1"/>
  <c r="AQ94" i="1"/>
  <c r="AQ86" i="1"/>
  <c r="AQ78" i="1"/>
  <c r="AQ70" i="1"/>
  <c r="AQ62" i="1"/>
  <c r="AQ54" i="1"/>
  <c r="AQ46" i="1"/>
  <c r="AQ38" i="1"/>
  <c r="AQ30" i="1"/>
  <c r="AQ22" i="1"/>
  <c r="AQ14" i="1"/>
  <c r="AQ6" i="1"/>
  <c r="AR148" i="1"/>
  <c r="AR140" i="1"/>
  <c r="AR132" i="1"/>
  <c r="AR124" i="1"/>
  <c r="AR116" i="1"/>
  <c r="AR108" i="1"/>
  <c r="AR100" i="1"/>
  <c r="AR92" i="1"/>
  <c r="AR84" i="1"/>
  <c r="AR76" i="1"/>
  <c r="AR68" i="1"/>
  <c r="AR60" i="1"/>
  <c r="AR52" i="1"/>
  <c r="AR44" i="1"/>
  <c r="AR36" i="1"/>
  <c r="AR28" i="1"/>
  <c r="AR20" i="1"/>
  <c r="AR12" i="1"/>
  <c r="AR4" i="1"/>
  <c r="AR424" i="1"/>
  <c r="AR416" i="1"/>
  <c r="AR408" i="1"/>
  <c r="AR400" i="1"/>
  <c r="AR392" i="1"/>
  <c r="AR384" i="1"/>
  <c r="AR360" i="1"/>
  <c r="AR352" i="1"/>
  <c r="AR344" i="1"/>
  <c r="AR336" i="1"/>
  <c r="AR328" i="1"/>
  <c r="AR320" i="1"/>
  <c r="AR296" i="1"/>
  <c r="AR288" i="1"/>
  <c r="AR280" i="1"/>
  <c r="AR272" i="1"/>
  <c r="AR264" i="1"/>
  <c r="AR256" i="1"/>
  <c r="AR201" i="1"/>
  <c r="AR192" i="1"/>
  <c r="AR209" i="1"/>
  <c r="AR200" i="1"/>
  <c r="AR217" i="1"/>
  <c r="AR208" i="1"/>
  <c r="AR225" i="1"/>
  <c r="AR216" i="1"/>
  <c r="AR161" i="1"/>
  <c r="AR233" i="1"/>
  <c r="AR224" i="1"/>
  <c r="AR169" i="1"/>
  <c r="AR160" i="1"/>
  <c r="AR241" i="1"/>
  <c r="AR232" i="1"/>
  <c r="AR177" i="1"/>
  <c r="AR168" i="1"/>
  <c r="AP250" i="1"/>
  <c r="AR250" i="1"/>
  <c r="AP242" i="1"/>
  <c r="AR242" i="1"/>
  <c r="AP234" i="1"/>
  <c r="AR234" i="1"/>
  <c r="AP226" i="1"/>
  <c r="AR226" i="1"/>
  <c r="AP218" i="1"/>
  <c r="AR218" i="1"/>
  <c r="AP210" i="1"/>
  <c r="AR210" i="1"/>
  <c r="AP202" i="1"/>
  <c r="AR202" i="1"/>
  <c r="AP194" i="1"/>
  <c r="AR194" i="1"/>
  <c r="AP186" i="1"/>
  <c r="AR186" i="1"/>
  <c r="AP178" i="1"/>
  <c r="AR178" i="1"/>
  <c r="AP170" i="1"/>
  <c r="AR170" i="1"/>
  <c r="AP162" i="1"/>
  <c r="AR162" i="1"/>
  <c r="AP154" i="1"/>
  <c r="AR154" i="1"/>
  <c r="AU3" i="1" l="1"/>
  <c r="AT3" i="1"/>
  <c r="AS3" i="1"/>
  <c r="AN3" i="1"/>
  <c r="AM3" i="1"/>
  <c r="AO3" i="1" s="1"/>
  <c r="AL3" i="1"/>
  <c r="AF3" i="1"/>
  <c r="AE3" i="1"/>
  <c r="AD3" i="1"/>
  <c r="AU2" i="1"/>
  <c r="AT2" i="1"/>
  <c r="AS2" i="1"/>
  <c r="AN2" i="1"/>
  <c r="AM2" i="1"/>
  <c r="AR2" i="1" s="1"/>
  <c r="AL2" i="1"/>
  <c r="AF2" i="1"/>
  <c r="AE2" i="1"/>
  <c r="AD2" i="1"/>
  <c r="AP2" i="1" l="1"/>
  <c r="AO2" i="1"/>
  <c r="AP3" i="1"/>
  <c r="AQ2" i="1"/>
  <c r="AQ3" i="1"/>
  <c r="AR3" i="1"/>
  <c r="K4" i="21" l="1"/>
  <c r="G2" i="21"/>
  <c r="C2" i="21"/>
  <c r="G2" i="20" l="1"/>
  <c r="C2" i="20"/>
  <c r="K4" i="20"/>
  <c r="K4" i="13"/>
</calcChain>
</file>

<file path=xl/connections.xml><?xml version="1.0" encoding="utf-8"?>
<connections xmlns="http://schemas.openxmlformats.org/spreadsheetml/2006/main">
  <connection id="1" name="Query from AulliveTHOR" type="1" refreshedVersion="3" background="1" saveData="1">
    <dbPr connection="DSN=AulliveTHOR;Description=Aullive;UID=wally;APP=2007 Microsoft Office system;WSID=PC252;DATABASE=aullive;LANGUAGE=us_english;AutoTranslate=No" command="SELECT a.cert, a.status, a.administrator, a.automake, a.automodel, d.dealer_id, d.dealer_name, v.vendorname, _x000d__x000a__x0009__x0009_cl.status, cl.date_paid, cc.part_code, cc.failure_code, fc.failure_code_descr, fc.failure_code_group, sum(cc.component_value*-1)_x000d__x000a_FROM allsales a join dealers d on (a.dealer_id = d.dealer_id) join claims cl on (a.cert = cl.cert) _x000d__x000a__x0009__x0009_join claim_components cc on (cl.cert = cc.cert) join vendors v on (v.vendorcode = cl.payee_code) _x000d__x000a__x0009__x0009_join failure_codes fc on (fc.failure_code = cc.failure_code)_x000d__x000a_WHERE cl.date_paid &gt; '12/31/2010' and cl.date_paid &lt; '12/01/2011' and cl.status = 'paid' and _x000d__x000a__x0009__x0009_cl.claim_sequence = cc.claim_sequence and cl.payee_sequence = cc.payee_sequence_x000d__x000a_GROUP BY a.cert, a.status, a.administrator, a.automake, a.automodel, d.dealer_id, d.dealer_name, v.vendorname, _x000d__x000a__x0009__x0009_cl.status, cl.date_paid, cc.part_code, cc.failure_code, fc.failure_code_descr, fc.failure_code_group_x000d__x000a_"/>
  </connection>
</connections>
</file>

<file path=xl/sharedStrings.xml><?xml version="1.0" encoding="utf-8"?>
<sst xmlns="http://schemas.openxmlformats.org/spreadsheetml/2006/main" count="9859" uniqueCount="1181">
  <si>
    <t>cert</t>
  </si>
  <si>
    <t>administrator</t>
  </si>
  <si>
    <t>automake</t>
  </si>
  <si>
    <t>automodel</t>
  </si>
  <si>
    <t>dealer_id</t>
  </si>
  <si>
    <t>dealer_name</t>
  </si>
  <si>
    <t>vendorname</t>
  </si>
  <si>
    <t>date_paid</t>
  </si>
  <si>
    <t>failure_code</t>
  </si>
  <si>
    <t>failure_code_descr</t>
  </si>
  <si>
    <t>failure_code_group</t>
  </si>
  <si>
    <t>SNA</t>
  </si>
  <si>
    <t>BMW</t>
  </si>
  <si>
    <t>SALES TAX</t>
  </si>
  <si>
    <t>Other</t>
  </si>
  <si>
    <t>SNB</t>
  </si>
  <si>
    <t>NISSAN</t>
  </si>
  <si>
    <t>RNB</t>
  </si>
  <si>
    <t>JEEP</t>
  </si>
  <si>
    <t>DODGE</t>
  </si>
  <si>
    <t>CHEVROLET</t>
  </si>
  <si>
    <t>MERCURY</t>
  </si>
  <si>
    <t>FORD</t>
  </si>
  <si>
    <t>PONTIAC</t>
  </si>
  <si>
    <t>TOWING</t>
  </si>
  <si>
    <t>CHRYSLER</t>
  </si>
  <si>
    <t>HONDA</t>
  </si>
  <si>
    <t>SATURN</t>
  </si>
  <si>
    <t>CADILLAC</t>
  </si>
  <si>
    <t>LINCOLN</t>
  </si>
  <si>
    <t>GMC</t>
  </si>
  <si>
    <t>MERCEDES-BENZ</t>
  </si>
  <si>
    <t>TOYOTA</t>
  </si>
  <si>
    <t>SUBARU</t>
  </si>
  <si>
    <t>INFINITI</t>
  </si>
  <si>
    <t>KIA</t>
  </si>
  <si>
    <t>BUICK</t>
  </si>
  <si>
    <t>OLDSMOBILE</t>
  </si>
  <si>
    <t>LEXUS</t>
  </si>
  <si>
    <t>HYUNDAI</t>
  </si>
  <si>
    <t>VOLKSWAGEN</t>
  </si>
  <si>
    <t>HUMMER</t>
  </si>
  <si>
    <t>ACURA</t>
  </si>
  <si>
    <t>FLAT TIRE</t>
  </si>
  <si>
    <t>MAZDA</t>
  </si>
  <si>
    <t>MITSUBISHI</t>
  </si>
  <si>
    <t>OLW</t>
  </si>
  <si>
    <t>VOLVO</t>
  </si>
  <si>
    <t>RNA</t>
  </si>
  <si>
    <t>SUZUKI</t>
  </si>
  <si>
    <t>RTL</t>
  </si>
  <si>
    <t>ASF</t>
  </si>
  <si>
    <t>RVC</t>
  </si>
  <si>
    <t>RFB</t>
  </si>
  <si>
    <t>MINI</t>
  </si>
  <si>
    <t>RVB</t>
  </si>
  <si>
    <t>RCU</t>
  </si>
  <si>
    <t>RLW</t>
  </si>
  <si>
    <t>ISUZU</t>
  </si>
  <si>
    <t>AUDI</t>
  </si>
  <si>
    <t>ESY</t>
  </si>
  <si>
    <t>LAND ROVER</t>
  </si>
  <si>
    <t>RWP</t>
  </si>
  <si>
    <t>DSC</t>
  </si>
  <si>
    <t>SHIPPING</t>
  </si>
  <si>
    <t>JAGUAR</t>
  </si>
  <si>
    <t>NVA</t>
  </si>
  <si>
    <t>NSB</t>
  </si>
  <si>
    <t>RSB</t>
  </si>
  <si>
    <t>RTC</t>
  </si>
  <si>
    <t>SAAB</t>
  </si>
  <si>
    <t>DAA</t>
  </si>
  <si>
    <t>LTO</t>
  </si>
  <si>
    <t>NSA</t>
  </si>
  <si>
    <t>DAO</t>
  </si>
  <si>
    <t>SAO</t>
  </si>
  <si>
    <t>LWA</t>
  </si>
  <si>
    <t>PLYMOUTH</t>
  </si>
  <si>
    <t>DAEWOO</t>
  </si>
  <si>
    <t>RSG</t>
  </si>
  <si>
    <t>FSA</t>
  </si>
  <si>
    <t>SCION</t>
  </si>
  <si>
    <t>NVW</t>
  </si>
  <si>
    <t>RSA</t>
  </si>
  <si>
    <t>LDW</t>
  </si>
  <si>
    <t>GEO</t>
  </si>
  <si>
    <t>ATL</t>
  </si>
  <si>
    <t>FIV</t>
  </si>
  <si>
    <t>RFC</t>
  </si>
  <si>
    <t>RWN</t>
  </si>
  <si>
    <t>RSY</t>
  </si>
  <si>
    <t>FRC</t>
  </si>
  <si>
    <t>FWN</t>
  </si>
  <si>
    <t>part_code</t>
  </si>
  <si>
    <t>Labor</t>
  </si>
  <si>
    <t>Parts</t>
  </si>
  <si>
    <t>year paid</t>
  </si>
  <si>
    <t>month paid</t>
  </si>
  <si>
    <t>region</t>
  </si>
  <si>
    <t>AAO</t>
  </si>
  <si>
    <t>Asia</t>
  </si>
  <si>
    <t>ADO</t>
  </si>
  <si>
    <t>AMO</t>
  </si>
  <si>
    <t>AZO</t>
  </si>
  <si>
    <t>DAD</t>
  </si>
  <si>
    <t>DAF</t>
  </si>
  <si>
    <t>DCA</t>
  </si>
  <si>
    <t>DDO</t>
  </si>
  <si>
    <t>DNF</t>
  </si>
  <si>
    <t>Domestic</t>
  </si>
  <si>
    <t>FD</t>
  </si>
  <si>
    <t>EAGLE</t>
  </si>
  <si>
    <t>FWU</t>
  </si>
  <si>
    <t>GAO</t>
  </si>
  <si>
    <t>GDO</t>
  </si>
  <si>
    <t>GIP</t>
  </si>
  <si>
    <t>GNA</t>
  </si>
  <si>
    <t>GND</t>
  </si>
  <si>
    <t>GNP</t>
  </si>
  <si>
    <t>IA</t>
  </si>
  <si>
    <t>ID</t>
  </si>
  <si>
    <t>L</t>
  </si>
  <si>
    <t>LAN</t>
  </si>
  <si>
    <t>LAP</t>
  </si>
  <si>
    <t>Europe</t>
  </si>
  <si>
    <t>NAO</t>
  </si>
  <si>
    <t>NAT</t>
  </si>
  <si>
    <t>SCO</t>
  </si>
  <si>
    <t>SDO</t>
  </si>
  <si>
    <t>SFB</t>
  </si>
  <si>
    <t>SIP</t>
  </si>
  <si>
    <t>SND</t>
  </si>
  <si>
    <t>SNP</t>
  </si>
  <si>
    <t>SZD</t>
  </si>
  <si>
    <t>SZO</t>
  </si>
  <si>
    <t>CLW</t>
  </si>
  <si>
    <t>DLW</t>
  </si>
  <si>
    <t>FLW</t>
  </si>
  <si>
    <t>GLW</t>
  </si>
  <si>
    <t>HLW</t>
  </si>
  <si>
    <t>ILW</t>
  </si>
  <si>
    <t>JLW</t>
  </si>
  <si>
    <t>ELW</t>
  </si>
  <si>
    <t>(All)</t>
  </si>
  <si>
    <t>Grand Total</t>
  </si>
  <si>
    <t>LTC</t>
  </si>
  <si>
    <t>NLB</t>
  </si>
  <si>
    <t>RIC</t>
  </si>
  <si>
    <t>RTO</t>
  </si>
  <si>
    <t>SLB</t>
  </si>
  <si>
    <t>SUB</t>
  </si>
  <si>
    <t>DFL</t>
  </si>
  <si>
    <t>CMC</t>
  </si>
  <si>
    <t>DRN</t>
  </si>
  <si>
    <t>DRU</t>
  </si>
  <si>
    <t>INA</t>
  </si>
  <si>
    <t>NAW</t>
  </si>
  <si>
    <t>NTW</t>
  </si>
  <si>
    <t>status</t>
  </si>
  <si>
    <t>Claim Paid Amount</t>
  </si>
  <si>
    <t>Sum of Claim Paid Amount</t>
  </si>
  <si>
    <t>repair_order_no</t>
  </si>
  <si>
    <t>vin</t>
  </si>
  <si>
    <t>RTF</t>
  </si>
  <si>
    <t>SAB</t>
  </si>
  <si>
    <t>SDB</t>
  </si>
  <si>
    <t>Seals &amp; Gaskets</t>
  </si>
  <si>
    <t>SWP</t>
  </si>
  <si>
    <t>FFV</t>
  </si>
  <si>
    <t>RBB</t>
  </si>
  <si>
    <t>RSN</t>
  </si>
  <si>
    <t>RSU</t>
  </si>
  <si>
    <t>NWN</t>
  </si>
  <si>
    <t>GAD</t>
  </si>
  <si>
    <t>repair_order_date</t>
  </si>
  <si>
    <t>claims status</t>
  </si>
  <si>
    <t>automiles</t>
  </si>
  <si>
    <t>current_mileage</t>
  </si>
  <si>
    <t>month_sold</t>
  </si>
  <si>
    <t>trans_date</t>
  </si>
  <si>
    <t>vendor state</t>
  </si>
  <si>
    <t>days till pay</t>
  </si>
  <si>
    <t>days till claim</t>
  </si>
  <si>
    <t>miles till claim</t>
  </si>
  <si>
    <t>Report Date</t>
  </si>
  <si>
    <t>ASC</t>
  </si>
  <si>
    <t>SAA</t>
  </si>
  <si>
    <t>NAA</t>
  </si>
  <si>
    <t>FAB</t>
  </si>
  <si>
    <t>LCW</t>
  </si>
  <si>
    <t>NLC</t>
  </si>
  <si>
    <t>NSC</t>
  </si>
  <si>
    <t>RAL</t>
  </si>
  <si>
    <t>RAW</t>
  </si>
  <si>
    <t>RBW</t>
  </si>
  <si>
    <t>RCB</t>
  </si>
  <si>
    <t>RFL</t>
  </si>
  <si>
    <t>RVD</t>
  </si>
  <si>
    <t>SAP</t>
  </si>
  <si>
    <t>NAN</t>
  </si>
  <si>
    <t>SCB</t>
  </si>
  <si>
    <t>SFC</t>
  </si>
  <si>
    <t>SFI</t>
  </si>
  <si>
    <t>SFU</t>
  </si>
  <si>
    <t>RFN</t>
  </si>
  <si>
    <t>SNC</t>
  </si>
  <si>
    <t>NDC</t>
  </si>
  <si>
    <t>SWC</t>
  </si>
  <si>
    <t>Values</t>
  </si>
  <si>
    <t>Average of days till claim</t>
  </si>
  <si>
    <t>Average of miles till claim</t>
  </si>
  <si>
    <t>claim_sequence</t>
  </si>
  <si>
    <t>Claim Number</t>
  </si>
  <si>
    <t>RBC</t>
  </si>
  <si>
    <t>RFF</t>
  </si>
  <si>
    <t>RNC</t>
  </si>
  <si>
    <t>RSC</t>
  </si>
  <si>
    <t>RDC</t>
  </si>
  <si>
    <t>RWC</t>
  </si>
  <si>
    <t>RFT</t>
  </si>
  <si>
    <t>RTB</t>
  </si>
  <si>
    <t>SCC</t>
  </si>
  <si>
    <t>ZBO</t>
  </si>
  <si>
    <t>payee_sequence</t>
  </si>
  <si>
    <t>$ &lt; 30 Days</t>
  </si>
  <si>
    <t>$ 30 -60 Days</t>
  </si>
  <si>
    <t>$ 60 - 90 Days</t>
  </si>
  <si>
    <t>$ &gt; 90 Days</t>
  </si>
  <si>
    <t>$ &lt; 30 Daysx</t>
  </si>
  <si>
    <t>$ 30 -60 Daysx</t>
  </si>
  <si>
    <t>$ 60 - 90 Daysx</t>
  </si>
  <si>
    <t>$ &gt; 90 Daysx</t>
  </si>
  <si>
    <t>BLW</t>
  </si>
  <si>
    <t>FMO</t>
  </si>
  <si>
    <t>GNO</t>
  </si>
  <si>
    <t>CCW</t>
  </si>
  <si>
    <t>IWA</t>
  </si>
  <si>
    <t>AM4</t>
  </si>
  <si>
    <t>ES2</t>
  </si>
  <si>
    <t>FAC</t>
  </si>
  <si>
    <t>FI2</t>
  </si>
  <si>
    <t>FM2</t>
  </si>
  <si>
    <t>RLU</t>
  </si>
  <si>
    <t>RCL</t>
  </si>
  <si>
    <t>FF2</t>
  </si>
  <si>
    <t>RWL</t>
  </si>
  <si>
    <t>RUC</t>
  </si>
  <si>
    <t>RLC</t>
  </si>
  <si>
    <t>RIW</t>
  </si>
  <si>
    <t>RS2</t>
  </si>
  <si>
    <t>SBO</t>
  </si>
  <si>
    <t>CBO</t>
  </si>
  <si>
    <t>Claims Paid Summary</t>
  </si>
  <si>
    <t>Claims Paid Behavior</t>
  </si>
  <si>
    <t>part_code2</t>
  </si>
  <si>
    <t>Total</t>
  </si>
  <si>
    <t>Goodwill</t>
  </si>
  <si>
    <t>SNF</t>
  </si>
  <si>
    <t>BATTERY JU</t>
  </si>
  <si>
    <t>DISPATCH F</t>
  </si>
  <si>
    <t>KEY LOCKOU</t>
  </si>
  <si>
    <t>Used Car Programs</t>
  </si>
  <si>
    <t>ASG</t>
  </si>
  <si>
    <t>AAE</t>
  </si>
  <si>
    <t>AAF</t>
  </si>
  <si>
    <t>AAN</t>
  </si>
  <si>
    <t>New Car Programs</t>
  </si>
  <si>
    <t>AL1</t>
  </si>
  <si>
    <t>Absolute</t>
  </si>
  <si>
    <t>AL2</t>
  </si>
  <si>
    <t>ATW</t>
  </si>
  <si>
    <t>ATE</t>
  </si>
  <si>
    <t>V12</t>
  </si>
  <si>
    <t>ABI</t>
  </si>
  <si>
    <t>ABF</t>
  </si>
  <si>
    <t>ABN</t>
  </si>
  <si>
    <t>ABB</t>
  </si>
  <si>
    <t>ABJ</t>
  </si>
  <si>
    <t>ABO</t>
  </si>
  <si>
    <t>ARC</t>
  </si>
  <si>
    <t>ALW</t>
  </si>
  <si>
    <t>ALP</t>
  </si>
  <si>
    <t>ACW</t>
  </si>
  <si>
    <t>ACP</t>
  </si>
  <si>
    <t>ACL</t>
  </si>
  <si>
    <t>FLR</t>
  </si>
  <si>
    <t>FCW</t>
  </si>
  <si>
    <t>FCP</t>
  </si>
  <si>
    <t>FWW</t>
  </si>
  <si>
    <t>FLP</t>
  </si>
  <si>
    <t>FCL</t>
  </si>
  <si>
    <t>RR1</t>
  </si>
  <si>
    <t>RR2</t>
  </si>
  <si>
    <t>RR3</t>
  </si>
  <si>
    <t>RR4</t>
  </si>
  <si>
    <t>RR5</t>
  </si>
  <si>
    <t>RR6</t>
  </si>
  <si>
    <t>APL</t>
  </si>
  <si>
    <t>RPL</t>
  </si>
  <si>
    <t>SLW</t>
  </si>
  <si>
    <t>SLP</t>
  </si>
  <si>
    <t>KBB</t>
  </si>
  <si>
    <t>KBP</t>
  </si>
  <si>
    <t>SLC</t>
  </si>
  <si>
    <t>TYS</t>
  </si>
  <si>
    <t>AGP</t>
  </si>
  <si>
    <t>AHP</t>
  </si>
  <si>
    <t>EA2</t>
  </si>
  <si>
    <t>FS2</t>
  </si>
  <si>
    <t>FWP</t>
  </si>
  <si>
    <t>JNC</t>
  </si>
  <si>
    <t>LBW</t>
  </si>
  <si>
    <t>NSR</t>
  </si>
  <si>
    <t>SRF</t>
  </si>
  <si>
    <t>SRN</t>
  </si>
  <si>
    <t>SRI</t>
  </si>
  <si>
    <t>PAC</t>
  </si>
  <si>
    <t>PNE</t>
  </si>
  <si>
    <t>PSG</t>
  </si>
  <si>
    <t>RPS</t>
  </si>
  <si>
    <t>RC2</t>
  </si>
  <si>
    <t>RBE</t>
  </si>
  <si>
    <t>RCI</t>
  </si>
  <si>
    <t>RCC</t>
  </si>
  <si>
    <t>RIV</t>
  </si>
  <si>
    <t>RNE</t>
  </si>
  <si>
    <t>RNF</t>
  </si>
  <si>
    <t>RLI</t>
  </si>
  <si>
    <t>RLF</t>
  </si>
  <si>
    <t>RIT</t>
  </si>
  <si>
    <t>RTT</t>
  </si>
  <si>
    <t>SCD</t>
  </si>
  <si>
    <t>SNE</t>
  </si>
  <si>
    <t>FNE</t>
  </si>
  <si>
    <t>FNF</t>
  </si>
  <si>
    <t>SC1</t>
  </si>
  <si>
    <t>SFE</t>
  </si>
  <si>
    <t>SAI</t>
  </si>
  <si>
    <t>SAF</t>
  </si>
  <si>
    <t>SLF</t>
  </si>
  <si>
    <t>PLE</t>
  </si>
  <si>
    <t>VFE</t>
  </si>
  <si>
    <t>NAI</t>
  </si>
  <si>
    <t>MAG</t>
  </si>
  <si>
    <t>SAC</t>
  </si>
  <si>
    <t>UFC</t>
  </si>
  <si>
    <t>SDF</t>
  </si>
  <si>
    <t>RCS</t>
  </si>
  <si>
    <t>CAT</t>
  </si>
  <si>
    <t>KLW</t>
  </si>
  <si>
    <t>Part Code</t>
  </si>
  <si>
    <t>Part Code 2</t>
  </si>
  <si>
    <t>Towing &amp; Roadside</t>
  </si>
  <si>
    <t>HANDLING F</t>
  </si>
  <si>
    <t>Handling &amp; Shipping</t>
  </si>
  <si>
    <t>Deductible</t>
  </si>
  <si>
    <t>PAID</t>
  </si>
  <si>
    <t>Paid</t>
  </si>
  <si>
    <t>Elec</t>
  </si>
  <si>
    <t>VA</t>
  </si>
  <si>
    <t>OTH35N</t>
  </si>
  <si>
    <t>INSPECTION</t>
  </si>
  <si>
    <t>EL1000</t>
  </si>
  <si>
    <t>Alternator</t>
  </si>
  <si>
    <t>Engine</t>
  </si>
  <si>
    <t>Cool</t>
  </si>
  <si>
    <t>Diff</t>
  </si>
  <si>
    <t>EN1070</t>
  </si>
  <si>
    <t>Coolant</t>
  </si>
  <si>
    <t>Trans</t>
  </si>
  <si>
    <t>TR3602</t>
  </si>
  <si>
    <t>Transmission - Remanufactured</t>
  </si>
  <si>
    <t>TR2120</t>
  </si>
  <si>
    <t>Transmission Fluid</t>
  </si>
  <si>
    <t>Year Sold</t>
  </si>
  <si>
    <t>Month Sold</t>
  </si>
  <si>
    <t>Claims Paid by Vendor</t>
  </si>
  <si>
    <t xml:space="preserve"> Warranty Inspection Services</t>
  </si>
  <si>
    <t>TX</t>
  </si>
  <si>
    <t>RENTAL</t>
  </si>
  <si>
    <t>Post Period</t>
  </si>
  <si>
    <t>Post Period Date</t>
  </si>
  <si>
    <t>Processed</t>
  </si>
  <si>
    <t>EMERGENCY</t>
  </si>
  <si>
    <t>CH230353B7</t>
  </si>
  <si>
    <t>4S681252A9</t>
  </si>
  <si>
    <t>CW122057C9</t>
  </si>
  <si>
    <t>DC598170I8</t>
  </si>
  <si>
    <t>Ford</t>
  </si>
  <si>
    <t>BF116002D9</t>
  </si>
  <si>
    <t>HBB30759D9</t>
  </si>
  <si>
    <t>C6116284E9</t>
  </si>
  <si>
    <t>Program Group 2</t>
  </si>
  <si>
    <t>New_Used</t>
  </si>
  <si>
    <t>AM5</t>
  </si>
  <si>
    <t>Warranties</t>
  </si>
  <si>
    <t>ATF</t>
  </si>
  <si>
    <t>ARS</t>
  </si>
  <si>
    <t>PLW</t>
  </si>
  <si>
    <t>PLP</t>
  </si>
  <si>
    <t>PL2</t>
  </si>
  <si>
    <t>RPG</t>
  </si>
  <si>
    <t>RNW</t>
  </si>
  <si>
    <t>RNP</t>
  </si>
  <si>
    <t>AL3</t>
  </si>
  <si>
    <t>AL4</t>
  </si>
  <si>
    <t>GLC</t>
  </si>
  <si>
    <t>GLP</t>
  </si>
  <si>
    <t>RFW</t>
  </si>
  <si>
    <t>RFP</t>
  </si>
  <si>
    <t>RHF</t>
  </si>
  <si>
    <t>WLW</t>
  </si>
  <si>
    <t>WLP</t>
  </si>
  <si>
    <t>SRC</t>
  </si>
  <si>
    <t>X01</t>
  </si>
  <si>
    <t>X03</t>
  </si>
  <si>
    <t>X05</t>
  </si>
  <si>
    <t>FIR</t>
  </si>
  <si>
    <t>BRP</t>
  </si>
  <si>
    <t>Component Programs</t>
  </si>
  <si>
    <t>LB2</t>
  </si>
  <si>
    <t>LPW</t>
  </si>
  <si>
    <t>Loss Damage Waiver</t>
  </si>
  <si>
    <t>MNF</t>
  </si>
  <si>
    <t>MIG</t>
  </si>
  <si>
    <t>RIG</t>
  </si>
  <si>
    <t>MBG</t>
  </si>
  <si>
    <t>NSD</t>
  </si>
  <si>
    <t>NXC</t>
  </si>
  <si>
    <t>SFN</t>
  </si>
  <si>
    <t>PAE</t>
  </si>
  <si>
    <t>RAE</t>
  </si>
  <si>
    <t>RAS</t>
  </si>
  <si>
    <t>RE2</t>
  </si>
  <si>
    <t>RNS</t>
  </si>
  <si>
    <t>RS1</t>
  </si>
  <si>
    <t>NSF</t>
  </si>
  <si>
    <t>RS3</t>
  </si>
  <si>
    <t>RCV</t>
  </si>
  <si>
    <t>SBE</t>
  </si>
  <si>
    <t>SFX</t>
  </si>
  <si>
    <t>RFA</t>
  </si>
  <si>
    <t>Sentinel</t>
  </si>
  <si>
    <t>SNG</t>
  </si>
  <si>
    <t>RNG</t>
  </si>
  <si>
    <t>SXC</t>
  </si>
  <si>
    <t>SXE</t>
  </si>
  <si>
    <t>SXF</t>
  </si>
  <si>
    <t>SGE</t>
  </si>
  <si>
    <t>SWF</t>
  </si>
  <si>
    <t>OCW</t>
  </si>
  <si>
    <t>SCF</t>
  </si>
  <si>
    <t>SPF</t>
  </si>
  <si>
    <t>RPF</t>
  </si>
  <si>
    <t>AMF</t>
  </si>
  <si>
    <t>BRI</t>
  </si>
  <si>
    <t>FXF</t>
  </si>
  <si>
    <t>RFE</t>
  </si>
  <si>
    <t>RFR</t>
  </si>
  <si>
    <t>TFS</t>
  </si>
  <si>
    <t>SNH</t>
  </si>
  <si>
    <t>SNJ</t>
  </si>
  <si>
    <t>SSE</t>
  </si>
  <si>
    <t>MNE</t>
  </si>
  <si>
    <t>ZAG</t>
  </si>
  <si>
    <t>PBR</t>
  </si>
  <si>
    <t>RC0</t>
  </si>
  <si>
    <t>SC2</t>
  </si>
  <si>
    <t>SC3</t>
  </si>
  <si>
    <t>SC4</t>
  </si>
  <si>
    <t>SC5</t>
  </si>
  <si>
    <t>SRE</t>
  </si>
  <si>
    <t>MGA</t>
  </si>
  <si>
    <t>MAX</t>
  </si>
  <si>
    <t>UA2</t>
  </si>
  <si>
    <t>UF2</t>
  </si>
  <si>
    <t>SWX</t>
  </si>
  <si>
    <t>RDF</t>
  </si>
  <si>
    <t>SDX</t>
  </si>
  <si>
    <t>WFC</t>
  </si>
  <si>
    <t>SCS</t>
  </si>
  <si>
    <t>RMF</t>
  </si>
  <si>
    <t>RME</t>
  </si>
  <si>
    <t>ABD</t>
  </si>
  <si>
    <t>ABE</t>
  </si>
  <si>
    <t>ART</t>
  </si>
  <si>
    <t>AUN</t>
  </si>
  <si>
    <t>BNE</t>
  </si>
  <si>
    <t>CAM</t>
  </si>
  <si>
    <t>CNF</t>
  </si>
  <si>
    <t>FAM</t>
  </si>
  <si>
    <t>FGF</t>
  </si>
  <si>
    <t>FP2</t>
  </si>
  <si>
    <t>FTP</t>
  </si>
  <si>
    <t>FUN</t>
  </si>
  <si>
    <t>GFE</t>
  </si>
  <si>
    <t>HON</t>
  </si>
  <si>
    <t>NEW</t>
  </si>
  <si>
    <t>NLE</t>
  </si>
  <si>
    <t>NRX</t>
  </si>
  <si>
    <t>NSE</t>
  </si>
  <si>
    <t>NXE</t>
  </si>
  <si>
    <t>PSD</t>
  </si>
  <si>
    <t>PTP</t>
  </si>
  <si>
    <t>R2P</t>
  </si>
  <si>
    <t>R2W</t>
  </si>
  <si>
    <t>RDO</t>
  </si>
  <si>
    <t>RFG</t>
  </si>
  <si>
    <t>RKH</t>
  </si>
  <si>
    <t>RKP</t>
  </si>
  <si>
    <t>RKW</t>
  </si>
  <si>
    <t>RLE</t>
  </si>
  <si>
    <t>RPP</t>
  </si>
  <si>
    <t>RRG</t>
  </si>
  <si>
    <t>RRP</t>
  </si>
  <si>
    <t>RRW</t>
  </si>
  <si>
    <t>RSE</t>
  </si>
  <si>
    <t>RTP</t>
  </si>
  <si>
    <t>RTW</t>
  </si>
  <si>
    <t>RUA</t>
  </si>
  <si>
    <t>RUF</t>
  </si>
  <si>
    <t>RUN</t>
  </si>
  <si>
    <t>RV1</t>
  </si>
  <si>
    <t>RVF</t>
  </si>
  <si>
    <t>SFD</t>
  </si>
  <si>
    <t>SNR</t>
  </si>
  <si>
    <t>SRD</t>
  </si>
  <si>
    <t>STL</t>
  </si>
  <si>
    <t>TFX</t>
  </si>
  <si>
    <t>VNF</t>
  </si>
  <si>
    <t>RPT</t>
  </si>
  <si>
    <t>RPD</t>
  </si>
  <si>
    <t>DR102815C9</t>
  </si>
  <si>
    <t>CA235566C9</t>
  </si>
  <si>
    <t>Contracts to Exclude</t>
  </si>
  <si>
    <t>DGP</t>
  </si>
  <si>
    <t>PPT</t>
  </si>
  <si>
    <t>CSW</t>
  </si>
  <si>
    <t>HO2</t>
  </si>
  <si>
    <t>AUT</t>
  </si>
  <si>
    <t>VXF</t>
  </si>
  <si>
    <t>RP2</t>
  </si>
  <si>
    <t>RV2</t>
  </si>
  <si>
    <t>Chevrolet</t>
  </si>
  <si>
    <t>NULL</t>
  </si>
  <si>
    <t>Diagnosis is not always coded properly and will be captured in other component groups</t>
  </si>
  <si>
    <t>Claims Paid by Automake</t>
  </si>
  <si>
    <t>Retained</t>
  </si>
  <si>
    <t>Non-retained</t>
  </si>
  <si>
    <t>PLL</t>
  </si>
  <si>
    <t>WFI</t>
  </si>
  <si>
    <t>AXP</t>
  </si>
  <si>
    <t>AXR</t>
  </si>
  <si>
    <t>AXT</t>
  </si>
  <si>
    <t>AZP</t>
  </si>
  <si>
    <t>NST</t>
  </si>
  <si>
    <t>PXR</t>
  </si>
  <si>
    <t>QA2</t>
  </si>
  <si>
    <t>RVP</t>
  </si>
  <si>
    <t>RVW</t>
  </si>
  <si>
    <t>RYP</t>
  </si>
  <si>
    <t>RYW</t>
  </si>
  <si>
    <t>SXR</t>
  </si>
  <si>
    <t>SXT</t>
  </si>
  <si>
    <t>UXR</t>
  </si>
  <si>
    <t>XAT</t>
  </si>
  <si>
    <t>SCU</t>
  </si>
  <si>
    <t>ACU</t>
  </si>
  <si>
    <t>Program Ceding Type</t>
  </si>
  <si>
    <t>Inspection</t>
  </si>
  <si>
    <t>Rental</t>
  </si>
  <si>
    <t>Sales Tax</t>
  </si>
  <si>
    <t>Cancelled</t>
  </si>
  <si>
    <t>ST1000</t>
  </si>
  <si>
    <t>Alignment</t>
  </si>
  <si>
    <t>Misc. Labor</t>
  </si>
  <si>
    <t>Aircon</t>
  </si>
  <si>
    <t>AC1140</t>
  </si>
  <si>
    <t>Evacuate And Recharge</t>
  </si>
  <si>
    <t>Susp</t>
  </si>
  <si>
    <t>EN1010</t>
  </si>
  <si>
    <t>Bolts</t>
  </si>
  <si>
    <t>Brakes</t>
  </si>
  <si>
    <t>Fuel</t>
  </si>
  <si>
    <t>AC1271</t>
  </si>
  <si>
    <t>Refrigerant - Freon</t>
  </si>
  <si>
    <t>AC1300</t>
  </si>
  <si>
    <t>Condensor</t>
  </si>
  <si>
    <t>EN1890</t>
  </si>
  <si>
    <t>Valve Cover Gasket</t>
  </si>
  <si>
    <t>EL4051</t>
  </si>
  <si>
    <t>Connector</t>
  </si>
  <si>
    <t>EN1570</t>
  </si>
  <si>
    <t>Timing Chain</t>
  </si>
  <si>
    <t>EL4050</t>
  </si>
  <si>
    <t>Reprogramming</t>
  </si>
  <si>
    <t>EL1810</t>
  </si>
  <si>
    <t>Starter Motor</t>
  </si>
  <si>
    <t>BR1111</t>
  </si>
  <si>
    <t>Right Front Brake Caliper</t>
  </si>
  <si>
    <t>EN1320</t>
  </si>
  <si>
    <t>Oil</t>
  </si>
  <si>
    <t>Equinox</t>
  </si>
  <si>
    <t>Accessory</t>
  </si>
  <si>
    <t>Vehicle Administration Services LTD</t>
  </si>
  <si>
    <t>RS1020</t>
  </si>
  <si>
    <t>BATTERY JUMP</t>
  </si>
  <si>
    <t>RS1061</t>
  </si>
  <si>
    <t>DISPATCH FEE</t>
  </si>
  <si>
    <t>Tahoe</t>
  </si>
  <si>
    <t>Gmc</t>
  </si>
  <si>
    <t>Impala</t>
  </si>
  <si>
    <t>IL</t>
  </si>
  <si>
    <t>Acadia</t>
  </si>
  <si>
    <t>EC2345</t>
  </si>
  <si>
    <t>Thermostat</t>
  </si>
  <si>
    <t>EN1301</t>
  </si>
  <si>
    <t>Intake Manifold Gasket Seals</t>
  </si>
  <si>
    <t>SU1943</t>
  </si>
  <si>
    <t>Rear Shock Absorbers</t>
  </si>
  <si>
    <t>Ram</t>
  </si>
  <si>
    <t>SU1953</t>
  </si>
  <si>
    <t>Both Front Struts</t>
  </si>
  <si>
    <t>DA1650</t>
  </si>
  <si>
    <t>Axle Seal</t>
  </si>
  <si>
    <t>Steering</t>
  </si>
  <si>
    <t>EL4181</t>
  </si>
  <si>
    <t>Lane Departure Module</t>
  </si>
  <si>
    <t>Malibu</t>
  </si>
  <si>
    <t>EN2418</t>
  </si>
  <si>
    <t>Variable Valve Timing Solenoid (External)</t>
  </si>
  <si>
    <t>AC1100</t>
  </si>
  <si>
    <t>Compressor</t>
  </si>
  <si>
    <t>Yukon</t>
  </si>
  <si>
    <t>EM1120</t>
  </si>
  <si>
    <t>Oxygen Sensor B1S1</t>
  </si>
  <si>
    <t>ST1450</t>
  </si>
  <si>
    <t>Rack and Pinion</t>
  </si>
  <si>
    <t>SU1820</t>
  </si>
  <si>
    <t>Stabilizer Links</t>
  </si>
  <si>
    <t>EN1190</t>
  </si>
  <si>
    <t>Engine Mount Front</t>
  </si>
  <si>
    <t>EN2190</t>
  </si>
  <si>
    <t>Lifter</t>
  </si>
  <si>
    <t>SU1391</t>
  </si>
  <si>
    <t>Left Front Wheel Bearing</t>
  </si>
  <si>
    <t>SU1800</t>
  </si>
  <si>
    <t>Strut</t>
  </si>
  <si>
    <t>EN2417</t>
  </si>
  <si>
    <t>Variable Valve Timing Actuator</t>
  </si>
  <si>
    <t>SU1974</t>
  </si>
  <si>
    <t>Stabilizer Links Front</t>
  </si>
  <si>
    <t>EC1234</t>
  </si>
  <si>
    <t>Water Pump</t>
  </si>
  <si>
    <t>SU1591</t>
  </si>
  <si>
    <t>Right Front Lower Control Arm</t>
  </si>
  <si>
    <t>SU1870</t>
  </si>
  <si>
    <t>Front Shock Absorbers</t>
  </si>
  <si>
    <t>EC1161</t>
  </si>
  <si>
    <t>Serpentine Belt Tensioner</t>
  </si>
  <si>
    <t>TR2700</t>
  </si>
  <si>
    <t>Valve Body</t>
  </si>
  <si>
    <t>Body/Frame</t>
  </si>
  <si>
    <t>DA1471</t>
  </si>
  <si>
    <t>Differential Inspection Cover Gasket</t>
  </si>
  <si>
    <t>DA1752</t>
  </si>
  <si>
    <t>Differential Fluid</t>
  </si>
  <si>
    <t>AC1350</t>
  </si>
  <si>
    <t>Evaporator Seal</t>
  </si>
  <si>
    <t>AC1434</t>
  </si>
  <si>
    <t>AC Oring</t>
  </si>
  <si>
    <t>EN2432</t>
  </si>
  <si>
    <t>Cylinder Head Gasket Set</t>
  </si>
  <si>
    <t>EN2484</t>
  </si>
  <si>
    <t>Valve Lifter Oil Manifold</t>
  </si>
  <si>
    <t>EN2250</t>
  </si>
  <si>
    <t>Front Crankshaft Seal</t>
  </si>
  <si>
    <t>EN1200</t>
  </si>
  <si>
    <t>Exhaust Manifold Gasket</t>
  </si>
  <si>
    <t>RE1060</t>
  </si>
  <si>
    <t>Over 5 Days Rental Car</t>
  </si>
  <si>
    <t>RS1060</t>
  </si>
  <si>
    <t>Towing</t>
  </si>
  <si>
    <t>Buick</t>
  </si>
  <si>
    <t>Verano</t>
  </si>
  <si>
    <t>MS1040</t>
  </si>
  <si>
    <t>Sublet</t>
  </si>
  <si>
    <t>Suburban</t>
  </si>
  <si>
    <t>AC1150</t>
  </si>
  <si>
    <t>Evaporator Core Front</t>
  </si>
  <si>
    <t>SU1929</t>
  </si>
  <si>
    <t>Both Front Wheel Bearings</t>
  </si>
  <si>
    <t>SU1041</t>
  </si>
  <si>
    <t>Left Front Lower Control Arm</t>
  </si>
  <si>
    <t>GWR</t>
  </si>
  <si>
    <t>1GYS4JKJ5GR441101</t>
  </si>
  <si>
    <t>APC500205</t>
  </si>
  <si>
    <t>Cadillac</t>
  </si>
  <si>
    <t>Escalade ESV</t>
  </si>
  <si>
    <t>Arnie Bauer Buick GMC Cadillac</t>
  </si>
  <si>
    <t>2GNALDEK1H1507638</t>
  </si>
  <si>
    <t>APC100174</t>
  </si>
  <si>
    <t>3GYFNCE37GS556061</t>
  </si>
  <si>
    <t>APC100175</t>
  </si>
  <si>
    <t>SRX</t>
  </si>
  <si>
    <t>1C3CDFEB8FD311163</t>
  </si>
  <si>
    <t>PTPFD311163D22</t>
  </si>
  <si>
    <t>DART</t>
  </si>
  <si>
    <t>South Oak CDJR</t>
  </si>
  <si>
    <t>DEDUCTIBLE</t>
  </si>
  <si>
    <t>1C6RR7FT1GS411937</t>
  </si>
  <si>
    <t>SDFGS411937F21</t>
  </si>
  <si>
    <t>Arnie Bauer Cadillac</t>
  </si>
  <si>
    <t>1G4GE5ED7BF369586</t>
  </si>
  <si>
    <t>SDFBF369586I20</t>
  </si>
  <si>
    <t>LaCrosse</t>
  </si>
  <si>
    <t>Rogers Auto Group</t>
  </si>
  <si>
    <t>1G4GJ5E35CF201739</t>
  </si>
  <si>
    <t>ARCCF201739H22</t>
  </si>
  <si>
    <t>Kingdom Chevrolet</t>
  </si>
  <si>
    <t>1G6KF5RS7HU133676</t>
  </si>
  <si>
    <t>APC100109</t>
  </si>
  <si>
    <t>CT6</t>
  </si>
  <si>
    <t>1GKEV33778J254834</t>
  </si>
  <si>
    <t>SDF8J254834B21</t>
  </si>
  <si>
    <t>1GKKVSKD3HJ139894</t>
  </si>
  <si>
    <t>SDFHJ139894K20</t>
  </si>
  <si>
    <t>1GKS2AKC0FR144088</t>
  </si>
  <si>
    <t>SDFFR144088D21</t>
  </si>
  <si>
    <t>1GKS2BKC7GR159369</t>
  </si>
  <si>
    <t>PTPGR159369D22</t>
  </si>
  <si>
    <t>YUKON</t>
  </si>
  <si>
    <t>1GKS2CKJXJR295989</t>
  </si>
  <si>
    <t>SNFJR295989K20</t>
  </si>
  <si>
    <t>1GNSKJKCXJR174307</t>
  </si>
  <si>
    <t>SNFJR174307L20</t>
  </si>
  <si>
    <t>1GYS4BKJ3FR299688</t>
  </si>
  <si>
    <t>SNFFR299688K20</t>
  </si>
  <si>
    <t>Escalade</t>
  </si>
  <si>
    <t>1GYS4BKJ7GR356895</t>
  </si>
  <si>
    <t>SDFGR356895K20</t>
  </si>
  <si>
    <t>2G1115S35G9143010</t>
  </si>
  <si>
    <t>APC100463</t>
  </si>
  <si>
    <t>2G4GS5EK0C9147361</t>
  </si>
  <si>
    <t>SDFC9147361A21</t>
  </si>
  <si>
    <t>Regal</t>
  </si>
  <si>
    <t>ARNIE BAUER CADILLAC BUICK GMC</t>
  </si>
  <si>
    <t>2GNALCEK4H1602575</t>
  </si>
  <si>
    <t>SNFH1602575L20</t>
  </si>
  <si>
    <t>3GYFNDEY2BS584439</t>
  </si>
  <si>
    <t>SDFBS584439K20</t>
  </si>
  <si>
    <t>3GYFNGE30ES576785</t>
  </si>
  <si>
    <t>SDFES576785F21</t>
  </si>
  <si>
    <t>KL4CJDSB4GB623095</t>
  </si>
  <si>
    <t>SDFGB623095E21</t>
  </si>
  <si>
    <t>Encore</t>
  </si>
  <si>
    <t>JAMES SPIKINGS</t>
  </si>
  <si>
    <t>1G4GC5E36DF300209</t>
  </si>
  <si>
    <t>APC500213</t>
  </si>
  <si>
    <t>1GNSKBKC0FR551630</t>
  </si>
  <si>
    <t>APC500369</t>
  </si>
  <si>
    <t>2G4WC582091175656</t>
  </si>
  <si>
    <t>APC500211</t>
  </si>
  <si>
    <t>SU1581</t>
  </si>
  <si>
    <t>Left Front Upper Control Arm</t>
  </si>
  <si>
    <t>EC1090</t>
  </si>
  <si>
    <t>Radiator</t>
  </si>
  <si>
    <t>SU1955</t>
  </si>
  <si>
    <t>Both Front Lower Control Arms</t>
  </si>
  <si>
    <t>1FMJU1MT0GEF06746</t>
  </si>
  <si>
    <t>APC500412</t>
  </si>
  <si>
    <t>Expedition</t>
  </si>
  <si>
    <t>Midas</t>
  </si>
  <si>
    <t>r0067440</t>
  </si>
  <si>
    <t>1G11D5RR1DF119498</t>
  </si>
  <si>
    <t>APC500277</t>
  </si>
  <si>
    <t>TR2650</t>
  </si>
  <si>
    <t>Transmission Cooler Lines</t>
  </si>
  <si>
    <t>BR1051</t>
  </si>
  <si>
    <t>Right Front Wheel Speed Sensor</t>
  </si>
  <si>
    <t>DA1071</t>
  </si>
  <si>
    <t>Constant Velocity Joint Boot CV - Driver Side Outer</t>
  </si>
  <si>
    <t>1G4GB5G34GF188062</t>
  </si>
  <si>
    <t>APC500416</t>
  </si>
  <si>
    <t>EL4167</t>
  </si>
  <si>
    <t>Ignition Coil #3</t>
  </si>
  <si>
    <t>ST5154</t>
  </si>
  <si>
    <t>Electronic Steering Gear</t>
  </si>
  <si>
    <t>EL1649</t>
  </si>
  <si>
    <t>Power Sunroof Motor</t>
  </si>
  <si>
    <t>1G4HC5EM6BU121397</t>
  </si>
  <si>
    <t>APC500219</t>
  </si>
  <si>
    <t>Lucerne</t>
  </si>
  <si>
    <t>1G4PP5SK6D4119350</t>
  </si>
  <si>
    <t>APC500249</t>
  </si>
  <si>
    <t>RICHARD/PATRICIA GERARDI</t>
  </si>
  <si>
    <t>EL3530</t>
  </si>
  <si>
    <t>Door Lock Actuator</t>
  </si>
  <si>
    <t>EL1940</t>
  </si>
  <si>
    <t>Window Regulator Rear Driver</t>
  </si>
  <si>
    <t>1GKKVRKD6FJ249196</t>
  </si>
  <si>
    <t>SDFFJ249196F21</t>
  </si>
  <si>
    <t>DA1733</t>
  </si>
  <si>
    <t>Propeller Shaft</t>
  </si>
  <si>
    <t>DA4848</t>
  </si>
  <si>
    <t>Rear Differential - Remanufactured</t>
  </si>
  <si>
    <t>EC2347</t>
  </si>
  <si>
    <t>Thermostat With Housing</t>
  </si>
  <si>
    <t>EM1130</t>
  </si>
  <si>
    <t>PCM Coolant Temperature Sensor</t>
  </si>
  <si>
    <t>SU1421</t>
  </si>
  <si>
    <t>Level Control Compressor / Suspension Pump</t>
  </si>
  <si>
    <t>1GKS2BKCXFR140328</t>
  </si>
  <si>
    <t>SDFFR140328G21</t>
  </si>
  <si>
    <t>EL4172</t>
  </si>
  <si>
    <t>Ignition Coil #8</t>
  </si>
  <si>
    <t>1GKS2CKJ0FR280523</t>
  </si>
  <si>
    <t>APC500272</t>
  </si>
  <si>
    <t>M &amp; M Car Care Center - Schererville</t>
  </si>
  <si>
    <t>IN</t>
  </si>
  <si>
    <t>EN2507</t>
  </si>
  <si>
    <t>Oil Pressure Relief Valve</t>
  </si>
  <si>
    <t>SU1900</t>
  </si>
  <si>
    <t>Strut Rear Driver</t>
  </si>
  <si>
    <t>EL4117</t>
  </si>
  <si>
    <t>Running Board Motor</t>
  </si>
  <si>
    <t>EL2670</t>
  </si>
  <si>
    <t>Rear Hatch Lift Motor</t>
  </si>
  <si>
    <t>1GTW7BFG1G1218345</t>
  </si>
  <si>
    <t>APC500709</t>
  </si>
  <si>
    <t>Savana</t>
  </si>
  <si>
    <t>Napleton Cadillac</t>
  </si>
  <si>
    <t>EF2249</t>
  </si>
  <si>
    <t>Fuel Injector #2</t>
  </si>
  <si>
    <t>EL1210</t>
  </si>
  <si>
    <t>Electronic Power Control Module - PCM</t>
  </si>
  <si>
    <t>EF2240</t>
  </si>
  <si>
    <t>Injector O Ring</t>
  </si>
  <si>
    <t>EL1031</t>
  </si>
  <si>
    <t>Electronic Body Control Module - BCM</t>
  </si>
  <si>
    <t>EL1592</t>
  </si>
  <si>
    <t>Left Rear Door Lock Actuator</t>
  </si>
  <si>
    <t>EL4184</t>
  </si>
  <si>
    <t>Central LCD Control Screen</t>
  </si>
  <si>
    <t>EF2262</t>
  </si>
  <si>
    <t>High Pressure Fuel Pump</t>
  </si>
  <si>
    <t>1GYS4MKJ8FR557439</t>
  </si>
  <si>
    <t>APC500425</t>
  </si>
  <si>
    <t>GE1600</t>
  </si>
  <si>
    <t>Door Mirror Front Driver</t>
  </si>
  <si>
    <t>5GAERAKW5KJ154608</t>
  </si>
  <si>
    <t>APC100294</t>
  </si>
  <si>
    <t>Enclave</t>
  </si>
  <si>
    <t>EL4263</t>
  </si>
  <si>
    <t>Multifunction Battery Storage Capacitor Control Module</t>
  </si>
  <si>
    <t>KL4CJCSB2FB071900</t>
  </si>
  <si>
    <t>APC500645</t>
  </si>
  <si>
    <t>EC1030</t>
  </si>
  <si>
    <t>Engine Cooling Fan Motor</t>
  </si>
  <si>
    <t>EL1670</t>
  </si>
  <si>
    <t>Power Window Switch Front Driver</t>
  </si>
  <si>
    <t>W04GL6SXXL1005752</t>
  </si>
  <si>
    <t>APC100332</t>
  </si>
  <si>
    <t>EL4223</t>
  </si>
  <si>
    <t>Dynamic Radar Cruise Control Distance Sensor</t>
  </si>
  <si>
    <t>EN2426</t>
  </si>
  <si>
    <t>Variable Valve Timing Seal</t>
  </si>
  <si>
    <t>DA1081</t>
  </si>
  <si>
    <t>Constant Velocity Joint Boot CV - Passenger Side Inner</t>
  </si>
  <si>
    <t>C &amp; K AUTO PARTS LLC Part Supplier</t>
  </si>
  <si>
    <t>TR2360</t>
  </si>
  <si>
    <t>Seal(S) - Transmission</t>
  </si>
  <si>
    <t>TR3000</t>
  </si>
  <si>
    <t>Side Cover Gasket</t>
  </si>
  <si>
    <t>DA1736</t>
  </si>
  <si>
    <t>Sealant / Sealers - Differential</t>
  </si>
  <si>
    <t>EN1121</t>
  </si>
  <si>
    <t>Cylinder Head Gasket Right</t>
  </si>
  <si>
    <t>EN1710</t>
  </si>
  <si>
    <t>Valve Lifter(S)</t>
  </si>
  <si>
    <t>EN2350</t>
  </si>
  <si>
    <t>Cylinder Head Gasket Left</t>
  </si>
  <si>
    <t>EN2524</t>
  </si>
  <si>
    <t>Lifter Guide</t>
  </si>
  <si>
    <t>MSVOID1070</t>
  </si>
  <si>
    <t>Deductible Override</t>
  </si>
  <si>
    <t>EN1430</t>
  </si>
  <si>
    <t>Push Rod(S)</t>
  </si>
  <si>
    <t>EN1650</t>
  </si>
  <si>
    <t>Valley Pan  Gasket</t>
  </si>
  <si>
    <t>GE3660</t>
  </si>
  <si>
    <t>Washers</t>
  </si>
  <si>
    <t>EN1230</t>
  </si>
  <si>
    <t>Gasket / Seal Kit - Engine</t>
  </si>
  <si>
    <t>ANNE JAMISON</t>
  </si>
  <si>
    <t>tow bill</t>
  </si>
  <si>
    <t>UNK2161913</t>
  </si>
  <si>
    <t>(blank)</t>
  </si>
  <si>
    <t>Arnie Bauer Cadillac #77871</t>
  </si>
  <si>
    <t>Claims data inception to 12/31/2022</t>
  </si>
  <si>
    <t>Program Code</t>
  </si>
  <si>
    <t>Transaction Type</t>
  </si>
  <si>
    <t>New Used</t>
  </si>
  <si>
    <t>Program Group1</t>
  </si>
  <si>
    <t>Service Contract</t>
  </si>
  <si>
    <t>High Mileage</t>
  </si>
  <si>
    <t>Components</t>
  </si>
  <si>
    <t>Limited Warranty</t>
  </si>
  <si>
    <t>Damage Waiver</t>
  </si>
  <si>
    <t>Westlake</t>
  </si>
  <si>
    <t>Breakdown Insurance</t>
  </si>
  <si>
    <t>FMU</t>
  </si>
  <si>
    <t>RG1</t>
  </si>
  <si>
    <t>RG2</t>
  </si>
  <si>
    <t>RUT</t>
  </si>
  <si>
    <t>TCH</t>
  </si>
  <si>
    <t>TCR</t>
  </si>
  <si>
    <t>RLT</t>
  </si>
  <si>
    <t>PLT</t>
  </si>
  <si>
    <t>CPT</t>
  </si>
  <si>
    <t>ABU</t>
  </si>
  <si>
    <t>RFV</t>
  </si>
  <si>
    <t>SCT</t>
  </si>
  <si>
    <t>RGW</t>
  </si>
  <si>
    <t>TCP</t>
  </si>
  <si>
    <t>RGL</t>
  </si>
  <si>
    <t>WSF</t>
  </si>
  <si>
    <t>RFS</t>
  </si>
  <si>
    <t>CCF</t>
  </si>
  <si>
    <t>QCU</t>
  </si>
  <si>
    <t>FMT</t>
  </si>
  <si>
    <t>FSF</t>
  </si>
  <si>
    <t>FCH</t>
  </si>
  <si>
    <t>FTS</t>
  </si>
  <si>
    <t>TCS</t>
  </si>
  <si>
    <t>RSP</t>
  </si>
  <si>
    <t>RPK</t>
  </si>
  <si>
    <t>RUV</t>
  </si>
  <si>
    <t>FPT</t>
  </si>
  <si>
    <t>WRC</t>
  </si>
  <si>
    <t>LPT</t>
  </si>
  <si>
    <t>LAW</t>
  </si>
  <si>
    <t>SPK</t>
  </si>
  <si>
    <t>SNI</t>
  </si>
  <si>
    <t>SNL</t>
  </si>
  <si>
    <t>RNI</t>
  </si>
  <si>
    <t>RNL</t>
  </si>
  <si>
    <t>DUN</t>
  </si>
  <si>
    <t>DTP</t>
  </si>
  <si>
    <t>SXI</t>
  </si>
  <si>
    <t>RFI</t>
  </si>
  <si>
    <t>FNI</t>
  </si>
  <si>
    <t>FNL</t>
  </si>
  <si>
    <t>SXL</t>
  </si>
  <si>
    <t>FXL</t>
  </si>
  <si>
    <t>RF1</t>
  </si>
  <si>
    <t>NUT</t>
  </si>
  <si>
    <t>TFF</t>
  </si>
  <si>
    <t>APK</t>
  </si>
  <si>
    <t>HUN</t>
  </si>
  <si>
    <t>HXF</t>
  </si>
  <si>
    <t>H01</t>
  </si>
  <si>
    <t>HFU</t>
  </si>
  <si>
    <t>HFN</t>
  </si>
  <si>
    <t>SFS</t>
  </si>
  <si>
    <t>ALC</t>
  </si>
  <si>
    <t>ANP</t>
  </si>
  <si>
    <t>ANW</t>
  </si>
  <si>
    <t>CBI</t>
  </si>
  <si>
    <t>CCC</t>
  </si>
  <si>
    <t>D01</t>
  </si>
  <si>
    <t>DPF</t>
  </si>
  <si>
    <t>DPK</t>
  </si>
  <si>
    <t>DRC</t>
  </si>
  <si>
    <t>DW1</t>
  </si>
  <si>
    <t>DW2</t>
  </si>
  <si>
    <t>DW3</t>
  </si>
  <si>
    <t>DW4</t>
  </si>
  <si>
    <t>LNL</t>
  </si>
  <si>
    <t>LWC</t>
  </si>
  <si>
    <t>MLP</t>
  </si>
  <si>
    <t>MOW</t>
  </si>
  <si>
    <t>NNL</t>
  </si>
  <si>
    <t>PLN</t>
  </si>
  <si>
    <t>PTB</t>
  </si>
  <si>
    <t>RAU</t>
  </si>
  <si>
    <t>RBL</t>
  </si>
  <si>
    <t>RBT</t>
  </si>
  <si>
    <t>RCF</t>
  </si>
  <si>
    <t>RCH</t>
  </si>
  <si>
    <t>RCP</t>
  </si>
  <si>
    <t>RDA</t>
  </si>
  <si>
    <t>RG4</t>
  </si>
  <si>
    <t>RG5</t>
  </si>
  <si>
    <t>RL1</t>
  </si>
  <si>
    <t>RL2</t>
  </si>
  <si>
    <t>RL3</t>
  </si>
  <si>
    <t>RL4</t>
  </si>
  <si>
    <t>RLN</t>
  </si>
  <si>
    <t>RPC</t>
  </si>
  <si>
    <t>RT1</t>
  </si>
  <si>
    <t>RTA</t>
  </si>
  <si>
    <t>RUI</t>
  </si>
  <si>
    <t>RYT</t>
  </si>
  <si>
    <t>SJL</t>
  </si>
  <si>
    <t>SJN</t>
  </si>
  <si>
    <t>SJT</t>
  </si>
  <si>
    <t>TBI</t>
  </si>
  <si>
    <t>TC1</t>
  </si>
  <si>
    <t>TCM</t>
  </si>
  <si>
    <t>TCN</t>
  </si>
  <si>
    <t>TFL</t>
  </si>
  <si>
    <t>TXL</t>
  </si>
  <si>
    <t>FBG</t>
  </si>
  <si>
    <t>SBG</t>
  </si>
  <si>
    <t>NSN</t>
  </si>
  <si>
    <t>FNM</t>
  </si>
  <si>
    <t>AXN</t>
  </si>
  <si>
    <t>SRG</t>
  </si>
  <si>
    <t>CLL</t>
  </si>
  <si>
    <t>CUN</t>
  </si>
  <si>
    <t>NXL</t>
  </si>
  <si>
    <t>SCG</t>
  </si>
  <si>
    <t>ASL</t>
  </si>
  <si>
    <t>ASI</t>
  </si>
  <si>
    <t>ASB</t>
  </si>
  <si>
    <t>CLY</t>
  </si>
  <si>
    <t>FSL</t>
  </si>
  <si>
    <t>FSI</t>
  </si>
  <si>
    <t>FSB</t>
  </si>
  <si>
    <t>SML</t>
  </si>
  <si>
    <t>TCF</t>
  </si>
  <si>
    <t>LNT</t>
  </si>
  <si>
    <t>CPF</t>
  </si>
  <si>
    <t>RDD</t>
  </si>
  <si>
    <t>RDT</t>
  </si>
  <si>
    <t>GFI</t>
  </si>
  <si>
    <t>HPT</t>
  </si>
  <si>
    <t>RVT</t>
  </si>
  <si>
    <t>RVL</t>
  </si>
  <si>
    <t>SFL</t>
  </si>
  <si>
    <t>FFL</t>
  </si>
  <si>
    <t>GFF</t>
  </si>
  <si>
    <t>DTB</t>
  </si>
  <si>
    <t>FMB</t>
  </si>
  <si>
    <t>FRG</t>
  </si>
  <si>
    <t>RD1</t>
  </si>
  <si>
    <t>RDL</t>
  </si>
  <si>
    <t>PCH</t>
  </si>
  <si>
    <t>RNT</t>
  </si>
  <si>
    <t>SMN</t>
  </si>
  <si>
    <t>SMT</t>
  </si>
  <si>
    <t>RNN</t>
  </si>
  <si>
    <t>BFL</t>
  </si>
  <si>
    <t>RN1</t>
  </si>
  <si>
    <t>TNR</t>
  </si>
  <si>
    <t>UF3</t>
  </si>
  <si>
    <t>UA3</t>
  </si>
  <si>
    <t>RS4</t>
  </si>
  <si>
    <t>RF3</t>
  </si>
  <si>
    <t>RF4</t>
  </si>
  <si>
    <t>BTP</t>
  </si>
  <si>
    <t>CLF</t>
  </si>
  <si>
    <t>TRG</t>
  </si>
  <si>
    <t>GPT</t>
  </si>
  <si>
    <t>SRT</t>
  </si>
  <si>
    <t>DSP</t>
  </si>
  <si>
    <t>ACT</t>
  </si>
  <si>
    <t>FRT</t>
  </si>
  <si>
    <t>FMV</t>
  </si>
  <si>
    <t>DS2</t>
  </si>
  <si>
    <t>MWC</t>
  </si>
  <si>
    <t>MPC</t>
  </si>
  <si>
    <t>MWN</t>
  </si>
  <si>
    <t>SFM</t>
  </si>
  <si>
    <t>MPN</t>
  </si>
  <si>
    <t>FCU</t>
  </si>
  <si>
    <t>TCA</t>
  </si>
  <si>
    <t>PT2</t>
  </si>
  <si>
    <t>FGP</t>
  </si>
  <si>
    <t>PT3</t>
  </si>
  <si>
    <t>NLW</t>
  </si>
  <si>
    <t>PHP</t>
  </si>
  <si>
    <t>RLP</t>
  </si>
  <si>
    <t>RLS</t>
  </si>
  <si>
    <t>WFF</t>
  </si>
  <si>
    <t>WFD</t>
  </si>
  <si>
    <t>RM1</t>
  </si>
  <si>
    <t>FX1</t>
  </si>
  <si>
    <t>FN1</t>
  </si>
  <si>
    <t>TFU</t>
  </si>
  <si>
    <t>A2N</t>
  </si>
  <si>
    <t>A2T</t>
  </si>
  <si>
    <t>F2M</t>
  </si>
  <si>
    <t>F2N</t>
  </si>
  <si>
    <t>N2T</t>
  </si>
  <si>
    <t>FHP</t>
  </si>
  <si>
    <t>RFH</t>
  </si>
  <si>
    <t>SCH</t>
  </si>
  <si>
    <t>CSP</t>
  </si>
  <si>
    <t>PLC</t>
  </si>
  <si>
    <t>PLB</t>
  </si>
  <si>
    <t>TRD</t>
  </si>
  <si>
    <t>BRF</t>
  </si>
  <si>
    <t>BSP</t>
  </si>
  <si>
    <t>R2F</t>
  </si>
  <si>
    <t>R2N</t>
  </si>
  <si>
    <t>R2T</t>
  </si>
  <si>
    <t>RN2</t>
  </si>
  <si>
    <t>AT1</t>
  </si>
  <si>
    <t>AT2</t>
  </si>
  <si>
    <t>VLW</t>
  </si>
  <si>
    <t>SRH</t>
  </si>
  <si>
    <t>SJF</t>
  </si>
  <si>
    <t>RPU</t>
  </si>
  <si>
    <t>FRH</t>
  </si>
  <si>
    <t>BUN</t>
  </si>
  <si>
    <t>SNM</t>
  </si>
  <si>
    <t>FX2</t>
  </si>
  <si>
    <t>BRQ</t>
  </si>
  <si>
    <t>BRR</t>
  </si>
  <si>
    <t>SNN</t>
  </si>
  <si>
    <t>CP3</t>
  </si>
  <si>
    <t>TFN</t>
  </si>
  <si>
    <t>PTQ</t>
  </si>
  <si>
    <t>PTR</t>
  </si>
  <si>
    <t>PRT</t>
  </si>
  <si>
    <t>RWA</t>
  </si>
  <si>
    <t>GP3</t>
  </si>
  <si>
    <t>FMS</t>
  </si>
  <si>
    <t>NNN</t>
  </si>
  <si>
    <t>FT3</t>
  </si>
  <si>
    <t>WFA</t>
  </si>
  <si>
    <t>WFJ</t>
  </si>
  <si>
    <t>RFU</t>
  </si>
  <si>
    <t>RP3</t>
  </si>
  <si>
    <t>LBX</t>
  </si>
  <si>
    <t>R2V</t>
  </si>
  <si>
    <t>FP3</t>
  </si>
  <si>
    <t>TFH</t>
  </si>
  <si>
    <t>ASR</t>
  </si>
  <si>
    <t>RRS</t>
  </si>
  <si>
    <t>X0S</t>
  </si>
  <si>
    <t>SSN</t>
  </si>
  <si>
    <t>FOS</t>
  </si>
  <si>
    <t>FUS</t>
  </si>
  <si>
    <t>NSX</t>
  </si>
  <si>
    <t>NSS</t>
  </si>
  <si>
    <t>RSS</t>
  </si>
  <si>
    <t>NLS</t>
  </si>
  <si>
    <t>A2S</t>
  </si>
  <si>
    <t>R2S</t>
  </si>
  <si>
    <t>AXS</t>
  </si>
  <si>
    <t>SJS</t>
  </si>
  <si>
    <t>ATS</t>
  </si>
  <si>
    <t>RTS</t>
  </si>
  <si>
    <t>TSC</t>
  </si>
  <si>
    <t>FCS</t>
  </si>
  <si>
    <t>FNS</t>
  </si>
  <si>
    <t>FXS</t>
  </si>
  <si>
    <t>RSL</t>
  </si>
  <si>
    <t>SXS</t>
  </si>
  <si>
    <t>HXS</t>
  </si>
  <si>
    <t>LNS</t>
  </si>
  <si>
    <t>SNS</t>
  </si>
  <si>
    <t>F2F</t>
  </si>
  <si>
    <t>RRB</t>
  </si>
  <si>
    <t>FPC</t>
  </si>
  <si>
    <t>CCP</t>
  </si>
  <si>
    <t>Documentation for Reconcile UACC data for a specific month</t>
  </si>
  <si>
    <t xml:space="preserve">The new UACC program only have two program codes UA3 and UF3. </t>
  </si>
  <si>
    <t>1. Execute the SQL query to get the most up-to-date claim data</t>
  </si>
  <si>
    <t>X:\Dept.Risk.Management\Claims\SQL Claims Detail with GWR_AULDATAMART_with Post Period_03-07-2020 (updated).sql</t>
  </si>
  <si>
    <t xml:space="preserve"> - NULL for @FROM_DATE_PAID to get ITD data</t>
  </si>
  <si>
    <t xml:space="preserve"> - @ASOF_PERIOD and @TO_DATE_PAID should be both the newest available month of the data</t>
  </si>
  <si>
    <t xml:space="preserve"> - Execute the query with UA3 and UF3 once for each and paste the data to Sheet 1</t>
  </si>
  <si>
    <t>2. Make sure data tab has the correct format for each column. For instance, the cert should be text</t>
  </si>
  <si>
    <t>3. Paste over the data from Sheet 1 to data tab</t>
  </si>
  <si>
    <r>
      <t xml:space="preserve">4. Paste the reconciliation data from Tableau to the first two columns of </t>
    </r>
    <r>
      <rPr>
        <b/>
        <sz val="11"/>
        <color theme="1"/>
        <rFont val="Calibri"/>
        <family val="2"/>
        <scheme val="minor"/>
      </rPr>
      <t>Recon</t>
    </r>
    <r>
      <rPr>
        <sz val="11"/>
        <color theme="1"/>
        <rFont val="Calibri"/>
        <family val="2"/>
        <scheme val="minor"/>
      </rPr>
      <t xml:space="preserve"> table in </t>
    </r>
    <r>
      <rPr>
        <b/>
        <sz val="11"/>
        <color theme="1"/>
        <rFont val="Calibri"/>
        <family val="2"/>
        <scheme val="minor"/>
      </rPr>
      <t>recon</t>
    </r>
    <r>
      <rPr>
        <sz val="11"/>
        <color theme="1"/>
        <rFont val="Calibri"/>
        <family val="2"/>
        <scheme val="minor"/>
      </rPr>
      <t xml:space="preserve"> sheet</t>
    </r>
  </si>
  <si>
    <t xml:space="preserve"> - Make sure to filter post period to only include data to the month to be reconcile</t>
  </si>
  <si>
    <t>5. Execute the Macro to delete unwanted rows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</si>
</sst>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;@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4" tint="-0.249977111117893"/>
      <name val="Arial"/>
      <family val="2"/>
    </font>
    <font>
      <sz val="11"/>
      <color rgb="FF78838E"/>
      <name val="Calibri"/>
      <family val="2"/>
    </font>
    <font>
      <b/>
      <sz val="16"/>
      <color theme="1"/>
      <name val="Calibri"/>
      <family val="2"/>
      <scheme val="minor"/>
    </font>
    <font>
      <sz val="8.25"/>
      <color indexed="8"/>
      <name val="Microsoft Sans Serif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rgb="FF86C7E9"/>
      </left>
      <right/>
      <top style="thin">
        <color rgb="FF86C7E9"/>
      </top>
      <bottom/>
      <diagonal/>
    </border>
    <border>
      <left style="thin">
        <color rgb="FF86C7E9"/>
      </left>
      <right/>
      <top/>
      <bottom/>
      <diagonal/>
    </border>
    <border>
      <left style="thin">
        <color rgb="FF86C7E9"/>
      </left>
      <right/>
      <top/>
      <bottom style="thin">
        <color rgb="FF86C7E9"/>
      </bottom>
      <diagonal/>
    </border>
    <border>
      <left/>
      <right/>
      <top style="thin">
        <color rgb="FF86C7E9"/>
      </top>
      <bottom/>
      <diagonal/>
    </border>
    <border>
      <left/>
      <right style="thin">
        <color rgb="FF86C7E9"/>
      </right>
      <top style="thin">
        <color rgb="FF86C7E9"/>
      </top>
      <bottom/>
      <diagonal/>
    </border>
    <border>
      <left/>
      <right style="thin">
        <color rgb="FF86C7E9"/>
      </right>
      <top/>
      <bottom/>
      <diagonal/>
    </border>
    <border>
      <left/>
      <right/>
      <top/>
      <bottom style="thin">
        <color rgb="FF86C7E9"/>
      </bottom>
      <diagonal/>
    </border>
    <border>
      <left/>
      <right style="thin">
        <color rgb="FF86C7E9"/>
      </right>
      <top/>
      <bottom style="thin">
        <color rgb="FF86C7E9"/>
      </bottom>
      <diagonal/>
    </border>
  </borders>
  <cellStyleXfs count="3">
    <xf numFmtId="0" fontId="0" fillId="0" borderId="0"/>
    <xf numFmtId="0" fontId="2" fillId="0" borderId="0"/>
    <xf numFmtId="0" fontId="9" fillId="0" borderId="0" applyNumberFormat="0" applyFill="0" applyBorder="0" applyAlignment="0" applyProtection="0"/>
  </cellStyleXfs>
  <cellXfs count="54">
    <xf numFmtId="0" fontId="0" fillId="0" borderId="0" xfId="0"/>
    <xf numFmtId="164" fontId="0" fillId="0" borderId="0" xfId="0" applyNumberFormat="1"/>
    <xf numFmtId="0" fontId="0" fillId="0" borderId="0" xfId="0" applyNumberFormat="1"/>
    <xf numFmtId="0" fontId="2" fillId="0" borderId="0" xfId="1"/>
    <xf numFmtId="0" fontId="3" fillId="0" borderId="0" xfId="1" applyFont="1"/>
    <xf numFmtId="0" fontId="0" fillId="0" borderId="0" xfId="0" pivotButton="1"/>
    <xf numFmtId="38" fontId="0" fillId="0" borderId="0" xfId="0" applyNumberFormat="1"/>
    <xf numFmtId="0" fontId="0" fillId="0" borderId="0" xfId="0" pivotButton="1" applyAlignment="1">
      <alignment wrapText="1"/>
    </xf>
    <xf numFmtId="38" fontId="0" fillId="0" borderId="0" xfId="0" applyNumberFormat="1" applyBorder="1"/>
    <xf numFmtId="164" fontId="0" fillId="2" borderId="0" xfId="0" applyNumberFormat="1" applyFill="1"/>
    <xf numFmtId="0" fontId="0" fillId="0" borderId="0" xfId="0" pivotButton="1" applyAlignment="1"/>
    <xf numFmtId="0" fontId="0" fillId="0" borderId="0" xfId="0" applyAlignment="1">
      <alignment horizontal="left"/>
    </xf>
    <xf numFmtId="0" fontId="0" fillId="0" borderId="0" xfId="0" pivotButton="1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3" fontId="0" fillId="0" borderId="0" xfId="0" applyNumberFormat="1" applyAlignment="1">
      <alignment horizontal="left"/>
    </xf>
    <xf numFmtId="0" fontId="0" fillId="3" borderId="0" xfId="0" applyNumberFormat="1" applyFill="1"/>
    <xf numFmtId="0" fontId="6" fillId="0" borderId="0" xfId="0" applyFont="1"/>
    <xf numFmtId="0" fontId="1" fillId="0" borderId="0" xfId="1" applyFont="1"/>
    <xf numFmtId="0" fontId="0" fillId="0" borderId="0" xfId="0" applyAlignment="1">
      <alignment horizontal="left" wrapText="1"/>
    </xf>
    <xf numFmtId="0" fontId="0" fillId="0" borderId="0" xfId="0" applyAlignment="1">
      <alignment horizontal="center" wrapText="1"/>
    </xf>
    <xf numFmtId="38" fontId="0" fillId="0" borderId="0" xfId="0" applyNumberFormat="1" applyAlignment="1">
      <alignment horizontal="center"/>
    </xf>
    <xf numFmtId="14" fontId="0" fillId="0" borderId="0" xfId="0" applyNumberFormat="1"/>
    <xf numFmtId="14" fontId="0" fillId="2" borderId="0" xfId="0" applyNumberFormat="1" applyFill="1"/>
    <xf numFmtId="0" fontId="7" fillId="0" borderId="0" xfId="0" applyNumberFormat="1" applyFont="1" applyFill="1" applyAlignment="1" applyProtection="1"/>
    <xf numFmtId="14" fontId="7" fillId="0" borderId="0" xfId="0" applyNumberFormat="1" applyFont="1" applyFill="1" applyAlignment="1" applyProtection="1"/>
    <xf numFmtId="0" fontId="7" fillId="0" borderId="0" xfId="0" applyNumberFormat="1" applyFont="1" applyFill="1" applyAlignment="1" applyProtection="1">
      <alignment horizontal="left"/>
    </xf>
    <xf numFmtId="0" fontId="3" fillId="0" borderId="0" xfId="0" applyFont="1" applyAlignment="1">
      <alignment wrapText="1"/>
    </xf>
    <xf numFmtId="0" fontId="0" fillId="0" borderId="0" xfId="0" applyFill="1"/>
    <xf numFmtId="0" fontId="0" fillId="0" borderId="0" xfId="0" applyBorder="1"/>
    <xf numFmtId="0" fontId="0" fillId="0" borderId="0" xfId="0" applyFont="1"/>
    <xf numFmtId="0" fontId="4" fillId="0" borderId="1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164" fontId="5" fillId="0" borderId="1" xfId="0" applyNumberFormat="1" applyFont="1" applyFill="1" applyBorder="1" applyAlignment="1">
      <alignment horizontal="center"/>
    </xf>
    <xf numFmtId="164" fontId="5" fillId="0" borderId="5" xfId="0" applyNumberFormat="1" applyFont="1" applyFill="1" applyBorder="1" applyAlignment="1">
      <alignment horizontal="center"/>
    </xf>
    <xf numFmtId="164" fontId="5" fillId="0" borderId="2" xfId="0" applyNumberFormat="1" applyFont="1" applyFill="1" applyBorder="1" applyAlignment="1">
      <alignment horizontal="center"/>
    </xf>
    <xf numFmtId="164" fontId="5" fillId="0" borderId="6" xfId="0" applyNumberFormat="1" applyFont="1" applyFill="1" applyBorder="1" applyAlignment="1">
      <alignment horizontal="center"/>
    </xf>
    <xf numFmtId="164" fontId="5" fillId="0" borderId="2" xfId="0" applyNumberFormat="1" applyFont="1" applyFill="1" applyBorder="1" applyAlignment="1">
      <alignment horizontal="center" vertical="top"/>
    </xf>
    <xf numFmtId="164" fontId="5" fillId="0" borderId="6" xfId="0" applyNumberFormat="1" applyFont="1" applyFill="1" applyBorder="1" applyAlignment="1">
      <alignment horizontal="center" vertical="top"/>
    </xf>
    <xf numFmtId="164" fontId="5" fillId="0" borderId="3" xfId="0" applyNumberFormat="1" applyFont="1" applyFill="1" applyBorder="1" applyAlignment="1">
      <alignment horizontal="center" vertical="top"/>
    </xf>
    <xf numFmtId="164" fontId="5" fillId="0" borderId="8" xfId="0" applyNumberFormat="1" applyFont="1" applyFill="1" applyBorder="1" applyAlignment="1">
      <alignment horizontal="center" vertical="top"/>
    </xf>
    <xf numFmtId="0" fontId="5" fillId="0" borderId="1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5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2"/>
    <xf numFmtId="0" fontId="0" fillId="0" borderId="0" xfId="0" quotePrefix="1"/>
  </cellXfs>
  <cellStyles count="3">
    <cellStyle name="Hyperlink" xfId="2" builtinId="8"/>
    <cellStyle name="Normal" xfId="0" builtinId="0"/>
    <cellStyle name="Normal 2" xfId="1"/>
  </cellStyles>
  <dxfs count="1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Microsoft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Microsoft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Microsoft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Microsoft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Microsoft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Microsoft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8.25"/>
        <color indexed="8"/>
        <name val="Microsoft Sans Serif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Microsoft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Microsoft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8.25"/>
        <color indexed="8"/>
        <name val="Microsoft Sans Serif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Microsoft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Microsoft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Microsoft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Microsoft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Microsoft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8.25"/>
        <color indexed="8"/>
        <name val="Microsoft Sans Serif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8.25"/>
        <color indexed="8"/>
        <name val="Microsoft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8.25"/>
        <color indexed="8"/>
        <name val="Microsoft Sans Serif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8.25"/>
        <color indexed="8"/>
        <name val="Microsoft Sans Serif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Microsoft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Microsoft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Microsoft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Microsoft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Microsoft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Microsoft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z val="8.25"/>
        <color indexed="8"/>
        <name val="Microsoft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Microsoft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25"/>
        <color indexed="8"/>
        <name val="Microsoft Sans Serif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alignment horizontal="right" readingOrder="0"/>
    </dxf>
    <dxf>
      <alignment horizontal="right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border>
        <right/>
      </border>
    </dxf>
    <dxf>
      <numFmt numFmtId="6" formatCode="#,##0_);[Red]\(#,##0\)"/>
    </dxf>
    <dxf>
      <alignment wrapText="1" readingOrder="0"/>
    </dxf>
    <dxf>
      <alignment wrapText="1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wrapText="0" readingOrder="0"/>
    </dxf>
    <dxf>
      <alignment wrapText="1" readingOrder="0"/>
    </dxf>
    <dxf>
      <alignment wrapText="1" readingOrder="0"/>
    </dxf>
    <dxf>
      <border>
        <right/>
      </border>
    </dxf>
    <dxf>
      <numFmt numFmtId="6" formatCode="#,##0_);[Red]\(#,##0\)"/>
    </dxf>
    <dxf>
      <alignment horizontal="left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border>
        <right/>
      </border>
    </dxf>
    <dxf>
      <numFmt numFmtId="6" formatCode="#,##0_);[Red]\(#,##0\)"/>
    </dxf>
    <dxf>
      <alignment horizontal="right" readingOrder="0"/>
    </dxf>
    <dxf>
      <numFmt numFmtId="6" formatCode="#,##0_);[Red]\(#,##0\)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border>
        <right/>
      </border>
    </dxf>
    <dxf>
      <numFmt numFmtId="6" formatCode="#,##0_);[Red]\(#,##0\)"/>
    </dxf>
    <dxf>
      <alignment horizontal="right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wrapText="1" readingOrder="0"/>
    </dxf>
    <dxf>
      <alignment horizontal="left" readingOrder="0"/>
    </dxf>
    <dxf>
      <alignment horizontal="right" readingOrder="0"/>
    </dxf>
    <dxf>
      <alignment wrapText="1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wrapText="1" readingOrder="0"/>
    </dxf>
    <dxf>
      <alignment horizontal="right" readingOrder="0"/>
    </dxf>
    <dxf>
      <numFmt numFmtId="3" formatCode="#,##0"/>
    </dxf>
    <dxf>
      <alignment horizontal="left" readingOrder="0"/>
    </dxf>
    <dxf>
      <alignment horizontal="left" readingOrder="0"/>
    </dxf>
    <dxf>
      <alignment horizontal="left" readingOrder="0"/>
    </dxf>
    <dxf>
      <alignment wrapText="0" readingOrder="0"/>
    </dxf>
    <dxf>
      <border>
        <right/>
      </border>
    </dxf>
    <dxf>
      <numFmt numFmtId="6" formatCode="#,##0_);[Red]\(#,##0\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8</xdr:row>
      <xdr:rowOff>57150</xdr:rowOff>
    </xdr:from>
    <xdr:to>
      <xdr:col>10</xdr:col>
      <xdr:colOff>446471</xdr:colOff>
      <xdr:row>18</xdr:row>
      <xdr:rowOff>18133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1581150"/>
          <a:ext cx="5913821" cy="18659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118223</xdr:colOff>
      <xdr:row>1</xdr:row>
      <xdr:rowOff>112059</xdr:rowOff>
    </xdr:from>
    <xdr:to>
      <xdr:col>1</xdr:col>
      <xdr:colOff>775448</xdr:colOff>
      <xdr:row>4</xdr:row>
      <xdr:rowOff>54909</xdr:rowOff>
    </xdr:to>
    <xdr:pic>
      <xdr:nvPicPr>
        <xdr:cNvPr id="2" name="Picture 4" descr="0314APPROVED_AUL_logo_RGB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8905" y="201706"/>
          <a:ext cx="657225" cy="4807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1</xdr:row>
      <xdr:rowOff>76200</xdr:rowOff>
    </xdr:from>
    <xdr:to>
      <xdr:col>1</xdr:col>
      <xdr:colOff>838200</xdr:colOff>
      <xdr:row>4</xdr:row>
      <xdr:rowOff>19050</xdr:rowOff>
    </xdr:to>
    <xdr:pic>
      <xdr:nvPicPr>
        <xdr:cNvPr id="2" name="Picture 4" descr="0314APPROVED_AUL_logo_RGB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7175" y="171450"/>
          <a:ext cx="657225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1</xdr:row>
      <xdr:rowOff>76200</xdr:rowOff>
    </xdr:from>
    <xdr:to>
      <xdr:col>1</xdr:col>
      <xdr:colOff>838200</xdr:colOff>
      <xdr:row>4</xdr:row>
      <xdr:rowOff>19050</xdr:rowOff>
    </xdr:to>
    <xdr:pic>
      <xdr:nvPicPr>
        <xdr:cNvPr id="2" name="Picture 4" descr="0314APPROVED_AUL_logo_RGB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7175" y="167640"/>
          <a:ext cx="657225" cy="4914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Matthew Russell" refreshedDate="45237.634413310188" missingItemsLimit="0" createdVersion="3" refreshedVersion="6" minRefreshableVersion="3" recordCount="1018">
  <cacheSource type="worksheet">
    <worksheetSource name="Table_Query_from_AulliveTHOR"/>
  </cacheSource>
  <cacheFields count="47">
    <cacheField name="vin" numFmtId="0">
      <sharedItems containsBlank="1" count="39">
        <s v="1GYS4JKJ5GR441101"/>
        <s v="2GNALDEK1H1507638"/>
        <s v="3GYFNCE37GS556061"/>
        <s v="1C3CDFEB8FD311163"/>
        <s v="1C6RR7FT1GS411937"/>
        <s v="1G4GE5ED7BF369586"/>
        <s v="1G4GJ5E35CF201739"/>
        <s v="1G6KF5RS7HU133676"/>
        <s v="1GKEV33778J254834"/>
        <s v="1GKKVSKD3HJ139894"/>
        <s v="1GKS2AKC0FR144088"/>
        <s v="1GKS2BKC7GR159369"/>
        <s v="1GKS2CKJXJR295989"/>
        <s v="1GNSKJKCXJR174307"/>
        <s v="1GYS4BKJ3FR299688"/>
        <s v="1GYS4BKJ7GR356895"/>
        <s v="2G1115S35G9143010"/>
        <s v="2G4GS5EK0C9147361"/>
        <s v="2GNALCEK4H1602575"/>
        <s v="3GYFNDEY2BS584439"/>
        <s v="3GYFNGE30ES576785"/>
        <s v="KL4CJDSB4GB623095"/>
        <s v="1G4GC5E36DF300209"/>
        <s v="1GNSKBKC0FR551630"/>
        <s v="2G4WC582091175656"/>
        <s v="1FMJU1MT0GEF06746"/>
        <s v="1G11D5RR1DF119498"/>
        <s v="1G4GB5G34GF188062"/>
        <s v="1G4HC5EM6BU121397"/>
        <s v="1G4PP5SK6D4119350"/>
        <s v="1GKKVRKD6FJ249196"/>
        <s v="1GKS2BKCXFR140328"/>
        <s v="1GKS2CKJ0FR280523"/>
        <s v="1GTW7BFG1G1218345"/>
        <s v="1GYS4MKJ8FR557439"/>
        <s v="5GAERAKW5KJ154608"/>
        <s v="KL4CJCSB2FB071900"/>
        <s v="W04GL6SXXL1005752"/>
        <m/>
      </sharedItems>
    </cacheField>
    <cacheField name="cert" numFmtId="0">
      <sharedItems containsBlank="1" count="39">
        <s v="APC500205"/>
        <s v="APC100174"/>
        <s v="APC100175"/>
        <s v="PTPFD311163D22"/>
        <s v="SDFGS411937F21"/>
        <s v="SDFBF369586I20"/>
        <s v="ARCCF201739H22"/>
        <s v="APC100109"/>
        <s v="SDF8J254834B21"/>
        <s v="SDFHJ139894K20"/>
        <s v="SDFFR144088D21"/>
        <s v="PTPGR159369D22"/>
        <s v="SNFJR295989K20"/>
        <s v="SNFJR174307L20"/>
        <s v="SNFFR299688K20"/>
        <s v="SDFGR356895K20"/>
        <s v="APC100463"/>
        <s v="SDFC9147361A21"/>
        <s v="SNFH1602575L20"/>
        <s v="SDFBS584439K20"/>
        <s v="SDFES576785F21"/>
        <s v="SDFGB623095E21"/>
        <s v="APC500213"/>
        <s v="APC500369"/>
        <s v="APC500211"/>
        <s v="APC500412"/>
        <s v="APC500277"/>
        <s v="APC500416"/>
        <s v="APC500219"/>
        <s v="APC500249"/>
        <s v="SDFFJ249196F21"/>
        <s v="SDFFR140328G21"/>
        <s v="APC500272"/>
        <s v="APC500709"/>
        <s v="APC500425"/>
        <s v="APC100294"/>
        <s v="APC500645"/>
        <s v="APC100332"/>
        <m/>
      </sharedItems>
    </cacheField>
    <cacheField name="claim_sequence" numFmtId="0">
      <sharedItems containsString="0" containsBlank="1" containsNumber="1" containsInteger="1" minValue="1" maxValue="5"/>
    </cacheField>
    <cacheField name="payee_sequence" numFmtId="0">
      <sharedItems containsString="0" containsBlank="1" containsNumber="1" containsInteger="1" minValue="1" maxValue="4"/>
    </cacheField>
    <cacheField name="status" numFmtId="0">
      <sharedItems containsBlank="1"/>
    </cacheField>
    <cacheField name="administrator" numFmtId="0">
      <sharedItems containsBlank="1" count="7">
        <s v="SWC"/>
        <s v="NSC"/>
        <s v="PTP"/>
        <s v="SDF"/>
        <s v="ARC"/>
        <s v="SNF"/>
        <m/>
      </sharedItems>
    </cacheField>
    <cacheField name="automake" numFmtId="0">
      <sharedItems containsBlank="1" count="8">
        <s v="Cadillac"/>
        <s v="Chevrolet"/>
        <s v="DODGE"/>
        <s v="Ram"/>
        <s v="Buick"/>
        <s v="GMC"/>
        <s v="Ford"/>
        <m/>
      </sharedItems>
    </cacheField>
    <cacheField name="automodel" numFmtId="0">
      <sharedItems containsBlank="1" containsMixedTypes="1" containsNumber="1" containsInteger="1" minValue="1500" maxValue="1500" count="22">
        <s v="Escalade ESV"/>
        <s v="Equinox"/>
        <s v="SRX"/>
        <s v="DART"/>
        <n v="1500"/>
        <s v="LaCrosse"/>
        <s v="CT6"/>
        <s v="Acadia"/>
        <s v="Yukon"/>
        <s v="Suburban"/>
        <s v="Escalade"/>
        <s v="Impala"/>
        <s v="Regal"/>
        <s v="Encore"/>
        <s v="Tahoe"/>
        <s v="Expedition"/>
        <s v="Malibu"/>
        <s v="Lucerne"/>
        <s v="Verano"/>
        <s v="Savana"/>
        <s v="Enclave"/>
        <m/>
      </sharedItems>
    </cacheField>
    <cacheField name="automiles" numFmtId="0">
      <sharedItems containsString="0" containsBlank="1" containsNumber="1" containsInteger="1" minValue="17403" maxValue="125225" count="39">
        <n v="56598"/>
        <n v="39001"/>
        <n v="33397"/>
        <n v="83193"/>
        <n v="99894"/>
        <n v="68520"/>
        <n v="76513"/>
        <n v="31702"/>
        <n v="125225"/>
        <n v="74358"/>
        <n v="98795"/>
        <n v="74246"/>
        <n v="43130"/>
        <n v="67203"/>
        <n v="78148"/>
        <n v="65533"/>
        <n v="41200"/>
        <n v="47900"/>
        <n v="29281"/>
        <n v="102575"/>
        <n v="51402"/>
        <n v="51474"/>
        <n v="114400"/>
        <n v="100055"/>
        <n v="62972"/>
        <n v="86513"/>
        <n v="66725"/>
        <n v="65447"/>
        <n v="77001"/>
        <n v="86800"/>
        <n v="75025"/>
        <n v="89241"/>
        <n v="102020"/>
        <n v="17403"/>
        <n v="78864"/>
        <n v="25001"/>
        <n v="57108"/>
        <n v="23655"/>
        <m/>
      </sharedItems>
    </cacheField>
    <cacheField name="month_sold" numFmtId="14">
      <sharedItems containsNonDate="0" containsDate="1" containsString="0" containsBlank="1" minDate="2020-09-18T00:00:00" maxDate="2022-08-16T00:00:00" count="34">
        <d v="2020-10-15T00:00:00"/>
        <d v="2021-01-15T00:00:00"/>
        <d v="2022-04-06T00:00:00"/>
        <d v="2021-06-28T00:00:00"/>
        <d v="2020-09-18T00:00:00"/>
        <d v="2022-08-15T00:00:00"/>
        <d v="2021-02-12T00:00:00"/>
        <d v="2020-11-12T00:00:00"/>
        <d v="2021-04-27T00:00:00"/>
        <d v="2022-04-14T00:00:00"/>
        <d v="2020-12-10T00:00:00"/>
        <d v="2020-11-23T00:00:00"/>
        <d v="2020-11-06T00:00:00"/>
        <d v="2021-11-24T00:00:00"/>
        <d v="2021-01-25T00:00:00"/>
        <d v="2020-12-28T00:00:00"/>
        <d v="2020-11-27T00:00:00"/>
        <d v="2021-06-10T00:00:00"/>
        <d v="2021-05-27T00:00:00"/>
        <d v="2020-10-21T00:00:00"/>
        <d v="2021-03-20T00:00:00"/>
        <d v="2020-10-20T00:00:00"/>
        <d v="2021-05-15T00:00:00"/>
        <d v="2021-05-19T00:00:00"/>
        <d v="2020-10-28T00:00:00"/>
        <d v="2020-12-08T00:00:00"/>
        <d v="2021-07-21T00:00:00"/>
        <d v="2021-01-07T00:00:00"/>
        <d v="2022-03-22T00:00:00"/>
        <d v="2021-05-28T00:00:00"/>
        <d v="2021-05-24T00:00:00"/>
        <d v="2021-12-28T00:00:00"/>
        <d v="2021-07-01T00:00:00"/>
        <m/>
      </sharedItems>
    </cacheField>
    <cacheField name="trans_date" numFmtId="14">
      <sharedItems containsNonDate="0" containsDate="1" containsString="0" containsBlank="1" minDate="2020-11-04T00:00:00" maxDate="2022-08-31T00:00:00" count="28">
        <d v="2021-01-04T00:00:00"/>
        <d v="2021-03-16T00:00:00"/>
        <d v="2022-05-26T00:00:00"/>
        <d v="2021-07-30T00:00:00"/>
        <d v="2020-11-04T00:00:00"/>
        <d v="2022-08-30T00:00:00"/>
        <d v="2020-12-29T00:00:00"/>
        <d v="2021-04-05T00:00:00"/>
        <d v="2020-12-03T00:00:00"/>
        <d v="2021-06-03T00:00:00"/>
        <d v="2021-02-02T00:00:00"/>
        <d v="2022-01-21T00:00:00"/>
        <d v="2021-03-26T00:00:00"/>
        <d v="2021-01-06T00:00:00"/>
        <d v="2021-07-02T00:00:00"/>
        <d v="2021-07-06T00:00:00"/>
        <d v="2021-05-26T00:00:00"/>
        <d v="2020-12-23T00:00:00"/>
        <d v="2021-07-22T00:00:00"/>
        <d v="2021-03-29T00:00:00"/>
        <d v="2020-12-18T00:00:00"/>
        <d v="2021-02-03T00:00:00"/>
        <d v="2021-08-04T00:00:00"/>
        <d v="2021-03-03T00:00:00"/>
        <d v="2022-05-31T00:00:00"/>
        <d v="2022-03-03T00:00:00"/>
        <d v="2021-09-03T00:00:00"/>
        <m/>
      </sharedItems>
    </cacheField>
    <cacheField name="Post Period" numFmtId="0">
      <sharedItems containsString="0" containsBlank="1" containsNumber="1" containsInteger="1" minValue="202010" maxValue="202208"/>
    </cacheField>
    <cacheField name="Post Period Date" numFmtId="14">
      <sharedItems containsNonDate="0" containsDate="1" containsString="0" containsBlank="1" minDate="2020-10-01T00:00:00" maxDate="2022-08-02T00:00:00" count="15">
        <d v="2020-12-01T00:00:00"/>
        <d v="2021-03-01T00:00:00"/>
        <d v="2022-05-01T00:00:00"/>
        <d v="2021-07-01T00:00:00"/>
        <d v="2020-10-01T00:00:00"/>
        <d v="2022-08-01T00:00:00"/>
        <d v="2020-11-01T00:00:00"/>
        <d v="2021-05-01T00:00:00"/>
        <d v="2021-01-01T00:00:00"/>
        <d v="2022-01-01T00:00:00"/>
        <d v="2021-06-01T00:00:00"/>
        <d v="2021-02-01T00:00:00"/>
        <d v="2022-02-01T00:00:00"/>
        <d v="2021-08-01T00:00:00"/>
        <m/>
      </sharedItems>
    </cacheField>
    <cacheField name="dealer_id" numFmtId="0">
      <sharedItems containsString="0" containsBlank="1" containsNumber="1" containsInteger="1" minValue="77871" maxValue="77871" count="2">
        <n v="77871"/>
        <m/>
      </sharedItems>
    </cacheField>
    <cacheField name="dealer_name" numFmtId="0">
      <sharedItems containsBlank="1" count="2">
        <s v="Arnie Bauer Buick GMC Cadillac"/>
        <m/>
      </sharedItems>
    </cacheField>
    <cacheField name="vendorname" numFmtId="0">
      <sharedItems containsBlank="1" count="15">
        <s v="Vehicle Administration Services LTD"/>
        <s v="South Oak CDJR"/>
        <s v="Arnie Bauer Cadillac"/>
        <s v="Rogers Auto Group"/>
        <s v="Kingdom Chevrolet"/>
        <s v="ARNIE BAUER CADILLAC BUICK GMC"/>
        <s v="JAMES SPIKINGS"/>
        <s v=" Warranty Inspection Services"/>
        <s v="Midas"/>
        <s v="RICHARD/PATRICIA GERARDI"/>
        <s v="M &amp; M Car Care Center - Schererville"/>
        <s v="Napleton Cadillac"/>
        <s v="C &amp; K AUTO PARTS LLC Part Supplier"/>
        <s v="ANNE JAMISON"/>
        <m/>
      </sharedItems>
    </cacheField>
    <cacheField name="vendor state" numFmtId="0">
      <sharedItems containsBlank="1" count="6">
        <s v="TX"/>
        <s v="IL"/>
        <s v="NULL"/>
        <s v="VA"/>
        <s v="IN"/>
        <m/>
      </sharedItems>
    </cacheField>
    <cacheField name="repair_order_no" numFmtId="0">
      <sharedItems containsBlank="1" containsMixedTypes="1" containsNumber="1" containsInteger="1" minValue="198" maxValue="84827034376" count="81">
        <n v="341649806"/>
        <n v="4105188"/>
        <n v="751892736"/>
        <n v="417075606"/>
        <n v="729172489"/>
        <n v="425604"/>
        <n v="115872"/>
        <n v="122768"/>
        <n v="123975"/>
        <n v="905752"/>
        <n v="711063"/>
        <n v="731304"/>
        <n v="6007434"/>
        <n v="900714"/>
        <n v="905929"/>
        <n v="120414"/>
        <n v="110714"/>
        <n v="100719"/>
        <n v="115162"/>
        <n v="120205"/>
        <n v="101389"/>
        <n v="904658"/>
        <n v="102365"/>
        <n v="118193"/>
        <n v="106331"/>
        <n v="110766"/>
        <n v="111677"/>
        <n v="112392"/>
        <n v="142378"/>
        <n v="905856"/>
        <n v="116582"/>
        <n v="907278"/>
        <n v="122387"/>
        <n v="124532"/>
        <n v="904088"/>
        <n v="907052"/>
        <n v="109121"/>
        <n v="103223"/>
        <n v="25838"/>
        <n v="121325"/>
        <n v="111860201"/>
        <n v="823006987"/>
        <n v="816810462"/>
        <n v="223851353"/>
        <n v="483716156"/>
        <n v="84827034376"/>
        <n v="116079"/>
        <s v="r0067440"/>
        <n v="903495"/>
        <n v="102181"/>
        <n v="108228"/>
        <n v="108521"/>
        <n v="89622"/>
        <n v="901349"/>
        <n v="905263"/>
        <n v="117036"/>
        <n v="104791"/>
        <n v="124540"/>
        <n v="905492"/>
        <n v="28015"/>
        <n v="5363"/>
        <n v="907991"/>
        <n v="101341"/>
        <n v="3050724"/>
        <n v="3051356"/>
        <n v="3047953"/>
        <n v="106126"/>
        <n v="110098"/>
        <n v="120222"/>
        <n v="119976"/>
        <n v="124094"/>
        <n v="115210"/>
        <n v="121041"/>
        <n v="121883"/>
        <n v="198"/>
        <n v="119373"/>
        <n v="268581"/>
        <n v="285626"/>
        <s v="tow bill"/>
        <s v="UNK2161913"/>
        <m/>
      </sharedItems>
    </cacheField>
    <cacheField name="repair_order_date" numFmtId="14">
      <sharedItems containsNonDate="0" containsDate="1" containsString="0" containsBlank="1" minDate="2020-11-30T00:00:00" maxDate="2022-12-21T00:00:00"/>
    </cacheField>
    <cacheField name="current_mileage" numFmtId="0">
      <sharedItems containsString="0" containsBlank="1" containsNumber="1" containsInteger="1" minValue="0" maxValue="139234"/>
    </cacheField>
    <cacheField name="claims status" numFmtId="0">
      <sharedItems containsBlank="1" count="2">
        <s v="Paid"/>
        <m/>
      </sharedItems>
    </cacheField>
    <cacheField name="date_paid" numFmtId="14">
      <sharedItems containsNonDate="0" containsDate="1" containsString="0" containsBlank="1" minDate="2020-12-18T00:00:00" maxDate="2022-12-31T00:00:00" count="73">
        <d v="2022-11-07T00:00:00"/>
        <d v="2022-01-25T00:00:00"/>
        <d v="2022-03-08T00:00:00"/>
        <d v="2021-07-20T00:00:00"/>
        <d v="2022-07-01T00:00:00"/>
        <d v="2022-06-01T00:00:00"/>
        <d v="2022-11-21T00:00:00"/>
        <d v="2021-06-03T00:00:00"/>
        <d v="2021-09-09T00:00:00"/>
        <d v="2022-10-07T00:00:00"/>
        <d v="2022-10-24T00:00:00"/>
        <d v="2021-03-03T00:00:00"/>
        <d v="2021-06-18T00:00:00"/>
        <d v="2022-09-08T00:00:00"/>
        <d v="2022-02-16T00:00:00"/>
        <d v="2021-08-12T00:00:00"/>
        <d v="2022-05-19T00:00:00"/>
        <d v="2021-08-18T00:00:00"/>
        <d v="2021-05-20T00:00:00"/>
        <d v="2021-09-10T00:00:00"/>
        <d v="2022-07-21T00:00:00"/>
        <d v="2021-11-24T00:00:00"/>
        <d v="2022-02-28T00:00:00"/>
        <d v="2022-03-09T00:00:00"/>
        <d v="2022-03-23T00:00:00"/>
        <d v="2022-11-30T00:00:00"/>
        <d v="2021-06-01T00:00:00"/>
        <d v="2022-06-21T00:00:00"/>
        <d v="2021-06-16T00:00:00"/>
        <d v="2022-10-12T00:00:00"/>
        <d v="2022-11-23T00:00:00"/>
        <d v="2021-04-27T00:00:00"/>
        <d v="2021-06-25T00:00:00"/>
        <d v="2022-01-21T00:00:00"/>
        <d v="2021-09-23T00:00:00"/>
        <d v="2021-10-27T00:00:00"/>
        <d v="2022-09-29T00:00:00"/>
        <d v="2021-11-23T00:00:00"/>
        <d v="2022-06-24T00:00:00"/>
        <d v="2022-09-13T00:00:00"/>
        <d v="2021-06-10T00:00:00"/>
        <d v="2022-06-09T00:00:00"/>
        <d v="2022-09-15T00:00:00"/>
        <d v="2021-04-26T00:00:00"/>
        <d v="2021-09-03T00:00:00"/>
        <d v="2021-12-30T00:00:00"/>
        <d v="2022-03-15T00:00:00"/>
        <d v="2020-12-21T00:00:00"/>
        <d v="2021-03-12T00:00:00"/>
        <d v="2021-07-07T00:00:00"/>
        <d v="2022-12-30T00:00:00"/>
        <d v="2021-10-21T00:00:00"/>
        <d v="2022-12-01T00:00:00"/>
        <d v="2021-05-17T00:00:00"/>
        <d v="2021-10-13T00:00:00"/>
        <d v="2022-01-18T00:00:00"/>
        <d v="2021-06-28T00:00:00"/>
        <d v="2022-11-11T00:00:00"/>
        <d v="2022-12-28T00:00:00"/>
        <d v="2022-02-09T00:00:00"/>
        <d v="2022-09-01T00:00:00"/>
        <d v="2022-08-26T00:00:00"/>
        <d v="2022-11-17T00:00:00"/>
        <d v="2022-05-18T00:00:00"/>
        <d v="2022-09-30T00:00:00"/>
        <d v="2022-10-09T00:00:00"/>
        <d v="2022-05-12T00:00:00"/>
        <d v="2022-08-17T00:00:00"/>
        <d v="2020-12-22T00:00:00"/>
        <d v="2021-05-27T00:00:00"/>
        <d v="2020-12-18T00:00:00"/>
        <d v="2021-03-18T00:00:00"/>
        <m/>
      </sharedItems>
    </cacheField>
    <cacheField name="failure_code" numFmtId="0">
      <sharedItems containsBlank="1" count="104">
        <s v="RS1020"/>
        <s v="DEDUCTIBLE"/>
        <s v="RS1061"/>
        <s v="OTH35N"/>
        <s v="EN2417"/>
        <s v="ST1000"/>
        <s v="SU1581"/>
        <s v="SU1929"/>
        <s v="EC1090"/>
        <s v="SU1870"/>
        <s v="AC1100"/>
        <s v="SU1955"/>
        <s v="EM1120"/>
        <s v="EN1570"/>
        <s v="TR2650"/>
        <s v="BR1051"/>
        <s v="DA1071"/>
        <s v="EC1161"/>
        <s v="EN2250"/>
        <s v="SU1820"/>
        <s v="EL4167"/>
        <s v="ST5154"/>
        <s v="EL1649"/>
        <s v="EL1810"/>
        <s v="EL1000"/>
        <s v="EN1190"/>
        <s v="TR3602"/>
        <s v="ST1450"/>
        <s v="EN2418"/>
        <s v="EL3530"/>
        <s v="EL4050"/>
        <s v="TR2700"/>
        <s v="EL1940"/>
        <s v="DA1733"/>
        <s v="DA4848"/>
        <s v="EC2347"/>
        <s v="EM1130"/>
        <s v="EL4181"/>
        <s v="SU1421"/>
        <s v="SU1943"/>
        <s v="SU1974"/>
        <s v="EN2190"/>
        <s v="EL4172"/>
        <s v="AC1140"/>
        <s v="AC1300"/>
        <s v="EN2507"/>
        <s v="SU1800"/>
        <s v="SU1900"/>
        <s v="EL4117"/>
        <s v="SU1041"/>
        <s v="EL2670"/>
        <s v="SU1953"/>
        <s v="EF2249"/>
        <s v="EL1210"/>
        <s v="EF2240"/>
        <s v="EL1031"/>
        <s v="EL1592"/>
        <s v="EL4184"/>
        <s v="EF2262"/>
        <s v="EC2345"/>
        <s v="MS1040"/>
        <s v="BR1111"/>
        <s v="AC1150"/>
        <s v="DA1650"/>
        <s v="SU1391"/>
        <s v="GE1600"/>
        <s v="EL4263"/>
        <s v="SU1591"/>
        <s v="EC1234"/>
        <s v="EC1030"/>
        <s v="EL1670"/>
        <s v="EL4223"/>
        <s v="EN2426"/>
        <s v="EN1070"/>
        <s v="DA1081"/>
        <s v="EL4051"/>
        <s v="EN1010"/>
        <s v="TR2120"/>
        <s v="TR2360"/>
        <s v="TR3000"/>
        <s v="DA1471"/>
        <s v="DA1736"/>
        <s v="DA1752"/>
        <s v="EN1121"/>
        <s v="EN1200"/>
        <s v="EN1301"/>
        <s v="EN1320"/>
        <s v="EN1710"/>
        <s v="EN1890"/>
        <s v="EN2350"/>
        <s v="EN2484"/>
        <s v="EN2524"/>
        <s v="AC1271"/>
        <s v="AC1350"/>
        <s v="AC1434"/>
        <s v="MSVOID1070"/>
        <s v="EN1430"/>
        <s v="EN1650"/>
        <s v="EN2432"/>
        <s v="GE3660"/>
        <s v="EN1230"/>
        <s v="RE1060"/>
        <s v="RS1060"/>
        <m/>
      </sharedItems>
    </cacheField>
    <cacheField name="failure_code_descr" numFmtId="0">
      <sharedItems containsBlank="1" count="104">
        <s v="BATTERY JUMP"/>
        <s v="DEDUCTIBLE"/>
        <s v="DISPATCH FEE"/>
        <s v="INSPECTION"/>
        <s v="Variable Valve Timing Actuator"/>
        <s v="Alignment"/>
        <s v="Left Front Upper Control Arm"/>
        <s v="Both Front Wheel Bearings"/>
        <s v="Radiator"/>
        <s v="Front Shock Absorbers"/>
        <s v="Compressor"/>
        <s v="Both Front Lower Control Arms"/>
        <s v="Oxygen Sensor B1S1"/>
        <s v="Timing Chain"/>
        <s v="Transmission Cooler Lines"/>
        <s v="Right Front Wheel Speed Sensor"/>
        <s v="Constant Velocity Joint Boot CV - Driver Side Outer"/>
        <s v="Serpentine Belt Tensioner"/>
        <s v="Front Crankshaft Seal"/>
        <s v="Stabilizer Links"/>
        <s v="Ignition Coil #3"/>
        <s v="Electronic Steering Gear"/>
        <s v="Power Sunroof Motor"/>
        <s v="Starter Motor"/>
        <s v="Alternator"/>
        <s v="Engine Mount Front"/>
        <s v="Transmission - Remanufactured"/>
        <s v="Rack and Pinion"/>
        <s v="Variable Valve Timing Solenoid (External)"/>
        <s v="Door Lock Actuator"/>
        <s v="Reprogramming"/>
        <s v="Valve Body"/>
        <s v="Window Regulator Rear Driver"/>
        <s v="Propeller Shaft"/>
        <s v="Rear Differential - Remanufactured"/>
        <s v="Thermostat With Housing"/>
        <s v="PCM Coolant Temperature Sensor"/>
        <s v="Lane Departure Module"/>
        <s v="Level Control Compressor / Suspension Pump"/>
        <s v="Rear Shock Absorbers"/>
        <s v="Stabilizer Links Front"/>
        <s v="Lifter"/>
        <s v="Ignition Coil #8"/>
        <s v="Evacuate And Recharge"/>
        <s v="Condensor"/>
        <s v="Oil Pressure Relief Valve"/>
        <s v="Strut"/>
        <s v="Strut Rear Driver"/>
        <s v="Running Board Motor"/>
        <s v="Left Front Lower Control Arm"/>
        <s v="Rear Hatch Lift Motor"/>
        <s v="Both Front Struts"/>
        <s v="Fuel Injector #2"/>
        <s v="Electronic Power Control Module - PCM"/>
        <s v="Injector O Ring"/>
        <s v="Electronic Body Control Module - BCM"/>
        <s v="Left Rear Door Lock Actuator"/>
        <s v="Central LCD Control Screen"/>
        <s v="High Pressure Fuel Pump"/>
        <s v="Thermostat"/>
        <s v="Sublet"/>
        <s v="Right Front Brake Caliper"/>
        <s v="Evaporator Core Front"/>
        <s v="Axle Seal"/>
        <s v="Left Front Wheel Bearing"/>
        <s v="Door Mirror Front Driver"/>
        <s v="Multifunction Battery Storage Capacitor Control Module"/>
        <s v="Right Front Lower Control Arm"/>
        <s v="Water Pump"/>
        <s v="Engine Cooling Fan Motor"/>
        <s v="Power Window Switch Front Driver"/>
        <s v="Dynamic Radar Cruise Control Distance Sensor"/>
        <s v="Variable Valve Timing Seal"/>
        <s v="Coolant"/>
        <s v="Constant Velocity Joint Boot CV - Passenger Side Inner"/>
        <s v="Connector"/>
        <s v="Bolts"/>
        <s v="Transmission Fluid"/>
        <s v="Seal(S) - Transmission"/>
        <s v="Side Cover Gasket"/>
        <s v="Differential Inspection Cover Gasket"/>
        <s v="Sealant / Sealers - Differential"/>
        <s v="Differential Fluid"/>
        <s v="Cylinder Head Gasket Right"/>
        <s v="Exhaust Manifold Gasket"/>
        <s v="Intake Manifold Gasket Seals"/>
        <s v="Oil"/>
        <s v="Valve Lifter(S)"/>
        <s v="Valve Cover Gasket"/>
        <s v="Cylinder Head Gasket Left"/>
        <s v="Valve Lifter Oil Manifold"/>
        <s v="Lifter Guide"/>
        <s v="Refrigerant - Freon"/>
        <s v="Evaporator Seal"/>
        <s v="AC Oring"/>
        <s v="Deductible Override"/>
        <s v="Push Rod(S)"/>
        <s v="Valley Pan  Gasket"/>
        <s v="Cylinder Head Gasket Set"/>
        <s v="Washers"/>
        <s v="Gasket / Seal Kit - Engine"/>
        <s v="Over 5 Days Rental Car"/>
        <s v="TOWING"/>
        <m/>
      </sharedItems>
    </cacheField>
    <cacheField name="part_code" numFmtId="0">
      <sharedItems containsBlank="1" count="10">
        <s v="BATTERY JU"/>
        <s v="DEDUCTIBLE"/>
        <s v="DISPATCH F"/>
        <s v="INSPECTION"/>
        <s v="Labor"/>
        <s v="Parts"/>
        <s v="RENTAL"/>
        <s v="SALES TAX"/>
        <s v="Towing"/>
        <m/>
      </sharedItems>
    </cacheField>
    <cacheField name="failure_code_group" numFmtId="0">
      <sharedItems containsBlank="1" count="15">
        <s v="Other"/>
        <s v="Engine"/>
        <s v="Misc. Labor"/>
        <s v="Susp"/>
        <s v="Cool"/>
        <s v="Aircon"/>
        <s v="Fuel"/>
        <s v="Trans"/>
        <s v="Brakes"/>
        <s v="Diff"/>
        <s v="Elec"/>
        <s v="Steering"/>
        <s v="Body/Frame"/>
        <s v="Accessory"/>
        <m/>
      </sharedItems>
    </cacheField>
    <cacheField name="Claim Paid Amount" numFmtId="0">
      <sharedItems containsString="0" containsBlank="1" containsNumber="1" minValue="-2325.4" maxValue="100"/>
    </cacheField>
    <cacheField name="GWR" numFmtId="0">
      <sharedItems containsNonDate="0" containsString="0" containsBlank="1"/>
    </cacheField>
    <cacheField name="year paid" numFmtId="0">
      <sharedItems containsString="0" containsBlank="1" containsNumber="1" containsInteger="1" minValue="2020" maxValue="2022" count="4">
        <n v="2022"/>
        <n v="2021"/>
        <n v="2020"/>
        <m/>
      </sharedItems>
    </cacheField>
    <cacheField name="month paid" numFmtId="0">
      <sharedItems containsString="0" containsBlank="1" containsNumber="1" containsInteger="1" minValue="1" maxValue="12" count="13">
        <n v="11"/>
        <n v="1"/>
        <n v="3"/>
        <n v="7"/>
        <n v="6"/>
        <n v="9"/>
        <n v="10"/>
        <n v="2"/>
        <n v="8"/>
        <n v="5"/>
        <n v="4"/>
        <n v="12"/>
        <m/>
      </sharedItems>
    </cacheField>
    <cacheField name="Year Sold" numFmtId="0">
      <sharedItems containsString="0" containsBlank="1" containsNumber="1" containsInteger="1" minValue="2020" maxValue="2022"/>
    </cacheField>
    <cacheField name="Month Sold" numFmtId="0">
      <sharedItems containsString="0" containsBlank="1" containsNumber="1" containsInteger="1" minValue="1" maxValue="12"/>
    </cacheField>
    <cacheField name="Program Ceding Type" numFmtId="0">
      <sharedItems containsBlank="1"/>
    </cacheField>
    <cacheField name="Transaction Type" numFmtId="0">
      <sharedItems count="2">
        <s v="Service Contract"/>
        <e v="#N/A"/>
      </sharedItems>
    </cacheField>
    <cacheField name="New_Used" numFmtId="0">
      <sharedItems containsBlank="1"/>
    </cacheField>
    <cacheField name="Program Group 2" numFmtId="0">
      <sharedItems containsBlank="1"/>
    </cacheField>
    <cacheField name="Seals &amp; Gaskets" numFmtId="0">
      <sharedItems containsNonDate="0" containsString="0" containsBlank="1"/>
    </cacheField>
    <cacheField name="days till pay" numFmtId="0">
      <sharedItems containsString="0" containsBlank="1" containsNumber="1" containsInteger="1" minValue="13" maxValue="80"/>
    </cacheField>
    <cacheField name="days till claim" numFmtId="0">
      <sharedItems containsString="0" containsBlank="1" containsNumber="1" containsInteger="1" minValue="50" maxValue="742" count="74">
        <n v="742"/>
        <n v="370"/>
        <n v="413"/>
        <n v="185"/>
        <n v="85"/>
        <n v="333"/>
        <n v="489"/>
        <n v="503"/>
        <n v="255"/>
        <n v="351"/>
        <n v="739"/>
        <n v="69"/>
        <n v="138"/>
        <n v="126"/>
        <n v="566"/>
        <n v="454"/>
        <n v="105"/>
        <n v="382"/>
        <n v="144"/>
        <n v="276"/>
        <n v="160"/>
        <n v="270"/>
        <n v="581"/>
        <n v="361"/>
        <n v="455"/>
        <n v="466"/>
        <n v="480"/>
        <n v="727"/>
        <n v="205"/>
        <n v="207"/>
        <n v="141"/>
        <n v="617"/>
        <n v="685"/>
        <n v="150"/>
        <n v="208"/>
        <n v="414"/>
        <n v="103"/>
        <n v="482"/>
        <n v="512"/>
        <n v="425"/>
        <n v="305"/>
        <n v="609"/>
        <n v="683"/>
        <n v="118"/>
        <n v="341"/>
        <n v="101"/>
        <n v="228"/>
        <n v="221"/>
        <n v="504"/>
        <n v="53"/>
        <n v="134"/>
        <n v="209"/>
        <n v="560"/>
        <n v="339"/>
        <n v="490"/>
        <n v="130"/>
        <n v="371"/>
        <n v="98"/>
        <n v="148"/>
        <n v="229"/>
        <n v="518"/>
        <n v="258"/>
        <n v="251"/>
        <n v="453"/>
        <n v="533"/>
        <n v="140"/>
        <n v="272"/>
        <n v="492"/>
        <n v="311"/>
        <n v="406"/>
        <n v="54"/>
        <n v="201"/>
        <n v="50"/>
        <m/>
      </sharedItems>
    </cacheField>
    <cacheField name="miles till claim" numFmtId="0">
      <sharedItems containsBlank="1" containsMixedTypes="1" containsNumber="1" containsInteger="1" minValue="603" maxValue="31536" count="73">
        <n v="18402"/>
        <s v=""/>
        <n v="7999"/>
        <n v="603"/>
        <n v="5674"/>
        <n v="19656"/>
        <n v="27593"/>
        <n v="29019"/>
        <n v="5201"/>
        <n v="8109"/>
        <n v="21002"/>
        <n v="978"/>
        <n v="941"/>
        <n v="2028"/>
        <n v="14009"/>
        <n v="13250"/>
        <n v="4300"/>
        <n v="16360"/>
        <n v="5354"/>
        <n v="623"/>
        <n v="4097"/>
        <n v="7436"/>
        <n v="18107"/>
        <n v="11316"/>
        <n v="14183"/>
        <n v="14598"/>
        <n v="15028"/>
        <n v="22601"/>
        <n v="11308"/>
        <n v="6023"/>
        <n v="5306"/>
        <n v="10447"/>
        <n v="31536"/>
        <n v="3868"/>
        <n v="5282"/>
        <n v="10624"/>
        <n v="1030"/>
        <n v="4913"/>
        <n v="20522"/>
        <n v="12600"/>
        <n v="7883"/>
        <n v="1945"/>
        <n v="19817"/>
        <n v="29538"/>
        <n v="3184"/>
        <n v="7902"/>
        <n v="14195"/>
        <n v="13514"/>
        <n v="1307"/>
        <n v="1933"/>
        <n v="5287"/>
        <n v="7695"/>
        <n v="9949"/>
        <n v="15583"/>
        <n v="5901"/>
        <n v="13022"/>
        <n v="16865"/>
        <n v="4858"/>
        <n v="6139"/>
        <n v="6767"/>
        <n v="7538"/>
        <n v="23654"/>
        <n v="6120"/>
        <n v="8528"/>
        <n v="14130"/>
        <n v="5749"/>
        <n v="25072"/>
        <n v="4616"/>
        <n v="8688"/>
        <n v="20528"/>
        <n v="19608"/>
        <n v="24009"/>
        <m/>
      </sharedItems>
    </cacheField>
    <cacheField name="$ &lt; 30 Daysx" numFmtId="0">
      <sharedItems containsBlank="1"/>
    </cacheField>
    <cacheField name="$ 30 -60 Daysx" numFmtId="0">
      <sharedItems containsBlank="1" containsMixedTypes="1" containsNumber="1" minValue="-2160" maxValue="-3.85"/>
    </cacheField>
    <cacheField name="$ 60 - 90 Daysx" numFmtId="0">
      <sharedItems containsBlank="1" containsMixedTypes="1" containsNumber="1" minValue="-1480" maxValue="100"/>
    </cacheField>
    <cacheField name="$ &gt; 90 Daysx" numFmtId="0">
      <sharedItems containsBlank="1" containsMixedTypes="1" containsNumber="1" minValue="-2325.4" maxValue="100"/>
    </cacheField>
    <cacheField name="Claim Number" numFmtId="0">
      <sharedItems containsBlank="1" count="71">
        <s v="APC500205-4"/>
        <s v="APC100174-1"/>
        <s v="APC100175-1"/>
        <s v="PTPFD311163D22-1"/>
        <s v="SDFGS411937F21-1"/>
        <s v="SDFGS411937F21-3"/>
        <s v="SDFGS411937F21-4"/>
        <s v="SDFBF369586I20-1"/>
        <s v="SDFBF369586I20-2"/>
        <s v="SDFBF369586I20-3"/>
        <s v="ARCCF201739H22-1"/>
        <s v="APC100109-1"/>
        <s v="SDF8J254834B21-2"/>
        <s v="SDF8J254834B21-4"/>
        <s v="SDFHJ139894K20-2"/>
        <s v="SDFFR144088D21-1"/>
        <s v="SDFFR144088D21-2"/>
        <s v="PTPGR159369D22-1"/>
        <s v="SNFJR295989K20-1"/>
        <s v="SNFJR174307L20-1"/>
        <s v="SNFJR174307L20-2"/>
        <s v="SNFJR174307L20-3"/>
        <s v="SNFFR299688K20-1"/>
        <s v="SNFFR299688K20-2"/>
        <s v="SNFFR299688K20-3"/>
        <s v="SNFFR299688K20-4"/>
        <s v="SNFFR299688K20-5"/>
        <s v="SDFGR356895K20-1"/>
        <s v="APC100463-1"/>
        <s v="SDFC9147361A21-1"/>
        <s v="SDFC9147361A21-3"/>
        <s v="SNFH1602575L20-1"/>
        <s v="SDFBS584439K20-1"/>
        <s v="SDFBS584439K20-2"/>
        <s v="SDFBS584439K20-3"/>
        <s v="SDFES576785F21-1"/>
        <s v="SDFGB623095E21-1"/>
        <s v="SDFGB623095E21-3"/>
        <s v="APC500213-2"/>
        <s v="APC500369-2"/>
        <s v="APC500205-1"/>
        <s v="APC500211-2"/>
        <s v="SDF8J254834B21-1"/>
        <s v="SDFGS411937F21-2"/>
        <s v="APC500412-1"/>
        <s v="APC500277-1"/>
        <s v="APC500277-2"/>
        <s v="APC500416-2"/>
        <s v="APC500219-1"/>
        <s v="APC500219-2"/>
        <s v="APC500249-2"/>
        <s v="SDFFJ249196F21-1"/>
        <s v="SDFHJ139894K20-1"/>
        <s v="SDFFR140328G21-2"/>
        <s v="APC500272-1"/>
        <s v="APC500272-2"/>
        <s v="APC500272-3"/>
        <s v="APC500369-1"/>
        <s v="APC500709-1"/>
        <s v="APC500709-2"/>
        <s v="APC500425-1"/>
        <s v="APC500425-2"/>
        <s v="APC500425-3"/>
        <s v="APC100175-2"/>
        <s v="APC100294-1"/>
        <s v="APC500645-1"/>
        <s v="APC500645-2"/>
        <s v="SDFGB623095E21-4"/>
        <s v="APC100332-1"/>
        <s v="APC100332-2"/>
        <m/>
      </sharedItems>
    </cacheField>
    <cacheField name="part_code2" numFmtId="0">
      <sharedItems containsBlank="1" count="8">
        <s v="Towing &amp; Roadside"/>
        <s v="Deductible"/>
        <s v="Inspection"/>
        <s v="Labor"/>
        <s v="Parts"/>
        <s v="Rental"/>
        <s v="Sales Tax"/>
        <m/>
      </sharedItems>
    </cacheField>
    <cacheField name="Contracts to Exclude" numFmtId="0">
      <sharedItems containsBlank="1" count="2"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asteriskTotals="1" showCalcMbrs="0" showDrill="0" showDataTips="0" pageWrap="5" itemPrintTitles="1" createdVersion="3" indent="0" compact="0" compactData="0" gridDropZones="1" multipleFieldFilters="0">
  <location ref="B43:D48" firstHeaderRow="2" firstDataRow="2" firstDataCol="2" rowPageCount="5" colPageCount="4"/>
  <pivotFields count="47">
    <pivotField axis="axisPage" compact="0" outline="0" showAll="0" defaultSubtota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axis="axisPage" compact="0" outline="0" showAll="0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Page" compact="0" outline="0" multipleItemSelectionAllowed="1" showAll="0" defaultSubtotal="0">
      <items count="8">
        <item x="6"/>
        <item x="2"/>
        <item x="1"/>
        <item x="5"/>
        <item x="3"/>
        <item x="0"/>
        <item x="4"/>
        <item x="7"/>
      </items>
    </pivotField>
    <pivotField axis="axisPage" compact="0" outline="0" showAll="0" defaultSubtotal="0">
      <items count="22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compact="0" outline="0" showAll="0" defaultSubtotal="0"/>
    <pivotField compact="0" numFmtId="164" outline="0" showAll="0" defaultSubtotal="0"/>
    <pivotField axis="axisPage" compact="0" numFmtId="164" outline="0" multipleItemSelectionAllowed="1" showAll="0" defaultSubtota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compact="0" outline="0" showAll="0" defaultSubtotal="0"/>
    <pivotField axis="axisPage" compact="0" numFmtId="14" outline="0" multipleItemSelectionAllowed="1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Page" compact="0" outline="0" showAll="0">
      <items count="3">
        <item x="0"/>
        <item x="1"/>
        <item t="default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15">
        <item x="7"/>
        <item x="0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</items>
    </pivotField>
    <pivotField compact="0" outline="0" showAll="0" defaultSubtotal="0"/>
    <pivotField axis="axisPage" compact="0" outline="0" showAll="0" defaultSubtotal="0">
      <items count="8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</items>
    </pivotField>
    <pivotField compact="0" numFmtId="164" outline="0" showAll="0" defaultSubtotal="0"/>
    <pivotField compact="0" outline="0" showAll="0" defaultSubtotal="0"/>
    <pivotField axis="axisPage" compact="0" outline="0" showAll="0" defaultSubtotal="0">
      <items count="2">
        <item x="0"/>
        <item x="1"/>
      </items>
    </pivotField>
    <pivotField axis="axisPage" compact="0" numFmtId="164" outline="0" multipleItemSelectionAllowed="1" showAll="0" sortType="ascending">
      <items count="74">
        <item x="70"/>
        <item x="47"/>
        <item x="68"/>
        <item x="11"/>
        <item x="48"/>
        <item x="71"/>
        <item x="43"/>
        <item x="31"/>
        <item x="53"/>
        <item x="18"/>
        <item x="69"/>
        <item x="26"/>
        <item x="7"/>
        <item x="40"/>
        <item x="28"/>
        <item x="12"/>
        <item x="32"/>
        <item x="56"/>
        <item x="49"/>
        <item x="3"/>
        <item x="15"/>
        <item x="17"/>
        <item x="44"/>
        <item x="8"/>
        <item x="19"/>
        <item x="34"/>
        <item x="54"/>
        <item x="51"/>
        <item x="35"/>
        <item x="37"/>
        <item x="21"/>
        <item x="45"/>
        <item x="55"/>
        <item x="33"/>
        <item x="1"/>
        <item x="59"/>
        <item x="14"/>
        <item x="22"/>
        <item x="2"/>
        <item x="23"/>
        <item x="46"/>
        <item x="24"/>
        <item x="66"/>
        <item x="63"/>
        <item x="16"/>
        <item x="5"/>
        <item x="41"/>
        <item x="27"/>
        <item x="38"/>
        <item x="4"/>
        <item x="20"/>
        <item x="67"/>
        <item x="61"/>
        <item x="60"/>
        <item x="13"/>
        <item x="39"/>
        <item x="42"/>
        <item x="36"/>
        <item x="64"/>
        <item x="9"/>
        <item x="65"/>
        <item x="29"/>
        <item x="10"/>
        <item x="0"/>
        <item x="57"/>
        <item x="62"/>
        <item x="6"/>
        <item x="30"/>
        <item x="25"/>
        <item x="52"/>
        <item x="58"/>
        <item x="50"/>
        <item x="72"/>
        <item t="default"/>
      </items>
    </pivotField>
    <pivotField axis="axisPage" compact="0" outline="0" showAll="0">
      <items count="105">
        <item x="1"/>
        <item x="26"/>
        <item x="3"/>
        <item x="24"/>
        <item x="73"/>
        <item x="77"/>
        <item x="100"/>
        <item x="5"/>
        <item x="43"/>
        <item x="76"/>
        <item x="92"/>
        <item x="44"/>
        <item x="88"/>
        <item x="75"/>
        <item x="13"/>
        <item x="29"/>
        <item x="30"/>
        <item x="23"/>
        <item x="61"/>
        <item x="86"/>
        <item x="0"/>
        <item x="2"/>
        <item x="4"/>
        <item x="6"/>
        <item x="7"/>
        <item x="8"/>
        <item x="9"/>
        <item x="10"/>
        <item x="11"/>
        <item x="12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2"/>
        <item x="63"/>
        <item x="64"/>
        <item x="65"/>
        <item x="66"/>
        <item x="67"/>
        <item x="68"/>
        <item x="69"/>
        <item x="70"/>
        <item x="71"/>
        <item x="72"/>
        <item x="74"/>
        <item x="78"/>
        <item x="79"/>
        <item x="80"/>
        <item x="81"/>
        <item x="82"/>
        <item x="83"/>
        <item x="84"/>
        <item x="85"/>
        <item x="87"/>
        <item x="89"/>
        <item x="90"/>
        <item x="91"/>
        <item x="93"/>
        <item x="94"/>
        <item x="95"/>
        <item x="96"/>
        <item x="97"/>
        <item x="98"/>
        <item x="99"/>
        <item x="101"/>
        <item x="102"/>
        <item x="103"/>
        <item t="default"/>
      </items>
    </pivotField>
    <pivotField axis="axisPage" compact="0" outline="0" showAll="0" defaultSubtotal="0">
      <items count="104">
        <item x="1"/>
        <item x="26"/>
        <item x="3"/>
        <item x="24"/>
        <item x="73"/>
        <item x="77"/>
        <item x="100"/>
        <item x="5"/>
        <item x="43"/>
        <item x="76"/>
        <item x="92"/>
        <item x="44"/>
        <item x="88"/>
        <item x="75"/>
        <item x="13"/>
        <item x="29"/>
        <item x="30"/>
        <item x="23"/>
        <item x="61"/>
        <item x="86"/>
        <item x="0"/>
        <item x="2"/>
        <item x="4"/>
        <item x="6"/>
        <item x="7"/>
        <item x="8"/>
        <item x="9"/>
        <item x="10"/>
        <item x="11"/>
        <item x="12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2"/>
        <item x="63"/>
        <item x="64"/>
        <item x="65"/>
        <item x="66"/>
        <item x="67"/>
        <item x="68"/>
        <item x="69"/>
        <item x="70"/>
        <item x="71"/>
        <item x="72"/>
        <item x="74"/>
        <item x="78"/>
        <item x="79"/>
        <item x="80"/>
        <item x="81"/>
        <item x="82"/>
        <item x="83"/>
        <item x="84"/>
        <item x="85"/>
        <item x="87"/>
        <item x="89"/>
        <item x="90"/>
        <item x="91"/>
        <item x="93"/>
        <item x="94"/>
        <item x="95"/>
        <item x="96"/>
        <item x="97"/>
        <item x="98"/>
        <item x="99"/>
        <item x="101"/>
        <item x="102"/>
        <item x="103"/>
      </items>
    </pivotField>
    <pivotField axis="axisPage" compact="0" outline="0" showAll="0" defaultSubtotal="0">
      <items count="10">
        <item x="5"/>
        <item x="4"/>
        <item x="1"/>
        <item x="3"/>
        <item x="6"/>
        <item x="7"/>
        <item x="0"/>
        <item x="2"/>
        <item x="8"/>
        <item x="9"/>
      </items>
    </pivotField>
    <pivotField axis="axisPage" compact="0" outline="0" showAll="0" defaultSubtotal="0">
      <items count="15">
        <item x="1"/>
        <item x="7"/>
        <item x="9"/>
        <item x="0"/>
        <item x="4"/>
        <item x="10"/>
        <item x="2"/>
        <item x="5"/>
        <item x="3"/>
        <item x="8"/>
        <item x="6"/>
        <item x="13"/>
        <item x="11"/>
        <item x="12"/>
        <item x="14"/>
      </items>
    </pivotField>
    <pivotField dataField="1" compact="0" outline="0" showAll="0" defaultSubtotal="0"/>
    <pivotField compact="0" outline="0" showAll="0" defaultSubtotal="0"/>
    <pivotField axis="axisRow" compact="0" outline="0" showAll="0" sortType="ascending">
      <items count="5">
        <item x="2"/>
        <item x="1"/>
        <item x="0"/>
        <item x="3"/>
        <item t="default"/>
      </items>
    </pivotField>
    <pivotField axis="axisPage" compact="0" outline="0" showAll="0">
      <items count="14">
        <item x="9"/>
        <item x="3"/>
        <item x="8"/>
        <item x="5"/>
        <item x="4"/>
        <item x="0"/>
        <item x="1"/>
        <item x="2"/>
        <item x="6"/>
        <item x="7"/>
        <item x="10"/>
        <item x="11"/>
        <item x="12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</items>
    </pivotField>
    <pivotField axis="axisRow" compact="0" outline="0" showAll="0" defaultSubtotal="0">
      <items count="8">
        <item x="4"/>
        <item h="1" x="3"/>
        <item h="1" x="1"/>
        <item h="1" x="2"/>
        <item h="1" x="5"/>
        <item h="1" x="6"/>
        <item h="1" x="0"/>
        <item h="1" x="7"/>
      </items>
    </pivotField>
    <pivotField axis="axisPage" compact="0" outline="0" multipleItemSelectionAllowed="1" showAll="0" defaultSubtotal="0">
      <items count="2">
        <item x="0"/>
        <item x="1"/>
      </items>
    </pivotField>
  </pivotFields>
  <rowFields count="2">
    <field x="45"/>
    <field x="28"/>
  </rowFields>
  <rowItems count="4">
    <i>
      <x/>
      <x/>
    </i>
    <i r="1">
      <x v="1"/>
    </i>
    <i r="1">
      <x v="2"/>
    </i>
    <i t="grand">
      <x/>
    </i>
  </rowItems>
  <colItems count="1">
    <i/>
  </colItems>
  <pageFields count="20">
    <pageField fld="5" hier="0"/>
    <pageField fld="12" hier="-1"/>
    <pageField fld="14" hier="0"/>
    <pageField fld="13" hier="0"/>
    <pageField fld="10" hier="-1"/>
    <pageField fld="0" hier="0"/>
    <pageField fld="1" hier="-1"/>
    <pageField fld="29" hier="0"/>
    <pageField fld="25" hier="-1"/>
    <pageField fld="22" hier="0"/>
    <pageField fld="23" hier="-1"/>
    <pageField fld="24" hier="-1"/>
    <pageField fld="6" hier="0"/>
    <pageField fld="7" hier="0"/>
    <pageField fld="15" hier="0"/>
    <pageField fld="17" hier="0"/>
    <pageField fld="44" hier="-1"/>
    <pageField fld="21" hier="-1"/>
    <pageField fld="20" item="0" hier="-1"/>
    <pageField fld="46" hier="-1"/>
  </pageFields>
  <dataFields count="1">
    <dataField name="Sum of Claim Paid Amount" fld="26" baseField="0" baseItem="0" numFmtId="38"/>
  </dataFields>
  <formats count="8">
    <format dxfId="92">
      <pivotArea dataOnly="0" labelOnly="1" grandCol="1" outline="0" fieldPosition="0"/>
    </format>
    <format dxfId="91">
      <pivotArea outline="0" fieldPosition="0"/>
    </format>
    <format dxfId="90">
      <pivotArea outline="0" fieldPosition="0">
        <references count="1">
          <reference field="25" count="1" selected="0">
            <x v="2"/>
          </reference>
        </references>
      </pivotArea>
    </format>
    <format dxfId="89">
      <pivotArea dataOnly="0" labelOnly="1" outline="0" fieldPosition="0">
        <references count="1">
          <reference field="25" count="0"/>
        </references>
      </pivotArea>
    </format>
    <format dxfId="88">
      <pivotArea dataOnly="0" labelOnly="1" grandCol="1" outline="0" fieldPosition="0"/>
    </format>
    <format dxfId="87">
      <pivotArea type="origin" dataOnly="0" labelOnly="1" outline="0" fieldPosition="0"/>
    </format>
    <format dxfId="86">
      <pivotArea field="25" type="button" dataOnly="0" labelOnly="1" outline="0" axis="axisPage" fieldPosition="8"/>
    </format>
    <format dxfId="85">
      <pivotArea dataOnly="0" labelOnly="1" outline="0" fieldPosition="0">
        <references count="1">
          <reference field="25" count="0"/>
        </references>
      </pivotArea>
    </format>
  </formats>
  <pivotTableStyleInfo name="PivotStyleLight9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asteriskTotals="1" showCalcMbrs="0" showDrill="0" showDataTips="0" pageWrap="5" itemPrintTitles="1" createdVersion="3" indent="0" compact="0" compactData="0" gridDropZones="1" multipleFieldFilters="0">
  <location ref="B13:Q22" firstHeaderRow="1" firstDataRow="2" firstDataCol="1" rowPageCount="5" colPageCount="4"/>
  <pivotFields count="47">
    <pivotField axis="axisPage" compact="0" outline="0" showAll="0" defaultSubtota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axis="axisPage" compact="0" outline="0" showAll="0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multipleItemSelectionAllowed="1" showAll="0"/>
    <pivotField axis="axisPage" compact="0" outline="0" multipleItemSelectionAllowed="1" showAll="0" defaultSubtotal="0">
      <items count="8">
        <item x="6"/>
        <item x="2"/>
        <item x="1"/>
        <item x="5"/>
        <item x="3"/>
        <item x="0"/>
        <item x="4"/>
        <item x="7"/>
      </items>
    </pivotField>
    <pivotField axis="axisPage" compact="0" outline="0" showAll="0" defaultSubtotal="0">
      <items count="22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compact="0" outline="0" showAll="0" defaultSubtotal="0"/>
    <pivotField compact="0" numFmtId="164" outline="0" showAll="0" defaultSubtotal="0"/>
    <pivotField axis="axisPage" compact="0" numFmtId="164" outline="0" multipleItemSelectionAllowed="1" showAll="0" defaultSubtota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compact="0" outline="0" showAll="0" defaultSubtotal="0"/>
    <pivotField axis="axisPage" compact="0" numFmtId="14" outline="0" multipleItemSelectionAllowed="1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Page" compact="0" outline="0" showAll="0">
      <items count="3">
        <item x="0"/>
        <item x="1"/>
        <item t="default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defaultSubtotal="0">
      <items count="15">
        <item x="7"/>
        <item x="0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</items>
    </pivotField>
    <pivotField compact="0" outline="0" showAll="0" defaultSubtotal="0"/>
    <pivotField axis="axisPage" compact="0" outline="0" showAll="0" defaultSubtotal="0">
      <items count="8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</items>
    </pivotField>
    <pivotField compact="0" numFmtId="164" outline="0" showAll="0" defaultSubtotal="0"/>
    <pivotField compact="0" outline="0" showAll="0" defaultSubtotal="0"/>
    <pivotField axis="axisPage" compact="0" outline="0" showAll="0" defaultSubtotal="0">
      <items count="2">
        <item x="0"/>
        <item x="1"/>
      </items>
    </pivotField>
    <pivotField axis="axisPage" compact="0" numFmtId="164" outline="0" multipleItemSelectionAllowed="1" showAll="0" sortType="ascending">
      <items count="74">
        <item x="70"/>
        <item x="47"/>
        <item x="68"/>
        <item x="11"/>
        <item x="48"/>
        <item x="71"/>
        <item x="43"/>
        <item x="31"/>
        <item x="53"/>
        <item x="18"/>
        <item x="69"/>
        <item x="26"/>
        <item x="7"/>
        <item x="40"/>
        <item x="28"/>
        <item x="12"/>
        <item x="32"/>
        <item x="56"/>
        <item x="49"/>
        <item x="3"/>
        <item x="15"/>
        <item x="17"/>
        <item x="44"/>
        <item x="8"/>
        <item x="19"/>
        <item x="34"/>
        <item x="54"/>
        <item x="51"/>
        <item x="35"/>
        <item x="37"/>
        <item x="21"/>
        <item x="45"/>
        <item x="55"/>
        <item x="33"/>
        <item x="1"/>
        <item x="59"/>
        <item x="14"/>
        <item x="22"/>
        <item x="2"/>
        <item x="23"/>
        <item x="46"/>
        <item x="24"/>
        <item x="66"/>
        <item x="63"/>
        <item x="16"/>
        <item x="5"/>
        <item x="41"/>
        <item x="27"/>
        <item x="38"/>
        <item x="4"/>
        <item x="20"/>
        <item x="67"/>
        <item x="61"/>
        <item x="60"/>
        <item x="13"/>
        <item x="39"/>
        <item x="42"/>
        <item x="36"/>
        <item x="64"/>
        <item x="9"/>
        <item x="65"/>
        <item x="29"/>
        <item x="10"/>
        <item x="0"/>
        <item x="57"/>
        <item x="62"/>
        <item x="6"/>
        <item x="30"/>
        <item x="25"/>
        <item x="52"/>
        <item x="58"/>
        <item x="50"/>
        <item x="72"/>
        <item t="default"/>
      </items>
    </pivotField>
    <pivotField axis="axisPage" compact="0" outline="0" showAll="0">
      <items count="105">
        <item x="1"/>
        <item x="26"/>
        <item x="3"/>
        <item x="24"/>
        <item x="73"/>
        <item x="77"/>
        <item x="100"/>
        <item x="5"/>
        <item x="43"/>
        <item x="76"/>
        <item x="92"/>
        <item x="44"/>
        <item x="88"/>
        <item x="75"/>
        <item x="13"/>
        <item x="29"/>
        <item x="30"/>
        <item x="23"/>
        <item x="61"/>
        <item x="86"/>
        <item x="0"/>
        <item x="2"/>
        <item x="4"/>
        <item x="6"/>
        <item x="7"/>
        <item x="8"/>
        <item x="9"/>
        <item x="10"/>
        <item x="11"/>
        <item x="12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2"/>
        <item x="63"/>
        <item x="64"/>
        <item x="65"/>
        <item x="66"/>
        <item x="67"/>
        <item x="68"/>
        <item x="69"/>
        <item x="70"/>
        <item x="71"/>
        <item x="72"/>
        <item x="74"/>
        <item x="78"/>
        <item x="79"/>
        <item x="80"/>
        <item x="81"/>
        <item x="82"/>
        <item x="83"/>
        <item x="84"/>
        <item x="85"/>
        <item x="87"/>
        <item x="89"/>
        <item x="90"/>
        <item x="91"/>
        <item x="93"/>
        <item x="94"/>
        <item x="95"/>
        <item x="96"/>
        <item x="97"/>
        <item x="98"/>
        <item x="99"/>
        <item x="101"/>
        <item x="102"/>
        <item x="103"/>
        <item t="default"/>
      </items>
    </pivotField>
    <pivotField axis="axisPage" compact="0" outline="0" showAll="0" defaultSubtotal="0">
      <items count="104">
        <item x="1"/>
        <item x="26"/>
        <item x="3"/>
        <item x="24"/>
        <item x="73"/>
        <item x="77"/>
        <item x="100"/>
        <item x="5"/>
        <item x="43"/>
        <item x="76"/>
        <item x="92"/>
        <item x="44"/>
        <item x="88"/>
        <item x="75"/>
        <item x="13"/>
        <item x="29"/>
        <item x="30"/>
        <item x="23"/>
        <item x="61"/>
        <item x="86"/>
        <item x="0"/>
        <item x="2"/>
        <item x="4"/>
        <item x="6"/>
        <item x="7"/>
        <item x="8"/>
        <item x="9"/>
        <item x="10"/>
        <item x="11"/>
        <item x="12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2"/>
        <item x="63"/>
        <item x="64"/>
        <item x="65"/>
        <item x="66"/>
        <item x="67"/>
        <item x="68"/>
        <item x="69"/>
        <item x="70"/>
        <item x="71"/>
        <item x="72"/>
        <item x="74"/>
        <item x="78"/>
        <item x="79"/>
        <item x="80"/>
        <item x="81"/>
        <item x="82"/>
        <item x="83"/>
        <item x="84"/>
        <item x="85"/>
        <item x="87"/>
        <item x="89"/>
        <item x="90"/>
        <item x="91"/>
        <item x="93"/>
        <item x="94"/>
        <item x="95"/>
        <item x="96"/>
        <item x="97"/>
        <item x="98"/>
        <item x="99"/>
        <item x="101"/>
        <item x="102"/>
        <item x="103"/>
      </items>
    </pivotField>
    <pivotField axis="axisPage" compact="0" outline="0" showAll="0" defaultSubtotal="0">
      <items count="10">
        <item x="5"/>
        <item x="4"/>
        <item x="1"/>
        <item x="3"/>
        <item x="6"/>
        <item x="7"/>
        <item x="0"/>
        <item x="2"/>
        <item x="8"/>
        <item x="9"/>
      </items>
    </pivotField>
    <pivotField axis="axisCol" compact="0" outline="0" showAll="0" defaultSubtotal="0">
      <items count="15">
        <item x="1"/>
        <item x="7"/>
        <item x="9"/>
        <item x="6"/>
        <item x="11"/>
        <item x="5"/>
        <item x="10"/>
        <item x="3"/>
        <item x="4"/>
        <item x="8"/>
        <item x="2"/>
        <item x="13"/>
        <item x="12"/>
        <item x="14"/>
        <item x="0"/>
      </items>
    </pivotField>
    <pivotField dataField="1" compact="0" outline="0" showAll="0" defaultSubtotal="0"/>
    <pivotField compact="0" outline="0" showAll="0" defaultSubtotal="0"/>
    <pivotField axis="axisPage" compact="0" outline="0" showAll="0">
      <items count="5">
        <item x="2"/>
        <item x="0"/>
        <item x="1"/>
        <item x="3"/>
        <item t="default"/>
      </items>
    </pivotField>
    <pivotField axis="axisPage" compact="0" outline="0" showAll="0">
      <items count="14">
        <item x="9"/>
        <item x="3"/>
        <item x="8"/>
        <item x="5"/>
        <item x="4"/>
        <item x="0"/>
        <item x="1"/>
        <item x="2"/>
        <item x="6"/>
        <item x="7"/>
        <item x="10"/>
        <item x="11"/>
        <item x="12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</items>
    </pivotField>
    <pivotField axis="axisRow" compact="0" outline="0" showAll="0" defaultSubtotal="0">
      <items count="8">
        <item x="4"/>
        <item x="3"/>
        <item x="0"/>
        <item x="5"/>
        <item x="2"/>
        <item x="7"/>
        <item x="1"/>
        <item x="6"/>
      </items>
    </pivotField>
    <pivotField axis="axisPage" compact="0" outline="0" multipleItemSelectionAllowed="1" showAll="0" defaultSubtotal="0">
      <items count="2">
        <item x="0"/>
        <item x="1"/>
      </items>
    </pivotField>
  </pivotFields>
  <rowFields count="1">
    <field x="45"/>
  </rowFields>
  <rowItems count="8">
    <i>
      <x/>
    </i>
    <i>
      <x v="1"/>
    </i>
    <i>
      <x v="2"/>
    </i>
    <i>
      <x v="3"/>
    </i>
    <i>
      <x v="4"/>
    </i>
    <i>
      <x v="6"/>
    </i>
    <i>
      <x v="7"/>
    </i>
    <i t="grand">
      <x/>
    </i>
  </rowItems>
  <colFields count="1">
    <field x="25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 t="grand">
      <x/>
    </i>
  </colItems>
  <pageFields count="19">
    <pageField fld="12" hier="-1"/>
    <pageField fld="1" hier="-1"/>
    <pageField fld="14" hier="0"/>
    <pageField fld="13" hier="0"/>
    <pageField fld="0" hier="0"/>
    <pageField fld="28" hier="0"/>
    <pageField fld="29" hier="0"/>
    <pageField fld="10" hier="-1"/>
    <pageField fld="22" hier="0"/>
    <pageField fld="24" hier="-1"/>
    <pageField fld="23" hier="0"/>
    <pageField fld="6" hier="0"/>
    <pageField fld="7" hier="0"/>
    <pageField fld="15" hier="0"/>
    <pageField fld="17" hier="0"/>
    <pageField fld="44" hier="-1"/>
    <pageField fld="21" hier="-1"/>
    <pageField fld="20" item="0" hier="-1"/>
    <pageField fld="46" hier="-1"/>
  </pageFields>
  <dataFields count="1">
    <dataField name="Sum of Claim Paid Amount" fld="26" baseField="0" baseItem="0" numFmtId="38"/>
  </dataFields>
  <formats count="9">
    <format dxfId="101">
      <pivotArea dataOnly="0" labelOnly="1" outline="0" fieldPosition="0">
        <references count="1">
          <reference field="25" count="0"/>
        </references>
      </pivotArea>
    </format>
    <format dxfId="100">
      <pivotArea dataOnly="0" labelOnly="1" grandCol="1" outline="0" fieldPosition="0"/>
    </format>
    <format dxfId="99">
      <pivotArea outline="0" fieldPosition="0"/>
    </format>
    <format dxfId="98">
      <pivotArea outline="0" fieldPosition="0">
        <references count="1">
          <reference field="25" count="1" selected="0">
            <x v="2"/>
          </reference>
        </references>
      </pivotArea>
    </format>
    <format dxfId="97">
      <pivotArea dataOnly="0" labelOnly="1" outline="0" fieldPosition="0">
        <references count="1">
          <reference field="25" count="0"/>
        </references>
      </pivotArea>
    </format>
    <format dxfId="96">
      <pivotArea dataOnly="0" labelOnly="1" grandCol="1" outline="0" fieldPosition="0"/>
    </format>
    <format dxfId="95">
      <pivotArea type="origin" dataOnly="0" labelOnly="1" outline="0" fieldPosition="0"/>
    </format>
    <format dxfId="94">
      <pivotArea field="25" type="button" dataOnly="0" labelOnly="1" outline="0" axis="axisCol" fieldPosition="0"/>
    </format>
    <format dxfId="93">
      <pivotArea grandRow="1" grandCol="1" outline="0" collapsedLevelsAreSubtotals="1" fieldPosition="0"/>
    </format>
  </formats>
  <pivotTableStyleInfo name="PivotStyleLight9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6" minRefreshableVersion="3" asteriskTotals="1" showCalcMbrs="0" showDrill="0" pageWrap="5" itemPrintTitles="1" createdVersion="3" indent="0" compact="0" compactData="0" gridDropZones="1" multipleFieldFilters="0">
  <location ref="B32:I35" firstHeaderRow="1" firstDataRow="2" firstDataCol="1" rowPageCount="5" colPageCount="5"/>
  <pivotFields count="47">
    <pivotField axis="axisPage" compact="0" outline="0" showAll="0" defaultSubtota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axis="axisPage" compact="0" outline="0" showAll="0" defaultSubtota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Page" compact="0" outline="0" showAll="0" defaultSubtotal="0">
      <items count="8">
        <item x="6"/>
        <item x="2"/>
        <item x="1"/>
        <item x="5"/>
        <item x="3"/>
        <item x="0"/>
        <item x="4"/>
        <item x="7"/>
      </items>
    </pivotField>
    <pivotField axis="axisPage" compact="0" outline="0" showAll="0" defaultSubtotal="0">
      <items count="22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axis="axisPage" compact="0" outline="0" showAll="0" defaultSubtota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axis="axisPage" compact="0" numFmtId="164" outline="0" showAll="0" defaultSubtotal="0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axis="axisPage" compact="0" numFmtId="164" outline="0" multipleItemSelectionAllowed="1" showAll="0" defaultSubtota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compact="0" outline="0" showAll="0" defaultSubtotal="0"/>
    <pivotField axis="axisPage" compact="0" numFmtId="14" outline="0" multipleItemSelectionAllowed="1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Page" compact="0" outline="0" showAll="0">
      <items count="3">
        <item x="0"/>
        <item x="1"/>
        <item t="default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showAll="0" sortType="ascending" defaultSubtotal="0">
      <items count="15">
        <item x="7"/>
        <item x="0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</items>
      <autoSortScope>
        <pivotArea dataOnly="0" outline="0" fieldPosition="0">
          <references count="1">
            <reference field="4294967294" count="1" selected="0">
              <x v="6"/>
            </reference>
          </references>
        </pivotArea>
      </autoSortScope>
    </pivotField>
    <pivotField axis="axisPage" compact="0" outline="0" showAll="0" defaultSubtotal="0">
      <items count="6">
        <item x="3"/>
        <item x="0"/>
        <item x="1"/>
        <item x="2"/>
        <item x="4"/>
        <item x="5"/>
      </items>
    </pivotField>
    <pivotField axis="axisPage" compact="0" outline="0" showAll="0" defaultSubtotal="0">
      <items count="8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</items>
    </pivotField>
    <pivotField compact="0" numFmtId="164" outline="0" showAll="0" defaultSubtotal="0"/>
    <pivotField compact="0" outline="0" showAll="0" defaultSubtotal="0"/>
    <pivotField axis="axisPage" compact="0" outline="0" showAll="0" defaultSubtotal="0">
      <items count="2">
        <item x="0"/>
        <item x="1"/>
      </items>
    </pivotField>
    <pivotField axis="axisPage" compact="0" numFmtId="164" outline="0" multipleItemSelectionAllowed="1" showAll="0">
      <items count="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axis="axisPage" compact="0" outline="0" showAll="0">
      <items count="105">
        <item x="1"/>
        <item x="26"/>
        <item x="3"/>
        <item x="24"/>
        <item x="73"/>
        <item x="77"/>
        <item x="100"/>
        <item x="5"/>
        <item x="43"/>
        <item x="76"/>
        <item x="92"/>
        <item x="44"/>
        <item x="88"/>
        <item x="75"/>
        <item x="13"/>
        <item x="29"/>
        <item x="30"/>
        <item x="23"/>
        <item x="61"/>
        <item x="86"/>
        <item x="0"/>
        <item x="2"/>
        <item x="4"/>
        <item x="6"/>
        <item x="7"/>
        <item x="8"/>
        <item x="9"/>
        <item x="10"/>
        <item x="11"/>
        <item x="12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2"/>
        <item x="63"/>
        <item x="64"/>
        <item x="65"/>
        <item x="66"/>
        <item x="67"/>
        <item x="68"/>
        <item x="69"/>
        <item x="70"/>
        <item x="71"/>
        <item x="72"/>
        <item x="74"/>
        <item x="78"/>
        <item x="79"/>
        <item x="80"/>
        <item x="81"/>
        <item x="82"/>
        <item x="83"/>
        <item x="84"/>
        <item x="85"/>
        <item x="87"/>
        <item x="89"/>
        <item x="90"/>
        <item x="91"/>
        <item x="93"/>
        <item x="94"/>
        <item x="95"/>
        <item x="96"/>
        <item x="97"/>
        <item x="98"/>
        <item x="99"/>
        <item x="101"/>
        <item x="102"/>
        <item x="103"/>
        <item t="default"/>
      </items>
    </pivotField>
    <pivotField axis="axisPage" compact="0" outline="0" showAll="0" defaultSubtotal="0">
      <items count="104">
        <item x="1"/>
        <item x="26"/>
        <item x="3"/>
        <item x="24"/>
        <item x="73"/>
        <item x="77"/>
        <item x="100"/>
        <item x="5"/>
        <item x="43"/>
        <item x="76"/>
        <item x="92"/>
        <item x="44"/>
        <item x="88"/>
        <item x="75"/>
        <item x="13"/>
        <item x="29"/>
        <item x="30"/>
        <item x="23"/>
        <item x="61"/>
        <item x="86"/>
        <item x="0"/>
        <item x="2"/>
        <item x="4"/>
        <item x="6"/>
        <item x="7"/>
        <item x="8"/>
        <item x="9"/>
        <item x="10"/>
        <item x="11"/>
        <item x="12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2"/>
        <item x="63"/>
        <item x="64"/>
        <item x="65"/>
        <item x="66"/>
        <item x="67"/>
        <item x="68"/>
        <item x="69"/>
        <item x="70"/>
        <item x="71"/>
        <item x="72"/>
        <item x="74"/>
        <item x="78"/>
        <item x="79"/>
        <item x="80"/>
        <item x="81"/>
        <item x="82"/>
        <item x="83"/>
        <item x="84"/>
        <item x="85"/>
        <item x="87"/>
        <item x="89"/>
        <item x="90"/>
        <item x="91"/>
        <item x="93"/>
        <item x="94"/>
        <item x="95"/>
        <item x="96"/>
        <item x="97"/>
        <item x="98"/>
        <item x="99"/>
        <item x="101"/>
        <item x="102"/>
        <item x="103"/>
      </items>
    </pivotField>
    <pivotField axis="axisPage" compact="0" outline="0" showAll="0" defaultSubtotal="0">
      <items count="10">
        <item x="5"/>
        <item x="4"/>
        <item x="1"/>
        <item x="3"/>
        <item x="6"/>
        <item x="7"/>
        <item x="0"/>
        <item x="2"/>
        <item x="8"/>
        <item x="9"/>
      </items>
    </pivotField>
    <pivotField axis="axisPage" compact="0" outline="0" showAll="0" defaultSubtotal="0">
      <items count="15">
        <item x="1"/>
        <item x="7"/>
        <item x="9"/>
        <item x="0"/>
        <item x="4"/>
        <item x="10"/>
        <item x="2"/>
        <item x="5"/>
        <item x="3"/>
        <item x="8"/>
        <item x="6"/>
        <item x="13"/>
        <item x="11"/>
        <item x="12"/>
        <item x="14"/>
      </items>
    </pivotField>
    <pivotField dataField="1" compact="0" outline="0" showAll="0" defaultSubtotal="0"/>
    <pivotField compact="0" outline="0" showAll="0" defaultSubtotal="0"/>
    <pivotField axis="axisPage" compact="0" outline="0" showAll="0">
      <items count="5">
        <item x="2"/>
        <item x="0"/>
        <item x="1"/>
        <item x="3"/>
        <item t="default"/>
      </items>
    </pivotField>
    <pivotField axis="axisPage" compact="0" outline="0" showAll="0">
      <items count="14">
        <item x="9"/>
        <item x="3"/>
        <item x="8"/>
        <item x="5"/>
        <item x="4"/>
        <item x="0"/>
        <item x="1"/>
        <item x="2"/>
        <item x="6"/>
        <item x="7"/>
        <item x="10"/>
        <item x="11"/>
        <item x="12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>
      <items count="74">
        <item x="58"/>
        <item x="7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9"/>
        <item x="60"/>
        <item x="61"/>
        <item x="62"/>
        <item x="63"/>
        <item x="64"/>
        <item x="65"/>
        <item x="66"/>
        <item x="67"/>
        <item x="68"/>
        <item x="69"/>
        <item x="71"/>
        <item x="72"/>
        <item x="73"/>
      </items>
    </pivotField>
    <pivotField dataField="1" compact="0" outline="0" showAll="0" defaultSubtotal="0">
      <items count="73">
        <item x="1"/>
        <item x="57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2">
        <item x="0"/>
        <item x="1"/>
      </items>
    </pivotField>
  </pivotFields>
  <rowFields count="1">
    <field x="33"/>
  </rowFields>
  <rowItems count="2">
    <i>
      <x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23">
    <pageField fld="5" hier="-1"/>
    <pageField fld="12" hier="-1"/>
    <pageField fld="14" hier="-1"/>
    <pageField fld="13" hier="0"/>
    <pageField fld="0" hier="0"/>
    <pageField fld="10" hier="-1"/>
    <pageField fld="1" hier="0"/>
    <pageField fld="28" hier="-1"/>
    <pageField fld="29" hier="0"/>
    <pageField fld="21" hier="0"/>
    <pageField fld="9" hier="0"/>
    <pageField fld="15" hier="-1"/>
    <pageField fld="16" hier="0"/>
    <pageField fld="22" hier="0"/>
    <pageField fld="23" hier="0"/>
    <pageField fld="17" hier="0"/>
    <pageField fld="24" hier="0"/>
    <pageField fld="6" hier="0"/>
    <pageField fld="7" hier="0"/>
    <pageField fld="8" hier="0"/>
    <pageField fld="25" hier="-1"/>
    <pageField fld="20" item="0" hier="-1"/>
    <pageField fld="46" hier="-1"/>
  </pageFields>
  <dataFields count="7">
    <dataField name="Average of days till claim" fld="38" subtotal="average" baseField="0" baseItem="0"/>
    <dataField name="Average of miles till claim" fld="39" subtotal="average" baseField="0" baseItem="0"/>
    <dataField name="$ &lt; 30 Days" fld="40" baseField="0" baseItem="0"/>
    <dataField name="$ 30 -60 Days" fld="41" baseField="0" baseItem="0"/>
    <dataField name="$ 60 - 90 Days" fld="42" baseField="0" baseItem="0"/>
    <dataField name="$ &gt; 90 Days" fld="43" baseField="0" baseItem="0"/>
    <dataField name="Sum of Claim Paid Amount" fld="26" baseField="0" baseItem="0" numFmtId="38"/>
  </dataFields>
  <formats count="19">
    <format dxfId="120">
      <pivotArea outline="0" collapsedLevelsAreSubtotals="1" fieldPosition="0"/>
    </format>
    <format dxfId="119">
      <pivotArea outline="0" collapsedLevelsAreSubtotals="1" fieldPosition="0">
        <references count="1">
          <reference field="25" count="1" selected="0">
            <x v="2"/>
          </reference>
        </references>
      </pivotArea>
    </format>
    <format dxfId="118">
      <pivotArea field="25" type="button" dataOnly="0" labelOnly="1" outline="0" axis="axisPage" fieldPosition="20"/>
    </format>
    <format dxfId="117">
      <pivotArea dataOnly="0" labelOnly="1" outline="0" fieldPosition="0">
        <references count="1">
          <reference field="1" count="0"/>
        </references>
      </pivotArea>
    </format>
    <format dxfId="116">
      <pivotArea dataOnly="0" labelOnly="1" outline="0" fieldPosition="0">
        <references count="1">
          <reference field="8" count="0"/>
        </references>
      </pivotArea>
    </format>
    <format dxfId="115">
      <pivotArea dataOnly="0" labelOnly="1" outline="0" fieldPosition="0">
        <references count="1">
          <reference field="9" count="0"/>
        </references>
      </pivotArea>
    </format>
    <format dxfId="114">
      <pivotArea dataOnly="0" labelOnly="1" outline="0" fieldPosition="0">
        <references count="1">
          <reference field="8" count="0"/>
        </references>
      </pivotArea>
    </format>
    <format dxfId="113">
      <pivotArea dataOnly="0" labelOnly="1" grandCol="1" outline="0" fieldPosition="0"/>
    </format>
    <format dxfId="112">
      <pivotArea type="origin" dataOnly="0" labelOnly="1" outline="0" fieldPosition="0"/>
    </format>
    <format dxfId="111">
      <pivotArea field="38" type="button" dataOnly="0" labelOnly="1" outline="0"/>
    </format>
    <format dxfId="110">
      <pivotArea field="39" type="button" dataOnly="0" labelOnly="1" outline="0"/>
    </format>
    <format dxfId="109">
      <pivotArea field="8" type="button" dataOnly="0" labelOnly="1" outline="0" axis="axisPage" fieldPosition="19"/>
    </format>
    <format dxfId="108">
      <pivotArea dataOnly="0" labelOnly="1" outline="0" fieldPosition="0">
        <references count="1">
          <reference field="4294967294" count="3">
            <x v="0"/>
            <x v="1"/>
            <x v="6"/>
          </reference>
        </references>
      </pivotArea>
    </format>
    <format dxfId="107">
      <pivotArea dataOnly="0" labelOnly="1" outline="0" fieldPosition="0">
        <references count="1">
          <reference field="4294967294" count="3">
            <x v="0"/>
            <x v="1"/>
            <x v="6"/>
          </reference>
        </references>
      </pivotArea>
    </format>
    <format dxfId="106">
      <pivotArea dataOnly="0" labelOnly="1" outline="0" fieldPosition="0">
        <references count="1">
          <reference field="8" count="0"/>
        </references>
      </pivotArea>
    </format>
    <format dxfId="105">
      <pivotArea dataOnly="0" labelOnly="1" outline="0" fieldPosition="0">
        <references count="1">
          <reference field="4294967294" count="4">
            <x v="2"/>
            <x v="3"/>
            <x v="4"/>
            <x v="5"/>
          </reference>
        </references>
      </pivotArea>
    </format>
    <format dxfId="104">
      <pivotArea dataOnly="0" labelOnly="1" outline="0" fieldPosition="0">
        <references count="1">
          <reference field="25" count="0"/>
        </references>
      </pivotArea>
    </format>
    <format dxfId="103">
      <pivotArea outline="0" fieldPosition="0">
        <references count="1">
          <reference field="4294967294" count="4" selected="0">
            <x v="2"/>
            <x v="3"/>
            <x v="4"/>
            <x v="5"/>
          </reference>
        </references>
      </pivotArea>
    </format>
    <format dxfId="102">
      <pivotArea dataOnly="0" labelOnly="1" outline="0" fieldPosition="0">
        <references count="1">
          <reference field="4294967294" count="4">
            <x v="2"/>
            <x v="3"/>
            <x v="4"/>
            <x v="5"/>
          </reference>
        </references>
      </pivotArea>
    </format>
  </formats>
  <pivotTableStyleInfo name="PivotStyleLight9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asteriskTotals="1" showCalcMbrs="0" showDrill="0" showDataTips="0" pageWrap="5" itemPrintTitles="1" createdVersion="3" indent="0" compact="0" compactData="0" gridDropZones="1" multipleFieldFilters="0">
  <location ref="B13:K30" firstHeaderRow="1" firstDataRow="2" firstDataCol="1" rowPageCount="5" colPageCount="4"/>
  <pivotFields count="47">
    <pivotField axis="axisPage" compact="0" outline="0" showAll="0" defaultSubtota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axis="axisPage" compact="0" outline="0" showAll="0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multipleItemSelectionAllowed="1" showAll="0"/>
    <pivotField axis="axisPage" compact="0" outline="0" multipleItemSelectionAllowed="1" showAll="0" sortType="ascending" defaultSubtotal="0">
      <items count="8">
        <item x="6"/>
        <item x="2"/>
        <item x="1"/>
        <item x="5"/>
        <item x="3"/>
        <item x="0"/>
        <item x="4"/>
        <item x="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compact="0" outline="0" showAll="0" defaultSubtotal="0">
      <items count="22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compact="0" outline="0" showAll="0" defaultSubtotal="0"/>
    <pivotField compact="0" numFmtId="164" outline="0" showAll="0" defaultSubtotal="0"/>
    <pivotField axis="axisPage" compact="0" numFmtId="164" outline="0" multipleItemSelectionAllowed="1" showAll="0" defaultSubtota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compact="0" outline="0" showAll="0" defaultSubtotal="0"/>
    <pivotField compact="0" numFmtId="14" outline="0" showAll="0" defaultSubtotal="0"/>
    <pivotField axis="axisPage" compact="0" outline="0" showAll="0">
      <items count="3">
        <item x="0"/>
        <item x="1"/>
        <item t="default"/>
      </items>
    </pivotField>
    <pivotField axis="axisPage" compact="0" outline="0" showAll="0" defaultSubtotal="0">
      <items count="2">
        <item x="0"/>
        <item x="1"/>
      </items>
    </pivotField>
    <pivotField axis="axisRow" compact="0" outline="0" showAll="0" sortType="ascending" defaultSubtotal="0">
      <items count="15">
        <item x="7"/>
        <item x="0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axis="axisPage" compact="0" outline="0" showAll="0" defaultSubtotal="0">
      <items count="8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</items>
    </pivotField>
    <pivotField compact="0" numFmtId="164" outline="0" showAll="0" defaultSubtotal="0"/>
    <pivotField compact="0" outline="0" showAll="0" defaultSubtotal="0"/>
    <pivotField axis="axisPage" compact="0" outline="0" showAll="0" defaultSubtotal="0">
      <items count="2">
        <item x="0"/>
        <item x="1"/>
      </items>
    </pivotField>
    <pivotField axis="axisPage" compact="0" numFmtId="164" outline="0" multipleItemSelectionAllowed="1" showAll="0" sortType="ascending">
      <items count="74">
        <item x="70"/>
        <item x="47"/>
        <item x="68"/>
        <item x="11"/>
        <item x="48"/>
        <item x="71"/>
        <item x="43"/>
        <item x="31"/>
        <item x="53"/>
        <item x="18"/>
        <item x="69"/>
        <item x="26"/>
        <item x="7"/>
        <item x="40"/>
        <item x="28"/>
        <item x="12"/>
        <item x="32"/>
        <item x="56"/>
        <item x="49"/>
        <item x="3"/>
        <item x="15"/>
        <item x="17"/>
        <item x="44"/>
        <item x="8"/>
        <item x="19"/>
        <item x="34"/>
        <item x="54"/>
        <item x="51"/>
        <item x="35"/>
        <item x="37"/>
        <item x="21"/>
        <item x="45"/>
        <item x="55"/>
        <item x="33"/>
        <item x="1"/>
        <item x="59"/>
        <item x="14"/>
        <item x="22"/>
        <item x="2"/>
        <item x="23"/>
        <item x="46"/>
        <item x="24"/>
        <item x="66"/>
        <item x="63"/>
        <item x="16"/>
        <item x="5"/>
        <item x="41"/>
        <item x="27"/>
        <item x="38"/>
        <item x="4"/>
        <item x="20"/>
        <item x="67"/>
        <item x="61"/>
        <item x="60"/>
        <item x="13"/>
        <item x="39"/>
        <item x="42"/>
        <item x="36"/>
        <item x="64"/>
        <item x="9"/>
        <item x="65"/>
        <item x="29"/>
        <item x="10"/>
        <item x="0"/>
        <item x="57"/>
        <item x="62"/>
        <item x="6"/>
        <item x="30"/>
        <item x="25"/>
        <item x="52"/>
        <item x="58"/>
        <item x="50"/>
        <item x="72"/>
        <item t="default"/>
      </items>
    </pivotField>
    <pivotField axis="axisPage" compact="0" outline="0" showAll="0">
      <items count="105">
        <item x="1"/>
        <item x="26"/>
        <item x="3"/>
        <item x="24"/>
        <item x="73"/>
        <item x="77"/>
        <item x="100"/>
        <item x="5"/>
        <item x="43"/>
        <item x="76"/>
        <item x="92"/>
        <item x="44"/>
        <item x="88"/>
        <item x="75"/>
        <item x="13"/>
        <item x="29"/>
        <item x="30"/>
        <item x="23"/>
        <item x="61"/>
        <item x="86"/>
        <item x="0"/>
        <item x="2"/>
        <item x="4"/>
        <item x="6"/>
        <item x="7"/>
        <item x="8"/>
        <item x="9"/>
        <item x="10"/>
        <item x="11"/>
        <item x="12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2"/>
        <item x="63"/>
        <item x="64"/>
        <item x="65"/>
        <item x="66"/>
        <item x="67"/>
        <item x="68"/>
        <item x="69"/>
        <item x="70"/>
        <item x="71"/>
        <item x="72"/>
        <item x="74"/>
        <item x="78"/>
        <item x="79"/>
        <item x="80"/>
        <item x="81"/>
        <item x="82"/>
        <item x="83"/>
        <item x="84"/>
        <item x="85"/>
        <item x="87"/>
        <item x="89"/>
        <item x="90"/>
        <item x="91"/>
        <item x="93"/>
        <item x="94"/>
        <item x="95"/>
        <item x="96"/>
        <item x="97"/>
        <item x="98"/>
        <item x="99"/>
        <item x="101"/>
        <item x="102"/>
        <item x="103"/>
        <item t="default"/>
      </items>
    </pivotField>
    <pivotField axis="axisPage" compact="0" outline="0" showAll="0" defaultSubtotal="0">
      <items count="104">
        <item x="1"/>
        <item x="26"/>
        <item x="3"/>
        <item x="24"/>
        <item x="73"/>
        <item x="77"/>
        <item x="100"/>
        <item x="5"/>
        <item x="43"/>
        <item x="76"/>
        <item x="92"/>
        <item x="44"/>
        <item x="88"/>
        <item x="75"/>
        <item x="13"/>
        <item x="29"/>
        <item x="30"/>
        <item x="23"/>
        <item x="61"/>
        <item x="86"/>
        <item x="0"/>
        <item x="2"/>
        <item x="4"/>
        <item x="6"/>
        <item x="7"/>
        <item x="8"/>
        <item x="9"/>
        <item x="10"/>
        <item x="11"/>
        <item x="12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2"/>
        <item x="63"/>
        <item x="64"/>
        <item x="65"/>
        <item x="66"/>
        <item x="67"/>
        <item x="68"/>
        <item x="69"/>
        <item x="70"/>
        <item x="71"/>
        <item x="72"/>
        <item x="74"/>
        <item x="78"/>
        <item x="79"/>
        <item x="80"/>
        <item x="81"/>
        <item x="82"/>
        <item x="83"/>
        <item x="84"/>
        <item x="85"/>
        <item x="87"/>
        <item x="89"/>
        <item x="90"/>
        <item x="91"/>
        <item x="93"/>
        <item x="94"/>
        <item x="95"/>
        <item x="96"/>
        <item x="97"/>
        <item x="98"/>
        <item x="99"/>
        <item x="101"/>
        <item x="102"/>
        <item x="103"/>
      </items>
    </pivotField>
    <pivotField axis="axisPage" compact="0" outline="0" showAll="0" defaultSubtotal="0">
      <items count="10">
        <item x="5"/>
        <item x="4"/>
        <item x="1"/>
        <item x="3"/>
        <item x="6"/>
        <item x="7"/>
        <item x="0"/>
        <item x="2"/>
        <item x="8"/>
        <item x="9"/>
      </items>
    </pivotField>
    <pivotField axis="axisPage" compact="0" outline="0" showAll="0" defaultSubtotal="0">
      <items count="15">
        <item x="1"/>
        <item x="7"/>
        <item x="9"/>
        <item x="0"/>
        <item x="4"/>
        <item x="10"/>
        <item x="2"/>
        <item x="5"/>
        <item x="3"/>
        <item x="8"/>
        <item x="6"/>
        <item x="13"/>
        <item x="11"/>
        <item x="12"/>
        <item x="14"/>
      </items>
    </pivotField>
    <pivotField dataField="1" compact="0" outline="0" showAll="0" defaultSubtotal="0"/>
    <pivotField compact="0" outline="0" showAll="0" defaultSubtotal="0"/>
    <pivotField axis="axisPage" compact="0" outline="0" showAll="0" sortType="ascending">
      <items count="5">
        <item x="2"/>
        <item x="1"/>
        <item x="0"/>
        <item x="3"/>
        <item t="default"/>
      </items>
    </pivotField>
    <pivotField axis="axisPage" compact="0" outline="0" showAll="0">
      <items count="14">
        <item x="9"/>
        <item x="3"/>
        <item x="8"/>
        <item x="5"/>
        <item x="4"/>
        <item x="0"/>
        <item x="1"/>
        <item x="2"/>
        <item x="6"/>
        <item x="7"/>
        <item x="10"/>
        <item x="11"/>
        <item x="12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</items>
    </pivotField>
    <pivotField axis="axisCol" compact="0" outline="0" showAll="0" defaultSubtotal="0">
      <items count="8">
        <item x="4"/>
        <item x="3"/>
        <item x="0"/>
        <item x="5"/>
        <item x="2"/>
        <item x="7"/>
        <item x="1"/>
        <item x="6"/>
      </items>
    </pivotField>
    <pivotField compact="0" outline="0" showAll="0" defaultSubtotal="0"/>
  </pivotFields>
  <rowFields count="1">
    <field x="15"/>
  </rowFields>
  <rowItems count="16">
    <i>
      <x v="3"/>
    </i>
    <i>
      <x v="6"/>
    </i>
    <i>
      <x v="10"/>
    </i>
    <i>
      <x v="12"/>
    </i>
    <i>
      <x v="11"/>
    </i>
    <i>
      <x v="2"/>
    </i>
    <i>
      <x v="4"/>
    </i>
    <i>
      <x v="5"/>
    </i>
    <i>
      <x v="1"/>
    </i>
    <i>
      <x v="7"/>
    </i>
    <i>
      <x v="9"/>
    </i>
    <i>
      <x v="8"/>
    </i>
    <i>
      <x v="13"/>
    </i>
    <i>
      <x/>
    </i>
    <i>
      <x v="14"/>
    </i>
    <i t="grand">
      <x/>
    </i>
  </rowItems>
  <colFields count="1">
    <field x="4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pageFields count="17">
    <pageField fld="14" hier="0"/>
    <pageField fld="13" hier="0"/>
    <pageField fld="10" hier="-1"/>
    <pageField fld="0" hier="0"/>
    <pageField fld="1" hier="-1"/>
    <pageField fld="28" hier="-1"/>
    <pageField fld="29" hier="0"/>
    <pageField fld="22" hier="0"/>
    <pageField fld="24" hier="-1"/>
    <pageField fld="23" hier="0"/>
    <pageField fld="6" hier="-1"/>
    <pageField fld="7" hier="0"/>
    <pageField fld="17" hier="0"/>
    <pageField fld="44" hier="-1"/>
    <pageField fld="21" hier="-1"/>
    <pageField fld="20" hier="-1"/>
    <pageField fld="25" hier="-1"/>
  </pageFields>
  <dataFields count="1">
    <dataField name="Sum of Claim Paid Amount" fld="26" baseField="0" baseItem="0" numFmtId="38"/>
  </dataFields>
  <formats count="10">
    <format dxfId="84">
      <pivotArea outline="0" fieldPosition="0"/>
    </format>
    <format dxfId="83">
      <pivotArea outline="0" fieldPosition="0">
        <references count="1">
          <reference field="25" count="1" selected="0">
            <x v="2"/>
          </reference>
        </references>
      </pivotArea>
    </format>
    <format dxfId="82">
      <pivotArea dataOnly="0" labelOnly="1" outline="0" fieldPosition="0">
        <references count="1">
          <reference field="25" count="0"/>
        </references>
      </pivotArea>
    </format>
    <format dxfId="81">
      <pivotArea type="origin" dataOnly="0" labelOnly="1" outline="0" fieldPosition="0"/>
    </format>
    <format dxfId="80">
      <pivotArea field="25" type="button" dataOnly="0" labelOnly="1" outline="0" axis="axisPage" fieldPosition="16"/>
    </format>
    <format dxfId="79">
      <pivotArea dataOnly="0" labelOnly="1" outline="0" fieldPosition="0">
        <references count="1">
          <reference field="45" count="0"/>
        </references>
      </pivotArea>
    </format>
    <format dxfId="78">
      <pivotArea dataOnly="0" labelOnly="1" grandCol="1" outline="0" fieldPosition="0"/>
    </format>
    <format dxfId="77">
      <pivotArea dataOnly="0" labelOnly="1" outline="0" fieldPosition="0">
        <references count="1">
          <reference field="25" count="0"/>
        </references>
      </pivotArea>
    </format>
    <format dxfId="76">
      <pivotArea dataOnly="0" labelOnly="1" outline="0" fieldPosition="0">
        <references count="1">
          <reference field="45" count="0"/>
        </references>
      </pivotArea>
    </format>
    <format dxfId="75">
      <pivotArea dataOnly="0" labelOnly="1" grandCol="1" outline="0" fieldPosition="0"/>
    </format>
  </formats>
  <pivotTableStyleInfo name="PivotStyleLight9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asteriskTotals="1" showCalcMbrs="0" showDrill="0" showDataTips="0" pageWrap="5" itemPrintTitles="1" createdVersion="3" indent="0" compact="0" compactData="0" gridDropZones="1" multipleFieldFilters="0">
  <location ref="B13:R23" firstHeaderRow="1" firstDataRow="2" firstDataCol="1" rowPageCount="5" colPageCount="4"/>
  <pivotFields count="47">
    <pivotField axis="axisPage" compact="0" outline="0" showAll="0" defaultSubtota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axis="axisPage" compact="0" outline="0" showAll="0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compact="0" outline="0" multipleItemSelectionAllowed="1" showAll="0" sortType="ascending" defaultSubtotal="0">
      <items count="8">
        <item x="6"/>
        <item x="2"/>
        <item x="1"/>
        <item x="5"/>
        <item x="3"/>
        <item x="0"/>
        <item x="4"/>
        <item x="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compact="0" outline="0" showAll="0" defaultSubtotal="0">
      <items count="22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compact="0" outline="0" showAll="0" defaultSubtotal="0"/>
    <pivotField compact="0" numFmtId="164" outline="0" showAll="0" defaultSubtotal="0"/>
    <pivotField axis="axisPage" compact="0" numFmtId="164" outline="0" multipleItemSelectionAllowed="1" showAll="0" defaultSubtota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compact="0" outline="0" showAll="0" defaultSubtotal="0"/>
    <pivotField compact="0" numFmtId="14" outline="0" showAll="0" defaultSubtotal="0"/>
    <pivotField axis="axisPage" compact="0" outline="0" showAll="0">
      <items count="3">
        <item x="0"/>
        <item x="1"/>
        <item t="default"/>
      </items>
    </pivotField>
    <pivotField axis="axisPage" compact="0" outline="0" showAll="0" defaultSubtotal="0">
      <items count="2">
        <item x="0"/>
        <item x="1"/>
      </items>
    </pivotField>
    <pivotField axis="axisPage" compact="0" outline="0" multipleItemSelectionAllowed="1" showAll="0" sortType="ascending" defaultSubtotal="0">
      <items count="15">
        <item x="7"/>
        <item x="0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axis="axisPage" compact="0" outline="0" showAll="0" defaultSubtotal="0">
      <items count="8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</items>
    </pivotField>
    <pivotField compact="0" numFmtId="164" outline="0" showAll="0" defaultSubtotal="0"/>
    <pivotField compact="0" outline="0" showAll="0" defaultSubtotal="0"/>
    <pivotField axis="axisPage" compact="0" outline="0" showAll="0" defaultSubtotal="0">
      <items count="2">
        <item x="0"/>
        <item x="1"/>
      </items>
    </pivotField>
    <pivotField axis="axisPage" compact="0" numFmtId="164" outline="0" multipleItemSelectionAllowed="1" showAll="0" sortType="ascending">
      <items count="74">
        <item x="70"/>
        <item x="47"/>
        <item x="68"/>
        <item x="11"/>
        <item x="48"/>
        <item x="71"/>
        <item x="43"/>
        <item x="31"/>
        <item x="53"/>
        <item x="18"/>
        <item x="69"/>
        <item x="26"/>
        <item x="7"/>
        <item x="40"/>
        <item x="28"/>
        <item x="12"/>
        <item x="32"/>
        <item x="56"/>
        <item x="49"/>
        <item x="3"/>
        <item x="15"/>
        <item x="17"/>
        <item x="44"/>
        <item x="8"/>
        <item x="19"/>
        <item x="34"/>
        <item x="54"/>
        <item x="51"/>
        <item x="35"/>
        <item x="37"/>
        <item x="21"/>
        <item x="45"/>
        <item x="55"/>
        <item x="33"/>
        <item x="1"/>
        <item x="59"/>
        <item x="14"/>
        <item x="22"/>
        <item x="2"/>
        <item x="23"/>
        <item x="46"/>
        <item x="24"/>
        <item x="66"/>
        <item x="63"/>
        <item x="16"/>
        <item x="5"/>
        <item x="41"/>
        <item x="27"/>
        <item x="38"/>
        <item x="4"/>
        <item x="20"/>
        <item x="67"/>
        <item x="61"/>
        <item x="60"/>
        <item x="13"/>
        <item x="39"/>
        <item x="42"/>
        <item x="36"/>
        <item x="64"/>
        <item x="9"/>
        <item x="65"/>
        <item x="29"/>
        <item x="10"/>
        <item x="0"/>
        <item x="57"/>
        <item x="62"/>
        <item x="6"/>
        <item x="30"/>
        <item x="25"/>
        <item x="52"/>
        <item x="58"/>
        <item x="50"/>
        <item x="72"/>
        <item t="default"/>
      </items>
    </pivotField>
    <pivotField axis="axisPage" compact="0" outline="0" showAll="0">
      <items count="105">
        <item x="1"/>
        <item x="26"/>
        <item x="3"/>
        <item x="24"/>
        <item x="73"/>
        <item x="77"/>
        <item x="100"/>
        <item x="5"/>
        <item x="43"/>
        <item x="76"/>
        <item x="92"/>
        <item x="44"/>
        <item x="88"/>
        <item x="75"/>
        <item x="13"/>
        <item x="29"/>
        <item x="30"/>
        <item x="23"/>
        <item x="61"/>
        <item x="86"/>
        <item x="0"/>
        <item x="2"/>
        <item x="4"/>
        <item x="6"/>
        <item x="7"/>
        <item x="8"/>
        <item x="9"/>
        <item x="10"/>
        <item x="11"/>
        <item x="12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2"/>
        <item x="63"/>
        <item x="64"/>
        <item x="65"/>
        <item x="66"/>
        <item x="67"/>
        <item x="68"/>
        <item x="69"/>
        <item x="70"/>
        <item x="71"/>
        <item x="72"/>
        <item x="74"/>
        <item x="78"/>
        <item x="79"/>
        <item x="80"/>
        <item x="81"/>
        <item x="82"/>
        <item x="83"/>
        <item x="84"/>
        <item x="85"/>
        <item x="87"/>
        <item x="89"/>
        <item x="90"/>
        <item x="91"/>
        <item x="93"/>
        <item x="94"/>
        <item x="95"/>
        <item x="96"/>
        <item x="97"/>
        <item x="98"/>
        <item x="99"/>
        <item x="101"/>
        <item x="102"/>
        <item x="103"/>
        <item t="default"/>
      </items>
    </pivotField>
    <pivotField axis="axisPage" compact="0" outline="0" showAll="0" defaultSubtotal="0">
      <items count="104">
        <item x="1"/>
        <item x="26"/>
        <item x="3"/>
        <item x="24"/>
        <item x="73"/>
        <item x="77"/>
        <item x="100"/>
        <item x="5"/>
        <item x="43"/>
        <item x="76"/>
        <item x="92"/>
        <item x="44"/>
        <item x="88"/>
        <item x="75"/>
        <item x="13"/>
        <item x="29"/>
        <item x="30"/>
        <item x="23"/>
        <item x="61"/>
        <item x="86"/>
        <item x="0"/>
        <item x="2"/>
        <item x="4"/>
        <item x="6"/>
        <item x="7"/>
        <item x="8"/>
        <item x="9"/>
        <item x="10"/>
        <item x="11"/>
        <item x="12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2"/>
        <item x="63"/>
        <item x="64"/>
        <item x="65"/>
        <item x="66"/>
        <item x="67"/>
        <item x="68"/>
        <item x="69"/>
        <item x="70"/>
        <item x="71"/>
        <item x="72"/>
        <item x="74"/>
        <item x="78"/>
        <item x="79"/>
        <item x="80"/>
        <item x="81"/>
        <item x="82"/>
        <item x="83"/>
        <item x="84"/>
        <item x="85"/>
        <item x="87"/>
        <item x="89"/>
        <item x="90"/>
        <item x="91"/>
        <item x="93"/>
        <item x="94"/>
        <item x="95"/>
        <item x="96"/>
        <item x="97"/>
        <item x="98"/>
        <item x="99"/>
        <item x="101"/>
        <item x="102"/>
        <item x="103"/>
      </items>
    </pivotField>
    <pivotField axis="axisPage" compact="0" outline="0" showAll="0" defaultSubtotal="0">
      <items count="10">
        <item x="5"/>
        <item x="4"/>
        <item x="1"/>
        <item x="3"/>
        <item x="6"/>
        <item x="7"/>
        <item x="0"/>
        <item x="2"/>
        <item x="8"/>
        <item x="9"/>
      </items>
    </pivotField>
    <pivotField axis="axisCol" compact="0" outline="0" showAll="0" defaultSubtotal="0">
      <items count="15">
        <item x="1"/>
        <item x="7"/>
        <item x="9"/>
        <item x="0"/>
        <item x="4"/>
        <item x="10"/>
        <item x="2"/>
        <item x="5"/>
        <item x="3"/>
        <item x="8"/>
        <item x="6"/>
        <item x="13"/>
        <item x="11"/>
        <item x="12"/>
        <item x="14"/>
      </items>
    </pivotField>
    <pivotField dataField="1" compact="0" outline="0" showAll="0" defaultSubtotal="0"/>
    <pivotField compact="0" outline="0" showAll="0" defaultSubtotal="0"/>
    <pivotField axis="axisPage" compact="0" outline="0" showAll="0" sortType="ascending">
      <items count="5">
        <item x="2"/>
        <item x="1"/>
        <item x="0"/>
        <item x="3"/>
        <item t="default"/>
      </items>
    </pivotField>
    <pivotField axis="axisPage" compact="0" outline="0" showAll="0">
      <items count="14">
        <item x="9"/>
        <item x="3"/>
        <item x="8"/>
        <item x="5"/>
        <item x="4"/>
        <item x="0"/>
        <item x="1"/>
        <item x="2"/>
        <item x="6"/>
        <item x="7"/>
        <item x="10"/>
        <item x="11"/>
        <item x="12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</items>
    </pivotField>
    <pivotField axis="axisPage" compact="0" outline="0" showAll="0" defaultSubtotal="0">
      <items count="8">
        <item x="4"/>
        <item x="3"/>
        <item x="1"/>
        <item x="2"/>
        <item x="5"/>
        <item x="6"/>
        <item x="0"/>
        <item x="7"/>
      </items>
    </pivotField>
    <pivotField compact="0" outline="0" showAll="0" defaultSubtotal="0"/>
  </pivotFields>
  <rowFields count="1">
    <field x="6"/>
  </rowFields>
  <rowItems count="9">
    <i>
      <x v="3"/>
    </i>
    <i>
      <x v="6"/>
    </i>
    <i>
      <x v="5"/>
    </i>
    <i>
      <x v="2"/>
    </i>
    <i>
      <x v="4"/>
    </i>
    <i>
      <x v="1"/>
    </i>
    <i>
      <x/>
    </i>
    <i>
      <x v="7"/>
    </i>
    <i t="grand">
      <x/>
    </i>
  </rowItems>
  <colFields count="1">
    <field x="25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pageFields count="18">
    <pageField fld="5" hier="0"/>
    <pageField fld="14" hier="0"/>
    <pageField fld="13" hier="0"/>
    <pageField fld="10" hier="-1"/>
    <pageField fld="0" hier="0"/>
    <pageField fld="1" hier="-1"/>
    <pageField fld="28" hier="-1"/>
    <pageField fld="29" hier="0"/>
    <pageField fld="45" hier="-1"/>
    <pageField fld="22" hier="0"/>
    <pageField fld="24" hier="-1"/>
    <pageField fld="23" hier="0"/>
    <pageField fld="7" hier="0"/>
    <pageField fld="17" hier="0"/>
    <pageField fld="44" hier="-1"/>
    <pageField fld="21" hier="-1"/>
    <pageField fld="15" hier="-1"/>
    <pageField fld="20" hier="-1"/>
  </pageFields>
  <dataFields count="1">
    <dataField name="Sum of Claim Paid Amount" fld="26" baseField="0" baseItem="0" numFmtId="38"/>
  </dataFields>
  <formats count="8">
    <format dxfId="74">
      <pivotArea outline="0" fieldPosition="0"/>
    </format>
    <format dxfId="73">
      <pivotArea outline="0" fieldPosition="0">
        <references count="1">
          <reference field="25" count="1" selected="0">
            <x v="2"/>
          </reference>
        </references>
      </pivotArea>
    </format>
    <format dxfId="72">
      <pivotArea dataOnly="0" labelOnly="1" outline="0" fieldPosition="0">
        <references count="1">
          <reference field="25" count="0"/>
        </references>
      </pivotArea>
    </format>
    <format dxfId="71">
      <pivotArea dataOnly="0" labelOnly="1" grandCol="1" outline="0" fieldPosition="0"/>
    </format>
    <format dxfId="70">
      <pivotArea type="origin" dataOnly="0" labelOnly="1" outline="0" fieldPosition="0"/>
    </format>
    <format dxfId="69">
      <pivotArea field="25" type="button" dataOnly="0" labelOnly="1" outline="0" axis="axisCol" fieldPosition="0"/>
    </format>
    <format dxfId="68">
      <pivotArea dataOnly="0" labelOnly="1" outline="0" fieldPosition="0">
        <references count="1">
          <reference field="25" count="0"/>
        </references>
      </pivotArea>
    </format>
    <format dxfId="67">
      <pivotArea dataOnly="0" labelOnly="1" grandCol="1" outline="0" fieldPosition="0"/>
    </format>
  </formats>
  <pivotTableStyleInfo name="PivotStyleLight9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Query from AulliveTHOR" connectionId="1" autoFormatId="16" applyNumberFormats="0" applyBorderFormats="0" applyFontFormats="0" applyPatternFormats="0" applyAlignmentFormats="0" applyWidthHeightFormats="0">
  <queryTableRefresh nextId="71" unboundColumnsLeft="4" unboundColumnsRight="21">
    <queryTableFields count="47">
      <queryTableField id="35" dataBound="0" tableColumnId="10"/>
      <queryTableField id="31" dataBound="0" tableColumnId="27"/>
      <queryTableField id="48" dataBound="0" tableColumnId="32"/>
      <queryTableField id="51" dataBound="0" tableColumnId="35"/>
      <queryTableField id="1" name="cert" tableColumnId="1"/>
      <queryTableField id="2" name="status" tableColumnId="2"/>
      <queryTableField id="3" name="administrator" tableColumnId="3"/>
      <queryTableField id="4" name="automake" tableColumnId="4"/>
      <queryTableField id="40" dataBound="0" tableColumnId="13"/>
      <queryTableField id="43" dataBound="0" tableColumnId="24"/>
      <queryTableField id="42" dataBound="0" tableColumnId="15"/>
      <queryTableField id="64" dataBound="0" tableColumnId="43"/>
      <queryTableField id="63" dataBound="0" tableColumnId="42"/>
      <queryTableField id="5" name="automodel" tableColumnId="5"/>
      <queryTableField id="27" dataBound="0" tableColumnId="23"/>
      <queryTableField id="26" dataBound="0" tableColumnId="22"/>
      <queryTableField id="44" dataBound="0" tableColumnId="25"/>
      <queryTableField id="34" dataBound="0" tableColumnId="9"/>
      <queryTableField id="39" dataBound="0" tableColumnId="12"/>
      <queryTableField id="41" dataBound="0" tableColumnId="14"/>
      <queryTableField id="25" dataBound="0" tableColumnId="21"/>
      <queryTableField id="24" dataBound="0" tableColumnId="19"/>
      <queryTableField id="6" name="dealer_id" tableColumnId="6"/>
      <queryTableField id="7" name="dealer_name" tableColumnId="7"/>
      <queryTableField id="53" dataBound="0" tableColumnId="36"/>
      <queryTableField id="8" name="vendorname" tableColumnId="8"/>
      <queryTableField id="30" dataBound="0" tableColumnId="26"/>
      <queryTableField id="69" dataBound="0" tableColumnId="46"/>
      <queryTableField id="18" dataBound="0" tableColumnId="17"/>
      <queryTableField id="19" dataBound="0" tableColumnId="18"/>
      <queryTableField id="62" dataBound="0" tableColumnId="41"/>
      <queryTableField id="61" dataBound="0" tableColumnId="40"/>
      <queryTableField id="68" dataBound="0" tableColumnId="45"/>
      <queryTableField id="70" dataBound="0" tableColumnId="47"/>
      <queryTableField id="22" dataBound="0" tableColumnId="20"/>
      <queryTableField id="33" dataBound="0" tableColumnId="28"/>
      <queryTableField id="38" dataBound="0" tableColumnId="11"/>
      <queryTableField id="45" dataBound="0" tableColumnId="29"/>
      <queryTableField id="46" dataBound="0" tableColumnId="30"/>
      <queryTableField id="47" dataBound="0" tableColumnId="31"/>
      <queryTableField id="57" dataBound="0" tableColumnId="38"/>
      <queryTableField id="56" dataBound="0" tableColumnId="37"/>
      <queryTableField id="55" dataBound="0" tableColumnId="34"/>
      <queryTableField id="58" dataBound="0" tableColumnId="39"/>
      <queryTableField id="49" dataBound="0" tableColumnId="33"/>
      <queryTableField id="59" dataBound="0" tableColumnId="16"/>
      <queryTableField id="65" dataBound="0" tableColumnId="44"/>
    </queryTableFields>
    <queryTableDeletedFields count="6">
      <deletedField name="status"/>
      <deletedField name="date_paid"/>
      <deletedField name="part_code"/>
      <deletedField name="failure_code"/>
      <deletedField name="failure_code_descr"/>
      <deletedField name="failure_code_group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AulliveTHOR" displayName="Table_Query_from_AulliveTHOR" ref="A1:AU1019" tableType="queryTable" totalsRowShown="0">
  <sortState ref="A2:AU1821">
    <sortCondition ref="AS1:AS1821"/>
  </sortState>
  <tableColumns count="47">
    <tableColumn id="10" uniqueName="10" name="vin" queryTableFieldId="35" dataDxfId="66"/>
    <tableColumn id="27" uniqueName="27" name="cert" queryTableFieldId="31" dataDxfId="65"/>
    <tableColumn id="32" uniqueName="32" name="claim_sequence" queryTableFieldId="48" dataDxfId="64"/>
    <tableColumn id="35" uniqueName="35" name="payee_sequence" queryTableFieldId="51" dataDxfId="63"/>
    <tableColumn id="1" uniqueName="1" name="status" queryTableFieldId="1" dataDxfId="62"/>
    <tableColumn id="2" uniqueName="2" name="administrator" queryTableFieldId="2" dataDxfId="61"/>
    <tableColumn id="3" uniqueName="3" name="automake" queryTableFieldId="3" dataDxfId="60"/>
    <tableColumn id="4" uniqueName="4" name="automodel" queryTableFieldId="4" dataDxfId="59"/>
    <tableColumn id="13" uniqueName="13" name="automiles" queryTableFieldId="40" dataDxfId="58"/>
    <tableColumn id="24" uniqueName="24" name="month_sold" queryTableFieldId="43" dataDxfId="57"/>
    <tableColumn id="15" uniqueName="15" name="trans_date" queryTableFieldId="42" dataDxfId="56"/>
    <tableColumn id="43" uniqueName="43" name="Post Period" queryTableFieldId="64" dataDxfId="55"/>
    <tableColumn id="42" uniqueName="42" name="Post Period Date" queryTableFieldId="63" dataDxfId="54"/>
    <tableColumn id="5" uniqueName="5" name="dealer_id" queryTableFieldId="5" dataDxfId="53"/>
    <tableColumn id="23" uniqueName="23" name="dealer_name" queryTableFieldId="27" dataDxfId="52"/>
    <tableColumn id="22" uniqueName="22" name="vendorname" queryTableFieldId="26" dataDxfId="51"/>
    <tableColumn id="25" uniqueName="25" name="vendor state" queryTableFieldId="44" dataDxfId="50"/>
    <tableColumn id="9" uniqueName="9" name="repair_order_no" queryTableFieldId="34" dataDxfId="49"/>
    <tableColumn id="12" uniqueName="12" name="repair_order_date" queryTableFieldId="39" dataDxfId="48"/>
    <tableColumn id="14" uniqueName="14" name="current_mileage" queryTableFieldId="41" dataDxfId="47"/>
    <tableColumn id="21" uniqueName="21" name="claims status" queryTableFieldId="25" dataDxfId="46"/>
    <tableColumn id="19" uniqueName="19" name="date_paid" queryTableFieldId="24" dataDxfId="45"/>
    <tableColumn id="6" uniqueName="6" name="failure_code" queryTableFieldId="6" dataDxfId="44"/>
    <tableColumn id="7" uniqueName="7" name="failure_code_descr" queryTableFieldId="7" dataDxfId="43"/>
    <tableColumn id="36" uniqueName="36" name="part_code" queryTableFieldId="53" dataDxfId="42"/>
    <tableColumn id="8" uniqueName="8" name="failure_code_group" queryTableFieldId="8" dataDxfId="41"/>
    <tableColumn id="26" uniqueName="26" name="Claim Paid Amount" queryTableFieldId="30" dataDxfId="40"/>
    <tableColumn id="46" uniqueName="46" name="GWR" queryTableFieldId="69" dataDxfId="39"/>
    <tableColumn id="17" uniqueName="17" name="year paid" queryTableFieldId="18" dataDxfId="38">
      <calculatedColumnFormula>YEAR(V2)</calculatedColumnFormula>
    </tableColumn>
    <tableColumn id="18" uniqueName="18" name="month paid" queryTableFieldId="19" dataDxfId="37">
      <calculatedColumnFormula>MONTH(V2)</calculatedColumnFormula>
    </tableColumn>
    <tableColumn id="41" uniqueName="41" name="Year Sold" queryTableFieldId="62" dataDxfId="36">
      <calculatedColumnFormula>YEAR(J2)</calculatedColumnFormula>
    </tableColumn>
    <tableColumn id="40" uniqueName="40" name="Month Sold" queryTableFieldId="61" dataDxfId="35">
      <calculatedColumnFormula>MONTH(J2)</calculatedColumnFormula>
    </tableColumn>
    <tableColumn id="45" uniqueName="45" name="Program Ceding Type" queryTableFieldId="68" dataDxfId="34">
      <calculatedColumnFormula>VLOOKUP(F2,vlookup!$A$2:$D$384,2,0)</calculatedColumnFormula>
    </tableColumn>
    <tableColumn id="47" uniqueName="47" name="Transaction Type" queryTableFieldId="70" dataDxfId="33">
      <calculatedColumnFormula>VLOOKUP(F2,vlookup!$A$2:$E$660,3,0)</calculatedColumnFormula>
    </tableColumn>
    <tableColumn id="20" uniqueName="20" name="New_Used" queryTableFieldId="22" dataDxfId="32">
      <calculatedColumnFormula>VLOOKUP(F2,vlookup!$A$2:$D$384,3,0)</calculatedColumnFormula>
    </tableColumn>
    <tableColumn id="28" uniqueName="28" name="Program Group 2" queryTableFieldId="33" dataDxfId="31">
      <calculatedColumnFormula>VLOOKUP(F2,vlookup!$A$2:$D$384,4,0)</calculatedColumnFormula>
    </tableColumn>
    <tableColumn id="11" uniqueName="11" name="Seals &amp; Gaskets" queryTableFieldId="38" dataDxfId="30"/>
    <tableColumn id="29" uniqueName="29" name="days till pay" queryTableFieldId="45" dataDxfId="29">
      <calculatedColumnFormula>DAYS360(J2,K2)</calculatedColumnFormula>
    </tableColumn>
    <tableColumn id="30" uniqueName="30" name="days till claim" queryTableFieldId="46" dataDxfId="28">
      <calculatedColumnFormula>DAYS360(J2,V2)</calculatedColumnFormula>
    </tableColumn>
    <tableColumn id="31" uniqueName="31" name="miles till claim" queryTableFieldId="47" dataDxfId="27">
      <calculatedColumnFormula>IF(T2-I2&lt;1,"",T2-I2)</calculatedColumnFormula>
    </tableColumn>
    <tableColumn id="38" uniqueName="38" name="$ &lt; 30 Daysx" queryTableFieldId="57" dataDxfId="26">
      <calculatedColumnFormula>IF(AM2&lt;31,AA2,"")</calculatedColumnFormula>
    </tableColumn>
    <tableColumn id="37" uniqueName="37" name="$ 30 -60 Daysx" queryTableFieldId="56" dataDxfId="25">
      <calculatedColumnFormula>IF(AND(AM2&gt;30,AM2&lt;61),AA2,"")</calculatedColumnFormula>
    </tableColumn>
    <tableColumn id="34" uniqueName="34" name="$ 60 - 90 Daysx" queryTableFieldId="55" dataDxfId="24">
      <calculatedColumnFormula>IF(AND(AM2&gt;60,AM2&lt;91),AA2,"")</calculatedColumnFormula>
    </tableColumn>
    <tableColumn id="39" uniqueName="39" name="$ &gt; 90 Daysx" queryTableFieldId="58" dataDxfId="23">
      <calculatedColumnFormula>IF(AM2&gt;90,AA2,"")</calculatedColumnFormula>
    </tableColumn>
    <tableColumn id="33" uniqueName="33" name="Claim Number" queryTableFieldId="49" dataDxfId="22">
      <calculatedColumnFormula>CONCATENATE(B2,"-",C2)</calculatedColumnFormula>
    </tableColumn>
    <tableColumn id="16" uniqueName="16" name="part_code2" queryTableFieldId="59" dataDxfId="21">
      <calculatedColumnFormula>IFERROR(IF(VLOOKUP(Y2,vlookup!$I$2:$J$9,1,0)=Y2,VLOOKUP(Y2,vlookup!$I$2:$J$9,2,0),PROPER(Y2)),PROPER(Y2))</calculatedColumnFormula>
    </tableColumn>
    <tableColumn id="44" uniqueName="44" name="Contracts to Exclude" queryTableFieldId="65" dataDxfId="20">
      <calculatedColumnFormula>IFERROR(IF(B2=VLOOKUP(B2,vlookup!$L$2:$L$10,1,0),"Yes","No"),"No")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Claims/SQL%20Claims%20Detail%20with%20GWR_AULDATAMART_with%20Post%20Period_03-07-2020%20(updated).sq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B25"/>
  <sheetViews>
    <sheetView tabSelected="1" workbookViewId="0">
      <selection activeCell="R16" sqref="R16"/>
    </sheetView>
  </sheetViews>
  <sheetFormatPr defaultRowHeight="15" x14ac:dyDescent="0.25"/>
  <sheetData>
    <row r="2" spans="2:2" x14ac:dyDescent="0.25">
      <c r="B2" s="51" t="s">
        <v>1169</v>
      </c>
    </row>
    <row r="3" spans="2:2" x14ac:dyDescent="0.25">
      <c r="B3" t="s">
        <v>1170</v>
      </c>
    </row>
    <row r="4" spans="2:2" x14ac:dyDescent="0.25">
      <c r="B4" t="s">
        <v>1171</v>
      </c>
    </row>
    <row r="5" spans="2:2" x14ac:dyDescent="0.25">
      <c r="B5" s="52" t="s">
        <v>1172</v>
      </c>
    </row>
    <row r="6" spans="2:2" x14ac:dyDescent="0.25">
      <c r="B6" s="53" t="s">
        <v>1173</v>
      </c>
    </row>
    <row r="7" spans="2:2" x14ac:dyDescent="0.25">
      <c r="B7" s="53" t="s">
        <v>1174</v>
      </c>
    </row>
    <row r="8" spans="2:2" x14ac:dyDescent="0.25">
      <c r="B8" s="53" t="s">
        <v>1175</v>
      </c>
    </row>
    <row r="21" spans="2:2" x14ac:dyDescent="0.25">
      <c r="B21" t="s">
        <v>1176</v>
      </c>
    </row>
    <row r="22" spans="2:2" x14ac:dyDescent="0.25">
      <c r="B22" t="s">
        <v>1177</v>
      </c>
    </row>
    <row r="23" spans="2:2" x14ac:dyDescent="0.25">
      <c r="B23" t="s">
        <v>1178</v>
      </c>
    </row>
    <row r="24" spans="2:2" x14ac:dyDescent="0.25">
      <c r="B24" s="53" t="s">
        <v>1179</v>
      </c>
    </row>
    <row r="25" spans="2:2" x14ac:dyDescent="0.25">
      <c r="B25" t="s">
        <v>1180</v>
      </c>
    </row>
  </sheetData>
  <hyperlinks>
    <hyperlink ref="B5" r:id="rId1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S48"/>
  <sheetViews>
    <sheetView showGridLines="0" view="pageBreakPreview" zoomScale="85" zoomScaleNormal="85" zoomScaleSheetLayoutView="85" workbookViewId="0">
      <selection activeCell="O2" sqref="O2"/>
    </sheetView>
  </sheetViews>
  <sheetFormatPr defaultRowHeight="15" outlineLevelRow="1" x14ac:dyDescent="0.25"/>
  <cols>
    <col min="1" max="1" width="1.140625" customWidth="1"/>
    <col min="2" max="2" width="19.140625" customWidth="1"/>
    <col min="3" max="16" width="9.7109375" customWidth="1"/>
    <col min="17" max="17" width="12.42578125" customWidth="1"/>
    <col min="18" max="18" width="9.85546875" customWidth="1"/>
    <col min="19" max="19" width="13.42578125" customWidth="1"/>
    <col min="20" max="20" width="12" customWidth="1"/>
  </cols>
  <sheetData>
    <row r="1" spans="2:17" ht="7.5" customHeight="1" x14ac:dyDescent="0.25"/>
    <row r="2" spans="2:17" ht="15" customHeight="1" x14ac:dyDescent="0.25">
      <c r="B2" s="31"/>
      <c r="C2" s="42" t="s">
        <v>898</v>
      </c>
      <c r="D2" s="43"/>
      <c r="E2" s="43"/>
      <c r="F2" s="44"/>
      <c r="G2" s="42" t="s">
        <v>899</v>
      </c>
      <c r="H2" s="43"/>
      <c r="I2" s="43"/>
      <c r="J2" s="44"/>
      <c r="K2" s="34" t="s">
        <v>184</v>
      </c>
      <c r="L2" s="35"/>
    </row>
    <row r="3" spans="2:17" x14ac:dyDescent="0.25">
      <c r="B3" s="32"/>
      <c r="C3" s="45"/>
      <c r="D3" s="46"/>
      <c r="E3" s="46"/>
      <c r="F3" s="47"/>
      <c r="G3" s="45"/>
      <c r="H3" s="46"/>
      <c r="I3" s="46"/>
      <c r="J3" s="47"/>
      <c r="K3" s="36"/>
      <c r="L3" s="37"/>
    </row>
    <row r="4" spans="2:17" x14ac:dyDescent="0.25">
      <c r="B4" s="32"/>
      <c r="C4" s="45"/>
      <c r="D4" s="46"/>
      <c r="E4" s="46"/>
      <c r="F4" s="47"/>
      <c r="G4" s="45"/>
      <c r="H4" s="46"/>
      <c r="I4" s="46"/>
      <c r="J4" s="47"/>
      <c r="K4" s="38">
        <f ca="1">TODAY()</f>
        <v>45448</v>
      </c>
      <c r="L4" s="39"/>
    </row>
    <row r="5" spans="2:17" x14ac:dyDescent="0.25">
      <c r="B5" s="33"/>
      <c r="C5" s="48"/>
      <c r="D5" s="49"/>
      <c r="E5" s="49"/>
      <c r="F5" s="50"/>
      <c r="G5" s="48"/>
      <c r="H5" s="49"/>
      <c r="I5" s="49"/>
      <c r="J5" s="50"/>
      <c r="K5" s="40"/>
      <c r="L5" s="41"/>
    </row>
    <row r="7" spans="2:17" hidden="1" outlineLevel="1" x14ac:dyDescent="0.25">
      <c r="B7" s="5" t="s">
        <v>381</v>
      </c>
      <c r="C7" t="s">
        <v>143</v>
      </c>
      <c r="E7" s="5" t="s">
        <v>96</v>
      </c>
      <c r="F7" t="s">
        <v>143</v>
      </c>
      <c r="H7" s="5" t="s">
        <v>9</v>
      </c>
      <c r="I7" t="s">
        <v>143</v>
      </c>
      <c r="K7" s="5" t="s">
        <v>212</v>
      </c>
      <c r="L7" t="s">
        <v>143</v>
      </c>
    </row>
    <row r="8" spans="2:17" hidden="1" outlineLevel="1" x14ac:dyDescent="0.25">
      <c r="B8" s="5" t="s">
        <v>0</v>
      </c>
      <c r="C8" t="s">
        <v>143</v>
      </c>
      <c r="E8" s="5" t="s">
        <v>97</v>
      </c>
      <c r="F8" t="s">
        <v>143</v>
      </c>
      <c r="H8" s="5" t="s">
        <v>2</v>
      </c>
      <c r="I8" t="s">
        <v>143</v>
      </c>
      <c r="K8" s="5" t="s">
        <v>7</v>
      </c>
      <c r="L8" t="s">
        <v>143</v>
      </c>
    </row>
    <row r="9" spans="2:17" hidden="1" outlineLevel="1" x14ac:dyDescent="0.25">
      <c r="B9" s="5" t="s">
        <v>5</v>
      </c>
      <c r="C9" t="s">
        <v>143</v>
      </c>
      <c r="E9" s="5" t="s">
        <v>179</v>
      </c>
      <c r="F9" t="s">
        <v>143</v>
      </c>
      <c r="H9" s="5" t="s">
        <v>3</v>
      </c>
      <c r="I9" t="s">
        <v>143</v>
      </c>
      <c r="K9" s="5" t="s">
        <v>175</v>
      </c>
      <c r="L9" t="s">
        <v>357</v>
      </c>
    </row>
    <row r="10" spans="2:17" hidden="1" outlineLevel="1" x14ac:dyDescent="0.25">
      <c r="B10" s="5" t="s">
        <v>4</v>
      </c>
      <c r="C10" t="s">
        <v>143</v>
      </c>
      <c r="E10" s="5" t="s">
        <v>8</v>
      </c>
      <c r="F10" t="s">
        <v>143</v>
      </c>
      <c r="H10" s="5" t="s">
        <v>6</v>
      </c>
      <c r="I10" t="s">
        <v>143</v>
      </c>
      <c r="K10" s="5" t="s">
        <v>534</v>
      </c>
      <c r="L10" t="s">
        <v>143</v>
      </c>
    </row>
    <row r="11" spans="2:17" hidden="1" outlineLevel="1" x14ac:dyDescent="0.25">
      <c r="B11" s="5" t="s">
        <v>162</v>
      </c>
      <c r="C11" t="s">
        <v>143</v>
      </c>
      <c r="E11" s="5" t="s">
        <v>93</v>
      </c>
      <c r="F11" t="s">
        <v>143</v>
      </c>
      <c r="H11" s="5" t="s">
        <v>161</v>
      </c>
      <c r="I11" t="s">
        <v>143</v>
      </c>
    </row>
    <row r="12" spans="2:17" ht="21" collapsed="1" x14ac:dyDescent="0.35">
      <c r="B12" s="17" t="s">
        <v>252</v>
      </c>
    </row>
    <row r="13" spans="2:17" ht="30" x14ac:dyDescent="0.25">
      <c r="B13" s="7" t="s">
        <v>160</v>
      </c>
      <c r="C13" s="10" t="s">
        <v>10</v>
      </c>
    </row>
    <row r="14" spans="2:17" ht="30" x14ac:dyDescent="0.25">
      <c r="B14" s="5" t="s">
        <v>254</v>
      </c>
      <c r="C14" s="14" t="s">
        <v>364</v>
      </c>
      <c r="D14" s="14" t="s">
        <v>369</v>
      </c>
      <c r="E14" s="14" t="s">
        <v>366</v>
      </c>
      <c r="F14" s="14" t="s">
        <v>583</v>
      </c>
      <c r="G14" s="14" t="s">
        <v>625</v>
      </c>
      <c r="H14" s="14" t="s">
        <v>576</v>
      </c>
      <c r="I14" s="14" t="s">
        <v>358</v>
      </c>
      <c r="J14" s="14" t="s">
        <v>579</v>
      </c>
      <c r="K14" s="14" t="s">
        <v>365</v>
      </c>
      <c r="L14" s="14" t="s">
        <v>582</v>
      </c>
      <c r="M14" s="14" t="s">
        <v>575</v>
      </c>
      <c r="N14" s="14" t="s">
        <v>603</v>
      </c>
      <c r="O14" s="14" t="s">
        <v>662</v>
      </c>
      <c r="P14" s="14" t="s">
        <v>14</v>
      </c>
      <c r="Q14" s="14" t="s">
        <v>144</v>
      </c>
    </row>
    <row r="15" spans="2:17" x14ac:dyDescent="0.25">
      <c r="B15" t="s">
        <v>95</v>
      </c>
      <c r="C15" s="6">
        <v>-7044.1299999999992</v>
      </c>
      <c r="D15" s="6">
        <v>-4080.15</v>
      </c>
      <c r="E15" s="8">
        <v>-2435.0500000000002</v>
      </c>
      <c r="F15" s="6">
        <v>-1024.05</v>
      </c>
      <c r="G15" s="6">
        <v>-2593.31</v>
      </c>
      <c r="H15" s="6">
        <v>-3408.2999999999988</v>
      </c>
      <c r="I15" s="6">
        <v>-7552.93</v>
      </c>
      <c r="J15" s="6">
        <v>-11121.95</v>
      </c>
      <c r="K15" s="6">
        <v>-1410.45</v>
      </c>
      <c r="L15" s="6">
        <v>-154.04</v>
      </c>
      <c r="M15" s="6">
        <v>-398</v>
      </c>
      <c r="N15" s="6">
        <v>-1.68</v>
      </c>
      <c r="O15" s="6">
        <v>-397.04</v>
      </c>
      <c r="P15" s="6">
        <v>100</v>
      </c>
      <c r="Q15" s="6">
        <v>-41521.079999999994</v>
      </c>
    </row>
    <row r="16" spans="2:17" x14ac:dyDescent="0.25">
      <c r="B16" t="s">
        <v>94</v>
      </c>
      <c r="C16" s="6">
        <v>-8499.07</v>
      </c>
      <c r="D16" s="6">
        <v>-3031.6800000000003</v>
      </c>
      <c r="E16" s="8">
        <v>-1961.6</v>
      </c>
      <c r="F16" s="6">
        <v>-2772.7</v>
      </c>
      <c r="G16" s="6">
        <v>-1906.7</v>
      </c>
      <c r="H16" s="6">
        <v>-7832.4</v>
      </c>
      <c r="I16" s="6">
        <v>-6873.670000000001</v>
      </c>
      <c r="J16" s="6">
        <v>-5871</v>
      </c>
      <c r="K16" s="6">
        <v>-1726.7</v>
      </c>
      <c r="L16" s="6">
        <v>-200.9</v>
      </c>
      <c r="M16" s="6">
        <v>-1184.1000000000001</v>
      </c>
      <c r="N16" s="6"/>
      <c r="O16" s="6">
        <v>-151</v>
      </c>
      <c r="P16" s="6"/>
      <c r="Q16" s="6">
        <v>-42011.519999999997</v>
      </c>
    </row>
    <row r="17" spans="2:19" x14ac:dyDescent="0.25">
      <c r="B17" t="s">
        <v>352</v>
      </c>
      <c r="C17" s="6"/>
      <c r="D17" s="6"/>
      <c r="E17" s="8"/>
      <c r="F17" s="6"/>
      <c r="G17" s="6"/>
      <c r="H17" s="6"/>
      <c r="I17" s="6"/>
      <c r="J17" s="6"/>
      <c r="K17" s="6"/>
      <c r="L17" s="6"/>
      <c r="M17" s="6"/>
      <c r="N17" s="6"/>
      <c r="O17" s="6"/>
      <c r="P17" s="6">
        <v>-982.51</v>
      </c>
      <c r="Q17" s="6">
        <v>-982.51</v>
      </c>
    </row>
    <row r="18" spans="2:19" x14ac:dyDescent="0.25">
      <c r="B18" t="s">
        <v>570</v>
      </c>
      <c r="C18" s="6"/>
      <c r="D18" s="6"/>
      <c r="E18" s="8"/>
      <c r="F18" s="6"/>
      <c r="G18" s="6"/>
      <c r="H18" s="6"/>
      <c r="I18" s="6"/>
      <c r="J18" s="6"/>
      <c r="K18" s="6"/>
      <c r="L18" s="6"/>
      <c r="M18" s="6"/>
      <c r="N18" s="6"/>
      <c r="O18" s="6"/>
      <c r="P18" s="6">
        <v>-810</v>
      </c>
      <c r="Q18" s="6">
        <v>-810</v>
      </c>
    </row>
    <row r="19" spans="2:19" x14ac:dyDescent="0.25">
      <c r="B19" t="s">
        <v>569</v>
      </c>
      <c r="C19" s="6"/>
      <c r="D19" s="6"/>
      <c r="E19" s="8"/>
      <c r="F19" s="6"/>
      <c r="G19" s="6"/>
      <c r="H19" s="6"/>
      <c r="I19" s="6"/>
      <c r="J19" s="6"/>
      <c r="K19" s="6"/>
      <c r="L19" s="6"/>
      <c r="M19" s="6"/>
      <c r="N19" s="6"/>
      <c r="O19" s="6"/>
      <c r="P19" s="6">
        <v>-95</v>
      </c>
      <c r="Q19" s="6">
        <v>-95</v>
      </c>
    </row>
    <row r="20" spans="2:19" x14ac:dyDescent="0.25">
      <c r="B20" t="s">
        <v>355</v>
      </c>
      <c r="C20" s="6"/>
      <c r="D20" s="6"/>
      <c r="E20" s="8"/>
      <c r="F20" s="6"/>
      <c r="G20" s="6"/>
      <c r="H20" s="6"/>
      <c r="I20" s="6"/>
      <c r="J20" s="6"/>
      <c r="K20" s="6"/>
      <c r="L20" s="6"/>
      <c r="M20" s="6"/>
      <c r="N20" s="6"/>
      <c r="O20" s="6"/>
      <c r="P20" s="6">
        <v>3500</v>
      </c>
      <c r="Q20" s="6">
        <v>3500</v>
      </c>
    </row>
    <row r="21" spans="2:19" x14ac:dyDescent="0.25">
      <c r="B21" t="s">
        <v>571</v>
      </c>
      <c r="C21" s="6">
        <v>-688.52999999999986</v>
      </c>
      <c r="D21" s="6">
        <v>-192.61999999999998</v>
      </c>
      <c r="E21" s="8">
        <v>-243.51000000000002</v>
      </c>
      <c r="F21" s="6">
        <v>-88.56</v>
      </c>
      <c r="G21" s="6">
        <v>-259.33</v>
      </c>
      <c r="H21" s="6">
        <v>-340.82000000000005</v>
      </c>
      <c r="I21" s="6">
        <v>-723.00000000000011</v>
      </c>
      <c r="J21" s="6">
        <v>-958.76999999999987</v>
      </c>
      <c r="K21" s="6">
        <v>-131.87</v>
      </c>
      <c r="L21" s="6">
        <v>-15.399999999999999</v>
      </c>
      <c r="M21" s="6"/>
      <c r="N21" s="6">
        <v>-0.17</v>
      </c>
      <c r="O21" s="6">
        <v>-39.700000000000003</v>
      </c>
      <c r="P21" s="6"/>
      <c r="Q21" s="6">
        <v>-3682.2799999999997</v>
      </c>
    </row>
    <row r="22" spans="2:19" x14ac:dyDescent="0.25">
      <c r="B22" t="s">
        <v>144</v>
      </c>
      <c r="C22" s="6">
        <v>-16231.73</v>
      </c>
      <c r="D22" s="6">
        <v>-7304.45</v>
      </c>
      <c r="E22" s="8">
        <v>-4640.16</v>
      </c>
      <c r="F22" s="6">
        <v>-3885.31</v>
      </c>
      <c r="G22" s="6">
        <v>-4759.34</v>
      </c>
      <c r="H22" s="6">
        <v>-11581.519999999999</v>
      </c>
      <c r="I22" s="6">
        <v>-15149.600000000002</v>
      </c>
      <c r="J22" s="6">
        <v>-17951.72</v>
      </c>
      <c r="K22" s="6">
        <v>-3269.02</v>
      </c>
      <c r="L22" s="6">
        <v>-370.34</v>
      </c>
      <c r="M22" s="6">
        <v>-1582.1000000000001</v>
      </c>
      <c r="N22" s="6">
        <v>-1.8499999999999999</v>
      </c>
      <c r="O22" s="6">
        <v>-587.74</v>
      </c>
      <c r="P22" s="6">
        <v>1712.49</v>
      </c>
      <c r="Q22" s="6">
        <v>-85602.389999999985</v>
      </c>
    </row>
    <row r="23" spans="2:19" x14ac:dyDescent="0.25">
      <c r="C23" s="6"/>
      <c r="D23" s="6"/>
      <c r="E23" s="8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</row>
    <row r="25" spans="2:19" x14ac:dyDescent="0.25">
      <c r="D25" s="6"/>
      <c r="E25" s="6"/>
      <c r="F25" s="8"/>
      <c r="G25" s="6"/>
      <c r="H25" s="6"/>
      <c r="I25" s="6"/>
      <c r="J25" s="6"/>
      <c r="K25" s="6"/>
      <c r="L25" s="8"/>
      <c r="M25" s="6"/>
      <c r="N25" s="6"/>
      <c r="O25" s="6"/>
      <c r="P25" s="6"/>
      <c r="Q25" s="6"/>
      <c r="R25" s="6"/>
      <c r="S25" s="6"/>
    </row>
    <row r="26" spans="2:19" hidden="1" outlineLevel="1" x14ac:dyDescent="0.25">
      <c r="B26" s="5" t="s">
        <v>1</v>
      </c>
      <c r="C26" t="s">
        <v>143</v>
      </c>
      <c r="E26" s="5" t="s">
        <v>179</v>
      </c>
      <c r="F26" t="s">
        <v>143</v>
      </c>
      <c r="H26" s="5" t="s">
        <v>178</v>
      </c>
      <c r="I26" s="11" t="s">
        <v>143</v>
      </c>
      <c r="K26" s="5" t="s">
        <v>161</v>
      </c>
      <c r="L26" t="s">
        <v>143</v>
      </c>
      <c r="N26" s="10" t="s">
        <v>10</v>
      </c>
      <c r="O26" s="11" t="s">
        <v>143</v>
      </c>
    </row>
    <row r="27" spans="2:19" hidden="1" outlineLevel="1" x14ac:dyDescent="0.25">
      <c r="B27" s="5" t="s">
        <v>381</v>
      </c>
      <c r="C27" t="s">
        <v>143</v>
      </c>
      <c r="E27" s="5" t="s">
        <v>0</v>
      </c>
      <c r="F27" s="11" t="s">
        <v>143</v>
      </c>
      <c r="H27" s="5" t="s">
        <v>6</v>
      </c>
      <c r="I27" t="s">
        <v>143</v>
      </c>
      <c r="K27" s="5" t="s">
        <v>93</v>
      </c>
      <c r="L27" t="s">
        <v>143</v>
      </c>
      <c r="N27" s="5" t="s">
        <v>175</v>
      </c>
      <c r="O27" t="s">
        <v>357</v>
      </c>
    </row>
    <row r="28" spans="2:19" hidden="1" outlineLevel="1" x14ac:dyDescent="0.25">
      <c r="B28" s="5" t="s">
        <v>5</v>
      </c>
      <c r="C28" t="s">
        <v>143</v>
      </c>
      <c r="E28" s="5" t="s">
        <v>96</v>
      </c>
      <c r="F28" t="s">
        <v>143</v>
      </c>
      <c r="H28" s="5" t="s">
        <v>180</v>
      </c>
      <c r="I28" t="s">
        <v>143</v>
      </c>
      <c r="K28" s="5" t="s">
        <v>2</v>
      </c>
      <c r="L28" t="s">
        <v>143</v>
      </c>
      <c r="N28" s="5" t="s">
        <v>534</v>
      </c>
      <c r="O28" t="s">
        <v>143</v>
      </c>
    </row>
    <row r="29" spans="2:19" hidden="1" outlineLevel="1" x14ac:dyDescent="0.25">
      <c r="B29" s="5" t="s">
        <v>4</v>
      </c>
      <c r="C29" t="s">
        <v>143</v>
      </c>
      <c r="E29" s="5" t="s">
        <v>97</v>
      </c>
      <c r="F29" t="s">
        <v>143</v>
      </c>
      <c r="H29" s="5" t="s">
        <v>8</v>
      </c>
      <c r="I29" t="s">
        <v>143</v>
      </c>
      <c r="K29" s="5" t="s">
        <v>3</v>
      </c>
      <c r="L29" t="s">
        <v>143</v>
      </c>
    </row>
    <row r="30" spans="2:19" hidden="1" outlineLevel="1" x14ac:dyDescent="0.25">
      <c r="B30" s="5" t="s">
        <v>162</v>
      </c>
      <c r="C30" t="s">
        <v>143</v>
      </c>
      <c r="E30" s="5" t="s">
        <v>7</v>
      </c>
      <c r="F30" t="s">
        <v>143</v>
      </c>
      <c r="H30" s="5" t="s">
        <v>9</v>
      </c>
      <c r="I30" t="s">
        <v>143</v>
      </c>
      <c r="K30" s="12" t="s">
        <v>176</v>
      </c>
      <c r="L30" s="15" t="s">
        <v>143</v>
      </c>
    </row>
    <row r="31" spans="2:19" ht="21" collapsed="1" x14ac:dyDescent="0.35">
      <c r="B31" s="17" t="s">
        <v>253</v>
      </c>
    </row>
    <row r="32" spans="2:19" x14ac:dyDescent="0.25">
      <c r="B32" s="13"/>
      <c r="C32" s="5" t="s">
        <v>208</v>
      </c>
    </row>
    <row r="33" spans="2:12" ht="60" x14ac:dyDescent="0.25">
      <c r="B33" s="5" t="s">
        <v>901</v>
      </c>
      <c r="C33" s="14" t="s">
        <v>209</v>
      </c>
      <c r="D33" s="14" t="s">
        <v>210</v>
      </c>
      <c r="E33" s="20" t="s">
        <v>224</v>
      </c>
      <c r="F33" s="20" t="s">
        <v>225</v>
      </c>
      <c r="G33" s="20" t="s">
        <v>226</v>
      </c>
      <c r="H33" s="20" t="s">
        <v>227</v>
      </c>
      <c r="I33" s="14" t="s">
        <v>160</v>
      </c>
    </row>
    <row r="34" spans="2:12" x14ac:dyDescent="0.25">
      <c r="B34" t="s">
        <v>904</v>
      </c>
      <c r="C34" s="6">
        <v>305.17889908256882</v>
      </c>
      <c r="D34" s="6">
        <v>10450.852803738318</v>
      </c>
      <c r="E34" s="21">
        <v>0</v>
      </c>
      <c r="F34" s="21">
        <v>-4353.5</v>
      </c>
      <c r="G34" s="21">
        <v>-3203.04</v>
      </c>
      <c r="H34" s="21">
        <v>-78045.849999999962</v>
      </c>
      <c r="I34" s="6">
        <v>-85602.389999999985</v>
      </c>
    </row>
    <row r="35" spans="2:12" x14ac:dyDescent="0.25">
      <c r="B35" t="s">
        <v>144</v>
      </c>
      <c r="C35" s="6">
        <v>305.17889908256882</v>
      </c>
      <c r="D35" s="6">
        <v>10450.852803738318</v>
      </c>
      <c r="E35" s="21">
        <v>0</v>
      </c>
      <c r="F35" s="21">
        <v>-4353.5</v>
      </c>
      <c r="G35" s="21">
        <v>-3203.04</v>
      </c>
      <c r="H35" s="21">
        <v>-78045.849999999962</v>
      </c>
      <c r="I35" s="6">
        <v>-85602.389999999985</v>
      </c>
    </row>
    <row r="37" spans="2:12" hidden="1" outlineLevel="1" x14ac:dyDescent="0.25">
      <c r="B37" s="5" t="s">
        <v>1</v>
      </c>
      <c r="C37" t="s">
        <v>143</v>
      </c>
      <c r="E37" s="5" t="s">
        <v>162</v>
      </c>
      <c r="F37" t="s">
        <v>143</v>
      </c>
      <c r="H37" s="5" t="s">
        <v>9</v>
      </c>
      <c r="I37" t="s">
        <v>143</v>
      </c>
      <c r="K37" s="5" t="s">
        <v>161</v>
      </c>
      <c r="L37" t="s">
        <v>143</v>
      </c>
    </row>
    <row r="38" spans="2:12" hidden="1" outlineLevel="1" x14ac:dyDescent="0.25">
      <c r="B38" s="5" t="s">
        <v>381</v>
      </c>
      <c r="C38" t="s">
        <v>143</v>
      </c>
      <c r="E38" s="5" t="s">
        <v>0</v>
      </c>
      <c r="F38" t="s">
        <v>143</v>
      </c>
      <c r="H38" s="5" t="s">
        <v>93</v>
      </c>
      <c r="I38" t="s">
        <v>143</v>
      </c>
      <c r="K38" s="5" t="s">
        <v>212</v>
      </c>
      <c r="L38" t="s">
        <v>143</v>
      </c>
    </row>
    <row r="39" spans="2:12" hidden="1" outlineLevel="1" x14ac:dyDescent="0.25">
      <c r="B39" s="5" t="s">
        <v>5</v>
      </c>
      <c r="C39" t="s">
        <v>143</v>
      </c>
      <c r="E39" s="5" t="s">
        <v>97</v>
      </c>
      <c r="F39" t="s">
        <v>143</v>
      </c>
      <c r="H39" s="5" t="s">
        <v>2</v>
      </c>
      <c r="I39" t="s">
        <v>143</v>
      </c>
      <c r="K39" s="5" t="s">
        <v>7</v>
      </c>
      <c r="L39" t="s">
        <v>143</v>
      </c>
    </row>
    <row r="40" spans="2:12" hidden="1" outlineLevel="1" x14ac:dyDescent="0.25">
      <c r="B40" s="5" t="s">
        <v>4</v>
      </c>
      <c r="C40" t="s">
        <v>143</v>
      </c>
      <c r="E40" s="10" t="s">
        <v>10</v>
      </c>
      <c r="F40" s="19" t="s">
        <v>143</v>
      </c>
      <c r="H40" s="5" t="s">
        <v>3</v>
      </c>
      <c r="I40" t="s">
        <v>143</v>
      </c>
      <c r="K40" s="5" t="s">
        <v>175</v>
      </c>
      <c r="L40" t="s">
        <v>357</v>
      </c>
    </row>
    <row r="41" spans="2:12" hidden="1" outlineLevel="1" x14ac:dyDescent="0.25">
      <c r="B41" s="5" t="s">
        <v>179</v>
      </c>
      <c r="C41" t="s">
        <v>143</v>
      </c>
      <c r="E41" s="5" t="s">
        <v>8</v>
      </c>
      <c r="F41" t="s">
        <v>143</v>
      </c>
      <c r="H41" s="5" t="s">
        <v>6</v>
      </c>
      <c r="I41" t="s">
        <v>143</v>
      </c>
      <c r="K41" s="5" t="s">
        <v>534</v>
      </c>
      <c r="L41" t="s">
        <v>143</v>
      </c>
    </row>
    <row r="42" spans="2:12" ht="21" collapsed="1" x14ac:dyDescent="0.35">
      <c r="B42" s="17" t="s">
        <v>256</v>
      </c>
    </row>
    <row r="43" spans="2:12" ht="30" x14ac:dyDescent="0.25">
      <c r="B43" s="7" t="s">
        <v>160</v>
      </c>
      <c r="C43" s="13"/>
    </row>
    <row r="44" spans="2:12" x14ac:dyDescent="0.25">
      <c r="B44" s="5" t="s">
        <v>254</v>
      </c>
      <c r="C44" s="5" t="s">
        <v>96</v>
      </c>
      <c r="D44" s="14" t="s">
        <v>255</v>
      </c>
    </row>
    <row r="45" spans="2:12" x14ac:dyDescent="0.25">
      <c r="B45" t="s">
        <v>95</v>
      </c>
      <c r="C45">
        <v>2020</v>
      </c>
      <c r="D45" s="6">
        <v>-2369.41</v>
      </c>
    </row>
    <row r="46" spans="2:12" x14ac:dyDescent="0.25">
      <c r="C46">
        <v>2021</v>
      </c>
      <c r="D46" s="6">
        <v>-11538.320000000003</v>
      </c>
    </row>
    <row r="47" spans="2:12" x14ac:dyDescent="0.25">
      <c r="C47">
        <v>2022</v>
      </c>
      <c r="D47" s="6">
        <v>-27613.35</v>
      </c>
    </row>
    <row r="48" spans="2:12" x14ac:dyDescent="0.25">
      <c r="B48" t="s">
        <v>144</v>
      </c>
      <c r="D48" s="6">
        <v>-41521.08</v>
      </c>
    </row>
  </sheetData>
  <mergeCells count="5">
    <mergeCell ref="B2:B5"/>
    <mergeCell ref="K2:L3"/>
    <mergeCell ref="K4:L5"/>
    <mergeCell ref="G2:J5"/>
    <mergeCell ref="C2:F5"/>
  </mergeCells>
  <pageMargins left="0.51" right="0.2" top="0.3" bottom="0.28999999999999998" header="0.17" footer="0.17"/>
  <pageSetup scale="68" orientation="landscape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L30"/>
  <sheetViews>
    <sheetView showGridLines="0" view="pageBreakPreview" zoomScale="85" zoomScaleNormal="100" zoomScaleSheetLayoutView="85" workbookViewId="0">
      <selection activeCell="C14" sqref="C14:K14"/>
    </sheetView>
  </sheetViews>
  <sheetFormatPr defaultRowHeight="15" outlineLevelRow="1" x14ac:dyDescent="0.25"/>
  <cols>
    <col min="1" max="1" width="1.140625" customWidth="1"/>
    <col min="2" max="2" width="39.140625" customWidth="1"/>
    <col min="3" max="12" width="11" customWidth="1"/>
    <col min="13" max="13" width="9.7109375" customWidth="1"/>
    <col min="14" max="14" width="9.28515625" bestFit="1" customWidth="1"/>
    <col min="15" max="15" width="11.140625" bestFit="1" customWidth="1"/>
    <col min="16" max="16" width="12.42578125" customWidth="1"/>
    <col min="17" max="17" width="11.85546875" bestFit="1" customWidth="1"/>
    <col min="18" max="18" width="9" customWidth="1"/>
    <col min="19" max="19" width="13.7109375" customWidth="1"/>
  </cols>
  <sheetData>
    <row r="1" spans="2:12" ht="7.5" customHeight="1" x14ac:dyDescent="0.25"/>
    <row r="2" spans="2:12" x14ac:dyDescent="0.25">
      <c r="B2" s="31"/>
      <c r="C2" s="42" t="str">
        <f>pivot!C2</f>
        <v>Arnie Bauer Cadillac #77871</v>
      </c>
      <c r="D2" s="43"/>
      <c r="E2" s="43"/>
      <c r="F2" s="44"/>
      <c r="G2" s="42" t="str">
        <f>pivot!G2</f>
        <v>Claims data inception to 12/31/2022</v>
      </c>
      <c r="H2" s="43"/>
      <c r="I2" s="43"/>
      <c r="J2" s="44"/>
      <c r="K2" s="34" t="s">
        <v>184</v>
      </c>
      <c r="L2" s="35"/>
    </row>
    <row r="3" spans="2:12" x14ac:dyDescent="0.25">
      <c r="B3" s="32"/>
      <c r="C3" s="45"/>
      <c r="D3" s="46"/>
      <c r="E3" s="46"/>
      <c r="F3" s="47"/>
      <c r="G3" s="45"/>
      <c r="H3" s="46"/>
      <c r="I3" s="46"/>
      <c r="J3" s="47"/>
      <c r="K3" s="36"/>
      <c r="L3" s="37"/>
    </row>
    <row r="4" spans="2:12" x14ac:dyDescent="0.25">
      <c r="B4" s="32"/>
      <c r="C4" s="45"/>
      <c r="D4" s="46"/>
      <c r="E4" s="46"/>
      <c r="F4" s="47"/>
      <c r="G4" s="45"/>
      <c r="H4" s="46"/>
      <c r="I4" s="46"/>
      <c r="J4" s="47"/>
      <c r="K4" s="38">
        <f ca="1">TODAY()</f>
        <v>45448</v>
      </c>
      <c r="L4" s="39"/>
    </row>
    <row r="5" spans="2:12" x14ac:dyDescent="0.25">
      <c r="B5" s="33"/>
      <c r="C5" s="48"/>
      <c r="D5" s="49"/>
      <c r="E5" s="49"/>
      <c r="F5" s="50"/>
      <c r="G5" s="48"/>
      <c r="H5" s="49"/>
      <c r="I5" s="49"/>
      <c r="J5" s="50"/>
      <c r="K5" s="40"/>
      <c r="L5" s="41"/>
    </row>
    <row r="7" spans="2:12" outlineLevel="1" x14ac:dyDescent="0.25">
      <c r="B7" s="5" t="s">
        <v>5</v>
      </c>
      <c r="C7" t="s">
        <v>143</v>
      </c>
      <c r="E7" s="5" t="s">
        <v>96</v>
      </c>
      <c r="F7" t="s">
        <v>143</v>
      </c>
      <c r="H7" s="5" t="s">
        <v>2</v>
      </c>
      <c r="I7" t="s">
        <v>143</v>
      </c>
      <c r="K7" s="5" t="s">
        <v>175</v>
      </c>
      <c r="L7" t="s">
        <v>143</v>
      </c>
    </row>
    <row r="8" spans="2:12" outlineLevel="1" x14ac:dyDescent="0.25">
      <c r="B8" s="5" t="s">
        <v>4</v>
      </c>
      <c r="C8" t="s">
        <v>143</v>
      </c>
      <c r="E8" s="5" t="s">
        <v>97</v>
      </c>
      <c r="F8" t="s">
        <v>143</v>
      </c>
      <c r="H8" s="5" t="s">
        <v>3</v>
      </c>
      <c r="I8" t="s">
        <v>143</v>
      </c>
      <c r="K8" s="10" t="s">
        <v>10</v>
      </c>
      <c r="L8" s="19" t="s">
        <v>143</v>
      </c>
    </row>
    <row r="9" spans="2:12" outlineLevel="1" x14ac:dyDescent="0.25">
      <c r="B9" s="5" t="s">
        <v>179</v>
      </c>
      <c r="C9" t="s">
        <v>143</v>
      </c>
      <c r="E9" s="5" t="s">
        <v>8</v>
      </c>
      <c r="F9" t="s">
        <v>143</v>
      </c>
      <c r="H9" s="5" t="s">
        <v>161</v>
      </c>
      <c r="I9" t="s">
        <v>143</v>
      </c>
    </row>
    <row r="10" spans="2:12" outlineLevel="1" x14ac:dyDescent="0.25">
      <c r="B10" s="5" t="s">
        <v>162</v>
      </c>
      <c r="C10" t="s">
        <v>143</v>
      </c>
      <c r="E10" s="5" t="s">
        <v>93</v>
      </c>
      <c r="F10" t="s">
        <v>143</v>
      </c>
      <c r="H10" s="5" t="s">
        <v>212</v>
      </c>
      <c r="I10" t="s">
        <v>143</v>
      </c>
    </row>
    <row r="11" spans="2:12" outlineLevel="1" x14ac:dyDescent="0.25">
      <c r="B11" s="5" t="s">
        <v>0</v>
      </c>
      <c r="C11" t="s">
        <v>143</v>
      </c>
      <c r="E11" s="5" t="s">
        <v>9</v>
      </c>
      <c r="F11" t="s">
        <v>143</v>
      </c>
      <c r="H11" s="5" t="s">
        <v>7</v>
      </c>
      <c r="I11" t="s">
        <v>143</v>
      </c>
    </row>
    <row r="12" spans="2:12" ht="21" x14ac:dyDescent="0.35">
      <c r="B12" s="17" t="s">
        <v>376</v>
      </c>
    </row>
    <row r="13" spans="2:12" x14ac:dyDescent="0.25">
      <c r="B13" s="7" t="s">
        <v>160</v>
      </c>
      <c r="C13" s="5" t="s">
        <v>254</v>
      </c>
    </row>
    <row r="14" spans="2:12" ht="30" x14ac:dyDescent="0.25">
      <c r="B14" s="5" t="s">
        <v>6</v>
      </c>
      <c r="C14" s="14" t="s">
        <v>95</v>
      </c>
      <c r="D14" s="14" t="s">
        <v>94</v>
      </c>
      <c r="E14" s="14" t="s">
        <v>352</v>
      </c>
      <c r="F14" s="14" t="s">
        <v>570</v>
      </c>
      <c r="G14" s="14" t="s">
        <v>569</v>
      </c>
      <c r="H14" s="14" t="s">
        <v>897</v>
      </c>
      <c r="I14" s="14" t="s">
        <v>355</v>
      </c>
      <c r="J14" s="14" t="s">
        <v>571</v>
      </c>
      <c r="K14" s="14" t="s">
        <v>144</v>
      </c>
    </row>
    <row r="15" spans="2:12" x14ac:dyDescent="0.25">
      <c r="B15" t="s">
        <v>712</v>
      </c>
      <c r="C15" s="6">
        <v>-31643.809999999998</v>
      </c>
      <c r="D15" s="6">
        <v>-33938.300000000003</v>
      </c>
      <c r="E15" s="6">
        <v>-135</v>
      </c>
      <c r="F15" s="6">
        <v>-810</v>
      </c>
      <c r="G15" s="6"/>
      <c r="H15" s="6"/>
      <c r="I15" s="6">
        <v>2800</v>
      </c>
      <c r="J15" s="6">
        <v>-3124.6000000000004</v>
      </c>
      <c r="K15" s="6">
        <v>-66851.710000000006</v>
      </c>
    </row>
    <row r="16" spans="2:12" x14ac:dyDescent="0.25">
      <c r="B16" t="s">
        <v>746</v>
      </c>
      <c r="C16" s="6">
        <v>-1237.1500000000001</v>
      </c>
      <c r="D16" s="6">
        <v>-2062.5499999999997</v>
      </c>
      <c r="E16" s="6"/>
      <c r="F16" s="6"/>
      <c r="G16" s="6"/>
      <c r="H16" s="6"/>
      <c r="I16" s="6">
        <v>200</v>
      </c>
      <c r="J16" s="6">
        <v>-123.71</v>
      </c>
      <c r="K16" s="6">
        <v>-3223.41</v>
      </c>
    </row>
    <row r="17" spans="2:11" x14ac:dyDescent="0.25">
      <c r="B17" t="s">
        <v>818</v>
      </c>
      <c r="C17" s="6">
        <v>-2144.5699999999997</v>
      </c>
      <c r="D17" s="6">
        <v>-900.95</v>
      </c>
      <c r="E17" s="6"/>
      <c r="F17" s="6"/>
      <c r="G17" s="6"/>
      <c r="H17" s="6"/>
      <c r="I17" s="6"/>
      <c r="J17" s="6">
        <v>-150.12</v>
      </c>
      <c r="K17" s="6">
        <v>-3195.6399999999994</v>
      </c>
    </row>
    <row r="18" spans="2:11" x14ac:dyDescent="0.25">
      <c r="B18" t="s">
        <v>869</v>
      </c>
      <c r="C18" s="6">
        <v>-3059.99</v>
      </c>
      <c r="D18" s="6"/>
      <c r="E18" s="6"/>
      <c r="F18" s="6"/>
      <c r="G18" s="6"/>
      <c r="H18" s="6"/>
      <c r="I18" s="6"/>
      <c r="J18" s="6"/>
      <c r="K18" s="6">
        <v>-3059.99</v>
      </c>
    </row>
    <row r="19" spans="2:11" x14ac:dyDescent="0.25">
      <c r="B19" t="s">
        <v>831</v>
      </c>
      <c r="C19" s="6">
        <v>-461.2600000000001</v>
      </c>
      <c r="D19" s="6">
        <v>-2028.5</v>
      </c>
      <c r="E19" s="6"/>
      <c r="F19" s="6"/>
      <c r="G19" s="6"/>
      <c r="H19" s="6"/>
      <c r="I19" s="6"/>
      <c r="J19" s="6">
        <v>-16.28</v>
      </c>
      <c r="K19" s="6">
        <v>-2506.0400000000004</v>
      </c>
    </row>
    <row r="20" spans="2:11" x14ac:dyDescent="0.25">
      <c r="B20" t="s">
        <v>708</v>
      </c>
      <c r="C20" s="6">
        <v>-1498.3</v>
      </c>
      <c r="D20" s="6">
        <v>-536.41999999999996</v>
      </c>
      <c r="E20" s="6"/>
      <c r="F20" s="6"/>
      <c r="G20" s="6"/>
      <c r="H20" s="6"/>
      <c r="I20" s="6">
        <v>100</v>
      </c>
      <c r="J20" s="6">
        <v>-134.85</v>
      </c>
      <c r="K20" s="6">
        <v>-2069.5699999999997</v>
      </c>
    </row>
    <row r="21" spans="2:11" x14ac:dyDescent="0.25">
      <c r="B21" t="s">
        <v>716</v>
      </c>
      <c r="C21" s="6">
        <v>-423.14</v>
      </c>
      <c r="D21" s="6">
        <v>-942.45</v>
      </c>
      <c r="E21" s="6"/>
      <c r="F21" s="6"/>
      <c r="G21" s="6"/>
      <c r="H21" s="6"/>
      <c r="I21" s="6">
        <v>200</v>
      </c>
      <c r="J21" s="6">
        <v>-43.66</v>
      </c>
      <c r="K21" s="6">
        <v>-1209.2500000000002</v>
      </c>
    </row>
    <row r="22" spans="2:11" x14ac:dyDescent="0.25">
      <c r="B22" t="s">
        <v>719</v>
      </c>
      <c r="C22" s="6">
        <v>-482.06</v>
      </c>
      <c r="D22" s="6">
        <v>-702</v>
      </c>
      <c r="E22" s="6"/>
      <c r="F22" s="6"/>
      <c r="G22" s="6"/>
      <c r="H22" s="6"/>
      <c r="I22" s="6">
        <v>100</v>
      </c>
      <c r="J22" s="6">
        <v>-49.41</v>
      </c>
      <c r="K22" s="6">
        <v>-1133.47</v>
      </c>
    </row>
    <row r="23" spans="2:11" x14ac:dyDescent="0.25">
      <c r="B23" t="s">
        <v>604</v>
      </c>
      <c r="C23" s="6"/>
      <c r="D23" s="6"/>
      <c r="E23" s="6">
        <v>-703.76</v>
      </c>
      <c r="F23" s="6"/>
      <c r="G23" s="6"/>
      <c r="H23" s="6"/>
      <c r="I23" s="6"/>
      <c r="J23" s="6"/>
      <c r="K23" s="6">
        <v>-703.76</v>
      </c>
    </row>
    <row r="24" spans="2:11" x14ac:dyDescent="0.25">
      <c r="B24" t="s">
        <v>756</v>
      </c>
      <c r="C24" s="6">
        <v>-305.97000000000003</v>
      </c>
      <c r="D24" s="6">
        <v>-400</v>
      </c>
      <c r="E24" s="6"/>
      <c r="F24" s="6"/>
      <c r="G24" s="6"/>
      <c r="H24" s="6"/>
      <c r="I24" s="6">
        <v>100</v>
      </c>
      <c r="J24" s="6">
        <v>-21.419999999999998</v>
      </c>
      <c r="K24" s="6">
        <v>-627.39</v>
      </c>
    </row>
    <row r="25" spans="2:11" x14ac:dyDescent="0.25">
      <c r="B25" t="s">
        <v>795</v>
      </c>
      <c r="C25" s="6">
        <v>-110.1</v>
      </c>
      <c r="D25" s="6">
        <v>-320.35000000000002</v>
      </c>
      <c r="E25" s="6"/>
      <c r="F25" s="6"/>
      <c r="G25" s="6"/>
      <c r="H25" s="6"/>
      <c r="I25" s="6"/>
      <c r="J25" s="6">
        <v>-11.02</v>
      </c>
      <c r="K25" s="6">
        <v>-441.47</v>
      </c>
    </row>
    <row r="26" spans="2:11" x14ac:dyDescent="0.25">
      <c r="B26" t="s">
        <v>772</v>
      </c>
      <c r="C26" s="6">
        <v>-154.72999999999999</v>
      </c>
      <c r="D26" s="6">
        <v>-180</v>
      </c>
      <c r="E26" s="6"/>
      <c r="F26" s="6"/>
      <c r="G26" s="6"/>
      <c r="H26" s="6"/>
      <c r="I26" s="6"/>
      <c r="J26" s="6">
        <v>-7.21</v>
      </c>
      <c r="K26" s="6">
        <v>-341.94</v>
      </c>
    </row>
    <row r="27" spans="2:11" x14ac:dyDescent="0.25">
      <c r="B27" t="s">
        <v>894</v>
      </c>
      <c r="C27" s="6"/>
      <c r="D27" s="6"/>
      <c r="E27" s="6">
        <v>-143.75</v>
      </c>
      <c r="F27" s="6"/>
      <c r="G27" s="6"/>
      <c r="H27" s="6"/>
      <c r="I27" s="6"/>
      <c r="J27" s="6"/>
      <c r="K27" s="6">
        <v>-143.75</v>
      </c>
    </row>
    <row r="28" spans="2:11" x14ac:dyDescent="0.25">
      <c r="B28" t="s">
        <v>377</v>
      </c>
      <c r="C28" s="6"/>
      <c r="D28" s="6"/>
      <c r="E28" s="6"/>
      <c r="F28" s="6"/>
      <c r="G28" s="6">
        <v>-95</v>
      </c>
      <c r="H28" s="6"/>
      <c r="I28" s="6"/>
      <c r="J28" s="6"/>
      <c r="K28" s="6">
        <v>-95</v>
      </c>
    </row>
    <row r="29" spans="2:11" x14ac:dyDescent="0.25">
      <c r="B29" t="s">
        <v>897</v>
      </c>
      <c r="C29" s="6"/>
      <c r="D29" s="6"/>
      <c r="E29" s="6"/>
      <c r="F29" s="6"/>
      <c r="G29" s="6"/>
      <c r="H29" s="6"/>
      <c r="I29" s="6"/>
      <c r="J29" s="6"/>
      <c r="K29" s="6"/>
    </row>
    <row r="30" spans="2:11" x14ac:dyDescent="0.25">
      <c r="B30" t="s">
        <v>144</v>
      </c>
      <c r="C30" s="6">
        <v>-41521.08</v>
      </c>
      <c r="D30" s="6">
        <v>-42011.519999999997</v>
      </c>
      <c r="E30" s="6">
        <v>-982.51</v>
      </c>
      <c r="F30" s="6">
        <v>-810</v>
      </c>
      <c r="G30" s="6">
        <v>-95</v>
      </c>
      <c r="H30" s="6"/>
      <c r="I30" s="6">
        <v>3500</v>
      </c>
      <c r="J30" s="6">
        <v>-3682.28</v>
      </c>
      <c r="K30" s="6">
        <v>-85602.390000000014</v>
      </c>
    </row>
  </sheetData>
  <mergeCells count="5">
    <mergeCell ref="B2:B5"/>
    <mergeCell ref="C2:F5"/>
    <mergeCell ref="G2:J5"/>
    <mergeCell ref="K2:L3"/>
    <mergeCell ref="K4:L5"/>
  </mergeCells>
  <pageMargins left="0.51" right="0.2" top="0.3" bottom="0.28999999999999998" header="0.17" footer="0.17"/>
  <pageSetup scale="63" orientation="landscape" r:id="rId2"/>
  <headerFooter>
    <oddFooter>&amp;C&amp;P</oddFoot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R45"/>
  <sheetViews>
    <sheetView showGridLines="0" view="pageBreakPreview" zoomScale="85" zoomScaleNormal="100" zoomScaleSheetLayoutView="85" workbookViewId="0">
      <selection activeCell="N2" sqref="N2"/>
    </sheetView>
  </sheetViews>
  <sheetFormatPr defaultRowHeight="15" outlineLevelRow="1" x14ac:dyDescent="0.25"/>
  <cols>
    <col min="1" max="1" width="1.140625" customWidth="1"/>
    <col min="2" max="2" width="20.7109375" customWidth="1"/>
    <col min="3" max="19" width="9.140625" customWidth="1"/>
  </cols>
  <sheetData>
    <row r="1" spans="2:18" ht="7.5" customHeight="1" x14ac:dyDescent="0.25"/>
    <row r="2" spans="2:18" x14ac:dyDescent="0.25">
      <c r="B2" s="31"/>
      <c r="C2" s="42" t="str">
        <f>pivot!C2</f>
        <v>Arnie Bauer Cadillac #77871</v>
      </c>
      <c r="D2" s="43"/>
      <c r="E2" s="43"/>
      <c r="F2" s="44"/>
      <c r="G2" s="42" t="str">
        <f>pivot!G2</f>
        <v>Claims data inception to 12/31/2022</v>
      </c>
      <c r="H2" s="43"/>
      <c r="I2" s="43"/>
      <c r="J2" s="44"/>
      <c r="K2" s="34" t="s">
        <v>184</v>
      </c>
      <c r="L2" s="35"/>
    </row>
    <row r="3" spans="2:18" x14ac:dyDescent="0.25">
      <c r="B3" s="32"/>
      <c r="C3" s="45"/>
      <c r="D3" s="46"/>
      <c r="E3" s="46"/>
      <c r="F3" s="47"/>
      <c r="G3" s="45"/>
      <c r="H3" s="46"/>
      <c r="I3" s="46"/>
      <c r="J3" s="47"/>
      <c r="K3" s="36"/>
      <c r="L3" s="37"/>
    </row>
    <row r="4" spans="2:18" x14ac:dyDescent="0.25">
      <c r="B4" s="32"/>
      <c r="C4" s="45"/>
      <c r="D4" s="46"/>
      <c r="E4" s="46"/>
      <c r="F4" s="47"/>
      <c r="G4" s="45"/>
      <c r="H4" s="46"/>
      <c r="I4" s="46"/>
      <c r="J4" s="47"/>
      <c r="K4" s="38">
        <f ca="1">TODAY()</f>
        <v>45448</v>
      </c>
      <c r="L4" s="39"/>
    </row>
    <row r="5" spans="2:18" x14ac:dyDescent="0.25">
      <c r="B5" s="33"/>
      <c r="C5" s="48"/>
      <c r="D5" s="49"/>
      <c r="E5" s="49"/>
      <c r="F5" s="50"/>
      <c r="G5" s="48"/>
      <c r="H5" s="49"/>
      <c r="I5" s="49"/>
      <c r="J5" s="50"/>
      <c r="K5" s="40"/>
      <c r="L5" s="41"/>
    </row>
    <row r="7" spans="2:18" hidden="1" outlineLevel="1" x14ac:dyDescent="0.25">
      <c r="B7" s="5" t="s">
        <v>1</v>
      </c>
      <c r="C7" t="s">
        <v>143</v>
      </c>
      <c r="E7" s="5" t="s">
        <v>0</v>
      </c>
      <c r="F7" t="s">
        <v>143</v>
      </c>
      <c r="H7" s="5" t="s">
        <v>93</v>
      </c>
      <c r="I7" t="s">
        <v>143</v>
      </c>
      <c r="K7" s="5" t="s">
        <v>7</v>
      </c>
      <c r="L7" t="s">
        <v>143</v>
      </c>
    </row>
    <row r="8" spans="2:18" hidden="1" outlineLevel="1" x14ac:dyDescent="0.25">
      <c r="B8" s="5" t="s">
        <v>5</v>
      </c>
      <c r="C8" t="s">
        <v>143</v>
      </c>
      <c r="E8" s="5" t="s">
        <v>96</v>
      </c>
      <c r="F8" t="s">
        <v>143</v>
      </c>
      <c r="H8" s="5" t="s">
        <v>9</v>
      </c>
      <c r="I8" t="s">
        <v>143</v>
      </c>
      <c r="K8" s="5" t="s">
        <v>6</v>
      </c>
      <c r="L8" t="s">
        <v>143</v>
      </c>
    </row>
    <row r="9" spans="2:18" hidden="1" outlineLevel="1" x14ac:dyDescent="0.25">
      <c r="B9" s="5" t="s">
        <v>4</v>
      </c>
      <c r="C9" t="s">
        <v>143</v>
      </c>
      <c r="E9" s="5" t="s">
        <v>97</v>
      </c>
      <c r="F9" t="s">
        <v>143</v>
      </c>
      <c r="H9" s="5" t="s">
        <v>3</v>
      </c>
      <c r="I9" t="s">
        <v>143</v>
      </c>
      <c r="K9" s="5" t="s">
        <v>175</v>
      </c>
      <c r="L9" t="s">
        <v>143</v>
      </c>
    </row>
    <row r="10" spans="2:18" hidden="1" outlineLevel="1" x14ac:dyDescent="0.25">
      <c r="B10" s="5" t="s">
        <v>179</v>
      </c>
      <c r="C10" t="s">
        <v>143</v>
      </c>
      <c r="E10" s="5" t="s">
        <v>254</v>
      </c>
      <c r="F10" t="s">
        <v>143</v>
      </c>
      <c r="H10" s="5" t="s">
        <v>161</v>
      </c>
      <c r="I10" t="s">
        <v>143</v>
      </c>
    </row>
    <row r="11" spans="2:18" hidden="1" outlineLevel="1" x14ac:dyDescent="0.25">
      <c r="B11" s="5" t="s">
        <v>162</v>
      </c>
      <c r="C11" t="s">
        <v>143</v>
      </c>
      <c r="E11" s="5" t="s">
        <v>8</v>
      </c>
      <c r="F11" t="s">
        <v>143</v>
      </c>
      <c r="H11" s="5" t="s">
        <v>212</v>
      </c>
      <c r="I11" t="s">
        <v>143</v>
      </c>
    </row>
    <row r="12" spans="2:18" ht="21" collapsed="1" x14ac:dyDescent="0.35">
      <c r="B12" s="17" t="s">
        <v>546</v>
      </c>
    </row>
    <row r="13" spans="2:18" ht="30" x14ac:dyDescent="0.25">
      <c r="B13" s="7" t="s">
        <v>160</v>
      </c>
      <c r="C13" s="10" t="s">
        <v>10</v>
      </c>
    </row>
    <row r="14" spans="2:18" ht="30" x14ac:dyDescent="0.25">
      <c r="B14" s="5" t="s">
        <v>2</v>
      </c>
      <c r="C14" s="14" t="s">
        <v>364</v>
      </c>
      <c r="D14" s="14" t="s">
        <v>369</v>
      </c>
      <c r="E14" s="14" t="s">
        <v>366</v>
      </c>
      <c r="F14" s="14" t="s">
        <v>14</v>
      </c>
      <c r="G14" s="14" t="s">
        <v>365</v>
      </c>
      <c r="H14" s="14" t="s">
        <v>358</v>
      </c>
      <c r="I14" s="14" t="s">
        <v>575</v>
      </c>
      <c r="J14" s="14" t="s">
        <v>576</v>
      </c>
      <c r="K14" s="14" t="s">
        <v>579</v>
      </c>
      <c r="L14" s="14" t="s">
        <v>582</v>
      </c>
      <c r="M14" s="14" t="s">
        <v>583</v>
      </c>
      <c r="N14" s="14" t="s">
        <v>603</v>
      </c>
      <c r="O14" s="14" t="s">
        <v>625</v>
      </c>
      <c r="P14" s="14" t="s">
        <v>662</v>
      </c>
      <c r="Q14" s="14" t="s">
        <v>897</v>
      </c>
      <c r="R14" s="14" t="s">
        <v>144</v>
      </c>
    </row>
    <row r="15" spans="2:18" x14ac:dyDescent="0.25">
      <c r="B15" t="s">
        <v>30</v>
      </c>
      <c r="C15" s="6">
        <v>-5174.7699999999995</v>
      </c>
      <c r="D15" s="6">
        <v>-2630.2700000000004</v>
      </c>
      <c r="E15" s="8">
        <v>-3787.36</v>
      </c>
      <c r="F15" s="6">
        <v>315</v>
      </c>
      <c r="G15" s="6">
        <v>-318.24999999999994</v>
      </c>
      <c r="H15" s="6">
        <v>-3515.8900000000003</v>
      </c>
      <c r="I15" s="6">
        <v>-89.95</v>
      </c>
      <c r="J15" s="6">
        <v>-1353.13</v>
      </c>
      <c r="K15" s="6">
        <v>-4166.38</v>
      </c>
      <c r="L15" s="6"/>
      <c r="M15" s="6">
        <v>-1471.15</v>
      </c>
      <c r="N15" s="6"/>
      <c r="O15" s="6"/>
      <c r="P15" s="6"/>
      <c r="Q15" s="6"/>
      <c r="R15" s="6">
        <v>-22192.150000000005</v>
      </c>
    </row>
    <row r="16" spans="2:18" x14ac:dyDescent="0.25">
      <c r="B16" t="s">
        <v>683</v>
      </c>
      <c r="C16" s="6">
        <v>-1175.6899999999998</v>
      </c>
      <c r="D16" s="6">
        <v>-4465.0200000000004</v>
      </c>
      <c r="E16" s="8">
        <v>-580.94999999999993</v>
      </c>
      <c r="F16" s="6">
        <v>-47.769999999999982</v>
      </c>
      <c r="G16" s="6">
        <v>-1526.3100000000002</v>
      </c>
      <c r="H16" s="6">
        <v>-4651.6999999999989</v>
      </c>
      <c r="I16" s="6">
        <v>-393.9</v>
      </c>
      <c r="J16" s="6">
        <v>-2479.6499999999992</v>
      </c>
      <c r="K16" s="6">
        <v>-699.4799999999999</v>
      </c>
      <c r="L16" s="6"/>
      <c r="M16" s="6">
        <v>-337.35999999999996</v>
      </c>
      <c r="N16" s="6"/>
      <c r="O16" s="6">
        <v>-4759.34</v>
      </c>
      <c r="P16" s="6"/>
      <c r="Q16" s="6"/>
      <c r="R16" s="6">
        <v>-21117.17</v>
      </c>
    </row>
    <row r="17" spans="2:18" x14ac:dyDescent="0.25">
      <c r="B17" t="s">
        <v>697</v>
      </c>
      <c r="C17" s="6">
        <v>-4338.4299999999994</v>
      </c>
      <c r="D17" s="6"/>
      <c r="E17" s="8"/>
      <c r="F17" s="6">
        <v>724.5100000000001</v>
      </c>
      <c r="G17" s="6">
        <v>-543.67000000000007</v>
      </c>
      <c r="H17" s="6">
        <v>-5943.4299999999994</v>
      </c>
      <c r="I17" s="6">
        <v>-603.45000000000005</v>
      </c>
      <c r="J17" s="6">
        <v>-2237.7599999999998</v>
      </c>
      <c r="K17" s="6">
        <v>-5273.45</v>
      </c>
      <c r="L17" s="6">
        <v>-265</v>
      </c>
      <c r="M17" s="6">
        <v>-1734.86</v>
      </c>
      <c r="N17" s="6">
        <v>-1.8499999999999999</v>
      </c>
      <c r="O17" s="6"/>
      <c r="P17" s="6">
        <v>-587.74</v>
      </c>
      <c r="Q17" s="6"/>
      <c r="R17" s="6">
        <v>-20805.13</v>
      </c>
    </row>
    <row r="18" spans="2:18" x14ac:dyDescent="0.25">
      <c r="B18" t="s">
        <v>543</v>
      </c>
      <c r="C18" s="6">
        <v>-3373.2700000000004</v>
      </c>
      <c r="D18" s="6">
        <v>-209.16</v>
      </c>
      <c r="E18" s="8">
        <v>-271.85000000000002</v>
      </c>
      <c r="F18" s="6">
        <v>320.75</v>
      </c>
      <c r="G18" s="6">
        <v>-60.19</v>
      </c>
      <c r="H18" s="6">
        <v>-1038.58</v>
      </c>
      <c r="I18" s="6">
        <v>-224.9</v>
      </c>
      <c r="J18" s="6">
        <v>-3997.98</v>
      </c>
      <c r="K18" s="6">
        <v>-3615.4100000000003</v>
      </c>
      <c r="L18" s="6">
        <v>-105.33999999999999</v>
      </c>
      <c r="M18" s="6"/>
      <c r="N18" s="6"/>
      <c r="O18" s="6"/>
      <c r="P18" s="6"/>
      <c r="Q18" s="6"/>
      <c r="R18" s="6">
        <v>-12575.93</v>
      </c>
    </row>
    <row r="19" spans="2:18" x14ac:dyDescent="0.25">
      <c r="B19" t="s">
        <v>620</v>
      </c>
      <c r="C19" s="6"/>
      <c r="D19" s="6"/>
      <c r="E19" s="8"/>
      <c r="F19" s="6">
        <v>300</v>
      </c>
      <c r="G19" s="6">
        <v>-820.6</v>
      </c>
      <c r="H19" s="6"/>
      <c r="I19" s="6">
        <v>-269.89999999999998</v>
      </c>
      <c r="J19" s="6">
        <v>-1513</v>
      </c>
      <c r="K19" s="6">
        <v>-4197</v>
      </c>
      <c r="L19" s="6"/>
      <c r="M19" s="6"/>
      <c r="N19" s="6"/>
      <c r="O19" s="6"/>
      <c r="P19" s="6"/>
      <c r="Q19" s="6"/>
      <c r="R19" s="6">
        <v>-6500.5</v>
      </c>
    </row>
    <row r="20" spans="2:18" x14ac:dyDescent="0.25">
      <c r="B20" t="s">
        <v>19</v>
      </c>
      <c r="C20" s="6">
        <v>-2169.5700000000002</v>
      </c>
      <c r="D20" s="6"/>
      <c r="E20" s="8"/>
      <c r="F20" s="6">
        <v>100</v>
      </c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>
        <v>-2069.5700000000002</v>
      </c>
    </row>
    <row r="21" spans="2:18" x14ac:dyDescent="0.25">
      <c r="B21" t="s">
        <v>388</v>
      </c>
      <c r="C21" s="6"/>
      <c r="D21" s="6"/>
      <c r="E21" s="8"/>
      <c r="F21" s="6"/>
      <c r="G21" s="6"/>
      <c r="H21" s="6"/>
      <c r="I21" s="6"/>
      <c r="J21" s="6"/>
      <c r="K21" s="6"/>
      <c r="L21" s="6"/>
      <c r="M21" s="6">
        <v>-341.94</v>
      </c>
      <c r="N21" s="6"/>
      <c r="O21" s="6"/>
      <c r="P21" s="6"/>
      <c r="Q21" s="6"/>
      <c r="R21" s="6">
        <v>-341.94</v>
      </c>
    </row>
    <row r="22" spans="2:18" x14ac:dyDescent="0.25">
      <c r="B22" t="s">
        <v>897</v>
      </c>
      <c r="C22" s="6"/>
      <c r="D22" s="6"/>
      <c r="E22" s="8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</row>
    <row r="23" spans="2:18" x14ac:dyDescent="0.25">
      <c r="B23" t="s">
        <v>144</v>
      </c>
      <c r="C23" s="6">
        <v>-16231.730000000001</v>
      </c>
      <c r="D23" s="6">
        <v>-7304.4500000000007</v>
      </c>
      <c r="E23" s="8">
        <v>-4640.16</v>
      </c>
      <c r="F23" s="6">
        <v>1712.4900000000002</v>
      </c>
      <c r="G23" s="6">
        <v>-3269.0200000000004</v>
      </c>
      <c r="H23" s="6">
        <v>-15149.599999999999</v>
      </c>
      <c r="I23" s="6">
        <v>-1582.1</v>
      </c>
      <c r="J23" s="6">
        <v>-11581.52</v>
      </c>
      <c r="K23" s="6">
        <v>-17951.72</v>
      </c>
      <c r="L23" s="6">
        <v>-370.34</v>
      </c>
      <c r="M23" s="6">
        <v>-3885.31</v>
      </c>
      <c r="N23" s="6">
        <v>-1.8499999999999999</v>
      </c>
      <c r="O23" s="6">
        <v>-4759.34</v>
      </c>
      <c r="P23" s="6">
        <v>-587.74</v>
      </c>
      <c r="Q23" s="6"/>
      <c r="R23" s="6">
        <v>-85602.39</v>
      </c>
    </row>
    <row r="45" spans="2:2" x14ac:dyDescent="0.25">
      <c r="B45" t="s">
        <v>545</v>
      </c>
    </row>
  </sheetData>
  <mergeCells count="5">
    <mergeCell ref="B2:B5"/>
    <mergeCell ref="C2:F5"/>
    <mergeCell ref="G2:J5"/>
    <mergeCell ref="K2:L3"/>
    <mergeCell ref="K4:L5"/>
  </mergeCells>
  <pageMargins left="0.51" right="0.2" top="0.3" bottom="0.28999999999999998" header="0.17" footer="0.17"/>
  <pageSetup scale="62" orientation="landscape" r:id="rId2"/>
  <headerFooter>
    <oddFooter>&amp;C&amp;P</oddFooter>
  </headerFooter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U1019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defaultColWidth="16.85546875" defaultRowHeight="15" x14ac:dyDescent="0.25"/>
  <cols>
    <col min="8" max="8" width="16.85546875" style="11"/>
    <col min="9" max="9" width="16.85546875" style="1"/>
    <col min="10" max="11" width="16.85546875" style="22"/>
    <col min="13" max="13" width="16.85546875" style="22"/>
    <col min="18" max="18" width="20.28515625" style="1" bestFit="1" customWidth="1"/>
    <col min="19" max="19" width="22" style="22" bestFit="1" customWidth="1"/>
    <col min="21" max="21" width="16.85546875" style="1"/>
    <col min="22" max="22" width="16.85546875" style="22"/>
    <col min="40" max="40" width="16.85546875" style="2"/>
  </cols>
  <sheetData>
    <row r="1" spans="1:47" x14ac:dyDescent="0.25">
      <c r="A1" t="s">
        <v>162</v>
      </c>
      <c r="B1" t="s">
        <v>0</v>
      </c>
      <c r="C1" s="16" t="s">
        <v>211</v>
      </c>
      <c r="D1" t="s">
        <v>223</v>
      </c>
      <c r="E1" t="s">
        <v>158</v>
      </c>
      <c r="F1" t="s">
        <v>1</v>
      </c>
      <c r="G1" t="s">
        <v>2</v>
      </c>
      <c r="H1" s="11" t="s">
        <v>3</v>
      </c>
      <c r="I1" t="s">
        <v>176</v>
      </c>
      <c r="J1" s="23" t="s">
        <v>178</v>
      </c>
      <c r="K1" s="23" t="s">
        <v>179</v>
      </c>
      <c r="L1" s="9" t="s">
        <v>380</v>
      </c>
      <c r="M1" s="23" t="s">
        <v>381</v>
      </c>
      <c r="N1" t="s">
        <v>4</v>
      </c>
      <c r="O1" t="s">
        <v>5</v>
      </c>
      <c r="P1" t="s">
        <v>6</v>
      </c>
      <c r="Q1" t="s">
        <v>180</v>
      </c>
      <c r="R1" t="s">
        <v>161</v>
      </c>
      <c r="S1" s="23" t="s">
        <v>174</v>
      </c>
      <c r="T1" t="s">
        <v>177</v>
      </c>
      <c r="U1" t="s">
        <v>175</v>
      </c>
      <c r="V1" s="23" t="s">
        <v>7</v>
      </c>
      <c r="W1" t="s">
        <v>8</v>
      </c>
      <c r="X1" t="s">
        <v>9</v>
      </c>
      <c r="Y1" t="s">
        <v>93</v>
      </c>
      <c r="Z1" t="s">
        <v>10</v>
      </c>
      <c r="AA1" t="s">
        <v>159</v>
      </c>
      <c r="AB1" t="s">
        <v>694</v>
      </c>
      <c r="AC1" t="s">
        <v>96</v>
      </c>
      <c r="AD1" t="s">
        <v>97</v>
      </c>
      <c r="AE1" t="s">
        <v>374</v>
      </c>
      <c r="AF1" t="s">
        <v>375</v>
      </c>
      <c r="AG1" t="s">
        <v>568</v>
      </c>
      <c r="AH1" s="27" t="s">
        <v>901</v>
      </c>
      <c r="AI1" t="s">
        <v>393</v>
      </c>
      <c r="AJ1" t="s">
        <v>392</v>
      </c>
      <c r="AK1" t="s">
        <v>166</v>
      </c>
      <c r="AL1" t="s">
        <v>181</v>
      </c>
      <c r="AM1" t="s">
        <v>182</v>
      </c>
      <c r="AN1" s="2" t="s">
        <v>183</v>
      </c>
      <c r="AO1" t="s">
        <v>228</v>
      </c>
      <c r="AP1" t="s">
        <v>229</v>
      </c>
      <c r="AQ1" t="s">
        <v>230</v>
      </c>
      <c r="AR1" t="s">
        <v>231</v>
      </c>
      <c r="AS1" t="s">
        <v>212</v>
      </c>
      <c r="AT1" t="s">
        <v>254</v>
      </c>
      <c r="AU1" t="s">
        <v>534</v>
      </c>
    </row>
    <row r="2" spans="1:47" x14ac:dyDescent="0.25">
      <c r="A2" t="s">
        <v>695</v>
      </c>
      <c r="B2" t="s">
        <v>696</v>
      </c>
      <c r="C2">
        <v>4</v>
      </c>
      <c r="D2">
        <v>2</v>
      </c>
      <c r="E2" t="s">
        <v>382</v>
      </c>
      <c r="F2" t="s">
        <v>207</v>
      </c>
      <c r="G2" t="s">
        <v>697</v>
      </c>
      <c r="H2" s="11" t="s">
        <v>698</v>
      </c>
      <c r="I2">
        <v>56598</v>
      </c>
      <c r="J2" s="22">
        <v>44119</v>
      </c>
      <c r="K2" s="22">
        <v>44200</v>
      </c>
      <c r="L2">
        <v>202012</v>
      </c>
      <c r="M2" s="22">
        <v>44166</v>
      </c>
      <c r="N2">
        <v>77871</v>
      </c>
      <c r="O2" t="s">
        <v>699</v>
      </c>
      <c r="P2" t="s">
        <v>604</v>
      </c>
      <c r="Q2" t="s">
        <v>378</v>
      </c>
      <c r="R2">
        <v>341649806</v>
      </c>
      <c r="S2" s="22">
        <v>44810</v>
      </c>
      <c r="T2">
        <v>75000</v>
      </c>
      <c r="U2" t="s">
        <v>357</v>
      </c>
      <c r="V2" s="22">
        <v>44872</v>
      </c>
      <c r="W2" t="s">
        <v>605</v>
      </c>
      <c r="X2" t="s">
        <v>606</v>
      </c>
      <c r="Y2" t="s">
        <v>258</v>
      </c>
      <c r="Z2" t="s">
        <v>14</v>
      </c>
      <c r="AA2">
        <v>-34.119999999999997</v>
      </c>
      <c r="AC2" s="2">
        <f t="shared" ref="AC2:AC65" si="0">YEAR(V2)</f>
        <v>2022</v>
      </c>
      <c r="AD2" s="2">
        <f t="shared" ref="AD2:AD65" si="1">MONTH(V2)</f>
        <v>11</v>
      </c>
      <c r="AE2" s="2">
        <f t="shared" ref="AE2:AE65" si="2">YEAR(J2)</f>
        <v>2020</v>
      </c>
      <c r="AF2" s="2">
        <f t="shared" ref="AF2:AF65" si="3">MONTH(J2)</f>
        <v>10</v>
      </c>
      <c r="AG2" s="2" t="str">
        <f>VLOOKUP(F2,vlookup!$A$2:$E$660,2,0)</f>
        <v>Retained</v>
      </c>
      <c r="AH2" s="2" t="str">
        <f>VLOOKUP(F2,vlookup!$A$2:$E$660,3,0)</f>
        <v>Service Contract</v>
      </c>
      <c r="AI2" s="2" t="str">
        <f>VLOOKUP(F2,vlookup!$A$2:$E$660,4,0)</f>
        <v>Used Car Programs</v>
      </c>
      <c r="AJ2" s="2" t="str">
        <f>VLOOKUP(F2,vlookup!$A$2:$E$660,5,0)</f>
        <v>High Mileage</v>
      </c>
      <c r="AK2" s="2"/>
      <c r="AL2" s="2">
        <f t="shared" ref="AL2:AL65" si="4">DAYS360(J2,K2)</f>
        <v>79</v>
      </c>
      <c r="AM2" s="2">
        <f t="shared" ref="AM2:AM65" si="5">DAYS360(J2,V2)</f>
        <v>742</v>
      </c>
      <c r="AN2" s="2">
        <f t="shared" ref="AN2:AN65" si="6">IF(T2-I2&lt;1,"",T2-I2)</f>
        <v>18402</v>
      </c>
      <c r="AO2" s="2" t="str">
        <f t="shared" ref="AO2:AO65" si="7">IF(AM2&lt;31,AA2,"")</f>
        <v/>
      </c>
      <c r="AP2" s="2" t="str">
        <f t="shared" ref="AP2:AP65" si="8">IF(AND(AM2&gt;30,AM2&lt;61),AA2,"")</f>
        <v/>
      </c>
      <c r="AQ2" s="2" t="str">
        <f t="shared" ref="AQ2:AQ65" si="9">IF(AND(AM2&gt;60,AM2&lt;91),AA2,"")</f>
        <v/>
      </c>
      <c r="AR2" s="2">
        <f t="shared" ref="AR2:AR65" si="10">IF(AM2&gt;90,AA2,"")</f>
        <v>-34.119999999999997</v>
      </c>
      <c r="AS2" s="2" t="str">
        <f t="shared" ref="AS2:AS65" si="11">CONCATENATE(B2,"-",C2)</f>
        <v>APC500205-4</v>
      </c>
      <c r="AT2" s="2" t="str">
        <f>IFERROR(IF(VLOOKUP(Y2,vlookup!$I$2:$J$9,1,0)=Y2,VLOOKUP(Y2,vlookup!$I$2:$J$9,2,0),PROPER(Y2)),PROPER(Y2))</f>
        <v>Towing &amp; Roadside</v>
      </c>
      <c r="AU2" s="2" t="str">
        <f>IFERROR(IF(B2=VLOOKUP(B2,vlookup!$L$2:$L$10,1,0),"Yes","No"),"No")</f>
        <v>No</v>
      </c>
    </row>
    <row r="3" spans="1:47" x14ac:dyDescent="0.25">
      <c r="A3" t="s">
        <v>700</v>
      </c>
      <c r="B3" t="s">
        <v>701</v>
      </c>
      <c r="C3">
        <v>1</v>
      </c>
      <c r="D3">
        <v>2</v>
      </c>
      <c r="E3" t="s">
        <v>382</v>
      </c>
      <c r="F3" t="s">
        <v>191</v>
      </c>
      <c r="G3" t="s">
        <v>543</v>
      </c>
      <c r="H3" s="11" t="s">
        <v>602</v>
      </c>
      <c r="I3">
        <v>39001</v>
      </c>
      <c r="J3" s="22">
        <v>44211</v>
      </c>
      <c r="K3" s="22">
        <v>44271</v>
      </c>
      <c r="L3">
        <v>202103</v>
      </c>
      <c r="M3" s="22">
        <v>44256</v>
      </c>
      <c r="N3">
        <v>77871</v>
      </c>
      <c r="O3" t="s">
        <v>699</v>
      </c>
      <c r="P3" t="s">
        <v>604</v>
      </c>
      <c r="Q3" t="s">
        <v>378</v>
      </c>
      <c r="R3">
        <v>4105188</v>
      </c>
      <c r="S3" s="22">
        <v>44483</v>
      </c>
      <c r="T3">
        <v>4772</v>
      </c>
      <c r="U3" t="s">
        <v>357</v>
      </c>
      <c r="V3" s="22">
        <v>44586</v>
      </c>
      <c r="W3" t="s">
        <v>605</v>
      </c>
      <c r="X3" t="s">
        <v>606</v>
      </c>
      <c r="Y3" t="s">
        <v>258</v>
      </c>
      <c r="Z3" t="s">
        <v>14</v>
      </c>
      <c r="AA3">
        <v>-75</v>
      </c>
      <c r="AC3" s="2">
        <f t="shared" si="0"/>
        <v>2022</v>
      </c>
      <c r="AD3" s="2">
        <f t="shared" si="1"/>
        <v>1</v>
      </c>
      <c r="AE3" s="2">
        <f t="shared" si="2"/>
        <v>2021</v>
      </c>
      <c r="AF3" s="2">
        <f t="shared" si="3"/>
        <v>1</v>
      </c>
      <c r="AG3" s="2" t="str">
        <f>VLOOKUP(F3,vlookup!$A$2:$E$660,2,0)</f>
        <v>Retained</v>
      </c>
      <c r="AH3" s="2" t="str">
        <f>VLOOKUP(F3,vlookup!$A$2:$E$660,3,0)</f>
        <v>Service Contract</v>
      </c>
      <c r="AI3" s="2" t="str">
        <f>VLOOKUP(F3,vlookup!$A$2:$E$660,4,0)</f>
        <v>New Car Programs</v>
      </c>
      <c r="AJ3" s="2" t="str">
        <f>VLOOKUP(F3,vlookup!$A$2:$E$660,5,0)</f>
        <v>High Mileage</v>
      </c>
      <c r="AK3" s="2"/>
      <c r="AL3" s="2">
        <f t="shared" si="4"/>
        <v>61</v>
      </c>
      <c r="AM3" s="2">
        <f t="shared" si="5"/>
        <v>370</v>
      </c>
      <c r="AN3" s="2" t="str">
        <f t="shared" si="6"/>
        <v/>
      </c>
      <c r="AO3" s="2" t="str">
        <f t="shared" si="7"/>
        <v/>
      </c>
      <c r="AP3" s="2" t="str">
        <f t="shared" si="8"/>
        <v/>
      </c>
      <c r="AQ3" s="2" t="str">
        <f t="shared" si="9"/>
        <v/>
      </c>
      <c r="AR3" s="2">
        <f t="shared" si="10"/>
        <v>-75</v>
      </c>
      <c r="AS3" s="2" t="str">
        <f t="shared" si="11"/>
        <v>APC100174-1</v>
      </c>
      <c r="AT3" s="2" t="str">
        <f>IFERROR(IF(VLOOKUP(Y3,vlookup!$I$2:$J$9,1,0)=Y3,VLOOKUP(Y3,vlookup!$I$2:$J$9,2,0),PROPER(Y3)),PROPER(Y3))</f>
        <v>Towing &amp; Roadside</v>
      </c>
      <c r="AU3" s="2" t="str">
        <f>IFERROR(IF(B3=VLOOKUP(B3,vlookup!$L$2:$L$10,1,0),"Yes","No"),"No")</f>
        <v>No</v>
      </c>
    </row>
    <row r="4" spans="1:47" x14ac:dyDescent="0.25">
      <c r="A4" t="s">
        <v>700</v>
      </c>
      <c r="B4" t="s">
        <v>701</v>
      </c>
      <c r="C4">
        <v>1</v>
      </c>
      <c r="D4">
        <v>3</v>
      </c>
      <c r="E4" t="s">
        <v>382</v>
      </c>
      <c r="F4" t="s">
        <v>191</v>
      </c>
      <c r="G4" t="s">
        <v>543</v>
      </c>
      <c r="H4" s="11" t="s">
        <v>602</v>
      </c>
      <c r="I4">
        <v>39001</v>
      </c>
      <c r="J4" s="22">
        <v>44211</v>
      </c>
      <c r="K4" s="22">
        <v>44271</v>
      </c>
      <c r="L4">
        <v>202103</v>
      </c>
      <c r="M4" s="22">
        <v>44256</v>
      </c>
      <c r="N4">
        <v>77871</v>
      </c>
      <c r="O4" t="s">
        <v>699</v>
      </c>
      <c r="P4" t="s">
        <v>604</v>
      </c>
      <c r="Q4" t="s">
        <v>378</v>
      </c>
      <c r="R4">
        <v>751892736</v>
      </c>
      <c r="S4" s="22">
        <v>44483</v>
      </c>
      <c r="T4">
        <v>4772</v>
      </c>
      <c r="U4" t="s">
        <v>357</v>
      </c>
      <c r="V4" s="22">
        <v>44586</v>
      </c>
      <c r="W4" t="s">
        <v>605</v>
      </c>
      <c r="X4" t="s">
        <v>606</v>
      </c>
      <c r="Y4" t="s">
        <v>258</v>
      </c>
      <c r="Z4" t="s">
        <v>14</v>
      </c>
      <c r="AA4">
        <v>-19.5</v>
      </c>
      <c r="AC4" s="2">
        <f t="shared" si="0"/>
        <v>2022</v>
      </c>
      <c r="AD4" s="2">
        <f t="shared" si="1"/>
        <v>1</v>
      </c>
      <c r="AE4" s="2">
        <f t="shared" si="2"/>
        <v>2021</v>
      </c>
      <c r="AF4" s="2">
        <f t="shared" si="3"/>
        <v>1</v>
      </c>
      <c r="AG4" s="2" t="str">
        <f>VLOOKUP(F4,vlookup!$A$2:$E$660,2,0)</f>
        <v>Retained</v>
      </c>
      <c r="AH4" s="2" t="str">
        <f>VLOOKUP(F4,vlookup!$A$2:$E$660,3,0)</f>
        <v>Service Contract</v>
      </c>
      <c r="AI4" s="2" t="str">
        <f>VLOOKUP(F4,vlookup!$A$2:$E$660,4,0)</f>
        <v>New Car Programs</v>
      </c>
      <c r="AJ4" s="2" t="str">
        <f>VLOOKUP(F4,vlookup!$A$2:$E$660,5,0)</f>
        <v>High Mileage</v>
      </c>
      <c r="AK4" s="2"/>
      <c r="AL4" s="2">
        <f t="shared" si="4"/>
        <v>61</v>
      </c>
      <c r="AM4" s="2">
        <f t="shared" si="5"/>
        <v>370</v>
      </c>
      <c r="AN4" s="2" t="str">
        <f t="shared" si="6"/>
        <v/>
      </c>
      <c r="AO4" s="2" t="str">
        <f t="shared" si="7"/>
        <v/>
      </c>
      <c r="AP4" s="2" t="str">
        <f t="shared" si="8"/>
        <v/>
      </c>
      <c r="AQ4" s="2" t="str">
        <f t="shared" si="9"/>
        <v/>
      </c>
      <c r="AR4" s="2">
        <f t="shared" si="10"/>
        <v>-19.5</v>
      </c>
      <c r="AS4" s="2" t="str">
        <f t="shared" si="11"/>
        <v>APC100174-1</v>
      </c>
      <c r="AT4" s="2" t="str">
        <f>IFERROR(IF(VLOOKUP(Y4,vlookup!$I$2:$J$9,1,0)=Y4,VLOOKUP(Y4,vlookup!$I$2:$J$9,2,0),PROPER(Y4)),PROPER(Y4))</f>
        <v>Towing &amp; Roadside</v>
      </c>
      <c r="AU4" s="2" t="str">
        <f>IFERROR(IF(B4=VLOOKUP(B4,vlookup!$L$2:$L$10,1,0),"Yes","No"),"No")</f>
        <v>No</v>
      </c>
    </row>
    <row r="5" spans="1:47" x14ac:dyDescent="0.25">
      <c r="A5" t="s">
        <v>700</v>
      </c>
      <c r="B5" t="s">
        <v>701</v>
      </c>
      <c r="C5">
        <v>1</v>
      </c>
      <c r="D5">
        <v>4</v>
      </c>
      <c r="E5" t="s">
        <v>382</v>
      </c>
      <c r="F5" t="s">
        <v>191</v>
      </c>
      <c r="G5" t="s">
        <v>543</v>
      </c>
      <c r="H5" s="11" t="s">
        <v>602</v>
      </c>
      <c r="I5">
        <v>39001</v>
      </c>
      <c r="J5" s="22">
        <v>44211</v>
      </c>
      <c r="K5" s="22">
        <v>44271</v>
      </c>
      <c r="L5">
        <v>202103</v>
      </c>
      <c r="M5" s="22">
        <v>44256</v>
      </c>
      <c r="N5">
        <v>77871</v>
      </c>
      <c r="O5" t="s">
        <v>699</v>
      </c>
      <c r="P5" t="s">
        <v>604</v>
      </c>
      <c r="Q5" t="s">
        <v>378</v>
      </c>
      <c r="R5">
        <v>417075606</v>
      </c>
      <c r="S5" s="22">
        <v>44543</v>
      </c>
      <c r="T5">
        <v>47000</v>
      </c>
      <c r="U5" t="s">
        <v>357</v>
      </c>
      <c r="V5" s="22">
        <v>44628</v>
      </c>
      <c r="W5" t="s">
        <v>605</v>
      </c>
      <c r="X5" t="s">
        <v>606</v>
      </c>
      <c r="Y5" t="s">
        <v>258</v>
      </c>
      <c r="Z5" t="s">
        <v>14</v>
      </c>
      <c r="AA5">
        <v>-19.75</v>
      </c>
      <c r="AC5" s="2">
        <f t="shared" si="0"/>
        <v>2022</v>
      </c>
      <c r="AD5" s="2">
        <f t="shared" si="1"/>
        <v>3</v>
      </c>
      <c r="AE5" s="2">
        <f t="shared" si="2"/>
        <v>2021</v>
      </c>
      <c r="AF5" s="2">
        <f t="shared" si="3"/>
        <v>1</v>
      </c>
      <c r="AG5" s="2" t="str">
        <f>VLOOKUP(F5,vlookup!$A$2:$E$660,2,0)</f>
        <v>Retained</v>
      </c>
      <c r="AH5" s="2" t="str">
        <f>VLOOKUP(F5,vlookup!$A$2:$E$660,3,0)</f>
        <v>Service Contract</v>
      </c>
      <c r="AI5" s="2" t="str">
        <f>VLOOKUP(F5,vlookup!$A$2:$E$660,4,0)</f>
        <v>New Car Programs</v>
      </c>
      <c r="AJ5" s="2" t="str">
        <f>VLOOKUP(F5,vlookup!$A$2:$E$660,5,0)</f>
        <v>High Mileage</v>
      </c>
      <c r="AK5" s="2"/>
      <c r="AL5" s="2">
        <f t="shared" si="4"/>
        <v>61</v>
      </c>
      <c r="AM5" s="2">
        <f t="shared" si="5"/>
        <v>413</v>
      </c>
      <c r="AN5" s="2">
        <f t="shared" si="6"/>
        <v>7999</v>
      </c>
      <c r="AO5" s="2" t="str">
        <f t="shared" si="7"/>
        <v/>
      </c>
      <c r="AP5" s="2" t="str">
        <f t="shared" si="8"/>
        <v/>
      </c>
      <c r="AQ5" s="2" t="str">
        <f t="shared" si="9"/>
        <v/>
      </c>
      <c r="AR5" s="2">
        <f t="shared" si="10"/>
        <v>-19.75</v>
      </c>
      <c r="AS5" s="2" t="str">
        <f t="shared" si="11"/>
        <v>APC100174-1</v>
      </c>
      <c r="AT5" s="2" t="str">
        <f>IFERROR(IF(VLOOKUP(Y5,vlookup!$I$2:$J$9,1,0)=Y5,VLOOKUP(Y5,vlookup!$I$2:$J$9,2,0),PROPER(Y5)),PROPER(Y5))</f>
        <v>Towing &amp; Roadside</v>
      </c>
      <c r="AU5" s="2" t="str">
        <f>IFERROR(IF(B5=VLOOKUP(B5,vlookup!$L$2:$L$10,1,0),"Yes","No"),"No")</f>
        <v>No</v>
      </c>
    </row>
    <row r="6" spans="1:47" x14ac:dyDescent="0.25">
      <c r="A6" t="s">
        <v>702</v>
      </c>
      <c r="B6" t="s">
        <v>703</v>
      </c>
      <c r="C6">
        <v>1</v>
      </c>
      <c r="D6">
        <v>1</v>
      </c>
      <c r="E6" t="s">
        <v>382</v>
      </c>
      <c r="F6" t="s">
        <v>191</v>
      </c>
      <c r="G6" t="s">
        <v>697</v>
      </c>
      <c r="H6" s="11" t="s">
        <v>704</v>
      </c>
      <c r="I6">
        <v>33397</v>
      </c>
      <c r="J6" s="22">
        <v>44211</v>
      </c>
      <c r="K6" s="22">
        <v>44271</v>
      </c>
      <c r="L6">
        <v>202103</v>
      </c>
      <c r="M6" s="22">
        <v>44256</v>
      </c>
      <c r="N6">
        <v>77871</v>
      </c>
      <c r="O6" t="s">
        <v>699</v>
      </c>
      <c r="P6" t="s">
        <v>604</v>
      </c>
      <c r="Q6" t="s">
        <v>378</v>
      </c>
      <c r="R6">
        <v>729172489</v>
      </c>
      <c r="S6" s="22">
        <v>44319</v>
      </c>
      <c r="T6">
        <v>34000</v>
      </c>
      <c r="U6" t="s">
        <v>356</v>
      </c>
      <c r="V6" s="22">
        <v>44397</v>
      </c>
      <c r="W6" t="s">
        <v>605</v>
      </c>
      <c r="X6" t="s">
        <v>606</v>
      </c>
      <c r="Y6" t="s">
        <v>258</v>
      </c>
      <c r="Z6" t="s">
        <v>14</v>
      </c>
      <c r="AA6">
        <v>-19.5</v>
      </c>
      <c r="AC6" s="2">
        <f t="shared" si="0"/>
        <v>2021</v>
      </c>
      <c r="AD6" s="2">
        <f t="shared" si="1"/>
        <v>7</v>
      </c>
      <c r="AE6" s="2">
        <f t="shared" si="2"/>
        <v>2021</v>
      </c>
      <c r="AF6" s="2">
        <f t="shared" si="3"/>
        <v>1</v>
      </c>
      <c r="AG6" s="2" t="str">
        <f>VLOOKUP(F6,vlookup!$A$2:$E$660,2,0)</f>
        <v>Retained</v>
      </c>
      <c r="AH6" s="2" t="str">
        <f>VLOOKUP(F6,vlookup!$A$2:$E$660,3,0)</f>
        <v>Service Contract</v>
      </c>
      <c r="AI6" s="2" t="str">
        <f>VLOOKUP(F6,vlookup!$A$2:$E$660,4,0)</f>
        <v>New Car Programs</v>
      </c>
      <c r="AJ6" s="2" t="str">
        <f>VLOOKUP(F6,vlookup!$A$2:$E$660,5,0)</f>
        <v>High Mileage</v>
      </c>
      <c r="AK6" s="2"/>
      <c r="AL6" s="2">
        <f t="shared" si="4"/>
        <v>61</v>
      </c>
      <c r="AM6" s="2">
        <f t="shared" si="5"/>
        <v>185</v>
      </c>
      <c r="AN6" s="2">
        <f t="shared" si="6"/>
        <v>603</v>
      </c>
      <c r="AO6" s="2" t="str">
        <f t="shared" si="7"/>
        <v/>
      </c>
      <c r="AP6" s="2" t="str">
        <f t="shared" si="8"/>
        <v/>
      </c>
      <c r="AQ6" s="2" t="str">
        <f t="shared" si="9"/>
        <v/>
      </c>
      <c r="AR6" s="2">
        <f t="shared" si="10"/>
        <v>-19.5</v>
      </c>
      <c r="AS6" s="2" t="str">
        <f t="shared" si="11"/>
        <v>APC100175-1</v>
      </c>
      <c r="AT6" s="2" t="str">
        <f>IFERROR(IF(VLOOKUP(Y6,vlookup!$I$2:$J$9,1,0)=Y6,VLOOKUP(Y6,vlookup!$I$2:$J$9,2,0),PROPER(Y6)),PROPER(Y6))</f>
        <v>Towing &amp; Roadside</v>
      </c>
      <c r="AU6" s="2" t="str">
        <f>IFERROR(IF(B6=VLOOKUP(B6,vlookup!$L$2:$L$10,1,0),"Yes","No"),"No")</f>
        <v>No</v>
      </c>
    </row>
    <row r="7" spans="1:47" x14ac:dyDescent="0.25">
      <c r="A7" t="s">
        <v>705</v>
      </c>
      <c r="B7" t="s">
        <v>706</v>
      </c>
      <c r="C7">
        <v>1</v>
      </c>
      <c r="D7">
        <v>1</v>
      </c>
      <c r="E7" t="s">
        <v>382</v>
      </c>
      <c r="F7" t="s">
        <v>503</v>
      </c>
      <c r="G7" t="s">
        <v>19</v>
      </c>
      <c r="H7" s="11" t="s">
        <v>707</v>
      </c>
      <c r="I7">
        <v>83193</v>
      </c>
      <c r="J7" s="22">
        <v>44657</v>
      </c>
      <c r="K7" s="22">
        <v>44707</v>
      </c>
      <c r="L7">
        <v>202205</v>
      </c>
      <c r="M7" s="22">
        <v>44682</v>
      </c>
      <c r="N7">
        <v>77871</v>
      </c>
      <c r="O7" t="s">
        <v>699</v>
      </c>
      <c r="P7" t="s">
        <v>708</v>
      </c>
      <c r="Q7" t="s">
        <v>612</v>
      </c>
      <c r="R7">
        <v>425604</v>
      </c>
      <c r="S7" s="22">
        <v>44740</v>
      </c>
      <c r="T7">
        <v>88867</v>
      </c>
      <c r="U7" t="s">
        <v>356</v>
      </c>
      <c r="V7" s="22">
        <v>44743</v>
      </c>
      <c r="W7" t="s">
        <v>709</v>
      </c>
      <c r="X7" t="s">
        <v>709</v>
      </c>
      <c r="Y7" t="s">
        <v>709</v>
      </c>
      <c r="Z7" t="s">
        <v>14</v>
      </c>
      <c r="AA7">
        <v>100</v>
      </c>
      <c r="AC7" s="2">
        <f t="shared" si="0"/>
        <v>2022</v>
      </c>
      <c r="AD7" s="2">
        <f t="shared" si="1"/>
        <v>7</v>
      </c>
      <c r="AE7" s="2">
        <f t="shared" si="2"/>
        <v>2022</v>
      </c>
      <c r="AF7" s="2">
        <f t="shared" si="3"/>
        <v>4</v>
      </c>
      <c r="AG7" s="2" t="str">
        <f>VLOOKUP(F7,vlookup!$A$2:$E$660,2,0)</f>
        <v>Retained</v>
      </c>
      <c r="AH7" s="2" t="str">
        <f>VLOOKUP(F7,vlookup!$A$2:$E$660,3,0)</f>
        <v>Service Contract</v>
      </c>
      <c r="AI7" s="2" t="str">
        <f>VLOOKUP(F7,vlookup!$A$2:$E$660,4,0)</f>
        <v>Used Car Programs</v>
      </c>
      <c r="AJ7" s="2" t="str">
        <f>VLOOKUP(F7,vlookup!$A$2:$E$660,5,0)</f>
        <v>High Mileage</v>
      </c>
      <c r="AK7" s="2"/>
      <c r="AL7" s="2">
        <f t="shared" si="4"/>
        <v>50</v>
      </c>
      <c r="AM7" s="2">
        <f t="shared" si="5"/>
        <v>85</v>
      </c>
      <c r="AN7" s="2">
        <f t="shared" si="6"/>
        <v>5674</v>
      </c>
      <c r="AO7" s="2" t="str">
        <f t="shared" si="7"/>
        <v/>
      </c>
      <c r="AP7" s="2" t="str">
        <f t="shared" si="8"/>
        <v/>
      </c>
      <c r="AQ7" s="2">
        <f t="shared" si="9"/>
        <v>100</v>
      </c>
      <c r="AR7" s="2" t="str">
        <f t="shared" si="10"/>
        <v/>
      </c>
      <c r="AS7" s="2" t="str">
        <f t="shared" si="11"/>
        <v>PTPFD311163D22-1</v>
      </c>
      <c r="AT7" s="2" t="str">
        <f>IFERROR(IF(VLOOKUP(Y7,vlookup!$I$2:$J$9,1,0)=Y7,VLOOKUP(Y7,vlookup!$I$2:$J$9,2,0),PROPER(Y7)),PROPER(Y7))</f>
        <v>Deductible</v>
      </c>
      <c r="AU7" s="2" t="str">
        <f>IFERROR(IF(B7=VLOOKUP(B7,vlookup!$L$2:$L$10,1,0),"Yes","No"),"No")</f>
        <v>No</v>
      </c>
    </row>
    <row r="8" spans="1:47" x14ac:dyDescent="0.25">
      <c r="A8" t="s">
        <v>710</v>
      </c>
      <c r="B8" t="s">
        <v>711</v>
      </c>
      <c r="C8">
        <v>1</v>
      </c>
      <c r="D8">
        <v>1</v>
      </c>
      <c r="E8" t="s">
        <v>382</v>
      </c>
      <c r="F8" t="s">
        <v>346</v>
      </c>
      <c r="G8" t="s">
        <v>620</v>
      </c>
      <c r="H8" s="11">
        <v>1500</v>
      </c>
      <c r="I8">
        <v>99894</v>
      </c>
      <c r="J8" s="22">
        <v>44375</v>
      </c>
      <c r="K8" s="22">
        <v>44407</v>
      </c>
      <c r="L8">
        <v>202107</v>
      </c>
      <c r="M8" s="22">
        <v>44378</v>
      </c>
      <c r="N8">
        <v>77871</v>
      </c>
      <c r="O8" t="s">
        <v>699</v>
      </c>
      <c r="P8" t="s">
        <v>712</v>
      </c>
      <c r="Q8" t="s">
        <v>612</v>
      </c>
      <c r="R8">
        <v>115872</v>
      </c>
      <c r="S8" s="22">
        <v>44713</v>
      </c>
      <c r="T8">
        <v>119550</v>
      </c>
      <c r="U8" t="s">
        <v>356</v>
      </c>
      <c r="V8" s="22">
        <v>44713</v>
      </c>
      <c r="W8" t="s">
        <v>709</v>
      </c>
      <c r="X8" t="s">
        <v>709</v>
      </c>
      <c r="Y8" t="s">
        <v>709</v>
      </c>
      <c r="Z8" t="s">
        <v>14</v>
      </c>
      <c r="AA8">
        <v>100</v>
      </c>
      <c r="AC8" s="2">
        <f t="shared" si="0"/>
        <v>2022</v>
      </c>
      <c r="AD8" s="2">
        <f t="shared" si="1"/>
        <v>6</v>
      </c>
      <c r="AE8" s="2">
        <f t="shared" si="2"/>
        <v>2021</v>
      </c>
      <c r="AF8" s="2">
        <f t="shared" si="3"/>
        <v>6</v>
      </c>
      <c r="AG8" s="2" t="str">
        <f>VLOOKUP(F8,vlookup!$A$2:$E$660,2,0)</f>
        <v>Retained</v>
      </c>
      <c r="AH8" s="2" t="str">
        <f>VLOOKUP(F8,vlookup!$A$2:$E$660,3,0)</f>
        <v>Service Contract</v>
      </c>
      <c r="AI8" s="2" t="str">
        <f>VLOOKUP(F8,vlookup!$A$2:$E$660,4,0)</f>
        <v>Used Car Programs</v>
      </c>
      <c r="AJ8" s="2" t="str">
        <f>VLOOKUP(F8,vlookup!$A$2:$E$660,5,0)</f>
        <v>High Mileage</v>
      </c>
      <c r="AK8" s="2"/>
      <c r="AL8" s="2">
        <f t="shared" si="4"/>
        <v>32</v>
      </c>
      <c r="AM8" s="2">
        <f t="shared" si="5"/>
        <v>333</v>
      </c>
      <c r="AN8" s="2">
        <f t="shared" si="6"/>
        <v>19656</v>
      </c>
      <c r="AO8" s="2" t="str">
        <f t="shared" si="7"/>
        <v/>
      </c>
      <c r="AP8" s="2" t="str">
        <f t="shared" si="8"/>
        <v/>
      </c>
      <c r="AQ8" s="2" t="str">
        <f t="shared" si="9"/>
        <v/>
      </c>
      <c r="AR8" s="2">
        <f t="shared" si="10"/>
        <v>100</v>
      </c>
      <c r="AS8" s="2" t="str">
        <f t="shared" si="11"/>
        <v>SDFGS411937F21-1</v>
      </c>
      <c r="AT8" s="2" t="str">
        <f>IFERROR(IF(VLOOKUP(Y8,vlookup!$I$2:$J$9,1,0)=Y8,VLOOKUP(Y8,vlookup!$I$2:$J$9,2,0),PROPER(Y8)),PROPER(Y8))</f>
        <v>Deductible</v>
      </c>
      <c r="AU8" s="2" t="str">
        <f>IFERROR(IF(B8=VLOOKUP(B8,vlookup!$L$2:$L$10,1,0),"Yes","No"),"No")</f>
        <v>No</v>
      </c>
    </row>
    <row r="9" spans="1:47" x14ac:dyDescent="0.25">
      <c r="A9" t="s">
        <v>710</v>
      </c>
      <c r="B9" t="s">
        <v>711</v>
      </c>
      <c r="C9">
        <v>3</v>
      </c>
      <c r="D9">
        <v>1</v>
      </c>
      <c r="E9" t="s">
        <v>382</v>
      </c>
      <c r="F9" t="s">
        <v>346</v>
      </c>
      <c r="G9" t="s">
        <v>620</v>
      </c>
      <c r="H9" s="11">
        <v>1500</v>
      </c>
      <c r="I9">
        <v>99894</v>
      </c>
      <c r="J9" s="22">
        <v>44375</v>
      </c>
      <c r="K9" s="22">
        <v>44407</v>
      </c>
      <c r="L9">
        <v>202107</v>
      </c>
      <c r="M9" s="22">
        <v>44378</v>
      </c>
      <c r="N9">
        <v>77871</v>
      </c>
      <c r="O9" t="s">
        <v>699</v>
      </c>
      <c r="P9" t="s">
        <v>712</v>
      </c>
      <c r="Q9" t="s">
        <v>612</v>
      </c>
      <c r="R9">
        <v>122768</v>
      </c>
      <c r="S9" s="22">
        <v>44853</v>
      </c>
      <c r="T9">
        <v>127487</v>
      </c>
      <c r="U9" t="s">
        <v>356</v>
      </c>
      <c r="V9" s="22">
        <v>44872</v>
      </c>
      <c r="W9" t="s">
        <v>709</v>
      </c>
      <c r="X9" t="s">
        <v>709</v>
      </c>
      <c r="Y9" t="s">
        <v>709</v>
      </c>
      <c r="Z9" t="s">
        <v>14</v>
      </c>
      <c r="AA9">
        <v>100</v>
      </c>
      <c r="AC9" s="2">
        <f t="shared" si="0"/>
        <v>2022</v>
      </c>
      <c r="AD9" s="2">
        <f t="shared" si="1"/>
        <v>11</v>
      </c>
      <c r="AE9" s="2">
        <f t="shared" si="2"/>
        <v>2021</v>
      </c>
      <c r="AF9" s="2">
        <f t="shared" si="3"/>
        <v>6</v>
      </c>
      <c r="AG9" s="2" t="str">
        <f>VLOOKUP(F9,vlookup!$A$2:$E$660,2,0)</f>
        <v>Retained</v>
      </c>
      <c r="AH9" s="2" t="str">
        <f>VLOOKUP(F9,vlookup!$A$2:$E$660,3,0)</f>
        <v>Service Contract</v>
      </c>
      <c r="AI9" s="2" t="str">
        <f>VLOOKUP(F9,vlookup!$A$2:$E$660,4,0)</f>
        <v>Used Car Programs</v>
      </c>
      <c r="AJ9" s="2" t="str">
        <f>VLOOKUP(F9,vlookup!$A$2:$E$660,5,0)</f>
        <v>High Mileage</v>
      </c>
      <c r="AK9" s="2"/>
      <c r="AL9" s="2">
        <f t="shared" si="4"/>
        <v>32</v>
      </c>
      <c r="AM9" s="2">
        <f t="shared" si="5"/>
        <v>489</v>
      </c>
      <c r="AN9" s="2">
        <f t="shared" si="6"/>
        <v>27593</v>
      </c>
      <c r="AO9" s="2" t="str">
        <f t="shared" si="7"/>
        <v/>
      </c>
      <c r="AP9" s="2" t="str">
        <f t="shared" si="8"/>
        <v/>
      </c>
      <c r="AQ9" s="2" t="str">
        <f t="shared" si="9"/>
        <v/>
      </c>
      <c r="AR9" s="2">
        <f t="shared" si="10"/>
        <v>100</v>
      </c>
      <c r="AS9" s="2" t="str">
        <f t="shared" si="11"/>
        <v>SDFGS411937F21-3</v>
      </c>
      <c r="AT9" s="2" t="str">
        <f>IFERROR(IF(VLOOKUP(Y9,vlookup!$I$2:$J$9,1,0)=Y9,VLOOKUP(Y9,vlookup!$I$2:$J$9,2,0),PROPER(Y9)),PROPER(Y9))</f>
        <v>Deductible</v>
      </c>
      <c r="AU9" s="2" t="str">
        <f>IFERROR(IF(B9=VLOOKUP(B9,vlookup!$L$2:$L$10,1,0),"Yes","No"),"No")</f>
        <v>No</v>
      </c>
    </row>
    <row r="10" spans="1:47" x14ac:dyDescent="0.25">
      <c r="A10" t="s">
        <v>710</v>
      </c>
      <c r="B10" t="s">
        <v>711</v>
      </c>
      <c r="C10">
        <v>4</v>
      </c>
      <c r="D10">
        <v>1</v>
      </c>
      <c r="E10" t="s">
        <v>382</v>
      </c>
      <c r="F10" t="s">
        <v>346</v>
      </c>
      <c r="G10" t="s">
        <v>620</v>
      </c>
      <c r="H10" s="11">
        <v>1500</v>
      </c>
      <c r="I10">
        <v>99894</v>
      </c>
      <c r="J10" s="22">
        <v>44375</v>
      </c>
      <c r="K10" s="22">
        <v>44407</v>
      </c>
      <c r="L10">
        <v>202107</v>
      </c>
      <c r="M10" s="22">
        <v>44378</v>
      </c>
      <c r="N10">
        <v>77871</v>
      </c>
      <c r="O10" t="s">
        <v>699</v>
      </c>
      <c r="P10" t="s">
        <v>712</v>
      </c>
      <c r="Q10" t="s">
        <v>612</v>
      </c>
      <c r="R10">
        <v>123975</v>
      </c>
      <c r="S10" s="22">
        <v>44876</v>
      </c>
      <c r="T10">
        <v>128913</v>
      </c>
      <c r="U10" t="s">
        <v>356</v>
      </c>
      <c r="V10" s="22">
        <v>44886</v>
      </c>
      <c r="W10" t="s">
        <v>709</v>
      </c>
      <c r="X10" t="s">
        <v>709</v>
      </c>
      <c r="Y10" t="s">
        <v>709</v>
      </c>
      <c r="Z10" t="s">
        <v>14</v>
      </c>
      <c r="AA10">
        <v>100</v>
      </c>
      <c r="AC10" s="2">
        <f t="shared" si="0"/>
        <v>2022</v>
      </c>
      <c r="AD10" s="2">
        <f t="shared" si="1"/>
        <v>11</v>
      </c>
      <c r="AE10" s="2">
        <f t="shared" si="2"/>
        <v>2021</v>
      </c>
      <c r="AF10" s="2">
        <f t="shared" si="3"/>
        <v>6</v>
      </c>
      <c r="AG10" s="2" t="str">
        <f>VLOOKUP(F10,vlookup!$A$2:$E$660,2,0)</f>
        <v>Retained</v>
      </c>
      <c r="AH10" s="2" t="str">
        <f>VLOOKUP(F10,vlookup!$A$2:$E$660,3,0)</f>
        <v>Service Contract</v>
      </c>
      <c r="AI10" s="2" t="str">
        <f>VLOOKUP(F10,vlookup!$A$2:$E$660,4,0)</f>
        <v>Used Car Programs</v>
      </c>
      <c r="AJ10" s="2" t="str">
        <f>VLOOKUP(F10,vlookup!$A$2:$E$660,5,0)</f>
        <v>High Mileage</v>
      </c>
      <c r="AK10" s="2"/>
      <c r="AL10" s="2">
        <f t="shared" si="4"/>
        <v>32</v>
      </c>
      <c r="AM10" s="2">
        <f t="shared" si="5"/>
        <v>503</v>
      </c>
      <c r="AN10" s="2">
        <f t="shared" si="6"/>
        <v>29019</v>
      </c>
      <c r="AO10" s="2" t="str">
        <f t="shared" si="7"/>
        <v/>
      </c>
      <c r="AP10" s="2" t="str">
        <f t="shared" si="8"/>
        <v/>
      </c>
      <c r="AQ10" s="2" t="str">
        <f t="shared" si="9"/>
        <v/>
      </c>
      <c r="AR10" s="2">
        <f t="shared" si="10"/>
        <v>100</v>
      </c>
      <c r="AS10" s="2" t="str">
        <f t="shared" si="11"/>
        <v>SDFGS411937F21-4</v>
      </c>
      <c r="AT10" s="2" t="str">
        <f>IFERROR(IF(VLOOKUP(Y10,vlookup!$I$2:$J$9,1,0)=Y10,VLOOKUP(Y10,vlookup!$I$2:$J$9,2,0),PROPER(Y10)),PROPER(Y10))</f>
        <v>Deductible</v>
      </c>
      <c r="AU10" s="2" t="str">
        <f>IFERROR(IF(B10=VLOOKUP(B10,vlookup!$L$2:$L$10,1,0),"Yes","No"),"No")</f>
        <v>No</v>
      </c>
    </row>
    <row r="11" spans="1:47" x14ac:dyDescent="0.25">
      <c r="A11" t="s">
        <v>713</v>
      </c>
      <c r="B11" t="s">
        <v>714</v>
      </c>
      <c r="C11">
        <v>1</v>
      </c>
      <c r="D11">
        <v>1</v>
      </c>
      <c r="E11" t="s">
        <v>382</v>
      </c>
      <c r="F11" t="s">
        <v>346</v>
      </c>
      <c r="G11" t="s">
        <v>683</v>
      </c>
      <c r="H11" s="11" t="s">
        <v>715</v>
      </c>
      <c r="I11">
        <v>68520</v>
      </c>
      <c r="J11" s="22">
        <v>44092</v>
      </c>
      <c r="K11" s="22">
        <v>44139</v>
      </c>
      <c r="L11">
        <v>202010</v>
      </c>
      <c r="M11" s="22">
        <v>44105</v>
      </c>
      <c r="N11">
        <v>77871</v>
      </c>
      <c r="O11" t="s">
        <v>699</v>
      </c>
      <c r="P11" t="s">
        <v>712</v>
      </c>
      <c r="Q11" t="s">
        <v>612</v>
      </c>
      <c r="R11">
        <v>905752</v>
      </c>
      <c r="S11" s="22">
        <v>44336</v>
      </c>
      <c r="T11">
        <v>73721</v>
      </c>
      <c r="U11" t="s">
        <v>356</v>
      </c>
      <c r="V11" s="22">
        <v>44350</v>
      </c>
      <c r="W11" t="s">
        <v>709</v>
      </c>
      <c r="X11" t="s">
        <v>709</v>
      </c>
      <c r="Y11" t="s">
        <v>709</v>
      </c>
      <c r="Z11" t="s">
        <v>14</v>
      </c>
      <c r="AA11">
        <v>100</v>
      </c>
      <c r="AC11" s="2">
        <f t="shared" si="0"/>
        <v>2021</v>
      </c>
      <c r="AD11" s="2">
        <f t="shared" si="1"/>
        <v>6</v>
      </c>
      <c r="AE11" s="2">
        <f t="shared" si="2"/>
        <v>2020</v>
      </c>
      <c r="AF11" s="2">
        <f t="shared" si="3"/>
        <v>9</v>
      </c>
      <c r="AG11" s="2" t="str">
        <f>VLOOKUP(F11,vlookup!$A$2:$E$660,2,0)</f>
        <v>Retained</v>
      </c>
      <c r="AH11" s="2" t="str">
        <f>VLOOKUP(F11,vlookup!$A$2:$E$660,3,0)</f>
        <v>Service Contract</v>
      </c>
      <c r="AI11" s="2" t="str">
        <f>VLOOKUP(F11,vlookup!$A$2:$E$660,4,0)</f>
        <v>Used Car Programs</v>
      </c>
      <c r="AJ11" s="2" t="str">
        <f>VLOOKUP(F11,vlookup!$A$2:$E$660,5,0)</f>
        <v>High Mileage</v>
      </c>
      <c r="AK11" s="2"/>
      <c r="AL11" s="2">
        <f t="shared" si="4"/>
        <v>46</v>
      </c>
      <c r="AM11" s="2">
        <f t="shared" si="5"/>
        <v>255</v>
      </c>
      <c r="AN11" s="2">
        <f t="shared" si="6"/>
        <v>5201</v>
      </c>
      <c r="AO11" s="2" t="str">
        <f t="shared" si="7"/>
        <v/>
      </c>
      <c r="AP11" s="2" t="str">
        <f t="shared" si="8"/>
        <v/>
      </c>
      <c r="AQ11" s="2" t="str">
        <f t="shared" si="9"/>
        <v/>
      </c>
      <c r="AR11" s="2">
        <f t="shared" si="10"/>
        <v>100</v>
      </c>
      <c r="AS11" s="2" t="str">
        <f t="shared" si="11"/>
        <v>SDFBF369586I20-1</v>
      </c>
      <c r="AT11" s="2" t="str">
        <f>IFERROR(IF(VLOOKUP(Y11,vlookup!$I$2:$J$9,1,0)=Y11,VLOOKUP(Y11,vlookup!$I$2:$J$9,2,0),PROPER(Y11)),PROPER(Y11))</f>
        <v>Deductible</v>
      </c>
      <c r="AU11" s="2" t="str">
        <f>IFERROR(IF(B11=VLOOKUP(B11,vlookup!$L$2:$L$10,1,0),"Yes","No"),"No")</f>
        <v>No</v>
      </c>
    </row>
    <row r="12" spans="1:47" x14ac:dyDescent="0.25">
      <c r="A12" t="s">
        <v>713</v>
      </c>
      <c r="B12" t="s">
        <v>714</v>
      </c>
      <c r="C12">
        <v>2</v>
      </c>
      <c r="D12">
        <v>1</v>
      </c>
      <c r="E12" t="s">
        <v>382</v>
      </c>
      <c r="F12" t="s">
        <v>346</v>
      </c>
      <c r="G12" t="s">
        <v>683</v>
      </c>
      <c r="H12" s="11" t="s">
        <v>715</v>
      </c>
      <c r="I12">
        <v>68520</v>
      </c>
      <c r="J12" s="22">
        <v>44092</v>
      </c>
      <c r="K12" s="22">
        <v>44139</v>
      </c>
      <c r="L12">
        <v>202010</v>
      </c>
      <c r="M12" s="22">
        <v>44105</v>
      </c>
      <c r="N12">
        <v>77871</v>
      </c>
      <c r="O12" t="s">
        <v>699</v>
      </c>
      <c r="P12" t="s">
        <v>716</v>
      </c>
      <c r="Q12" t="s">
        <v>612</v>
      </c>
      <c r="R12">
        <v>711063</v>
      </c>
      <c r="S12" s="22">
        <v>44447</v>
      </c>
      <c r="T12">
        <v>76629</v>
      </c>
      <c r="U12" t="s">
        <v>356</v>
      </c>
      <c r="V12" s="22">
        <v>44448</v>
      </c>
      <c r="W12" t="s">
        <v>709</v>
      </c>
      <c r="X12" t="s">
        <v>709</v>
      </c>
      <c r="Y12" t="s">
        <v>709</v>
      </c>
      <c r="Z12" t="s">
        <v>14</v>
      </c>
      <c r="AA12">
        <v>100</v>
      </c>
      <c r="AC12" s="2">
        <f t="shared" si="0"/>
        <v>2021</v>
      </c>
      <c r="AD12" s="2">
        <f t="shared" si="1"/>
        <v>9</v>
      </c>
      <c r="AE12" s="2">
        <f t="shared" si="2"/>
        <v>2020</v>
      </c>
      <c r="AF12" s="2">
        <f t="shared" si="3"/>
        <v>9</v>
      </c>
      <c r="AG12" s="2" t="str">
        <f>VLOOKUP(F12,vlookup!$A$2:$E$660,2,0)</f>
        <v>Retained</v>
      </c>
      <c r="AH12" s="2" t="str">
        <f>VLOOKUP(F12,vlookup!$A$2:$E$660,3,0)</f>
        <v>Service Contract</v>
      </c>
      <c r="AI12" s="2" t="str">
        <f>VLOOKUP(F12,vlookup!$A$2:$E$660,4,0)</f>
        <v>Used Car Programs</v>
      </c>
      <c r="AJ12" s="2" t="str">
        <f>VLOOKUP(F12,vlookup!$A$2:$E$660,5,0)</f>
        <v>High Mileage</v>
      </c>
      <c r="AK12" s="2"/>
      <c r="AL12" s="2">
        <f t="shared" si="4"/>
        <v>46</v>
      </c>
      <c r="AM12" s="2">
        <f t="shared" si="5"/>
        <v>351</v>
      </c>
      <c r="AN12" s="2">
        <f t="shared" si="6"/>
        <v>8109</v>
      </c>
      <c r="AO12" s="2" t="str">
        <f t="shared" si="7"/>
        <v/>
      </c>
      <c r="AP12" s="2" t="str">
        <f t="shared" si="8"/>
        <v/>
      </c>
      <c r="AQ12" s="2" t="str">
        <f t="shared" si="9"/>
        <v/>
      </c>
      <c r="AR12" s="2">
        <f t="shared" si="10"/>
        <v>100</v>
      </c>
      <c r="AS12" s="2" t="str">
        <f t="shared" si="11"/>
        <v>SDFBF369586I20-2</v>
      </c>
      <c r="AT12" s="2" t="str">
        <f>IFERROR(IF(VLOOKUP(Y12,vlookup!$I$2:$J$9,1,0)=Y12,VLOOKUP(Y12,vlookup!$I$2:$J$9,2,0),PROPER(Y12)),PROPER(Y12))</f>
        <v>Deductible</v>
      </c>
      <c r="AU12" s="2" t="str">
        <f>IFERROR(IF(B12=VLOOKUP(B12,vlookup!$L$2:$L$10,1,0),"Yes","No"),"No")</f>
        <v>No</v>
      </c>
    </row>
    <row r="13" spans="1:47" x14ac:dyDescent="0.25">
      <c r="A13" t="s">
        <v>713</v>
      </c>
      <c r="B13" t="s">
        <v>714</v>
      </c>
      <c r="C13">
        <v>3</v>
      </c>
      <c r="D13">
        <v>1</v>
      </c>
      <c r="E13" t="s">
        <v>382</v>
      </c>
      <c r="F13" t="s">
        <v>346</v>
      </c>
      <c r="G13" t="s">
        <v>683</v>
      </c>
      <c r="H13" s="11" t="s">
        <v>715</v>
      </c>
      <c r="I13">
        <v>68520</v>
      </c>
      <c r="J13" s="22">
        <v>44092</v>
      </c>
      <c r="K13" s="22">
        <v>44139</v>
      </c>
      <c r="L13">
        <v>202010</v>
      </c>
      <c r="M13" s="22">
        <v>44105</v>
      </c>
      <c r="N13">
        <v>77871</v>
      </c>
      <c r="O13" t="s">
        <v>699</v>
      </c>
      <c r="P13" t="s">
        <v>716</v>
      </c>
      <c r="Q13" t="s">
        <v>612</v>
      </c>
      <c r="R13">
        <v>731304</v>
      </c>
      <c r="S13" s="22">
        <v>44838</v>
      </c>
      <c r="T13">
        <v>89522</v>
      </c>
      <c r="U13" t="s">
        <v>356</v>
      </c>
      <c r="V13" s="22">
        <v>44841</v>
      </c>
      <c r="W13" t="s">
        <v>709</v>
      </c>
      <c r="X13" t="s">
        <v>709</v>
      </c>
      <c r="Y13" t="s">
        <v>709</v>
      </c>
      <c r="Z13" t="s">
        <v>14</v>
      </c>
      <c r="AA13">
        <v>100</v>
      </c>
      <c r="AC13" s="2">
        <f t="shared" si="0"/>
        <v>2022</v>
      </c>
      <c r="AD13" s="2">
        <f t="shared" si="1"/>
        <v>10</v>
      </c>
      <c r="AE13" s="2">
        <f t="shared" si="2"/>
        <v>2020</v>
      </c>
      <c r="AF13" s="2">
        <f t="shared" si="3"/>
        <v>9</v>
      </c>
      <c r="AG13" s="2" t="str">
        <f>VLOOKUP(F13,vlookup!$A$2:$E$660,2,0)</f>
        <v>Retained</v>
      </c>
      <c r="AH13" s="2" t="str">
        <f>VLOOKUP(F13,vlookup!$A$2:$E$660,3,0)</f>
        <v>Service Contract</v>
      </c>
      <c r="AI13" s="2" t="str">
        <f>VLOOKUP(F13,vlookup!$A$2:$E$660,4,0)</f>
        <v>Used Car Programs</v>
      </c>
      <c r="AJ13" s="2" t="str">
        <f>VLOOKUP(F13,vlookup!$A$2:$E$660,5,0)</f>
        <v>High Mileage</v>
      </c>
      <c r="AK13" s="2"/>
      <c r="AL13" s="2">
        <f t="shared" si="4"/>
        <v>46</v>
      </c>
      <c r="AM13" s="2">
        <f t="shared" si="5"/>
        <v>739</v>
      </c>
      <c r="AN13" s="2">
        <f t="shared" si="6"/>
        <v>21002</v>
      </c>
      <c r="AO13" s="2" t="str">
        <f t="shared" si="7"/>
        <v/>
      </c>
      <c r="AP13" s="2" t="str">
        <f t="shared" si="8"/>
        <v/>
      </c>
      <c r="AQ13" s="2" t="str">
        <f t="shared" si="9"/>
        <v/>
      </c>
      <c r="AR13" s="2">
        <f t="shared" si="10"/>
        <v>100</v>
      </c>
      <c r="AS13" s="2" t="str">
        <f t="shared" si="11"/>
        <v>SDFBF369586I20-3</v>
      </c>
      <c r="AT13" s="2" t="str">
        <f>IFERROR(IF(VLOOKUP(Y13,vlookup!$I$2:$J$9,1,0)=Y13,VLOOKUP(Y13,vlookup!$I$2:$J$9,2,0),PROPER(Y13)),PROPER(Y13))</f>
        <v>Deductible</v>
      </c>
      <c r="AU13" s="2" t="str">
        <f>IFERROR(IF(B13=VLOOKUP(B13,vlookup!$L$2:$L$10,1,0),"Yes","No"),"No")</f>
        <v>No</v>
      </c>
    </row>
    <row r="14" spans="1:47" x14ac:dyDescent="0.25">
      <c r="A14" t="s">
        <v>717</v>
      </c>
      <c r="B14" t="s">
        <v>718</v>
      </c>
      <c r="C14">
        <v>1</v>
      </c>
      <c r="D14">
        <v>1</v>
      </c>
      <c r="E14" t="s">
        <v>382</v>
      </c>
      <c r="F14" t="s">
        <v>279</v>
      </c>
      <c r="G14" t="s">
        <v>683</v>
      </c>
      <c r="H14" s="11" t="s">
        <v>715</v>
      </c>
      <c r="I14">
        <v>76513</v>
      </c>
      <c r="J14" s="22">
        <v>44788</v>
      </c>
      <c r="K14" s="22">
        <v>44803</v>
      </c>
      <c r="L14">
        <v>202208</v>
      </c>
      <c r="M14" s="22">
        <v>44774</v>
      </c>
      <c r="N14">
        <v>77871</v>
      </c>
      <c r="O14" t="s">
        <v>699</v>
      </c>
      <c r="P14" t="s">
        <v>719</v>
      </c>
      <c r="Q14" t="s">
        <v>612</v>
      </c>
      <c r="R14">
        <v>6007434</v>
      </c>
      <c r="S14" s="22">
        <v>44854</v>
      </c>
      <c r="T14">
        <v>77491</v>
      </c>
      <c r="U14" t="s">
        <v>356</v>
      </c>
      <c r="V14" s="22">
        <v>44858</v>
      </c>
      <c r="W14" t="s">
        <v>709</v>
      </c>
      <c r="X14" t="s">
        <v>709</v>
      </c>
      <c r="Y14" t="s">
        <v>709</v>
      </c>
      <c r="Z14" t="s">
        <v>14</v>
      </c>
      <c r="AA14">
        <v>100</v>
      </c>
      <c r="AC14" s="2">
        <f t="shared" si="0"/>
        <v>2022</v>
      </c>
      <c r="AD14" s="2">
        <f t="shared" si="1"/>
        <v>10</v>
      </c>
      <c r="AE14" s="2">
        <f t="shared" si="2"/>
        <v>2022</v>
      </c>
      <c r="AF14" s="2">
        <f t="shared" si="3"/>
        <v>8</v>
      </c>
      <c r="AG14" s="2" t="str">
        <f>VLOOKUP(F14,vlookup!$A$2:$E$660,2,0)</f>
        <v>Retained</v>
      </c>
      <c r="AH14" s="2" t="str">
        <f>VLOOKUP(F14,vlookup!$A$2:$E$660,3,0)</f>
        <v>Service Contract</v>
      </c>
      <c r="AI14" s="2" t="str">
        <f>VLOOKUP(F14,vlookup!$A$2:$E$660,4,0)</f>
        <v>New Car Programs</v>
      </c>
      <c r="AJ14" s="2" t="str">
        <f>VLOOKUP(F14,vlookup!$A$2:$E$660,5,0)</f>
        <v>Absolute</v>
      </c>
      <c r="AK14" s="2"/>
      <c r="AL14" s="2">
        <f t="shared" si="4"/>
        <v>15</v>
      </c>
      <c r="AM14" s="2">
        <f t="shared" si="5"/>
        <v>69</v>
      </c>
      <c r="AN14" s="2">
        <f t="shared" si="6"/>
        <v>978</v>
      </c>
      <c r="AO14" s="2" t="str">
        <f t="shared" si="7"/>
        <v/>
      </c>
      <c r="AP14" s="2" t="str">
        <f t="shared" si="8"/>
        <v/>
      </c>
      <c r="AQ14" s="2">
        <f t="shared" si="9"/>
        <v>100</v>
      </c>
      <c r="AR14" s="2" t="str">
        <f t="shared" si="10"/>
        <v/>
      </c>
      <c r="AS14" s="2" t="str">
        <f t="shared" si="11"/>
        <v>ARCCF201739H22-1</v>
      </c>
      <c r="AT14" s="2" t="str">
        <f>IFERROR(IF(VLOOKUP(Y14,vlookup!$I$2:$J$9,1,0)=Y14,VLOOKUP(Y14,vlookup!$I$2:$J$9,2,0),PROPER(Y14)),PROPER(Y14))</f>
        <v>Deductible</v>
      </c>
      <c r="AU14" s="2" t="str">
        <f>IFERROR(IF(B14=VLOOKUP(B14,vlookup!$L$2:$L$10,1,0),"Yes","No"),"No")</f>
        <v>No</v>
      </c>
    </row>
    <row r="15" spans="1:47" x14ac:dyDescent="0.25">
      <c r="A15" t="s">
        <v>720</v>
      </c>
      <c r="B15" t="s">
        <v>721</v>
      </c>
      <c r="C15">
        <v>1</v>
      </c>
      <c r="D15">
        <v>1</v>
      </c>
      <c r="E15" t="s">
        <v>382</v>
      </c>
      <c r="F15" t="s">
        <v>191</v>
      </c>
      <c r="G15" t="s">
        <v>697</v>
      </c>
      <c r="H15" s="11" t="s">
        <v>722</v>
      </c>
      <c r="I15">
        <v>31702</v>
      </c>
      <c r="J15" s="22">
        <v>44119</v>
      </c>
      <c r="K15" s="22">
        <v>44194</v>
      </c>
      <c r="L15">
        <v>202012</v>
      </c>
      <c r="M15" s="22">
        <v>44166</v>
      </c>
      <c r="N15">
        <v>77871</v>
      </c>
      <c r="O15" t="s">
        <v>699</v>
      </c>
      <c r="P15" t="s">
        <v>712</v>
      </c>
      <c r="Q15" t="s">
        <v>612</v>
      </c>
      <c r="R15">
        <v>900714</v>
      </c>
      <c r="S15" s="22">
        <v>44250</v>
      </c>
      <c r="T15">
        <v>32643</v>
      </c>
      <c r="U15" t="s">
        <v>356</v>
      </c>
      <c r="V15" s="22">
        <v>44258</v>
      </c>
      <c r="W15" t="s">
        <v>709</v>
      </c>
      <c r="X15" t="s">
        <v>709</v>
      </c>
      <c r="Y15" t="s">
        <v>709</v>
      </c>
      <c r="Z15" t="s">
        <v>14</v>
      </c>
      <c r="AA15">
        <v>100</v>
      </c>
      <c r="AC15" s="2">
        <f t="shared" si="0"/>
        <v>2021</v>
      </c>
      <c r="AD15" s="2">
        <f t="shared" si="1"/>
        <v>3</v>
      </c>
      <c r="AE15" s="2">
        <f t="shared" si="2"/>
        <v>2020</v>
      </c>
      <c r="AF15" s="2">
        <f t="shared" si="3"/>
        <v>10</v>
      </c>
      <c r="AG15" s="2" t="str">
        <f>VLOOKUP(F15,vlookup!$A$2:$E$660,2,0)</f>
        <v>Retained</v>
      </c>
      <c r="AH15" s="2" t="str">
        <f>VLOOKUP(F15,vlookup!$A$2:$E$660,3,0)</f>
        <v>Service Contract</v>
      </c>
      <c r="AI15" s="2" t="str">
        <f>VLOOKUP(F15,vlookup!$A$2:$E$660,4,0)</f>
        <v>New Car Programs</v>
      </c>
      <c r="AJ15" s="2" t="str">
        <f>VLOOKUP(F15,vlookup!$A$2:$E$660,5,0)</f>
        <v>High Mileage</v>
      </c>
      <c r="AK15" s="2"/>
      <c r="AL15" s="2">
        <f t="shared" si="4"/>
        <v>74</v>
      </c>
      <c r="AM15" s="2">
        <f t="shared" si="5"/>
        <v>138</v>
      </c>
      <c r="AN15" s="2">
        <f t="shared" si="6"/>
        <v>941</v>
      </c>
      <c r="AO15" s="2" t="str">
        <f t="shared" si="7"/>
        <v/>
      </c>
      <c r="AP15" s="2" t="str">
        <f t="shared" si="8"/>
        <v/>
      </c>
      <c r="AQ15" s="2" t="str">
        <f t="shared" si="9"/>
        <v/>
      </c>
      <c r="AR15" s="2">
        <f t="shared" si="10"/>
        <v>100</v>
      </c>
      <c r="AS15" s="2" t="str">
        <f t="shared" si="11"/>
        <v>APC100109-1</v>
      </c>
      <c r="AT15" s="2" t="str">
        <f>IFERROR(IF(VLOOKUP(Y15,vlookup!$I$2:$J$9,1,0)=Y15,VLOOKUP(Y15,vlookup!$I$2:$J$9,2,0),PROPER(Y15)),PROPER(Y15))</f>
        <v>Deductible</v>
      </c>
      <c r="AU15" s="2" t="str">
        <f>IFERROR(IF(B15=VLOOKUP(B15,vlookup!$L$2:$L$10,1,0),"Yes","No"),"No")</f>
        <v>No</v>
      </c>
    </row>
    <row r="16" spans="1:47" x14ac:dyDescent="0.25">
      <c r="A16" t="s">
        <v>723</v>
      </c>
      <c r="B16" t="s">
        <v>724</v>
      </c>
      <c r="C16">
        <v>2</v>
      </c>
      <c r="D16">
        <v>1</v>
      </c>
      <c r="E16" t="s">
        <v>382</v>
      </c>
      <c r="F16" t="s">
        <v>346</v>
      </c>
      <c r="G16" t="s">
        <v>30</v>
      </c>
      <c r="H16" s="11" t="s">
        <v>613</v>
      </c>
      <c r="I16">
        <v>125225</v>
      </c>
      <c r="J16" s="22">
        <v>44239</v>
      </c>
      <c r="K16" s="22">
        <v>44291</v>
      </c>
      <c r="L16">
        <v>202103</v>
      </c>
      <c r="M16" s="22">
        <v>44256</v>
      </c>
      <c r="N16">
        <v>77871</v>
      </c>
      <c r="O16" t="s">
        <v>699</v>
      </c>
      <c r="P16" t="s">
        <v>712</v>
      </c>
      <c r="Q16" t="s">
        <v>612</v>
      </c>
      <c r="R16">
        <v>905929</v>
      </c>
      <c r="S16" s="22">
        <v>44340</v>
      </c>
      <c r="T16">
        <v>127253</v>
      </c>
      <c r="U16" t="s">
        <v>356</v>
      </c>
      <c r="V16" s="22">
        <v>44365</v>
      </c>
      <c r="W16" t="s">
        <v>709</v>
      </c>
      <c r="X16" t="s">
        <v>709</v>
      </c>
      <c r="Y16" t="s">
        <v>709</v>
      </c>
      <c r="Z16" t="s">
        <v>14</v>
      </c>
      <c r="AA16">
        <v>100</v>
      </c>
      <c r="AC16" s="2">
        <f t="shared" si="0"/>
        <v>2021</v>
      </c>
      <c r="AD16" s="2">
        <f t="shared" si="1"/>
        <v>6</v>
      </c>
      <c r="AE16" s="2">
        <f t="shared" si="2"/>
        <v>2021</v>
      </c>
      <c r="AF16" s="2">
        <f t="shared" si="3"/>
        <v>2</v>
      </c>
      <c r="AG16" s="2" t="str">
        <f>VLOOKUP(F16,vlookup!$A$2:$E$660,2,0)</f>
        <v>Retained</v>
      </c>
      <c r="AH16" s="2" t="str">
        <f>VLOOKUP(F16,vlookup!$A$2:$E$660,3,0)</f>
        <v>Service Contract</v>
      </c>
      <c r="AI16" s="2" t="str">
        <f>VLOOKUP(F16,vlookup!$A$2:$E$660,4,0)</f>
        <v>Used Car Programs</v>
      </c>
      <c r="AJ16" s="2" t="str">
        <f>VLOOKUP(F16,vlookup!$A$2:$E$660,5,0)</f>
        <v>High Mileage</v>
      </c>
      <c r="AK16" s="2"/>
      <c r="AL16" s="2">
        <f t="shared" si="4"/>
        <v>53</v>
      </c>
      <c r="AM16" s="2">
        <f t="shared" si="5"/>
        <v>126</v>
      </c>
      <c r="AN16" s="2">
        <f t="shared" si="6"/>
        <v>2028</v>
      </c>
      <c r="AO16" s="2" t="str">
        <f t="shared" si="7"/>
        <v/>
      </c>
      <c r="AP16" s="2" t="str">
        <f t="shared" si="8"/>
        <v/>
      </c>
      <c r="AQ16" s="2" t="str">
        <f t="shared" si="9"/>
        <v/>
      </c>
      <c r="AR16" s="2">
        <f t="shared" si="10"/>
        <v>100</v>
      </c>
      <c r="AS16" s="2" t="str">
        <f t="shared" si="11"/>
        <v>SDF8J254834B21-2</v>
      </c>
      <c r="AT16" s="2" t="str">
        <f>IFERROR(IF(VLOOKUP(Y16,vlookup!$I$2:$J$9,1,0)=Y16,VLOOKUP(Y16,vlookup!$I$2:$J$9,2,0),PROPER(Y16)),PROPER(Y16))</f>
        <v>Deductible</v>
      </c>
      <c r="AU16" s="2" t="str">
        <f>IFERROR(IF(B16=VLOOKUP(B16,vlookup!$L$2:$L$10,1,0),"Yes","No"),"No")</f>
        <v>No</v>
      </c>
    </row>
    <row r="17" spans="1:47" x14ac:dyDescent="0.25">
      <c r="A17" t="s">
        <v>723</v>
      </c>
      <c r="B17" t="s">
        <v>724</v>
      </c>
      <c r="C17">
        <v>4</v>
      </c>
      <c r="D17">
        <v>1</v>
      </c>
      <c r="E17" t="s">
        <v>382</v>
      </c>
      <c r="F17" t="s">
        <v>346</v>
      </c>
      <c r="G17" t="s">
        <v>30</v>
      </c>
      <c r="H17" s="11" t="s">
        <v>613</v>
      </c>
      <c r="I17">
        <v>125225</v>
      </c>
      <c r="J17" s="22">
        <v>44239</v>
      </c>
      <c r="K17" s="22">
        <v>44291</v>
      </c>
      <c r="L17">
        <v>202103</v>
      </c>
      <c r="M17" s="22">
        <v>44256</v>
      </c>
      <c r="N17">
        <v>77871</v>
      </c>
      <c r="O17" t="s">
        <v>699</v>
      </c>
      <c r="P17" t="s">
        <v>712</v>
      </c>
      <c r="Q17" t="s">
        <v>612</v>
      </c>
      <c r="R17">
        <v>120414</v>
      </c>
      <c r="S17" s="22">
        <v>44805</v>
      </c>
      <c r="T17">
        <v>139234</v>
      </c>
      <c r="U17" t="s">
        <v>356</v>
      </c>
      <c r="V17" s="22">
        <v>44812</v>
      </c>
      <c r="W17" t="s">
        <v>709</v>
      </c>
      <c r="X17" t="s">
        <v>709</v>
      </c>
      <c r="Y17" t="s">
        <v>709</v>
      </c>
      <c r="Z17" t="s">
        <v>14</v>
      </c>
      <c r="AA17">
        <v>100</v>
      </c>
      <c r="AC17" s="2">
        <f t="shared" si="0"/>
        <v>2022</v>
      </c>
      <c r="AD17" s="2">
        <f t="shared" si="1"/>
        <v>9</v>
      </c>
      <c r="AE17" s="2">
        <f t="shared" si="2"/>
        <v>2021</v>
      </c>
      <c r="AF17" s="2">
        <f t="shared" si="3"/>
        <v>2</v>
      </c>
      <c r="AG17" s="2" t="str">
        <f>VLOOKUP(F17,vlookup!$A$2:$E$660,2,0)</f>
        <v>Retained</v>
      </c>
      <c r="AH17" s="2" t="str">
        <f>VLOOKUP(F17,vlookup!$A$2:$E$660,3,0)</f>
        <v>Service Contract</v>
      </c>
      <c r="AI17" s="2" t="str">
        <f>VLOOKUP(F17,vlookup!$A$2:$E$660,4,0)</f>
        <v>Used Car Programs</v>
      </c>
      <c r="AJ17" s="2" t="str">
        <f>VLOOKUP(F17,vlookup!$A$2:$E$660,5,0)</f>
        <v>High Mileage</v>
      </c>
      <c r="AK17" s="2"/>
      <c r="AL17" s="2">
        <f t="shared" si="4"/>
        <v>53</v>
      </c>
      <c r="AM17" s="2">
        <f t="shared" si="5"/>
        <v>566</v>
      </c>
      <c r="AN17" s="2">
        <f t="shared" si="6"/>
        <v>14009</v>
      </c>
      <c r="AO17" s="2" t="str">
        <f t="shared" si="7"/>
        <v/>
      </c>
      <c r="AP17" s="2" t="str">
        <f t="shared" si="8"/>
        <v/>
      </c>
      <c r="AQ17" s="2" t="str">
        <f t="shared" si="9"/>
        <v/>
      </c>
      <c r="AR17" s="2">
        <f t="shared" si="10"/>
        <v>100</v>
      </c>
      <c r="AS17" s="2" t="str">
        <f t="shared" si="11"/>
        <v>SDF8J254834B21-4</v>
      </c>
      <c r="AT17" s="2" t="str">
        <f>IFERROR(IF(VLOOKUP(Y17,vlookup!$I$2:$J$9,1,0)=Y17,VLOOKUP(Y17,vlookup!$I$2:$J$9,2,0),PROPER(Y17)),PROPER(Y17))</f>
        <v>Deductible</v>
      </c>
      <c r="AU17" s="2" t="str">
        <f>IFERROR(IF(B17=VLOOKUP(B17,vlookup!$L$2:$L$10,1,0),"Yes","No"),"No")</f>
        <v>No</v>
      </c>
    </row>
    <row r="18" spans="1:47" x14ac:dyDescent="0.25">
      <c r="A18" t="s">
        <v>725</v>
      </c>
      <c r="B18" t="s">
        <v>726</v>
      </c>
      <c r="C18">
        <v>2</v>
      </c>
      <c r="D18">
        <v>1</v>
      </c>
      <c r="E18" t="s">
        <v>382</v>
      </c>
      <c r="F18" t="s">
        <v>346</v>
      </c>
      <c r="G18" t="s">
        <v>610</v>
      </c>
      <c r="H18" s="11" t="s">
        <v>613</v>
      </c>
      <c r="I18">
        <v>74358</v>
      </c>
      <c r="J18" s="22">
        <v>44147</v>
      </c>
      <c r="K18" s="22">
        <v>44168</v>
      </c>
      <c r="L18">
        <v>202011</v>
      </c>
      <c r="M18" s="22">
        <v>44136</v>
      </c>
      <c r="N18">
        <v>77871</v>
      </c>
      <c r="O18" t="s">
        <v>699</v>
      </c>
      <c r="P18" t="s">
        <v>712</v>
      </c>
      <c r="Q18" t="s">
        <v>612</v>
      </c>
      <c r="R18">
        <v>110714</v>
      </c>
      <c r="S18" s="22">
        <v>44608</v>
      </c>
      <c r="T18">
        <v>87608</v>
      </c>
      <c r="U18" t="s">
        <v>356</v>
      </c>
      <c r="V18" s="22">
        <v>44608</v>
      </c>
      <c r="W18" t="s">
        <v>709</v>
      </c>
      <c r="X18" t="s">
        <v>709</v>
      </c>
      <c r="Y18" t="s">
        <v>709</v>
      </c>
      <c r="Z18" t="s">
        <v>14</v>
      </c>
      <c r="AA18">
        <v>100</v>
      </c>
      <c r="AC18" s="2">
        <f t="shared" si="0"/>
        <v>2022</v>
      </c>
      <c r="AD18" s="2">
        <f t="shared" si="1"/>
        <v>2</v>
      </c>
      <c r="AE18" s="2">
        <f t="shared" si="2"/>
        <v>2020</v>
      </c>
      <c r="AF18" s="2">
        <f t="shared" si="3"/>
        <v>11</v>
      </c>
      <c r="AG18" s="2" t="str">
        <f>VLOOKUP(F18,vlookup!$A$2:$E$660,2,0)</f>
        <v>Retained</v>
      </c>
      <c r="AH18" s="2" t="str">
        <f>VLOOKUP(F18,vlookup!$A$2:$E$660,3,0)</f>
        <v>Service Contract</v>
      </c>
      <c r="AI18" s="2" t="str">
        <f>VLOOKUP(F18,vlookup!$A$2:$E$660,4,0)</f>
        <v>Used Car Programs</v>
      </c>
      <c r="AJ18" s="2" t="str">
        <f>VLOOKUP(F18,vlookup!$A$2:$E$660,5,0)</f>
        <v>High Mileage</v>
      </c>
      <c r="AK18" s="2"/>
      <c r="AL18" s="2">
        <f t="shared" si="4"/>
        <v>21</v>
      </c>
      <c r="AM18" s="2">
        <f t="shared" si="5"/>
        <v>454</v>
      </c>
      <c r="AN18" s="2">
        <f t="shared" si="6"/>
        <v>13250</v>
      </c>
      <c r="AO18" s="2" t="str">
        <f t="shared" si="7"/>
        <v/>
      </c>
      <c r="AP18" s="2" t="str">
        <f t="shared" si="8"/>
        <v/>
      </c>
      <c r="AQ18" s="2" t="str">
        <f t="shared" si="9"/>
        <v/>
      </c>
      <c r="AR18" s="2">
        <f t="shared" si="10"/>
        <v>100</v>
      </c>
      <c r="AS18" s="2" t="str">
        <f t="shared" si="11"/>
        <v>SDFHJ139894K20-2</v>
      </c>
      <c r="AT18" s="2" t="str">
        <f>IFERROR(IF(VLOOKUP(Y18,vlookup!$I$2:$J$9,1,0)=Y18,VLOOKUP(Y18,vlookup!$I$2:$J$9,2,0),PROPER(Y18)),PROPER(Y18))</f>
        <v>Deductible</v>
      </c>
      <c r="AU18" s="2" t="str">
        <f>IFERROR(IF(B18=VLOOKUP(B18,vlookup!$L$2:$L$10,1,0),"Yes","No"),"No")</f>
        <v>No</v>
      </c>
    </row>
    <row r="19" spans="1:47" x14ac:dyDescent="0.25">
      <c r="A19" t="s">
        <v>727</v>
      </c>
      <c r="B19" t="s">
        <v>728</v>
      </c>
      <c r="C19">
        <v>1</v>
      </c>
      <c r="D19">
        <v>1</v>
      </c>
      <c r="E19" t="s">
        <v>382</v>
      </c>
      <c r="F19" t="s">
        <v>346</v>
      </c>
      <c r="G19" t="s">
        <v>30</v>
      </c>
      <c r="H19" s="11" t="s">
        <v>633</v>
      </c>
      <c r="I19">
        <v>98795</v>
      </c>
      <c r="J19" s="22">
        <v>44313</v>
      </c>
      <c r="K19" s="22">
        <v>44350</v>
      </c>
      <c r="L19">
        <v>202105</v>
      </c>
      <c r="M19" s="22">
        <v>44317</v>
      </c>
      <c r="N19">
        <v>77871</v>
      </c>
      <c r="O19" t="s">
        <v>699</v>
      </c>
      <c r="P19" t="s">
        <v>712</v>
      </c>
      <c r="Q19" t="s">
        <v>612</v>
      </c>
      <c r="R19">
        <v>100719</v>
      </c>
      <c r="S19" s="22">
        <v>44411</v>
      </c>
      <c r="T19">
        <v>103095</v>
      </c>
      <c r="U19" t="s">
        <v>356</v>
      </c>
      <c r="V19" s="22">
        <v>44420</v>
      </c>
      <c r="W19" t="s">
        <v>709</v>
      </c>
      <c r="X19" t="s">
        <v>709</v>
      </c>
      <c r="Y19" t="s">
        <v>709</v>
      </c>
      <c r="Z19" t="s">
        <v>14</v>
      </c>
      <c r="AA19">
        <v>100</v>
      </c>
      <c r="AC19" s="2">
        <f t="shared" si="0"/>
        <v>2021</v>
      </c>
      <c r="AD19" s="2">
        <f t="shared" si="1"/>
        <v>8</v>
      </c>
      <c r="AE19" s="2">
        <f t="shared" si="2"/>
        <v>2021</v>
      </c>
      <c r="AF19" s="2">
        <f t="shared" si="3"/>
        <v>4</v>
      </c>
      <c r="AG19" s="2" t="str">
        <f>VLOOKUP(F19,vlookup!$A$2:$E$660,2,0)</f>
        <v>Retained</v>
      </c>
      <c r="AH19" s="2" t="str">
        <f>VLOOKUP(F19,vlookup!$A$2:$E$660,3,0)</f>
        <v>Service Contract</v>
      </c>
      <c r="AI19" s="2" t="str">
        <f>VLOOKUP(F19,vlookup!$A$2:$E$660,4,0)</f>
        <v>Used Car Programs</v>
      </c>
      <c r="AJ19" s="2" t="str">
        <f>VLOOKUP(F19,vlookup!$A$2:$E$660,5,0)</f>
        <v>High Mileage</v>
      </c>
      <c r="AK19" s="2"/>
      <c r="AL19" s="2">
        <f t="shared" si="4"/>
        <v>36</v>
      </c>
      <c r="AM19" s="2">
        <f t="shared" si="5"/>
        <v>105</v>
      </c>
      <c r="AN19" s="2">
        <f t="shared" si="6"/>
        <v>4300</v>
      </c>
      <c r="AO19" s="2" t="str">
        <f t="shared" si="7"/>
        <v/>
      </c>
      <c r="AP19" s="2" t="str">
        <f t="shared" si="8"/>
        <v/>
      </c>
      <c r="AQ19" s="2" t="str">
        <f t="shared" si="9"/>
        <v/>
      </c>
      <c r="AR19" s="2">
        <f t="shared" si="10"/>
        <v>100</v>
      </c>
      <c r="AS19" s="2" t="str">
        <f t="shared" si="11"/>
        <v>SDFFR144088D21-1</v>
      </c>
      <c r="AT19" s="2" t="str">
        <f>IFERROR(IF(VLOOKUP(Y19,vlookup!$I$2:$J$9,1,0)=Y19,VLOOKUP(Y19,vlookup!$I$2:$J$9,2,0),PROPER(Y19)),PROPER(Y19))</f>
        <v>Deductible</v>
      </c>
      <c r="AU19" s="2" t="str">
        <f>IFERROR(IF(B19=VLOOKUP(B19,vlookup!$L$2:$L$10,1,0),"Yes","No"),"No")</f>
        <v>No</v>
      </c>
    </row>
    <row r="20" spans="1:47" x14ac:dyDescent="0.25">
      <c r="A20" t="s">
        <v>727</v>
      </c>
      <c r="B20" t="s">
        <v>728</v>
      </c>
      <c r="C20">
        <v>2</v>
      </c>
      <c r="D20">
        <v>1</v>
      </c>
      <c r="E20" t="s">
        <v>382</v>
      </c>
      <c r="F20" t="s">
        <v>346</v>
      </c>
      <c r="G20" t="s">
        <v>30</v>
      </c>
      <c r="H20" s="11" t="s">
        <v>633</v>
      </c>
      <c r="I20">
        <v>98795</v>
      </c>
      <c r="J20" s="22">
        <v>44313</v>
      </c>
      <c r="K20" s="22">
        <v>44350</v>
      </c>
      <c r="L20">
        <v>202105</v>
      </c>
      <c r="M20" s="22">
        <v>44317</v>
      </c>
      <c r="N20">
        <v>77871</v>
      </c>
      <c r="O20" t="s">
        <v>699</v>
      </c>
      <c r="P20" t="s">
        <v>712</v>
      </c>
      <c r="Q20" t="s">
        <v>612</v>
      </c>
      <c r="R20">
        <v>115162</v>
      </c>
      <c r="S20" s="22">
        <v>44698</v>
      </c>
      <c r="T20">
        <v>115155</v>
      </c>
      <c r="U20" t="s">
        <v>356</v>
      </c>
      <c r="V20" s="22">
        <v>44700</v>
      </c>
      <c r="W20" t="s">
        <v>709</v>
      </c>
      <c r="X20" t="s">
        <v>709</v>
      </c>
      <c r="Y20" t="s">
        <v>709</v>
      </c>
      <c r="Z20" t="s">
        <v>14</v>
      </c>
      <c r="AA20">
        <v>100</v>
      </c>
      <c r="AC20" s="2">
        <f t="shared" si="0"/>
        <v>2022</v>
      </c>
      <c r="AD20" s="2">
        <f t="shared" si="1"/>
        <v>5</v>
      </c>
      <c r="AE20" s="2">
        <f t="shared" si="2"/>
        <v>2021</v>
      </c>
      <c r="AF20" s="2">
        <f t="shared" si="3"/>
        <v>4</v>
      </c>
      <c r="AG20" s="2" t="str">
        <f>VLOOKUP(F20,vlookup!$A$2:$E$660,2,0)</f>
        <v>Retained</v>
      </c>
      <c r="AH20" s="2" t="str">
        <f>VLOOKUP(F20,vlookup!$A$2:$E$660,3,0)</f>
        <v>Service Contract</v>
      </c>
      <c r="AI20" s="2" t="str">
        <f>VLOOKUP(F20,vlookup!$A$2:$E$660,4,0)</f>
        <v>Used Car Programs</v>
      </c>
      <c r="AJ20" s="2" t="str">
        <f>VLOOKUP(F20,vlookup!$A$2:$E$660,5,0)</f>
        <v>High Mileage</v>
      </c>
      <c r="AK20" s="2"/>
      <c r="AL20" s="2">
        <f t="shared" si="4"/>
        <v>36</v>
      </c>
      <c r="AM20" s="2">
        <f t="shared" si="5"/>
        <v>382</v>
      </c>
      <c r="AN20" s="2">
        <f t="shared" si="6"/>
        <v>16360</v>
      </c>
      <c r="AO20" s="2" t="str">
        <f t="shared" si="7"/>
        <v/>
      </c>
      <c r="AP20" s="2" t="str">
        <f t="shared" si="8"/>
        <v/>
      </c>
      <c r="AQ20" s="2" t="str">
        <f t="shared" si="9"/>
        <v/>
      </c>
      <c r="AR20" s="2">
        <f t="shared" si="10"/>
        <v>100</v>
      </c>
      <c r="AS20" s="2" t="str">
        <f t="shared" si="11"/>
        <v>SDFFR144088D21-2</v>
      </c>
      <c r="AT20" s="2" t="str">
        <f>IFERROR(IF(VLOOKUP(Y20,vlookup!$I$2:$J$9,1,0)=Y20,VLOOKUP(Y20,vlookup!$I$2:$J$9,2,0),PROPER(Y20)),PROPER(Y20))</f>
        <v>Deductible</v>
      </c>
      <c r="AU20" s="2" t="str">
        <f>IFERROR(IF(B20=VLOOKUP(B20,vlookup!$L$2:$L$10,1,0),"Yes","No"),"No")</f>
        <v>No</v>
      </c>
    </row>
    <row r="21" spans="1:47" x14ac:dyDescent="0.25">
      <c r="A21" t="s">
        <v>729</v>
      </c>
      <c r="B21" t="s">
        <v>730</v>
      </c>
      <c r="C21">
        <v>1</v>
      </c>
      <c r="D21">
        <v>2</v>
      </c>
      <c r="E21" t="s">
        <v>382</v>
      </c>
      <c r="F21" t="s">
        <v>503</v>
      </c>
      <c r="G21" t="s">
        <v>30</v>
      </c>
      <c r="H21" s="11" t="s">
        <v>731</v>
      </c>
      <c r="I21">
        <v>74246</v>
      </c>
      <c r="J21" s="22">
        <v>44665</v>
      </c>
      <c r="K21" s="22">
        <v>44707</v>
      </c>
      <c r="L21">
        <v>202205</v>
      </c>
      <c r="M21" s="22">
        <v>44682</v>
      </c>
      <c r="N21">
        <v>77871</v>
      </c>
      <c r="O21" t="s">
        <v>699</v>
      </c>
      <c r="P21" t="s">
        <v>712</v>
      </c>
      <c r="Q21" t="s">
        <v>612</v>
      </c>
      <c r="R21">
        <v>120205</v>
      </c>
      <c r="S21" s="22">
        <v>44804</v>
      </c>
      <c r="T21">
        <v>79600</v>
      </c>
      <c r="U21" t="s">
        <v>356</v>
      </c>
      <c r="V21" s="22">
        <v>44812</v>
      </c>
      <c r="W21" t="s">
        <v>709</v>
      </c>
      <c r="X21" t="s">
        <v>709</v>
      </c>
      <c r="Y21" t="s">
        <v>709</v>
      </c>
      <c r="Z21" t="s">
        <v>14</v>
      </c>
      <c r="AA21">
        <v>100</v>
      </c>
      <c r="AC21" s="2">
        <f t="shared" si="0"/>
        <v>2022</v>
      </c>
      <c r="AD21" s="2">
        <f t="shared" si="1"/>
        <v>9</v>
      </c>
      <c r="AE21" s="2">
        <f t="shared" si="2"/>
        <v>2022</v>
      </c>
      <c r="AF21" s="2">
        <f t="shared" si="3"/>
        <v>4</v>
      </c>
      <c r="AG21" s="2" t="str">
        <f>VLOOKUP(F21,vlookup!$A$2:$E$660,2,0)</f>
        <v>Retained</v>
      </c>
      <c r="AH21" s="2" t="str">
        <f>VLOOKUP(F21,vlookup!$A$2:$E$660,3,0)</f>
        <v>Service Contract</v>
      </c>
      <c r="AI21" s="2" t="str">
        <f>VLOOKUP(F21,vlookup!$A$2:$E$660,4,0)</f>
        <v>Used Car Programs</v>
      </c>
      <c r="AJ21" s="2" t="str">
        <f>VLOOKUP(F21,vlookup!$A$2:$E$660,5,0)</f>
        <v>High Mileage</v>
      </c>
      <c r="AK21" s="2"/>
      <c r="AL21" s="2">
        <f t="shared" si="4"/>
        <v>42</v>
      </c>
      <c r="AM21" s="2">
        <f t="shared" si="5"/>
        <v>144</v>
      </c>
      <c r="AN21" s="2">
        <f t="shared" si="6"/>
        <v>5354</v>
      </c>
      <c r="AO21" s="2" t="str">
        <f t="shared" si="7"/>
        <v/>
      </c>
      <c r="AP21" s="2" t="str">
        <f t="shared" si="8"/>
        <v/>
      </c>
      <c r="AQ21" s="2" t="str">
        <f t="shared" si="9"/>
        <v/>
      </c>
      <c r="AR21" s="2">
        <f t="shared" si="10"/>
        <v>100</v>
      </c>
      <c r="AS21" s="2" t="str">
        <f t="shared" si="11"/>
        <v>PTPGR159369D22-1</v>
      </c>
      <c r="AT21" s="2" t="str">
        <f>IFERROR(IF(VLOOKUP(Y21,vlookup!$I$2:$J$9,1,0)=Y21,VLOOKUP(Y21,vlookup!$I$2:$J$9,2,0),PROPER(Y21)),PROPER(Y21))</f>
        <v>Deductible</v>
      </c>
      <c r="AU21" s="2" t="str">
        <f>IFERROR(IF(B21=VLOOKUP(B21,vlookup!$L$2:$L$10,1,0),"Yes","No"),"No")</f>
        <v>No</v>
      </c>
    </row>
    <row r="22" spans="1:47" x14ac:dyDescent="0.25">
      <c r="A22" t="s">
        <v>732</v>
      </c>
      <c r="B22" t="s">
        <v>733</v>
      </c>
      <c r="C22">
        <v>1</v>
      </c>
      <c r="D22">
        <v>1</v>
      </c>
      <c r="E22" t="s">
        <v>382</v>
      </c>
      <c r="F22" t="s">
        <v>257</v>
      </c>
      <c r="G22" t="s">
        <v>610</v>
      </c>
      <c r="H22" s="11" t="s">
        <v>633</v>
      </c>
      <c r="I22">
        <v>43130</v>
      </c>
      <c r="J22" s="22">
        <v>44147</v>
      </c>
      <c r="K22" s="22">
        <v>44229</v>
      </c>
      <c r="L22">
        <v>202101</v>
      </c>
      <c r="M22" s="22">
        <v>44197</v>
      </c>
      <c r="N22">
        <v>77871</v>
      </c>
      <c r="O22" t="s">
        <v>699</v>
      </c>
      <c r="P22" t="s">
        <v>712</v>
      </c>
      <c r="Q22" t="s">
        <v>612</v>
      </c>
      <c r="R22">
        <v>101389</v>
      </c>
      <c r="S22" s="22">
        <v>44424</v>
      </c>
      <c r="T22">
        <v>43753</v>
      </c>
      <c r="U22" t="s">
        <v>356</v>
      </c>
      <c r="V22" s="22">
        <v>44426</v>
      </c>
      <c r="W22" t="s">
        <v>709</v>
      </c>
      <c r="X22" t="s">
        <v>709</v>
      </c>
      <c r="Y22" t="s">
        <v>709</v>
      </c>
      <c r="Z22" t="s">
        <v>14</v>
      </c>
      <c r="AA22">
        <v>100</v>
      </c>
      <c r="AC22" s="2">
        <f t="shared" si="0"/>
        <v>2021</v>
      </c>
      <c r="AD22" s="2">
        <f t="shared" si="1"/>
        <v>8</v>
      </c>
      <c r="AE22" s="2">
        <f t="shared" si="2"/>
        <v>2020</v>
      </c>
      <c r="AF22" s="2">
        <f t="shared" si="3"/>
        <v>11</v>
      </c>
      <c r="AG22" s="2" t="str">
        <f>VLOOKUP(F22,vlookup!$A$2:$E$660,2,0)</f>
        <v>Retained</v>
      </c>
      <c r="AH22" s="2" t="str">
        <f>VLOOKUP(F22,vlookup!$A$2:$E$660,3,0)</f>
        <v>Service Contract</v>
      </c>
      <c r="AI22" s="2" t="str">
        <f>VLOOKUP(F22,vlookup!$A$2:$E$660,4,0)</f>
        <v>Used Car Programs</v>
      </c>
      <c r="AJ22" s="2" t="str">
        <f>VLOOKUP(F22,vlookup!$A$2:$E$660,5,0)</f>
        <v>High Mileage</v>
      </c>
      <c r="AK22" s="2"/>
      <c r="AL22" s="2">
        <f t="shared" si="4"/>
        <v>80</v>
      </c>
      <c r="AM22" s="2">
        <f t="shared" si="5"/>
        <v>276</v>
      </c>
      <c r="AN22" s="2">
        <f t="shared" si="6"/>
        <v>623</v>
      </c>
      <c r="AO22" s="2" t="str">
        <f t="shared" si="7"/>
        <v/>
      </c>
      <c r="AP22" s="2" t="str">
        <f t="shared" si="8"/>
        <v/>
      </c>
      <c r="AQ22" s="2" t="str">
        <f t="shared" si="9"/>
        <v/>
      </c>
      <c r="AR22" s="2">
        <f t="shared" si="10"/>
        <v>100</v>
      </c>
      <c r="AS22" s="2" t="str">
        <f t="shared" si="11"/>
        <v>SNFJR295989K20-1</v>
      </c>
      <c r="AT22" s="2" t="str">
        <f>IFERROR(IF(VLOOKUP(Y22,vlookup!$I$2:$J$9,1,0)=Y22,VLOOKUP(Y22,vlookup!$I$2:$J$9,2,0),PROPER(Y22)),PROPER(Y22))</f>
        <v>Deductible</v>
      </c>
      <c r="AU22" s="2" t="str">
        <f>IFERROR(IF(B22=VLOOKUP(B22,vlookup!$L$2:$L$10,1,0),"Yes","No"),"No")</f>
        <v>No</v>
      </c>
    </row>
    <row r="23" spans="1:47" x14ac:dyDescent="0.25">
      <c r="A23" t="s">
        <v>734</v>
      </c>
      <c r="B23" t="s">
        <v>735</v>
      </c>
      <c r="C23">
        <v>1</v>
      </c>
      <c r="D23">
        <v>1</v>
      </c>
      <c r="E23" t="s">
        <v>382</v>
      </c>
      <c r="F23" t="s">
        <v>257</v>
      </c>
      <c r="G23" t="s">
        <v>543</v>
      </c>
      <c r="H23" s="11" t="s">
        <v>687</v>
      </c>
      <c r="I23">
        <v>67203</v>
      </c>
      <c r="J23" s="22">
        <v>44175</v>
      </c>
      <c r="K23" s="22">
        <v>44229</v>
      </c>
      <c r="L23">
        <v>202101</v>
      </c>
      <c r="M23" s="22">
        <v>44197</v>
      </c>
      <c r="N23">
        <v>77871</v>
      </c>
      <c r="O23" t="s">
        <v>699</v>
      </c>
      <c r="P23" t="s">
        <v>712</v>
      </c>
      <c r="Q23" t="s">
        <v>612</v>
      </c>
      <c r="R23">
        <v>904658</v>
      </c>
      <c r="S23" s="22">
        <v>44317</v>
      </c>
      <c r="T23">
        <v>71300</v>
      </c>
      <c r="U23" t="s">
        <v>356</v>
      </c>
      <c r="V23" s="22">
        <v>44336</v>
      </c>
      <c r="W23" t="s">
        <v>709</v>
      </c>
      <c r="X23" t="s">
        <v>709</v>
      </c>
      <c r="Y23" t="s">
        <v>709</v>
      </c>
      <c r="Z23" t="s">
        <v>14</v>
      </c>
      <c r="AA23">
        <v>100</v>
      </c>
      <c r="AC23" s="2">
        <f t="shared" si="0"/>
        <v>2021</v>
      </c>
      <c r="AD23" s="2">
        <f t="shared" si="1"/>
        <v>5</v>
      </c>
      <c r="AE23" s="2">
        <f t="shared" si="2"/>
        <v>2020</v>
      </c>
      <c r="AF23" s="2">
        <f t="shared" si="3"/>
        <v>12</v>
      </c>
      <c r="AG23" s="2" t="str">
        <f>VLOOKUP(F23,vlookup!$A$2:$E$660,2,0)</f>
        <v>Retained</v>
      </c>
      <c r="AH23" s="2" t="str">
        <f>VLOOKUP(F23,vlookup!$A$2:$E$660,3,0)</f>
        <v>Service Contract</v>
      </c>
      <c r="AI23" s="2" t="str">
        <f>VLOOKUP(F23,vlookup!$A$2:$E$660,4,0)</f>
        <v>Used Car Programs</v>
      </c>
      <c r="AJ23" s="2" t="str">
        <f>VLOOKUP(F23,vlookup!$A$2:$E$660,5,0)</f>
        <v>High Mileage</v>
      </c>
      <c r="AK23" s="2"/>
      <c r="AL23" s="2">
        <f t="shared" si="4"/>
        <v>52</v>
      </c>
      <c r="AM23" s="2">
        <f t="shared" si="5"/>
        <v>160</v>
      </c>
      <c r="AN23" s="2">
        <f t="shared" si="6"/>
        <v>4097</v>
      </c>
      <c r="AO23" s="2" t="str">
        <f t="shared" si="7"/>
        <v/>
      </c>
      <c r="AP23" s="2" t="str">
        <f t="shared" si="8"/>
        <v/>
      </c>
      <c r="AQ23" s="2" t="str">
        <f t="shared" si="9"/>
        <v/>
      </c>
      <c r="AR23" s="2">
        <f t="shared" si="10"/>
        <v>100</v>
      </c>
      <c r="AS23" s="2" t="str">
        <f t="shared" si="11"/>
        <v>SNFJR174307L20-1</v>
      </c>
      <c r="AT23" s="2" t="str">
        <f>IFERROR(IF(VLOOKUP(Y23,vlookup!$I$2:$J$9,1,0)=Y23,VLOOKUP(Y23,vlookup!$I$2:$J$9,2,0),PROPER(Y23)),PROPER(Y23))</f>
        <v>Deductible</v>
      </c>
      <c r="AU23" s="2" t="str">
        <f>IFERROR(IF(B23=VLOOKUP(B23,vlookup!$L$2:$L$10,1,0),"Yes","No"),"No")</f>
        <v>No</v>
      </c>
    </row>
    <row r="24" spans="1:47" x14ac:dyDescent="0.25">
      <c r="A24" t="s">
        <v>734</v>
      </c>
      <c r="B24" t="s">
        <v>735</v>
      </c>
      <c r="C24">
        <v>2</v>
      </c>
      <c r="D24">
        <v>1</v>
      </c>
      <c r="E24" t="s">
        <v>382</v>
      </c>
      <c r="F24" t="s">
        <v>257</v>
      </c>
      <c r="G24" t="s">
        <v>543</v>
      </c>
      <c r="H24" s="11" t="s">
        <v>687</v>
      </c>
      <c r="I24">
        <v>67203</v>
      </c>
      <c r="J24" s="22">
        <v>44175</v>
      </c>
      <c r="K24" s="22">
        <v>44229</v>
      </c>
      <c r="L24">
        <v>202101</v>
      </c>
      <c r="M24" s="22">
        <v>44197</v>
      </c>
      <c r="N24">
        <v>77871</v>
      </c>
      <c r="O24" t="s">
        <v>699</v>
      </c>
      <c r="P24" t="s">
        <v>712</v>
      </c>
      <c r="Q24" t="s">
        <v>612</v>
      </c>
      <c r="R24">
        <v>102365</v>
      </c>
      <c r="S24" s="22">
        <v>44442</v>
      </c>
      <c r="T24">
        <v>74639</v>
      </c>
      <c r="U24" t="s">
        <v>356</v>
      </c>
      <c r="V24" s="22">
        <v>44449</v>
      </c>
      <c r="W24" t="s">
        <v>709</v>
      </c>
      <c r="X24" t="s">
        <v>709</v>
      </c>
      <c r="Y24" t="s">
        <v>709</v>
      </c>
      <c r="Z24" t="s">
        <v>14</v>
      </c>
      <c r="AA24">
        <v>100</v>
      </c>
      <c r="AC24" s="2">
        <f t="shared" si="0"/>
        <v>2021</v>
      </c>
      <c r="AD24" s="2">
        <f t="shared" si="1"/>
        <v>9</v>
      </c>
      <c r="AE24" s="2">
        <f t="shared" si="2"/>
        <v>2020</v>
      </c>
      <c r="AF24" s="2">
        <f t="shared" si="3"/>
        <v>12</v>
      </c>
      <c r="AG24" s="2" t="str">
        <f>VLOOKUP(F24,vlookup!$A$2:$E$660,2,0)</f>
        <v>Retained</v>
      </c>
      <c r="AH24" s="2" t="str">
        <f>VLOOKUP(F24,vlookup!$A$2:$E$660,3,0)</f>
        <v>Service Contract</v>
      </c>
      <c r="AI24" s="2" t="str">
        <f>VLOOKUP(F24,vlookup!$A$2:$E$660,4,0)</f>
        <v>Used Car Programs</v>
      </c>
      <c r="AJ24" s="2" t="str">
        <f>VLOOKUP(F24,vlookup!$A$2:$E$660,5,0)</f>
        <v>High Mileage</v>
      </c>
      <c r="AK24" s="2"/>
      <c r="AL24" s="2">
        <f t="shared" si="4"/>
        <v>52</v>
      </c>
      <c r="AM24" s="2">
        <f t="shared" si="5"/>
        <v>270</v>
      </c>
      <c r="AN24" s="2">
        <f t="shared" si="6"/>
        <v>7436</v>
      </c>
      <c r="AO24" s="2" t="str">
        <f t="shared" si="7"/>
        <v/>
      </c>
      <c r="AP24" s="2" t="str">
        <f t="shared" si="8"/>
        <v/>
      </c>
      <c r="AQ24" s="2" t="str">
        <f t="shared" si="9"/>
        <v/>
      </c>
      <c r="AR24" s="2">
        <f t="shared" si="10"/>
        <v>100</v>
      </c>
      <c r="AS24" s="2" t="str">
        <f t="shared" si="11"/>
        <v>SNFJR174307L20-2</v>
      </c>
      <c r="AT24" s="2" t="str">
        <f>IFERROR(IF(VLOOKUP(Y24,vlookup!$I$2:$J$9,1,0)=Y24,VLOOKUP(Y24,vlookup!$I$2:$J$9,2,0),PROPER(Y24)),PROPER(Y24))</f>
        <v>Deductible</v>
      </c>
      <c r="AU24" s="2" t="str">
        <f>IFERROR(IF(B24=VLOOKUP(B24,vlookup!$L$2:$L$10,1,0),"Yes","No"),"No")</f>
        <v>No</v>
      </c>
    </row>
    <row r="25" spans="1:47" x14ac:dyDescent="0.25">
      <c r="A25" t="s">
        <v>734</v>
      </c>
      <c r="B25" t="s">
        <v>735</v>
      </c>
      <c r="C25">
        <v>3</v>
      </c>
      <c r="D25">
        <v>1</v>
      </c>
      <c r="E25" t="s">
        <v>382</v>
      </c>
      <c r="F25" t="s">
        <v>257</v>
      </c>
      <c r="G25" t="s">
        <v>543</v>
      </c>
      <c r="H25" s="11" t="s">
        <v>687</v>
      </c>
      <c r="I25">
        <v>67203</v>
      </c>
      <c r="J25" s="22">
        <v>44175</v>
      </c>
      <c r="K25" s="22">
        <v>44229</v>
      </c>
      <c r="L25">
        <v>202101</v>
      </c>
      <c r="M25" s="22">
        <v>44197</v>
      </c>
      <c r="N25">
        <v>77871</v>
      </c>
      <c r="O25" t="s">
        <v>699</v>
      </c>
      <c r="P25" t="s">
        <v>712</v>
      </c>
      <c r="Q25" t="s">
        <v>612</v>
      </c>
      <c r="R25">
        <v>118193</v>
      </c>
      <c r="S25" s="22">
        <v>44760</v>
      </c>
      <c r="T25">
        <v>85310</v>
      </c>
      <c r="U25" t="s">
        <v>356</v>
      </c>
      <c r="V25" s="22">
        <v>44763</v>
      </c>
      <c r="W25" t="s">
        <v>709</v>
      </c>
      <c r="X25" t="s">
        <v>709</v>
      </c>
      <c r="Y25" t="s">
        <v>709</v>
      </c>
      <c r="Z25" t="s">
        <v>14</v>
      </c>
      <c r="AA25">
        <v>100</v>
      </c>
      <c r="AC25" s="2">
        <f t="shared" si="0"/>
        <v>2022</v>
      </c>
      <c r="AD25" s="2">
        <f t="shared" si="1"/>
        <v>7</v>
      </c>
      <c r="AE25" s="2">
        <f t="shared" si="2"/>
        <v>2020</v>
      </c>
      <c r="AF25" s="2">
        <f t="shared" si="3"/>
        <v>12</v>
      </c>
      <c r="AG25" s="2" t="str">
        <f>VLOOKUP(F25,vlookup!$A$2:$E$660,2,0)</f>
        <v>Retained</v>
      </c>
      <c r="AH25" s="2" t="str">
        <f>VLOOKUP(F25,vlookup!$A$2:$E$660,3,0)</f>
        <v>Service Contract</v>
      </c>
      <c r="AI25" s="2" t="str">
        <f>VLOOKUP(F25,vlookup!$A$2:$E$660,4,0)</f>
        <v>Used Car Programs</v>
      </c>
      <c r="AJ25" s="2" t="str">
        <f>VLOOKUP(F25,vlookup!$A$2:$E$660,5,0)</f>
        <v>High Mileage</v>
      </c>
      <c r="AK25" s="2"/>
      <c r="AL25" s="2">
        <f t="shared" si="4"/>
        <v>52</v>
      </c>
      <c r="AM25" s="2">
        <f t="shared" si="5"/>
        <v>581</v>
      </c>
      <c r="AN25" s="2">
        <f t="shared" si="6"/>
        <v>18107</v>
      </c>
      <c r="AO25" s="2" t="str">
        <f t="shared" si="7"/>
        <v/>
      </c>
      <c r="AP25" s="2" t="str">
        <f t="shared" si="8"/>
        <v/>
      </c>
      <c r="AQ25" s="2" t="str">
        <f t="shared" si="9"/>
        <v/>
      </c>
      <c r="AR25" s="2">
        <f t="shared" si="10"/>
        <v>100</v>
      </c>
      <c r="AS25" s="2" t="str">
        <f t="shared" si="11"/>
        <v>SNFJR174307L20-3</v>
      </c>
      <c r="AT25" s="2" t="str">
        <f>IFERROR(IF(VLOOKUP(Y25,vlookup!$I$2:$J$9,1,0)=Y25,VLOOKUP(Y25,vlookup!$I$2:$J$9,2,0),PROPER(Y25)),PROPER(Y25))</f>
        <v>Deductible</v>
      </c>
      <c r="AU25" s="2" t="str">
        <f>IFERROR(IF(B25=VLOOKUP(B25,vlookup!$L$2:$L$10,1,0),"Yes","No"),"No")</f>
        <v>No</v>
      </c>
    </row>
    <row r="26" spans="1:47" x14ac:dyDescent="0.25">
      <c r="A26" t="s">
        <v>736</v>
      </c>
      <c r="B26" t="s">
        <v>737</v>
      </c>
      <c r="C26">
        <v>1</v>
      </c>
      <c r="D26">
        <v>1</v>
      </c>
      <c r="E26" t="s">
        <v>382</v>
      </c>
      <c r="F26" t="s">
        <v>257</v>
      </c>
      <c r="G26" t="s">
        <v>697</v>
      </c>
      <c r="H26" s="11" t="s">
        <v>738</v>
      </c>
      <c r="I26">
        <v>78148</v>
      </c>
      <c r="J26" s="22">
        <v>44158</v>
      </c>
      <c r="K26" s="22">
        <v>44229</v>
      </c>
      <c r="L26">
        <v>202101</v>
      </c>
      <c r="M26" s="22">
        <v>44197</v>
      </c>
      <c r="N26">
        <v>77871</v>
      </c>
      <c r="O26" t="s">
        <v>699</v>
      </c>
      <c r="P26" t="s">
        <v>712</v>
      </c>
      <c r="Q26" t="s">
        <v>612</v>
      </c>
      <c r="R26">
        <v>106331</v>
      </c>
      <c r="S26" s="22">
        <v>44518</v>
      </c>
      <c r="T26">
        <v>89464</v>
      </c>
      <c r="U26" t="s">
        <v>356</v>
      </c>
      <c r="V26" s="22">
        <v>44524</v>
      </c>
      <c r="W26" t="s">
        <v>709</v>
      </c>
      <c r="X26" t="s">
        <v>709</v>
      </c>
      <c r="Y26" t="s">
        <v>709</v>
      </c>
      <c r="Z26" t="s">
        <v>14</v>
      </c>
      <c r="AA26">
        <v>100</v>
      </c>
      <c r="AC26" s="2">
        <f t="shared" si="0"/>
        <v>2021</v>
      </c>
      <c r="AD26" s="2">
        <f t="shared" si="1"/>
        <v>11</v>
      </c>
      <c r="AE26" s="2">
        <f t="shared" si="2"/>
        <v>2020</v>
      </c>
      <c r="AF26" s="2">
        <f t="shared" si="3"/>
        <v>11</v>
      </c>
      <c r="AG26" s="2" t="str">
        <f>VLOOKUP(F26,vlookup!$A$2:$E$660,2,0)</f>
        <v>Retained</v>
      </c>
      <c r="AH26" s="2" t="str">
        <f>VLOOKUP(F26,vlookup!$A$2:$E$660,3,0)</f>
        <v>Service Contract</v>
      </c>
      <c r="AI26" s="2" t="str">
        <f>VLOOKUP(F26,vlookup!$A$2:$E$660,4,0)</f>
        <v>Used Car Programs</v>
      </c>
      <c r="AJ26" s="2" t="str">
        <f>VLOOKUP(F26,vlookup!$A$2:$E$660,5,0)</f>
        <v>High Mileage</v>
      </c>
      <c r="AK26" s="2"/>
      <c r="AL26" s="2">
        <f t="shared" si="4"/>
        <v>69</v>
      </c>
      <c r="AM26" s="2">
        <f t="shared" si="5"/>
        <v>361</v>
      </c>
      <c r="AN26" s="2">
        <f t="shared" si="6"/>
        <v>11316</v>
      </c>
      <c r="AO26" s="2" t="str">
        <f t="shared" si="7"/>
        <v/>
      </c>
      <c r="AP26" s="2" t="str">
        <f t="shared" si="8"/>
        <v/>
      </c>
      <c r="AQ26" s="2" t="str">
        <f t="shared" si="9"/>
        <v/>
      </c>
      <c r="AR26" s="2">
        <f t="shared" si="10"/>
        <v>100</v>
      </c>
      <c r="AS26" s="2" t="str">
        <f t="shared" si="11"/>
        <v>SNFFR299688K20-1</v>
      </c>
      <c r="AT26" s="2" t="str">
        <f>IFERROR(IF(VLOOKUP(Y26,vlookup!$I$2:$J$9,1,0)=Y26,VLOOKUP(Y26,vlookup!$I$2:$J$9,2,0),PROPER(Y26)),PROPER(Y26))</f>
        <v>Deductible</v>
      </c>
      <c r="AU26" s="2" t="str">
        <f>IFERROR(IF(B26=VLOOKUP(B26,vlookup!$L$2:$L$10,1,0),"Yes","No"),"No")</f>
        <v>No</v>
      </c>
    </row>
    <row r="27" spans="1:47" x14ac:dyDescent="0.25">
      <c r="A27" t="s">
        <v>736</v>
      </c>
      <c r="B27" t="s">
        <v>737</v>
      </c>
      <c r="C27">
        <v>2</v>
      </c>
      <c r="D27">
        <v>1</v>
      </c>
      <c r="E27" t="s">
        <v>382</v>
      </c>
      <c r="F27" t="s">
        <v>257</v>
      </c>
      <c r="G27" t="s">
        <v>697</v>
      </c>
      <c r="H27" s="11" t="s">
        <v>738</v>
      </c>
      <c r="I27">
        <v>78148</v>
      </c>
      <c r="J27" s="22">
        <v>44158</v>
      </c>
      <c r="K27" s="22">
        <v>44229</v>
      </c>
      <c r="L27">
        <v>202101</v>
      </c>
      <c r="M27" s="22">
        <v>44197</v>
      </c>
      <c r="N27">
        <v>77871</v>
      </c>
      <c r="O27" t="s">
        <v>699</v>
      </c>
      <c r="P27" t="s">
        <v>712</v>
      </c>
      <c r="Q27" t="s">
        <v>612</v>
      </c>
      <c r="R27">
        <v>110766</v>
      </c>
      <c r="S27" s="22">
        <v>44609</v>
      </c>
      <c r="T27">
        <v>92331</v>
      </c>
      <c r="U27" t="s">
        <v>356</v>
      </c>
      <c r="V27" s="22">
        <v>44620</v>
      </c>
      <c r="W27" t="s">
        <v>709</v>
      </c>
      <c r="X27" t="s">
        <v>709</v>
      </c>
      <c r="Y27" t="s">
        <v>709</v>
      </c>
      <c r="Z27" t="s">
        <v>14</v>
      </c>
      <c r="AA27">
        <v>100</v>
      </c>
      <c r="AC27" s="2">
        <f t="shared" si="0"/>
        <v>2022</v>
      </c>
      <c r="AD27" s="2">
        <f t="shared" si="1"/>
        <v>2</v>
      </c>
      <c r="AE27" s="2">
        <f t="shared" si="2"/>
        <v>2020</v>
      </c>
      <c r="AF27" s="2">
        <f t="shared" si="3"/>
        <v>11</v>
      </c>
      <c r="AG27" s="2" t="str">
        <f>VLOOKUP(F27,vlookup!$A$2:$E$660,2,0)</f>
        <v>Retained</v>
      </c>
      <c r="AH27" s="2" t="str">
        <f>VLOOKUP(F27,vlookup!$A$2:$E$660,3,0)</f>
        <v>Service Contract</v>
      </c>
      <c r="AI27" s="2" t="str">
        <f>VLOOKUP(F27,vlookup!$A$2:$E$660,4,0)</f>
        <v>Used Car Programs</v>
      </c>
      <c r="AJ27" s="2" t="str">
        <f>VLOOKUP(F27,vlookup!$A$2:$E$660,5,0)</f>
        <v>High Mileage</v>
      </c>
      <c r="AK27" s="2"/>
      <c r="AL27" s="2">
        <f t="shared" si="4"/>
        <v>69</v>
      </c>
      <c r="AM27" s="2">
        <f t="shared" si="5"/>
        <v>455</v>
      </c>
      <c r="AN27" s="2">
        <f t="shared" si="6"/>
        <v>14183</v>
      </c>
      <c r="AO27" s="2" t="str">
        <f t="shared" si="7"/>
        <v/>
      </c>
      <c r="AP27" s="2" t="str">
        <f t="shared" si="8"/>
        <v/>
      </c>
      <c r="AQ27" s="2" t="str">
        <f t="shared" si="9"/>
        <v/>
      </c>
      <c r="AR27" s="2">
        <f t="shared" si="10"/>
        <v>100</v>
      </c>
      <c r="AS27" s="2" t="str">
        <f t="shared" si="11"/>
        <v>SNFFR299688K20-2</v>
      </c>
      <c r="AT27" s="2" t="str">
        <f>IFERROR(IF(VLOOKUP(Y27,vlookup!$I$2:$J$9,1,0)=Y27,VLOOKUP(Y27,vlookup!$I$2:$J$9,2,0),PROPER(Y27)),PROPER(Y27))</f>
        <v>Deductible</v>
      </c>
      <c r="AU27" s="2" t="str">
        <f>IFERROR(IF(B27=VLOOKUP(B27,vlookup!$L$2:$L$10,1,0),"Yes","No"),"No")</f>
        <v>No</v>
      </c>
    </row>
    <row r="28" spans="1:47" x14ac:dyDescent="0.25">
      <c r="A28" t="s">
        <v>736</v>
      </c>
      <c r="B28" t="s">
        <v>737</v>
      </c>
      <c r="C28">
        <v>3</v>
      </c>
      <c r="D28">
        <v>1</v>
      </c>
      <c r="E28" t="s">
        <v>382</v>
      </c>
      <c r="F28" t="s">
        <v>257</v>
      </c>
      <c r="G28" t="s">
        <v>697</v>
      </c>
      <c r="H28" s="11" t="s">
        <v>738</v>
      </c>
      <c r="I28">
        <v>78148</v>
      </c>
      <c r="J28" s="22">
        <v>44158</v>
      </c>
      <c r="K28" s="22">
        <v>44229</v>
      </c>
      <c r="L28">
        <v>202101</v>
      </c>
      <c r="M28" s="22">
        <v>44197</v>
      </c>
      <c r="N28">
        <v>77871</v>
      </c>
      <c r="O28" t="s">
        <v>699</v>
      </c>
      <c r="P28" t="s">
        <v>712</v>
      </c>
      <c r="Q28" t="s">
        <v>612</v>
      </c>
      <c r="R28">
        <v>111677</v>
      </c>
      <c r="S28" s="22">
        <v>44628</v>
      </c>
      <c r="T28">
        <v>92746</v>
      </c>
      <c r="U28" t="s">
        <v>356</v>
      </c>
      <c r="V28" s="22">
        <v>44629</v>
      </c>
      <c r="W28" t="s">
        <v>709</v>
      </c>
      <c r="X28" t="s">
        <v>709</v>
      </c>
      <c r="Y28" t="s">
        <v>709</v>
      </c>
      <c r="Z28" t="s">
        <v>14</v>
      </c>
      <c r="AA28">
        <v>100</v>
      </c>
      <c r="AC28" s="2">
        <f t="shared" si="0"/>
        <v>2022</v>
      </c>
      <c r="AD28" s="2">
        <f t="shared" si="1"/>
        <v>3</v>
      </c>
      <c r="AE28" s="2">
        <f t="shared" si="2"/>
        <v>2020</v>
      </c>
      <c r="AF28" s="2">
        <f t="shared" si="3"/>
        <v>11</v>
      </c>
      <c r="AG28" s="2" t="str">
        <f>VLOOKUP(F28,vlookup!$A$2:$E$660,2,0)</f>
        <v>Retained</v>
      </c>
      <c r="AH28" s="2" t="str">
        <f>VLOOKUP(F28,vlookup!$A$2:$E$660,3,0)</f>
        <v>Service Contract</v>
      </c>
      <c r="AI28" s="2" t="str">
        <f>VLOOKUP(F28,vlookup!$A$2:$E$660,4,0)</f>
        <v>Used Car Programs</v>
      </c>
      <c r="AJ28" s="2" t="str">
        <f>VLOOKUP(F28,vlookup!$A$2:$E$660,5,0)</f>
        <v>High Mileage</v>
      </c>
      <c r="AK28" s="2"/>
      <c r="AL28" s="2">
        <f t="shared" si="4"/>
        <v>69</v>
      </c>
      <c r="AM28" s="2">
        <f t="shared" si="5"/>
        <v>466</v>
      </c>
      <c r="AN28" s="2">
        <f t="shared" si="6"/>
        <v>14598</v>
      </c>
      <c r="AO28" s="2" t="str">
        <f t="shared" si="7"/>
        <v/>
      </c>
      <c r="AP28" s="2" t="str">
        <f t="shared" si="8"/>
        <v/>
      </c>
      <c r="AQ28" s="2" t="str">
        <f t="shared" si="9"/>
        <v/>
      </c>
      <c r="AR28" s="2">
        <f t="shared" si="10"/>
        <v>100</v>
      </c>
      <c r="AS28" s="2" t="str">
        <f t="shared" si="11"/>
        <v>SNFFR299688K20-3</v>
      </c>
      <c r="AT28" s="2" t="str">
        <f>IFERROR(IF(VLOOKUP(Y28,vlookup!$I$2:$J$9,1,0)=Y28,VLOOKUP(Y28,vlookup!$I$2:$J$9,2,0),PROPER(Y28)),PROPER(Y28))</f>
        <v>Deductible</v>
      </c>
      <c r="AU28" s="2" t="str">
        <f>IFERROR(IF(B28=VLOOKUP(B28,vlookup!$L$2:$L$10,1,0),"Yes","No"),"No")</f>
        <v>No</v>
      </c>
    </row>
    <row r="29" spans="1:47" x14ac:dyDescent="0.25">
      <c r="A29" t="s">
        <v>736</v>
      </c>
      <c r="B29" t="s">
        <v>737</v>
      </c>
      <c r="C29">
        <v>4</v>
      </c>
      <c r="D29">
        <v>1</v>
      </c>
      <c r="E29" t="s">
        <v>382</v>
      </c>
      <c r="F29" t="s">
        <v>257</v>
      </c>
      <c r="G29" t="s">
        <v>697</v>
      </c>
      <c r="H29" s="11" t="s">
        <v>738</v>
      </c>
      <c r="I29">
        <v>78148</v>
      </c>
      <c r="J29" s="22">
        <v>44158</v>
      </c>
      <c r="K29" s="22">
        <v>44229</v>
      </c>
      <c r="L29">
        <v>202101</v>
      </c>
      <c r="M29" s="22">
        <v>44197</v>
      </c>
      <c r="N29">
        <v>77871</v>
      </c>
      <c r="O29" t="s">
        <v>699</v>
      </c>
      <c r="P29" t="s">
        <v>712</v>
      </c>
      <c r="Q29" t="s">
        <v>612</v>
      </c>
      <c r="R29">
        <v>112392</v>
      </c>
      <c r="S29" s="22">
        <v>44642</v>
      </c>
      <c r="T29">
        <v>93176</v>
      </c>
      <c r="U29" t="s">
        <v>356</v>
      </c>
      <c r="V29" s="22">
        <v>44643</v>
      </c>
      <c r="W29" t="s">
        <v>709</v>
      </c>
      <c r="X29" t="s">
        <v>709</v>
      </c>
      <c r="Y29" t="s">
        <v>709</v>
      </c>
      <c r="Z29" t="s">
        <v>14</v>
      </c>
      <c r="AA29">
        <v>100</v>
      </c>
      <c r="AC29" s="2">
        <f t="shared" si="0"/>
        <v>2022</v>
      </c>
      <c r="AD29" s="2">
        <f t="shared" si="1"/>
        <v>3</v>
      </c>
      <c r="AE29" s="2">
        <f t="shared" si="2"/>
        <v>2020</v>
      </c>
      <c r="AF29" s="2">
        <f t="shared" si="3"/>
        <v>11</v>
      </c>
      <c r="AG29" s="2" t="str">
        <f>VLOOKUP(F29,vlookup!$A$2:$E$660,2,0)</f>
        <v>Retained</v>
      </c>
      <c r="AH29" s="2" t="str">
        <f>VLOOKUP(F29,vlookup!$A$2:$E$660,3,0)</f>
        <v>Service Contract</v>
      </c>
      <c r="AI29" s="2" t="str">
        <f>VLOOKUP(F29,vlookup!$A$2:$E$660,4,0)</f>
        <v>Used Car Programs</v>
      </c>
      <c r="AJ29" s="2" t="str">
        <f>VLOOKUP(F29,vlookup!$A$2:$E$660,5,0)</f>
        <v>High Mileage</v>
      </c>
      <c r="AK29" s="2"/>
      <c r="AL29" s="2">
        <f t="shared" si="4"/>
        <v>69</v>
      </c>
      <c r="AM29" s="2">
        <f t="shared" si="5"/>
        <v>480</v>
      </c>
      <c r="AN29" s="2">
        <f t="shared" si="6"/>
        <v>15028</v>
      </c>
      <c r="AO29" s="2" t="str">
        <f t="shared" si="7"/>
        <v/>
      </c>
      <c r="AP29" s="2" t="str">
        <f t="shared" si="8"/>
        <v/>
      </c>
      <c r="AQ29" s="2" t="str">
        <f t="shared" si="9"/>
        <v/>
      </c>
      <c r="AR29" s="2">
        <f t="shared" si="10"/>
        <v>100</v>
      </c>
      <c r="AS29" s="2" t="str">
        <f t="shared" si="11"/>
        <v>SNFFR299688K20-4</v>
      </c>
      <c r="AT29" s="2" t="str">
        <f>IFERROR(IF(VLOOKUP(Y29,vlookup!$I$2:$J$9,1,0)=Y29,VLOOKUP(Y29,vlookup!$I$2:$J$9,2,0),PROPER(Y29)),PROPER(Y29))</f>
        <v>Deductible</v>
      </c>
      <c r="AU29" s="2" t="str">
        <f>IFERROR(IF(B29=VLOOKUP(B29,vlookup!$L$2:$L$10,1,0),"Yes","No"),"No")</f>
        <v>No</v>
      </c>
    </row>
    <row r="30" spans="1:47" x14ac:dyDescent="0.25">
      <c r="A30" t="s">
        <v>736</v>
      </c>
      <c r="B30" t="s">
        <v>737</v>
      </c>
      <c r="C30">
        <v>5</v>
      </c>
      <c r="D30">
        <v>1</v>
      </c>
      <c r="E30" t="s">
        <v>382</v>
      </c>
      <c r="F30" t="s">
        <v>257</v>
      </c>
      <c r="G30" t="s">
        <v>697</v>
      </c>
      <c r="H30" s="11" t="s">
        <v>738</v>
      </c>
      <c r="I30">
        <v>78148</v>
      </c>
      <c r="J30" s="22">
        <v>44158</v>
      </c>
      <c r="K30" s="22">
        <v>44229</v>
      </c>
      <c r="L30">
        <v>202101</v>
      </c>
      <c r="M30" s="22">
        <v>44197</v>
      </c>
      <c r="N30">
        <v>77871</v>
      </c>
      <c r="O30" t="s">
        <v>699</v>
      </c>
      <c r="P30" t="s">
        <v>712</v>
      </c>
      <c r="Q30" t="s">
        <v>612</v>
      </c>
      <c r="R30">
        <v>142378</v>
      </c>
      <c r="S30" s="22">
        <v>44886</v>
      </c>
      <c r="T30">
        <v>100749</v>
      </c>
      <c r="U30" t="s">
        <v>356</v>
      </c>
      <c r="V30" s="22">
        <v>44895</v>
      </c>
      <c r="W30" t="s">
        <v>709</v>
      </c>
      <c r="X30" t="s">
        <v>709</v>
      </c>
      <c r="Y30" t="s">
        <v>709</v>
      </c>
      <c r="Z30" t="s">
        <v>14</v>
      </c>
      <c r="AA30">
        <v>100</v>
      </c>
      <c r="AC30" s="2">
        <f t="shared" si="0"/>
        <v>2022</v>
      </c>
      <c r="AD30" s="2">
        <f t="shared" si="1"/>
        <v>11</v>
      </c>
      <c r="AE30" s="2">
        <f t="shared" si="2"/>
        <v>2020</v>
      </c>
      <c r="AF30" s="2">
        <f t="shared" si="3"/>
        <v>11</v>
      </c>
      <c r="AG30" s="2" t="str">
        <f>VLOOKUP(F30,vlookup!$A$2:$E$660,2,0)</f>
        <v>Retained</v>
      </c>
      <c r="AH30" s="2" t="str">
        <f>VLOOKUP(F30,vlookup!$A$2:$E$660,3,0)</f>
        <v>Service Contract</v>
      </c>
      <c r="AI30" s="2" t="str">
        <f>VLOOKUP(F30,vlookup!$A$2:$E$660,4,0)</f>
        <v>Used Car Programs</v>
      </c>
      <c r="AJ30" s="2" t="str">
        <f>VLOOKUP(F30,vlookup!$A$2:$E$660,5,0)</f>
        <v>High Mileage</v>
      </c>
      <c r="AK30" s="2"/>
      <c r="AL30" s="2">
        <f t="shared" si="4"/>
        <v>69</v>
      </c>
      <c r="AM30" s="2">
        <f t="shared" si="5"/>
        <v>727</v>
      </c>
      <c r="AN30" s="2">
        <f t="shared" si="6"/>
        <v>22601</v>
      </c>
      <c r="AO30" s="2" t="str">
        <f t="shared" si="7"/>
        <v/>
      </c>
      <c r="AP30" s="2" t="str">
        <f t="shared" si="8"/>
        <v/>
      </c>
      <c r="AQ30" s="2" t="str">
        <f t="shared" si="9"/>
        <v/>
      </c>
      <c r="AR30" s="2">
        <f t="shared" si="10"/>
        <v>100</v>
      </c>
      <c r="AS30" s="2" t="str">
        <f t="shared" si="11"/>
        <v>SNFFR299688K20-5</v>
      </c>
      <c r="AT30" s="2" t="str">
        <f>IFERROR(IF(VLOOKUP(Y30,vlookup!$I$2:$J$9,1,0)=Y30,VLOOKUP(Y30,vlookup!$I$2:$J$9,2,0),PROPER(Y30)),PROPER(Y30))</f>
        <v>Deductible</v>
      </c>
      <c r="AU30" s="2" t="str">
        <f>IFERROR(IF(B30=VLOOKUP(B30,vlookup!$L$2:$L$10,1,0),"Yes","No"),"No")</f>
        <v>No</v>
      </c>
    </row>
    <row r="31" spans="1:47" x14ac:dyDescent="0.25">
      <c r="A31" t="s">
        <v>739</v>
      </c>
      <c r="B31" t="s">
        <v>740</v>
      </c>
      <c r="C31">
        <v>1</v>
      </c>
      <c r="D31">
        <v>1</v>
      </c>
      <c r="E31" t="s">
        <v>572</v>
      </c>
      <c r="F31" t="s">
        <v>346</v>
      </c>
      <c r="G31" t="s">
        <v>697</v>
      </c>
      <c r="H31" s="11" t="s">
        <v>738</v>
      </c>
      <c r="I31">
        <v>65533</v>
      </c>
      <c r="J31" s="22">
        <v>44141</v>
      </c>
      <c r="K31" s="22">
        <v>44168</v>
      </c>
      <c r="L31">
        <v>202011</v>
      </c>
      <c r="M31" s="22">
        <v>44136</v>
      </c>
      <c r="N31">
        <v>77871</v>
      </c>
      <c r="O31" t="s">
        <v>699</v>
      </c>
      <c r="P31" t="s">
        <v>712</v>
      </c>
      <c r="Q31" t="s">
        <v>612</v>
      </c>
      <c r="R31">
        <v>905856</v>
      </c>
      <c r="S31" s="22">
        <v>44337</v>
      </c>
      <c r="T31">
        <v>76841</v>
      </c>
      <c r="U31" t="s">
        <v>356</v>
      </c>
      <c r="V31" s="22">
        <v>44348</v>
      </c>
      <c r="W31" t="s">
        <v>709</v>
      </c>
      <c r="X31" t="s">
        <v>709</v>
      </c>
      <c r="Y31" t="s">
        <v>709</v>
      </c>
      <c r="Z31" t="s">
        <v>14</v>
      </c>
      <c r="AA31">
        <v>100</v>
      </c>
      <c r="AC31" s="2">
        <f t="shared" si="0"/>
        <v>2021</v>
      </c>
      <c r="AD31" s="2">
        <f t="shared" si="1"/>
        <v>6</v>
      </c>
      <c r="AE31" s="2">
        <f t="shared" si="2"/>
        <v>2020</v>
      </c>
      <c r="AF31" s="2">
        <f t="shared" si="3"/>
        <v>11</v>
      </c>
      <c r="AG31" s="2" t="str">
        <f>VLOOKUP(F31,vlookup!$A$2:$E$660,2,0)</f>
        <v>Retained</v>
      </c>
      <c r="AH31" s="2" t="str">
        <f>VLOOKUP(F31,vlookup!$A$2:$E$660,3,0)</f>
        <v>Service Contract</v>
      </c>
      <c r="AI31" s="2" t="str">
        <f>VLOOKUP(F31,vlookup!$A$2:$E$660,4,0)</f>
        <v>Used Car Programs</v>
      </c>
      <c r="AJ31" s="2" t="str">
        <f>VLOOKUP(F31,vlookup!$A$2:$E$660,5,0)</f>
        <v>High Mileage</v>
      </c>
      <c r="AK31" s="2"/>
      <c r="AL31" s="2">
        <f t="shared" si="4"/>
        <v>27</v>
      </c>
      <c r="AM31" s="2">
        <f t="shared" si="5"/>
        <v>205</v>
      </c>
      <c r="AN31" s="2">
        <f t="shared" si="6"/>
        <v>11308</v>
      </c>
      <c r="AO31" s="2" t="str">
        <f t="shared" si="7"/>
        <v/>
      </c>
      <c r="AP31" s="2" t="str">
        <f t="shared" si="8"/>
        <v/>
      </c>
      <c r="AQ31" s="2" t="str">
        <f t="shared" si="9"/>
        <v/>
      </c>
      <c r="AR31" s="2">
        <f t="shared" si="10"/>
        <v>100</v>
      </c>
      <c r="AS31" s="2" t="str">
        <f t="shared" si="11"/>
        <v>SDFGR356895K20-1</v>
      </c>
      <c r="AT31" s="2" t="str">
        <f>IFERROR(IF(VLOOKUP(Y31,vlookup!$I$2:$J$9,1,0)=Y31,VLOOKUP(Y31,vlookup!$I$2:$J$9,2,0),PROPER(Y31)),PROPER(Y31))</f>
        <v>Deductible</v>
      </c>
      <c r="AU31" s="2" t="str">
        <f>IFERROR(IF(B31=VLOOKUP(B31,vlookup!$L$2:$L$10,1,0),"Yes","No"),"No")</f>
        <v>No</v>
      </c>
    </row>
    <row r="32" spans="1:47" x14ac:dyDescent="0.25">
      <c r="A32" t="s">
        <v>741</v>
      </c>
      <c r="B32" t="s">
        <v>742</v>
      </c>
      <c r="C32">
        <v>1</v>
      </c>
      <c r="D32">
        <v>1</v>
      </c>
      <c r="E32" t="s">
        <v>382</v>
      </c>
      <c r="F32" t="s">
        <v>191</v>
      </c>
      <c r="G32" t="s">
        <v>543</v>
      </c>
      <c r="H32" s="11" t="s">
        <v>611</v>
      </c>
      <c r="I32">
        <v>41200</v>
      </c>
      <c r="J32" s="22">
        <v>44524</v>
      </c>
      <c r="K32" s="22">
        <v>44582</v>
      </c>
      <c r="L32">
        <v>202201</v>
      </c>
      <c r="M32" s="22">
        <v>44562</v>
      </c>
      <c r="N32">
        <v>77871</v>
      </c>
      <c r="O32" t="s">
        <v>699</v>
      </c>
      <c r="P32" t="s">
        <v>712</v>
      </c>
      <c r="Q32" t="s">
        <v>612</v>
      </c>
      <c r="R32">
        <v>116582</v>
      </c>
      <c r="S32" s="22">
        <v>44727</v>
      </c>
      <c r="T32">
        <v>47223</v>
      </c>
      <c r="U32" t="s">
        <v>356</v>
      </c>
      <c r="V32" s="22">
        <v>44733</v>
      </c>
      <c r="W32" t="s">
        <v>709</v>
      </c>
      <c r="X32" t="s">
        <v>709</v>
      </c>
      <c r="Y32" t="s">
        <v>709</v>
      </c>
      <c r="Z32" t="s">
        <v>14</v>
      </c>
      <c r="AA32">
        <v>100</v>
      </c>
      <c r="AC32" s="2">
        <f t="shared" si="0"/>
        <v>2022</v>
      </c>
      <c r="AD32" s="2">
        <f t="shared" si="1"/>
        <v>6</v>
      </c>
      <c r="AE32" s="2">
        <f t="shared" si="2"/>
        <v>2021</v>
      </c>
      <c r="AF32" s="2">
        <f t="shared" si="3"/>
        <v>11</v>
      </c>
      <c r="AG32" s="2" t="str">
        <f>VLOOKUP(F32,vlookup!$A$2:$E$660,2,0)</f>
        <v>Retained</v>
      </c>
      <c r="AH32" s="2" t="str">
        <f>VLOOKUP(F32,vlookup!$A$2:$E$660,3,0)</f>
        <v>Service Contract</v>
      </c>
      <c r="AI32" s="2" t="str">
        <f>VLOOKUP(F32,vlookup!$A$2:$E$660,4,0)</f>
        <v>New Car Programs</v>
      </c>
      <c r="AJ32" s="2" t="str">
        <f>VLOOKUP(F32,vlookup!$A$2:$E$660,5,0)</f>
        <v>High Mileage</v>
      </c>
      <c r="AK32" s="2"/>
      <c r="AL32" s="2">
        <f t="shared" si="4"/>
        <v>57</v>
      </c>
      <c r="AM32" s="2">
        <f t="shared" si="5"/>
        <v>207</v>
      </c>
      <c r="AN32" s="2">
        <f t="shared" si="6"/>
        <v>6023</v>
      </c>
      <c r="AO32" s="2" t="str">
        <f t="shared" si="7"/>
        <v/>
      </c>
      <c r="AP32" s="2" t="str">
        <f t="shared" si="8"/>
        <v/>
      </c>
      <c r="AQ32" s="2" t="str">
        <f t="shared" si="9"/>
        <v/>
      </c>
      <c r="AR32" s="2">
        <f t="shared" si="10"/>
        <v>100</v>
      </c>
      <c r="AS32" s="2" t="str">
        <f t="shared" si="11"/>
        <v>APC100463-1</v>
      </c>
      <c r="AT32" s="2" t="str">
        <f>IFERROR(IF(VLOOKUP(Y32,vlookup!$I$2:$J$9,1,0)=Y32,VLOOKUP(Y32,vlookup!$I$2:$J$9,2,0),PROPER(Y32)),PROPER(Y32))</f>
        <v>Deductible</v>
      </c>
      <c r="AU32" s="2" t="str">
        <f>IFERROR(IF(B32=VLOOKUP(B32,vlookup!$L$2:$L$10,1,0),"Yes","No"),"No")</f>
        <v>No</v>
      </c>
    </row>
    <row r="33" spans="1:47" x14ac:dyDescent="0.25">
      <c r="A33" t="s">
        <v>743</v>
      </c>
      <c r="B33" t="s">
        <v>744</v>
      </c>
      <c r="C33">
        <v>1</v>
      </c>
      <c r="D33">
        <v>1</v>
      </c>
      <c r="E33" t="s">
        <v>382</v>
      </c>
      <c r="F33" t="s">
        <v>346</v>
      </c>
      <c r="G33" t="s">
        <v>683</v>
      </c>
      <c r="H33" s="11" t="s">
        <v>745</v>
      </c>
      <c r="I33">
        <v>47900</v>
      </c>
      <c r="J33" s="22">
        <v>44221</v>
      </c>
      <c r="K33" s="22">
        <v>44281</v>
      </c>
      <c r="L33">
        <v>202103</v>
      </c>
      <c r="M33" s="22">
        <v>44256</v>
      </c>
      <c r="N33">
        <v>77871</v>
      </c>
      <c r="O33" t="s">
        <v>699</v>
      </c>
      <c r="P33" t="s">
        <v>712</v>
      </c>
      <c r="Q33" t="s">
        <v>612</v>
      </c>
      <c r="R33">
        <v>907278</v>
      </c>
      <c r="S33" s="22">
        <v>44363</v>
      </c>
      <c r="T33">
        <v>53206</v>
      </c>
      <c r="U33" t="s">
        <v>356</v>
      </c>
      <c r="V33" s="22">
        <v>44363</v>
      </c>
      <c r="W33" t="s">
        <v>709</v>
      </c>
      <c r="X33" t="s">
        <v>709</v>
      </c>
      <c r="Y33" t="s">
        <v>709</v>
      </c>
      <c r="Z33" t="s">
        <v>14</v>
      </c>
      <c r="AA33">
        <v>100</v>
      </c>
      <c r="AC33" s="2">
        <f t="shared" si="0"/>
        <v>2021</v>
      </c>
      <c r="AD33" s="2">
        <f t="shared" si="1"/>
        <v>6</v>
      </c>
      <c r="AE33" s="2">
        <f t="shared" si="2"/>
        <v>2021</v>
      </c>
      <c r="AF33" s="2">
        <f t="shared" si="3"/>
        <v>1</v>
      </c>
      <c r="AG33" s="2" t="str">
        <f>VLOOKUP(F33,vlookup!$A$2:$E$660,2,0)</f>
        <v>Retained</v>
      </c>
      <c r="AH33" s="2" t="str">
        <f>VLOOKUP(F33,vlookup!$A$2:$E$660,3,0)</f>
        <v>Service Contract</v>
      </c>
      <c r="AI33" s="2" t="str">
        <f>VLOOKUP(F33,vlookup!$A$2:$E$660,4,0)</f>
        <v>Used Car Programs</v>
      </c>
      <c r="AJ33" s="2" t="str">
        <f>VLOOKUP(F33,vlookup!$A$2:$E$660,5,0)</f>
        <v>High Mileage</v>
      </c>
      <c r="AK33" s="2"/>
      <c r="AL33" s="2">
        <f t="shared" si="4"/>
        <v>61</v>
      </c>
      <c r="AM33" s="2">
        <f t="shared" si="5"/>
        <v>141</v>
      </c>
      <c r="AN33" s="2">
        <f t="shared" si="6"/>
        <v>5306</v>
      </c>
      <c r="AO33" s="2" t="str">
        <f t="shared" si="7"/>
        <v/>
      </c>
      <c r="AP33" s="2" t="str">
        <f t="shared" si="8"/>
        <v/>
      </c>
      <c r="AQ33" s="2" t="str">
        <f t="shared" si="9"/>
        <v/>
      </c>
      <c r="AR33" s="2">
        <f t="shared" si="10"/>
        <v>100</v>
      </c>
      <c r="AS33" s="2" t="str">
        <f t="shared" si="11"/>
        <v>SDFC9147361A21-1</v>
      </c>
      <c r="AT33" s="2" t="str">
        <f>IFERROR(IF(VLOOKUP(Y33,vlookup!$I$2:$J$9,1,0)=Y33,VLOOKUP(Y33,vlookup!$I$2:$J$9,2,0),PROPER(Y33)),PROPER(Y33))</f>
        <v>Deductible</v>
      </c>
      <c r="AU33" s="2" t="str">
        <f>IFERROR(IF(B33=VLOOKUP(B33,vlookup!$L$2:$L$10,1,0),"Yes","No"),"No")</f>
        <v>No</v>
      </c>
    </row>
    <row r="34" spans="1:47" x14ac:dyDescent="0.25">
      <c r="A34" t="s">
        <v>743</v>
      </c>
      <c r="B34" t="s">
        <v>744</v>
      </c>
      <c r="C34">
        <v>3</v>
      </c>
      <c r="D34">
        <v>1</v>
      </c>
      <c r="E34" t="s">
        <v>382</v>
      </c>
      <c r="F34" t="s">
        <v>346</v>
      </c>
      <c r="G34" t="s">
        <v>683</v>
      </c>
      <c r="H34" s="11" t="s">
        <v>745</v>
      </c>
      <c r="I34">
        <v>47900</v>
      </c>
      <c r="J34" s="22">
        <v>44221</v>
      </c>
      <c r="K34" s="22">
        <v>44281</v>
      </c>
      <c r="L34">
        <v>202103</v>
      </c>
      <c r="M34" s="22">
        <v>44256</v>
      </c>
      <c r="N34">
        <v>77871</v>
      </c>
      <c r="O34" t="s">
        <v>699</v>
      </c>
      <c r="P34" t="s">
        <v>746</v>
      </c>
      <c r="Q34" t="s">
        <v>544</v>
      </c>
      <c r="R34">
        <v>122387</v>
      </c>
      <c r="S34" s="22">
        <v>44845</v>
      </c>
      <c r="T34">
        <v>58347</v>
      </c>
      <c r="U34" t="s">
        <v>356</v>
      </c>
      <c r="V34" s="22">
        <v>44846</v>
      </c>
      <c r="W34" t="s">
        <v>709</v>
      </c>
      <c r="X34" t="s">
        <v>709</v>
      </c>
      <c r="Y34" t="s">
        <v>709</v>
      </c>
      <c r="Z34" t="s">
        <v>14</v>
      </c>
      <c r="AA34">
        <v>100</v>
      </c>
      <c r="AC34" s="2">
        <f t="shared" si="0"/>
        <v>2022</v>
      </c>
      <c r="AD34" s="2">
        <f t="shared" si="1"/>
        <v>10</v>
      </c>
      <c r="AE34" s="2">
        <f t="shared" si="2"/>
        <v>2021</v>
      </c>
      <c r="AF34" s="2">
        <f t="shared" si="3"/>
        <v>1</v>
      </c>
      <c r="AG34" s="2" t="str">
        <f>VLOOKUP(F34,vlookup!$A$2:$E$660,2,0)</f>
        <v>Retained</v>
      </c>
      <c r="AH34" s="2" t="str">
        <f>VLOOKUP(F34,vlookup!$A$2:$E$660,3,0)</f>
        <v>Service Contract</v>
      </c>
      <c r="AI34" s="2" t="str">
        <f>VLOOKUP(F34,vlookup!$A$2:$E$660,4,0)</f>
        <v>Used Car Programs</v>
      </c>
      <c r="AJ34" s="2" t="str">
        <f>VLOOKUP(F34,vlookup!$A$2:$E$660,5,0)</f>
        <v>High Mileage</v>
      </c>
      <c r="AK34" s="2"/>
      <c r="AL34" s="2">
        <f t="shared" si="4"/>
        <v>61</v>
      </c>
      <c r="AM34" s="2">
        <f t="shared" si="5"/>
        <v>617</v>
      </c>
      <c r="AN34" s="2">
        <f t="shared" si="6"/>
        <v>10447</v>
      </c>
      <c r="AO34" s="2" t="str">
        <f t="shared" si="7"/>
        <v/>
      </c>
      <c r="AP34" s="2" t="str">
        <f t="shared" si="8"/>
        <v/>
      </c>
      <c r="AQ34" s="2" t="str">
        <f t="shared" si="9"/>
        <v/>
      </c>
      <c r="AR34" s="2">
        <f t="shared" si="10"/>
        <v>100</v>
      </c>
      <c r="AS34" s="2" t="str">
        <f t="shared" si="11"/>
        <v>SDFC9147361A21-3</v>
      </c>
      <c r="AT34" s="2" t="str">
        <f>IFERROR(IF(VLOOKUP(Y34,vlookup!$I$2:$J$9,1,0)=Y34,VLOOKUP(Y34,vlookup!$I$2:$J$9,2,0),PROPER(Y34)),PROPER(Y34))</f>
        <v>Deductible</v>
      </c>
      <c r="AU34" s="2" t="str">
        <f>IFERROR(IF(B34=VLOOKUP(B34,vlookup!$L$2:$L$10,1,0),"Yes","No"),"No")</f>
        <v>No</v>
      </c>
    </row>
    <row r="35" spans="1:47" x14ac:dyDescent="0.25">
      <c r="A35" t="s">
        <v>747</v>
      </c>
      <c r="B35" t="s">
        <v>748</v>
      </c>
      <c r="C35">
        <v>1</v>
      </c>
      <c r="D35">
        <v>1</v>
      </c>
      <c r="E35" t="s">
        <v>382</v>
      </c>
      <c r="F35" t="s">
        <v>257</v>
      </c>
      <c r="G35" t="s">
        <v>543</v>
      </c>
      <c r="H35" s="11" t="s">
        <v>602</v>
      </c>
      <c r="I35">
        <v>29281</v>
      </c>
      <c r="J35" s="22">
        <v>44193</v>
      </c>
      <c r="K35" s="22">
        <v>44229</v>
      </c>
      <c r="L35">
        <v>202101</v>
      </c>
      <c r="M35" s="22">
        <v>44197</v>
      </c>
      <c r="N35">
        <v>77871</v>
      </c>
      <c r="O35" t="s">
        <v>699</v>
      </c>
      <c r="P35" t="s">
        <v>712</v>
      </c>
      <c r="Q35" t="s">
        <v>612</v>
      </c>
      <c r="R35">
        <v>124532</v>
      </c>
      <c r="S35" s="22">
        <v>44888</v>
      </c>
      <c r="T35">
        <v>60817</v>
      </c>
      <c r="U35" t="s">
        <v>356</v>
      </c>
      <c r="V35" s="22">
        <v>44888</v>
      </c>
      <c r="W35" t="s">
        <v>709</v>
      </c>
      <c r="X35" t="s">
        <v>709</v>
      </c>
      <c r="Y35" t="s">
        <v>709</v>
      </c>
      <c r="Z35" t="s">
        <v>14</v>
      </c>
      <c r="AA35">
        <v>100</v>
      </c>
      <c r="AC35" s="2">
        <f t="shared" si="0"/>
        <v>2022</v>
      </c>
      <c r="AD35" s="2">
        <f t="shared" si="1"/>
        <v>11</v>
      </c>
      <c r="AE35" s="2">
        <f t="shared" si="2"/>
        <v>2020</v>
      </c>
      <c r="AF35" s="2">
        <f t="shared" si="3"/>
        <v>12</v>
      </c>
      <c r="AG35" s="2" t="str">
        <f>VLOOKUP(F35,vlookup!$A$2:$E$660,2,0)</f>
        <v>Retained</v>
      </c>
      <c r="AH35" s="2" t="str">
        <f>VLOOKUP(F35,vlookup!$A$2:$E$660,3,0)</f>
        <v>Service Contract</v>
      </c>
      <c r="AI35" s="2" t="str">
        <f>VLOOKUP(F35,vlookup!$A$2:$E$660,4,0)</f>
        <v>Used Car Programs</v>
      </c>
      <c r="AJ35" s="2" t="str">
        <f>VLOOKUP(F35,vlookup!$A$2:$E$660,5,0)</f>
        <v>High Mileage</v>
      </c>
      <c r="AK35" s="2"/>
      <c r="AL35" s="2">
        <f t="shared" si="4"/>
        <v>34</v>
      </c>
      <c r="AM35" s="2">
        <f t="shared" si="5"/>
        <v>685</v>
      </c>
      <c r="AN35" s="2">
        <f t="shared" si="6"/>
        <v>31536</v>
      </c>
      <c r="AO35" s="2" t="str">
        <f t="shared" si="7"/>
        <v/>
      </c>
      <c r="AP35" s="2" t="str">
        <f t="shared" si="8"/>
        <v/>
      </c>
      <c r="AQ35" s="2" t="str">
        <f t="shared" si="9"/>
        <v/>
      </c>
      <c r="AR35" s="2">
        <f t="shared" si="10"/>
        <v>100</v>
      </c>
      <c r="AS35" s="2" t="str">
        <f t="shared" si="11"/>
        <v>SNFH1602575L20-1</v>
      </c>
      <c r="AT35" s="2" t="str">
        <f>IFERROR(IF(VLOOKUP(Y35,vlookup!$I$2:$J$9,1,0)=Y35,VLOOKUP(Y35,vlookup!$I$2:$J$9,2,0),PROPER(Y35)),PROPER(Y35))</f>
        <v>Deductible</v>
      </c>
      <c r="AU35" s="2" t="str">
        <f>IFERROR(IF(B35=VLOOKUP(B35,vlookup!$L$2:$L$10,1,0),"Yes","No"),"No")</f>
        <v>No</v>
      </c>
    </row>
    <row r="36" spans="1:47" x14ac:dyDescent="0.25">
      <c r="A36" t="s">
        <v>749</v>
      </c>
      <c r="B36" t="s">
        <v>750</v>
      </c>
      <c r="C36">
        <v>1</v>
      </c>
      <c r="D36">
        <v>1</v>
      </c>
      <c r="E36" t="s">
        <v>382</v>
      </c>
      <c r="F36" t="s">
        <v>346</v>
      </c>
      <c r="G36" t="s">
        <v>697</v>
      </c>
      <c r="H36" s="11" t="s">
        <v>704</v>
      </c>
      <c r="I36">
        <v>102575</v>
      </c>
      <c r="J36" s="22">
        <v>44162</v>
      </c>
      <c r="K36" s="22">
        <v>44202</v>
      </c>
      <c r="L36">
        <v>202012</v>
      </c>
      <c r="M36" s="22">
        <v>44166</v>
      </c>
      <c r="N36">
        <v>77871</v>
      </c>
      <c r="O36" t="s">
        <v>699</v>
      </c>
      <c r="P36" t="s">
        <v>712</v>
      </c>
      <c r="Q36" t="s">
        <v>612</v>
      </c>
      <c r="R36">
        <v>904088</v>
      </c>
      <c r="S36" s="22">
        <v>44307</v>
      </c>
      <c r="T36">
        <v>106443</v>
      </c>
      <c r="U36" t="s">
        <v>356</v>
      </c>
      <c r="V36" s="22">
        <v>44313</v>
      </c>
      <c r="W36" t="s">
        <v>709</v>
      </c>
      <c r="X36" t="s">
        <v>709</v>
      </c>
      <c r="Y36" t="s">
        <v>709</v>
      </c>
      <c r="Z36" t="s">
        <v>14</v>
      </c>
      <c r="AA36">
        <v>100</v>
      </c>
      <c r="AC36" s="2">
        <f t="shared" si="0"/>
        <v>2021</v>
      </c>
      <c r="AD36" s="2">
        <f t="shared" si="1"/>
        <v>4</v>
      </c>
      <c r="AE36" s="2">
        <f t="shared" si="2"/>
        <v>2020</v>
      </c>
      <c r="AF36" s="2">
        <f t="shared" si="3"/>
        <v>11</v>
      </c>
      <c r="AG36" s="2" t="str">
        <f>VLOOKUP(F36,vlookup!$A$2:$E$660,2,0)</f>
        <v>Retained</v>
      </c>
      <c r="AH36" s="2" t="str">
        <f>VLOOKUP(F36,vlookup!$A$2:$E$660,3,0)</f>
        <v>Service Contract</v>
      </c>
      <c r="AI36" s="2" t="str">
        <f>VLOOKUP(F36,vlookup!$A$2:$E$660,4,0)</f>
        <v>Used Car Programs</v>
      </c>
      <c r="AJ36" s="2" t="str">
        <f>VLOOKUP(F36,vlookup!$A$2:$E$660,5,0)</f>
        <v>High Mileage</v>
      </c>
      <c r="AK36" s="2"/>
      <c r="AL36" s="2">
        <f t="shared" si="4"/>
        <v>39</v>
      </c>
      <c r="AM36" s="2">
        <f t="shared" si="5"/>
        <v>150</v>
      </c>
      <c r="AN36" s="2">
        <f t="shared" si="6"/>
        <v>3868</v>
      </c>
      <c r="AO36" s="2" t="str">
        <f t="shared" si="7"/>
        <v/>
      </c>
      <c r="AP36" s="2" t="str">
        <f t="shared" si="8"/>
        <v/>
      </c>
      <c r="AQ36" s="2" t="str">
        <f t="shared" si="9"/>
        <v/>
      </c>
      <c r="AR36" s="2">
        <f t="shared" si="10"/>
        <v>100</v>
      </c>
      <c r="AS36" s="2" t="str">
        <f t="shared" si="11"/>
        <v>SDFBS584439K20-1</v>
      </c>
      <c r="AT36" s="2" t="str">
        <f>IFERROR(IF(VLOOKUP(Y36,vlookup!$I$2:$J$9,1,0)=Y36,VLOOKUP(Y36,vlookup!$I$2:$J$9,2,0),PROPER(Y36)),PROPER(Y36))</f>
        <v>Deductible</v>
      </c>
      <c r="AU36" s="2" t="str">
        <f>IFERROR(IF(B36=VLOOKUP(B36,vlookup!$L$2:$L$10,1,0),"Yes","No"),"No")</f>
        <v>No</v>
      </c>
    </row>
    <row r="37" spans="1:47" x14ac:dyDescent="0.25">
      <c r="A37" t="s">
        <v>749</v>
      </c>
      <c r="B37" t="s">
        <v>750</v>
      </c>
      <c r="C37">
        <v>2</v>
      </c>
      <c r="D37">
        <v>1</v>
      </c>
      <c r="E37" t="s">
        <v>382</v>
      </c>
      <c r="F37" t="s">
        <v>346</v>
      </c>
      <c r="G37" t="s">
        <v>697</v>
      </c>
      <c r="H37" s="11" t="s">
        <v>704</v>
      </c>
      <c r="I37">
        <v>102575</v>
      </c>
      <c r="J37" s="22">
        <v>44162</v>
      </c>
      <c r="K37" s="22">
        <v>44202</v>
      </c>
      <c r="L37">
        <v>202012</v>
      </c>
      <c r="M37" s="22">
        <v>44166</v>
      </c>
      <c r="N37">
        <v>77871</v>
      </c>
      <c r="O37" t="s">
        <v>699</v>
      </c>
      <c r="P37" t="s">
        <v>712</v>
      </c>
      <c r="Q37" t="s">
        <v>612</v>
      </c>
      <c r="R37">
        <v>907052</v>
      </c>
      <c r="S37" s="22">
        <v>44359</v>
      </c>
      <c r="T37">
        <v>107857</v>
      </c>
      <c r="U37" t="s">
        <v>356</v>
      </c>
      <c r="V37" s="22">
        <v>44372</v>
      </c>
      <c r="W37" t="s">
        <v>709</v>
      </c>
      <c r="X37" t="s">
        <v>709</v>
      </c>
      <c r="Y37" t="s">
        <v>709</v>
      </c>
      <c r="Z37" t="s">
        <v>14</v>
      </c>
      <c r="AA37">
        <v>100</v>
      </c>
      <c r="AC37" s="2">
        <f t="shared" si="0"/>
        <v>2021</v>
      </c>
      <c r="AD37" s="2">
        <f t="shared" si="1"/>
        <v>6</v>
      </c>
      <c r="AE37" s="2">
        <f t="shared" si="2"/>
        <v>2020</v>
      </c>
      <c r="AF37" s="2">
        <f t="shared" si="3"/>
        <v>11</v>
      </c>
      <c r="AG37" s="2" t="str">
        <f>VLOOKUP(F37,vlookup!$A$2:$E$660,2,0)</f>
        <v>Retained</v>
      </c>
      <c r="AH37" s="2" t="str">
        <f>VLOOKUP(F37,vlookup!$A$2:$E$660,3,0)</f>
        <v>Service Contract</v>
      </c>
      <c r="AI37" s="2" t="str">
        <f>VLOOKUP(F37,vlookup!$A$2:$E$660,4,0)</f>
        <v>Used Car Programs</v>
      </c>
      <c r="AJ37" s="2" t="str">
        <f>VLOOKUP(F37,vlookup!$A$2:$E$660,5,0)</f>
        <v>High Mileage</v>
      </c>
      <c r="AK37" s="2"/>
      <c r="AL37" s="2">
        <f t="shared" si="4"/>
        <v>39</v>
      </c>
      <c r="AM37" s="2">
        <f t="shared" si="5"/>
        <v>208</v>
      </c>
      <c r="AN37" s="2">
        <f t="shared" si="6"/>
        <v>5282</v>
      </c>
      <c r="AO37" s="2" t="str">
        <f t="shared" si="7"/>
        <v/>
      </c>
      <c r="AP37" s="2" t="str">
        <f t="shared" si="8"/>
        <v/>
      </c>
      <c r="AQ37" s="2" t="str">
        <f t="shared" si="9"/>
        <v/>
      </c>
      <c r="AR37" s="2">
        <f t="shared" si="10"/>
        <v>100</v>
      </c>
      <c r="AS37" s="2" t="str">
        <f t="shared" si="11"/>
        <v>SDFBS584439K20-2</v>
      </c>
      <c r="AT37" s="2" t="str">
        <f>IFERROR(IF(VLOOKUP(Y37,vlookup!$I$2:$J$9,1,0)=Y37,VLOOKUP(Y37,vlookup!$I$2:$J$9,2,0),PROPER(Y37)),PROPER(Y37))</f>
        <v>Deductible</v>
      </c>
      <c r="AU37" s="2" t="str">
        <f>IFERROR(IF(B37=VLOOKUP(B37,vlookup!$L$2:$L$10,1,0),"Yes","No"),"No")</f>
        <v>No</v>
      </c>
    </row>
    <row r="38" spans="1:47" x14ac:dyDescent="0.25">
      <c r="A38" t="s">
        <v>749</v>
      </c>
      <c r="B38" t="s">
        <v>750</v>
      </c>
      <c r="C38">
        <v>3</v>
      </c>
      <c r="D38">
        <v>1</v>
      </c>
      <c r="E38" t="s">
        <v>382</v>
      </c>
      <c r="F38" t="s">
        <v>346</v>
      </c>
      <c r="G38" t="s">
        <v>697</v>
      </c>
      <c r="H38" s="11" t="s">
        <v>704</v>
      </c>
      <c r="I38">
        <v>102575</v>
      </c>
      <c r="J38" s="22">
        <v>44162</v>
      </c>
      <c r="K38" s="22">
        <v>44202</v>
      </c>
      <c r="L38">
        <v>202012</v>
      </c>
      <c r="M38" s="22">
        <v>44166</v>
      </c>
      <c r="N38">
        <v>77871</v>
      </c>
      <c r="O38" t="s">
        <v>699</v>
      </c>
      <c r="P38" t="s">
        <v>712</v>
      </c>
      <c r="Q38" t="s">
        <v>612</v>
      </c>
      <c r="R38">
        <v>109121</v>
      </c>
      <c r="S38" s="22">
        <v>44575</v>
      </c>
      <c r="T38">
        <v>113199</v>
      </c>
      <c r="U38" t="s">
        <v>356</v>
      </c>
      <c r="V38" s="22">
        <v>44582</v>
      </c>
      <c r="W38" t="s">
        <v>709</v>
      </c>
      <c r="X38" t="s">
        <v>709</v>
      </c>
      <c r="Y38" t="s">
        <v>709</v>
      </c>
      <c r="Z38" t="s">
        <v>14</v>
      </c>
      <c r="AA38">
        <v>100</v>
      </c>
      <c r="AC38" s="2">
        <f t="shared" si="0"/>
        <v>2022</v>
      </c>
      <c r="AD38" s="2">
        <f t="shared" si="1"/>
        <v>1</v>
      </c>
      <c r="AE38" s="2">
        <f t="shared" si="2"/>
        <v>2020</v>
      </c>
      <c r="AF38" s="2">
        <f t="shared" si="3"/>
        <v>11</v>
      </c>
      <c r="AG38" s="2" t="str">
        <f>VLOOKUP(F38,vlookup!$A$2:$E$660,2,0)</f>
        <v>Retained</v>
      </c>
      <c r="AH38" s="2" t="str">
        <f>VLOOKUP(F38,vlookup!$A$2:$E$660,3,0)</f>
        <v>Service Contract</v>
      </c>
      <c r="AI38" s="2" t="str">
        <f>VLOOKUP(F38,vlookup!$A$2:$E$660,4,0)</f>
        <v>Used Car Programs</v>
      </c>
      <c r="AJ38" s="2" t="str">
        <f>VLOOKUP(F38,vlookup!$A$2:$E$660,5,0)</f>
        <v>High Mileage</v>
      </c>
      <c r="AK38" s="2"/>
      <c r="AL38" s="2">
        <f t="shared" si="4"/>
        <v>39</v>
      </c>
      <c r="AM38" s="2">
        <f t="shared" si="5"/>
        <v>414</v>
      </c>
      <c r="AN38" s="2">
        <f t="shared" si="6"/>
        <v>10624</v>
      </c>
      <c r="AO38" s="2" t="str">
        <f t="shared" si="7"/>
        <v/>
      </c>
      <c r="AP38" s="2" t="str">
        <f t="shared" si="8"/>
        <v/>
      </c>
      <c r="AQ38" s="2" t="str">
        <f t="shared" si="9"/>
        <v/>
      </c>
      <c r="AR38" s="2">
        <f t="shared" si="10"/>
        <v>100</v>
      </c>
      <c r="AS38" s="2" t="str">
        <f t="shared" si="11"/>
        <v>SDFBS584439K20-3</v>
      </c>
      <c r="AT38" s="2" t="str">
        <f>IFERROR(IF(VLOOKUP(Y38,vlookup!$I$2:$J$9,1,0)=Y38,VLOOKUP(Y38,vlookup!$I$2:$J$9,2,0),PROPER(Y38)),PROPER(Y38))</f>
        <v>Deductible</v>
      </c>
      <c r="AU38" s="2" t="str">
        <f>IFERROR(IF(B38=VLOOKUP(B38,vlookup!$L$2:$L$10,1,0),"Yes","No"),"No")</f>
        <v>No</v>
      </c>
    </row>
    <row r="39" spans="1:47" x14ac:dyDescent="0.25">
      <c r="A39" t="s">
        <v>751</v>
      </c>
      <c r="B39" t="s">
        <v>752</v>
      </c>
      <c r="C39">
        <v>1</v>
      </c>
      <c r="D39">
        <v>1</v>
      </c>
      <c r="E39" t="s">
        <v>382</v>
      </c>
      <c r="F39" t="s">
        <v>346</v>
      </c>
      <c r="G39" t="s">
        <v>697</v>
      </c>
      <c r="H39" s="11" t="s">
        <v>704</v>
      </c>
      <c r="I39">
        <v>51402</v>
      </c>
      <c r="J39" s="22">
        <v>44357</v>
      </c>
      <c r="K39" s="22">
        <v>44379</v>
      </c>
      <c r="L39">
        <v>202106</v>
      </c>
      <c r="M39" s="22">
        <v>44348</v>
      </c>
      <c r="N39">
        <v>77871</v>
      </c>
      <c r="O39" t="s">
        <v>699</v>
      </c>
      <c r="P39" t="s">
        <v>712</v>
      </c>
      <c r="Q39" t="s">
        <v>612</v>
      </c>
      <c r="R39">
        <v>103223</v>
      </c>
      <c r="S39" s="22">
        <v>44460</v>
      </c>
      <c r="T39">
        <v>52432</v>
      </c>
      <c r="U39" t="s">
        <v>356</v>
      </c>
      <c r="V39" s="22">
        <v>44462</v>
      </c>
      <c r="W39" t="s">
        <v>709</v>
      </c>
      <c r="X39" t="s">
        <v>709</v>
      </c>
      <c r="Y39" t="s">
        <v>709</v>
      </c>
      <c r="Z39" t="s">
        <v>14</v>
      </c>
      <c r="AA39">
        <v>100</v>
      </c>
      <c r="AC39" s="2">
        <f t="shared" si="0"/>
        <v>2021</v>
      </c>
      <c r="AD39" s="2">
        <f t="shared" si="1"/>
        <v>9</v>
      </c>
      <c r="AE39" s="2">
        <f t="shared" si="2"/>
        <v>2021</v>
      </c>
      <c r="AF39" s="2">
        <f t="shared" si="3"/>
        <v>6</v>
      </c>
      <c r="AG39" s="2" t="str">
        <f>VLOOKUP(F39,vlookup!$A$2:$E$660,2,0)</f>
        <v>Retained</v>
      </c>
      <c r="AH39" s="2" t="str">
        <f>VLOOKUP(F39,vlookup!$A$2:$E$660,3,0)</f>
        <v>Service Contract</v>
      </c>
      <c r="AI39" s="2" t="str">
        <f>VLOOKUP(F39,vlookup!$A$2:$E$660,4,0)</f>
        <v>Used Car Programs</v>
      </c>
      <c r="AJ39" s="2" t="str">
        <f>VLOOKUP(F39,vlookup!$A$2:$E$660,5,0)</f>
        <v>High Mileage</v>
      </c>
      <c r="AK39" s="2"/>
      <c r="AL39" s="2">
        <f t="shared" si="4"/>
        <v>22</v>
      </c>
      <c r="AM39" s="2">
        <f t="shared" si="5"/>
        <v>103</v>
      </c>
      <c r="AN39" s="2">
        <f t="shared" si="6"/>
        <v>1030</v>
      </c>
      <c r="AO39" s="2" t="str">
        <f t="shared" si="7"/>
        <v/>
      </c>
      <c r="AP39" s="2" t="str">
        <f t="shared" si="8"/>
        <v/>
      </c>
      <c r="AQ39" s="2" t="str">
        <f t="shared" si="9"/>
        <v/>
      </c>
      <c r="AR39" s="2">
        <f t="shared" si="10"/>
        <v>100</v>
      </c>
      <c r="AS39" s="2" t="str">
        <f t="shared" si="11"/>
        <v>SDFES576785F21-1</v>
      </c>
      <c r="AT39" s="2" t="str">
        <f>IFERROR(IF(VLOOKUP(Y39,vlookup!$I$2:$J$9,1,0)=Y39,VLOOKUP(Y39,vlookup!$I$2:$J$9,2,0),PROPER(Y39)),PROPER(Y39))</f>
        <v>Deductible</v>
      </c>
      <c r="AU39" s="2" t="str">
        <f>IFERROR(IF(B39=VLOOKUP(B39,vlookup!$L$2:$L$10,1,0),"Yes","No"),"No")</f>
        <v>No</v>
      </c>
    </row>
    <row r="40" spans="1:47" x14ac:dyDescent="0.25">
      <c r="A40" t="s">
        <v>753</v>
      </c>
      <c r="B40" t="s">
        <v>754</v>
      </c>
      <c r="C40">
        <v>1</v>
      </c>
      <c r="D40">
        <v>1</v>
      </c>
      <c r="E40" t="s">
        <v>382</v>
      </c>
      <c r="F40" t="s">
        <v>346</v>
      </c>
      <c r="G40" t="s">
        <v>683</v>
      </c>
      <c r="H40" s="11" t="s">
        <v>755</v>
      </c>
      <c r="I40">
        <v>51474</v>
      </c>
      <c r="J40" s="22">
        <v>44343</v>
      </c>
      <c r="K40" s="22">
        <v>44383</v>
      </c>
      <c r="L40">
        <v>202106</v>
      </c>
      <c r="M40" s="22">
        <v>44348</v>
      </c>
      <c r="N40">
        <v>77871</v>
      </c>
      <c r="O40" t="s">
        <v>699</v>
      </c>
      <c r="P40" t="s">
        <v>756</v>
      </c>
      <c r="Q40" t="s">
        <v>612</v>
      </c>
      <c r="R40">
        <v>25838</v>
      </c>
      <c r="S40" s="22">
        <v>44453</v>
      </c>
      <c r="T40">
        <v>56387</v>
      </c>
      <c r="U40" t="s">
        <v>357</v>
      </c>
      <c r="V40" s="22">
        <v>44496</v>
      </c>
      <c r="W40" t="s">
        <v>709</v>
      </c>
      <c r="X40" t="s">
        <v>709</v>
      </c>
      <c r="Y40" t="s">
        <v>709</v>
      </c>
      <c r="Z40" t="s">
        <v>14</v>
      </c>
      <c r="AA40">
        <v>100</v>
      </c>
      <c r="AC40" s="2">
        <f t="shared" si="0"/>
        <v>2021</v>
      </c>
      <c r="AD40" s="2">
        <f t="shared" si="1"/>
        <v>10</v>
      </c>
      <c r="AE40" s="2">
        <f t="shared" si="2"/>
        <v>2021</v>
      </c>
      <c r="AF40" s="2">
        <f t="shared" si="3"/>
        <v>5</v>
      </c>
      <c r="AG40" s="2" t="str">
        <f>VLOOKUP(F40,vlookup!$A$2:$E$660,2,0)</f>
        <v>Retained</v>
      </c>
      <c r="AH40" s="2" t="str">
        <f>VLOOKUP(F40,vlookup!$A$2:$E$660,3,0)</f>
        <v>Service Contract</v>
      </c>
      <c r="AI40" s="2" t="str">
        <f>VLOOKUP(F40,vlookup!$A$2:$E$660,4,0)</f>
        <v>Used Car Programs</v>
      </c>
      <c r="AJ40" s="2" t="str">
        <f>VLOOKUP(F40,vlookup!$A$2:$E$660,5,0)</f>
        <v>High Mileage</v>
      </c>
      <c r="AK40" s="2"/>
      <c r="AL40" s="2">
        <f t="shared" si="4"/>
        <v>39</v>
      </c>
      <c r="AM40" s="2">
        <f t="shared" si="5"/>
        <v>150</v>
      </c>
      <c r="AN40" s="2">
        <f t="shared" si="6"/>
        <v>4913</v>
      </c>
      <c r="AO40" s="2" t="str">
        <f t="shared" si="7"/>
        <v/>
      </c>
      <c r="AP40" s="2" t="str">
        <f t="shared" si="8"/>
        <v/>
      </c>
      <c r="AQ40" s="2" t="str">
        <f t="shared" si="9"/>
        <v/>
      </c>
      <c r="AR40" s="2">
        <f t="shared" si="10"/>
        <v>100</v>
      </c>
      <c r="AS40" s="2" t="str">
        <f t="shared" si="11"/>
        <v>SDFGB623095E21-1</v>
      </c>
      <c r="AT40" s="2" t="str">
        <f>IFERROR(IF(VLOOKUP(Y40,vlookup!$I$2:$J$9,1,0)=Y40,VLOOKUP(Y40,vlookup!$I$2:$J$9,2,0),PROPER(Y40)),PROPER(Y40))</f>
        <v>Deductible</v>
      </c>
      <c r="AU40" s="2" t="str">
        <f>IFERROR(IF(B40=VLOOKUP(B40,vlookup!$L$2:$L$10,1,0),"Yes","No"),"No")</f>
        <v>No</v>
      </c>
    </row>
    <row r="41" spans="1:47" x14ac:dyDescent="0.25">
      <c r="A41" t="s">
        <v>753</v>
      </c>
      <c r="B41" t="s">
        <v>754</v>
      </c>
      <c r="C41">
        <v>3</v>
      </c>
      <c r="D41">
        <v>1</v>
      </c>
      <c r="E41" t="s">
        <v>382</v>
      </c>
      <c r="F41" t="s">
        <v>346</v>
      </c>
      <c r="G41" t="s">
        <v>683</v>
      </c>
      <c r="H41" s="11" t="s">
        <v>755</v>
      </c>
      <c r="I41">
        <v>51474</v>
      </c>
      <c r="J41" s="22">
        <v>44343</v>
      </c>
      <c r="K41" s="22">
        <v>44383</v>
      </c>
      <c r="L41">
        <v>202106</v>
      </c>
      <c r="M41" s="22">
        <v>44348</v>
      </c>
      <c r="N41">
        <v>77871</v>
      </c>
      <c r="O41" t="s">
        <v>699</v>
      </c>
      <c r="P41" t="s">
        <v>746</v>
      </c>
      <c r="Q41" t="s">
        <v>544</v>
      </c>
      <c r="R41">
        <v>121325</v>
      </c>
      <c r="S41" s="22">
        <v>44825</v>
      </c>
      <c r="T41">
        <v>71996</v>
      </c>
      <c r="U41" t="s">
        <v>356</v>
      </c>
      <c r="V41" s="22">
        <v>44833</v>
      </c>
      <c r="W41" t="s">
        <v>709</v>
      </c>
      <c r="X41" t="s">
        <v>709</v>
      </c>
      <c r="Y41" t="s">
        <v>709</v>
      </c>
      <c r="Z41" t="s">
        <v>14</v>
      </c>
      <c r="AA41">
        <v>100</v>
      </c>
      <c r="AC41" s="2">
        <f t="shared" si="0"/>
        <v>2022</v>
      </c>
      <c r="AD41" s="2">
        <f t="shared" si="1"/>
        <v>9</v>
      </c>
      <c r="AE41" s="2">
        <f t="shared" si="2"/>
        <v>2021</v>
      </c>
      <c r="AF41" s="2">
        <f t="shared" si="3"/>
        <v>5</v>
      </c>
      <c r="AG41" s="2" t="str">
        <f>VLOOKUP(F41,vlookup!$A$2:$E$660,2,0)</f>
        <v>Retained</v>
      </c>
      <c r="AH41" s="2" t="str">
        <f>VLOOKUP(F41,vlookup!$A$2:$E$660,3,0)</f>
        <v>Service Contract</v>
      </c>
      <c r="AI41" s="2" t="str">
        <f>VLOOKUP(F41,vlookup!$A$2:$E$660,4,0)</f>
        <v>Used Car Programs</v>
      </c>
      <c r="AJ41" s="2" t="str">
        <f>VLOOKUP(F41,vlookup!$A$2:$E$660,5,0)</f>
        <v>High Mileage</v>
      </c>
      <c r="AK41" s="2"/>
      <c r="AL41" s="2">
        <f t="shared" si="4"/>
        <v>39</v>
      </c>
      <c r="AM41" s="2">
        <f t="shared" si="5"/>
        <v>482</v>
      </c>
      <c r="AN41" s="2">
        <f t="shared" si="6"/>
        <v>20522</v>
      </c>
      <c r="AO41" s="2" t="str">
        <f t="shared" si="7"/>
        <v/>
      </c>
      <c r="AP41" s="2" t="str">
        <f t="shared" si="8"/>
        <v/>
      </c>
      <c r="AQ41" s="2" t="str">
        <f t="shared" si="9"/>
        <v/>
      </c>
      <c r="AR41" s="2">
        <f t="shared" si="10"/>
        <v>100</v>
      </c>
      <c r="AS41" s="2" t="str">
        <f t="shared" si="11"/>
        <v>SDFGB623095E21-3</v>
      </c>
      <c r="AT41" s="2" t="str">
        <f>IFERROR(IF(VLOOKUP(Y41,vlookup!$I$2:$J$9,1,0)=Y41,VLOOKUP(Y41,vlookup!$I$2:$J$9,2,0),PROPER(Y41)),PROPER(Y41))</f>
        <v>Deductible</v>
      </c>
      <c r="AU41" s="2" t="str">
        <f>IFERROR(IF(B41=VLOOKUP(B41,vlookup!$L$2:$L$10,1,0),"Yes","No"),"No")</f>
        <v>No</v>
      </c>
    </row>
    <row r="42" spans="1:47" x14ac:dyDescent="0.25">
      <c r="A42" t="s">
        <v>757</v>
      </c>
      <c r="B42" t="s">
        <v>758</v>
      </c>
      <c r="C42">
        <v>2</v>
      </c>
      <c r="D42">
        <v>2</v>
      </c>
      <c r="E42" t="s">
        <v>382</v>
      </c>
      <c r="F42" t="s">
        <v>207</v>
      </c>
      <c r="G42" t="s">
        <v>683</v>
      </c>
      <c r="H42" s="11" t="s">
        <v>715</v>
      </c>
      <c r="I42">
        <v>114400</v>
      </c>
      <c r="J42" s="22">
        <v>44125</v>
      </c>
      <c r="K42" s="22">
        <v>44200</v>
      </c>
      <c r="L42">
        <v>202012</v>
      </c>
      <c r="M42" s="22">
        <v>44166</v>
      </c>
      <c r="N42">
        <v>77871</v>
      </c>
      <c r="O42" t="s">
        <v>699</v>
      </c>
      <c r="P42" t="s">
        <v>604</v>
      </c>
      <c r="Q42" t="s">
        <v>378</v>
      </c>
      <c r="R42">
        <v>111860201</v>
      </c>
      <c r="S42" s="22">
        <v>44547</v>
      </c>
      <c r="T42">
        <v>127000</v>
      </c>
      <c r="U42" t="s">
        <v>357</v>
      </c>
      <c r="V42" s="22">
        <v>44643</v>
      </c>
      <c r="W42" t="s">
        <v>607</v>
      </c>
      <c r="X42" t="s">
        <v>608</v>
      </c>
      <c r="Y42" t="s">
        <v>259</v>
      </c>
      <c r="Z42" t="s">
        <v>14</v>
      </c>
      <c r="AA42">
        <v>-16.25</v>
      </c>
      <c r="AC42" s="2">
        <f t="shared" si="0"/>
        <v>2022</v>
      </c>
      <c r="AD42" s="2">
        <f t="shared" si="1"/>
        <v>3</v>
      </c>
      <c r="AE42" s="2">
        <f t="shared" si="2"/>
        <v>2020</v>
      </c>
      <c r="AF42" s="2">
        <f t="shared" si="3"/>
        <v>10</v>
      </c>
      <c r="AG42" s="2" t="str">
        <f>VLOOKUP(F42,vlookup!$A$2:$E$660,2,0)</f>
        <v>Retained</v>
      </c>
      <c r="AH42" s="2" t="str">
        <f>VLOOKUP(F42,vlookup!$A$2:$E$660,3,0)</f>
        <v>Service Contract</v>
      </c>
      <c r="AI42" s="2" t="str">
        <f>VLOOKUP(F42,vlookup!$A$2:$E$660,4,0)</f>
        <v>Used Car Programs</v>
      </c>
      <c r="AJ42" s="2" t="str">
        <f>VLOOKUP(F42,vlookup!$A$2:$E$660,5,0)</f>
        <v>High Mileage</v>
      </c>
      <c r="AK42" s="2"/>
      <c r="AL42" s="2">
        <f t="shared" si="4"/>
        <v>73</v>
      </c>
      <c r="AM42" s="2">
        <f t="shared" si="5"/>
        <v>512</v>
      </c>
      <c r="AN42" s="2">
        <f t="shared" si="6"/>
        <v>12600</v>
      </c>
      <c r="AO42" s="2" t="str">
        <f t="shared" si="7"/>
        <v/>
      </c>
      <c r="AP42" s="2" t="str">
        <f t="shared" si="8"/>
        <v/>
      </c>
      <c r="AQ42" s="2" t="str">
        <f t="shared" si="9"/>
        <v/>
      </c>
      <c r="AR42" s="2">
        <f t="shared" si="10"/>
        <v>-16.25</v>
      </c>
      <c r="AS42" s="2" t="str">
        <f t="shared" si="11"/>
        <v>APC500213-2</v>
      </c>
      <c r="AT42" s="2" t="str">
        <f>IFERROR(IF(VLOOKUP(Y42,vlookup!$I$2:$J$9,1,0)=Y42,VLOOKUP(Y42,vlookup!$I$2:$J$9,2,0),PROPER(Y42)),PROPER(Y42))</f>
        <v>Towing &amp; Roadside</v>
      </c>
      <c r="AU42" s="2" t="str">
        <f>IFERROR(IF(B42=VLOOKUP(B42,vlookup!$L$2:$L$10,1,0),"Yes","No"),"No")</f>
        <v>No</v>
      </c>
    </row>
    <row r="43" spans="1:47" x14ac:dyDescent="0.25">
      <c r="A43" t="s">
        <v>713</v>
      </c>
      <c r="B43" t="s">
        <v>714</v>
      </c>
      <c r="C43">
        <v>2</v>
      </c>
      <c r="D43">
        <v>2</v>
      </c>
      <c r="E43" t="s">
        <v>382</v>
      </c>
      <c r="F43" t="s">
        <v>346</v>
      </c>
      <c r="G43" t="s">
        <v>683</v>
      </c>
      <c r="H43" s="11" t="s">
        <v>715</v>
      </c>
      <c r="I43">
        <v>68520</v>
      </c>
      <c r="J43" s="22">
        <v>44092</v>
      </c>
      <c r="K43" s="22">
        <v>44139</v>
      </c>
      <c r="L43">
        <v>202010</v>
      </c>
      <c r="M43" s="22">
        <v>44105</v>
      </c>
      <c r="N43">
        <v>77871</v>
      </c>
      <c r="O43" t="s">
        <v>699</v>
      </c>
      <c r="P43" t="s">
        <v>604</v>
      </c>
      <c r="Q43" t="s">
        <v>378</v>
      </c>
      <c r="R43">
        <v>823006987</v>
      </c>
      <c r="S43" s="22">
        <v>44439</v>
      </c>
      <c r="T43">
        <v>76403</v>
      </c>
      <c r="U43" t="s">
        <v>356</v>
      </c>
      <c r="V43" s="22">
        <v>44523</v>
      </c>
      <c r="W43" t="s">
        <v>607</v>
      </c>
      <c r="X43" t="s">
        <v>608</v>
      </c>
      <c r="Y43" t="s">
        <v>259</v>
      </c>
      <c r="Z43" t="s">
        <v>14</v>
      </c>
      <c r="AA43">
        <v>-16.25</v>
      </c>
      <c r="AC43" s="2">
        <f t="shared" si="0"/>
        <v>2021</v>
      </c>
      <c r="AD43" s="2">
        <f t="shared" si="1"/>
        <v>11</v>
      </c>
      <c r="AE43" s="2">
        <f t="shared" si="2"/>
        <v>2020</v>
      </c>
      <c r="AF43" s="2">
        <f t="shared" si="3"/>
        <v>9</v>
      </c>
      <c r="AG43" s="2" t="str">
        <f>VLOOKUP(F43,vlookup!$A$2:$E$660,2,0)</f>
        <v>Retained</v>
      </c>
      <c r="AH43" s="2" t="str">
        <f>VLOOKUP(F43,vlookup!$A$2:$E$660,3,0)</f>
        <v>Service Contract</v>
      </c>
      <c r="AI43" s="2" t="str">
        <f>VLOOKUP(F43,vlookup!$A$2:$E$660,4,0)</f>
        <v>Used Car Programs</v>
      </c>
      <c r="AJ43" s="2" t="str">
        <f>VLOOKUP(F43,vlookup!$A$2:$E$660,5,0)</f>
        <v>High Mileage</v>
      </c>
      <c r="AK43" s="2"/>
      <c r="AL43" s="2">
        <f t="shared" si="4"/>
        <v>46</v>
      </c>
      <c r="AM43" s="2">
        <f t="shared" si="5"/>
        <v>425</v>
      </c>
      <c r="AN43" s="2">
        <f t="shared" si="6"/>
        <v>7883</v>
      </c>
      <c r="AO43" s="2" t="str">
        <f t="shared" si="7"/>
        <v/>
      </c>
      <c r="AP43" s="2" t="str">
        <f t="shared" si="8"/>
        <v/>
      </c>
      <c r="AQ43" s="2" t="str">
        <f t="shared" si="9"/>
        <v/>
      </c>
      <c r="AR43" s="2">
        <f t="shared" si="10"/>
        <v>-16.25</v>
      </c>
      <c r="AS43" s="2" t="str">
        <f t="shared" si="11"/>
        <v>SDFBF369586I20-2</v>
      </c>
      <c r="AT43" s="2" t="str">
        <f>IFERROR(IF(VLOOKUP(Y43,vlookup!$I$2:$J$9,1,0)=Y43,VLOOKUP(Y43,vlookup!$I$2:$J$9,2,0),PROPER(Y43)),PROPER(Y43))</f>
        <v>Towing &amp; Roadside</v>
      </c>
      <c r="AU43" s="2" t="str">
        <f>IFERROR(IF(B43=VLOOKUP(B43,vlookup!$L$2:$L$10,1,0),"Yes","No"),"No")</f>
        <v>No</v>
      </c>
    </row>
    <row r="44" spans="1:47" x14ac:dyDescent="0.25">
      <c r="A44" t="s">
        <v>759</v>
      </c>
      <c r="B44" t="s">
        <v>760</v>
      </c>
      <c r="C44">
        <v>2</v>
      </c>
      <c r="D44">
        <v>2</v>
      </c>
      <c r="E44" t="s">
        <v>572</v>
      </c>
      <c r="F44" t="s">
        <v>207</v>
      </c>
      <c r="G44" t="s">
        <v>543</v>
      </c>
      <c r="H44" s="11" t="s">
        <v>609</v>
      </c>
      <c r="I44">
        <v>100055</v>
      </c>
      <c r="J44" s="22">
        <v>44275</v>
      </c>
      <c r="K44" s="22">
        <v>44342</v>
      </c>
      <c r="L44">
        <v>202105</v>
      </c>
      <c r="M44" s="22">
        <v>44317</v>
      </c>
      <c r="N44">
        <v>77871</v>
      </c>
      <c r="O44" t="s">
        <v>699</v>
      </c>
      <c r="P44" t="s">
        <v>604</v>
      </c>
      <c r="Q44" t="s">
        <v>378</v>
      </c>
      <c r="R44">
        <v>816810462</v>
      </c>
      <c r="S44" s="22">
        <v>44422</v>
      </c>
      <c r="T44">
        <v>102000</v>
      </c>
      <c r="U44" t="s">
        <v>357</v>
      </c>
      <c r="V44" s="22">
        <v>44586</v>
      </c>
      <c r="W44" t="s">
        <v>607</v>
      </c>
      <c r="X44" t="s">
        <v>608</v>
      </c>
      <c r="Y44" t="s">
        <v>259</v>
      </c>
      <c r="Z44" t="s">
        <v>14</v>
      </c>
      <c r="AA44">
        <v>-16.25</v>
      </c>
      <c r="AC44" s="2">
        <f t="shared" si="0"/>
        <v>2022</v>
      </c>
      <c r="AD44" s="2">
        <f t="shared" si="1"/>
        <v>1</v>
      </c>
      <c r="AE44" s="2">
        <f t="shared" si="2"/>
        <v>2021</v>
      </c>
      <c r="AF44" s="2">
        <f t="shared" si="3"/>
        <v>3</v>
      </c>
      <c r="AG44" s="2" t="str">
        <f>VLOOKUP(F44,vlookup!$A$2:$E$660,2,0)</f>
        <v>Retained</v>
      </c>
      <c r="AH44" s="2" t="str">
        <f>VLOOKUP(F44,vlookup!$A$2:$E$660,3,0)</f>
        <v>Service Contract</v>
      </c>
      <c r="AI44" s="2" t="str">
        <f>VLOOKUP(F44,vlookup!$A$2:$E$660,4,0)</f>
        <v>Used Car Programs</v>
      </c>
      <c r="AJ44" s="2" t="str">
        <f>VLOOKUP(F44,vlookup!$A$2:$E$660,5,0)</f>
        <v>High Mileage</v>
      </c>
      <c r="AK44" s="2"/>
      <c r="AL44" s="2">
        <f t="shared" si="4"/>
        <v>66</v>
      </c>
      <c r="AM44" s="2">
        <f t="shared" si="5"/>
        <v>305</v>
      </c>
      <c r="AN44" s="2">
        <f t="shared" si="6"/>
        <v>1945</v>
      </c>
      <c r="AO44" s="2" t="str">
        <f t="shared" si="7"/>
        <v/>
      </c>
      <c r="AP44" s="2" t="str">
        <f t="shared" si="8"/>
        <v/>
      </c>
      <c r="AQ44" s="2" t="str">
        <f t="shared" si="9"/>
        <v/>
      </c>
      <c r="AR44" s="2">
        <f t="shared" si="10"/>
        <v>-16.25</v>
      </c>
      <c r="AS44" s="2" t="str">
        <f t="shared" si="11"/>
        <v>APC500369-2</v>
      </c>
      <c r="AT44" s="2" t="str">
        <f>IFERROR(IF(VLOOKUP(Y44,vlookup!$I$2:$J$9,1,0)=Y44,VLOOKUP(Y44,vlookup!$I$2:$J$9,2,0),PROPER(Y44)),PROPER(Y44))</f>
        <v>Towing &amp; Roadside</v>
      </c>
      <c r="AU44" s="2" t="str">
        <f>IFERROR(IF(B44=VLOOKUP(B44,vlookup!$L$2:$L$10,1,0),"Yes","No"),"No")</f>
        <v>No</v>
      </c>
    </row>
    <row r="45" spans="1:47" x14ac:dyDescent="0.25">
      <c r="A45" t="s">
        <v>695</v>
      </c>
      <c r="B45" t="s">
        <v>696</v>
      </c>
      <c r="C45">
        <v>1</v>
      </c>
      <c r="D45">
        <v>2</v>
      </c>
      <c r="E45" t="s">
        <v>382</v>
      </c>
      <c r="F45" t="s">
        <v>207</v>
      </c>
      <c r="G45" t="s">
        <v>697</v>
      </c>
      <c r="H45" s="11" t="s">
        <v>698</v>
      </c>
      <c r="I45">
        <v>56598</v>
      </c>
      <c r="J45" s="22">
        <v>44119</v>
      </c>
      <c r="K45" s="22">
        <v>44200</v>
      </c>
      <c r="L45">
        <v>202012</v>
      </c>
      <c r="M45" s="22">
        <v>44166</v>
      </c>
      <c r="N45">
        <v>77871</v>
      </c>
      <c r="O45" t="s">
        <v>699</v>
      </c>
      <c r="P45" t="s">
        <v>604</v>
      </c>
      <c r="Q45" t="s">
        <v>378</v>
      </c>
      <c r="R45">
        <v>223851353</v>
      </c>
      <c r="S45" s="22">
        <v>44636</v>
      </c>
      <c r="T45">
        <v>75000</v>
      </c>
      <c r="U45" t="s">
        <v>357</v>
      </c>
      <c r="V45" s="22">
        <v>44736</v>
      </c>
      <c r="W45" t="s">
        <v>607</v>
      </c>
      <c r="X45" t="s">
        <v>608</v>
      </c>
      <c r="Y45" t="s">
        <v>259</v>
      </c>
      <c r="Z45" t="s">
        <v>14</v>
      </c>
      <c r="AA45">
        <v>-16.25</v>
      </c>
      <c r="AC45" s="2">
        <f t="shared" si="0"/>
        <v>2022</v>
      </c>
      <c r="AD45" s="2">
        <f t="shared" si="1"/>
        <v>6</v>
      </c>
      <c r="AE45" s="2">
        <f t="shared" si="2"/>
        <v>2020</v>
      </c>
      <c r="AF45" s="2">
        <f t="shared" si="3"/>
        <v>10</v>
      </c>
      <c r="AG45" s="2" t="str">
        <f>VLOOKUP(F45,vlookup!$A$2:$E$660,2,0)</f>
        <v>Retained</v>
      </c>
      <c r="AH45" s="2" t="str">
        <f>VLOOKUP(F45,vlookup!$A$2:$E$660,3,0)</f>
        <v>Service Contract</v>
      </c>
      <c r="AI45" s="2" t="str">
        <f>VLOOKUP(F45,vlookup!$A$2:$E$660,4,0)</f>
        <v>Used Car Programs</v>
      </c>
      <c r="AJ45" s="2" t="str">
        <f>VLOOKUP(F45,vlookup!$A$2:$E$660,5,0)</f>
        <v>High Mileage</v>
      </c>
      <c r="AK45" s="2"/>
      <c r="AL45" s="2">
        <f t="shared" si="4"/>
        <v>79</v>
      </c>
      <c r="AM45" s="2">
        <f t="shared" si="5"/>
        <v>609</v>
      </c>
      <c r="AN45" s="2">
        <f t="shared" si="6"/>
        <v>18402</v>
      </c>
      <c r="AO45" s="2" t="str">
        <f t="shared" si="7"/>
        <v/>
      </c>
      <c r="AP45" s="2" t="str">
        <f t="shared" si="8"/>
        <v/>
      </c>
      <c r="AQ45" s="2" t="str">
        <f t="shared" si="9"/>
        <v/>
      </c>
      <c r="AR45" s="2">
        <f t="shared" si="10"/>
        <v>-16.25</v>
      </c>
      <c r="AS45" s="2" t="str">
        <f t="shared" si="11"/>
        <v>APC500205-1</v>
      </c>
      <c r="AT45" s="2" t="str">
        <f>IFERROR(IF(VLOOKUP(Y45,vlookup!$I$2:$J$9,1,0)=Y45,VLOOKUP(Y45,vlookup!$I$2:$J$9,2,0),PROPER(Y45)),PROPER(Y45))</f>
        <v>Towing &amp; Roadside</v>
      </c>
      <c r="AU45" s="2" t="str">
        <f>IFERROR(IF(B45=VLOOKUP(B45,vlookup!$L$2:$L$10,1,0),"Yes","No"),"No")</f>
        <v>No</v>
      </c>
    </row>
    <row r="46" spans="1:47" x14ac:dyDescent="0.25">
      <c r="A46" t="s">
        <v>695</v>
      </c>
      <c r="B46" t="s">
        <v>696</v>
      </c>
      <c r="C46">
        <v>4</v>
      </c>
      <c r="D46">
        <v>2</v>
      </c>
      <c r="E46" t="s">
        <v>382</v>
      </c>
      <c r="F46" t="s">
        <v>207</v>
      </c>
      <c r="G46" t="s">
        <v>697</v>
      </c>
      <c r="H46" s="11" t="s">
        <v>698</v>
      </c>
      <c r="I46">
        <v>56598</v>
      </c>
      <c r="J46" s="22">
        <v>44119</v>
      </c>
      <c r="K46" s="22">
        <v>44200</v>
      </c>
      <c r="L46">
        <v>202012</v>
      </c>
      <c r="M46" s="22">
        <v>44166</v>
      </c>
      <c r="N46">
        <v>77871</v>
      </c>
      <c r="O46" t="s">
        <v>699</v>
      </c>
      <c r="P46" t="s">
        <v>604</v>
      </c>
      <c r="Q46" t="s">
        <v>378</v>
      </c>
      <c r="R46">
        <v>341649806</v>
      </c>
      <c r="S46" s="22">
        <v>44810</v>
      </c>
      <c r="T46">
        <v>75000</v>
      </c>
      <c r="U46" t="s">
        <v>357</v>
      </c>
      <c r="V46" s="22">
        <v>44872</v>
      </c>
      <c r="W46" t="s">
        <v>607</v>
      </c>
      <c r="X46" t="s">
        <v>608</v>
      </c>
      <c r="Y46" t="s">
        <v>259</v>
      </c>
      <c r="Z46" t="s">
        <v>14</v>
      </c>
      <c r="AA46">
        <v>-16.25</v>
      </c>
      <c r="AC46" s="2">
        <f t="shared" si="0"/>
        <v>2022</v>
      </c>
      <c r="AD46" s="2">
        <f t="shared" si="1"/>
        <v>11</v>
      </c>
      <c r="AE46" s="2">
        <f t="shared" si="2"/>
        <v>2020</v>
      </c>
      <c r="AF46" s="2">
        <f t="shared" si="3"/>
        <v>10</v>
      </c>
      <c r="AG46" s="2" t="str">
        <f>VLOOKUP(F46,vlookup!$A$2:$E$660,2,0)</f>
        <v>Retained</v>
      </c>
      <c r="AH46" s="2" t="str">
        <f>VLOOKUP(F46,vlookup!$A$2:$E$660,3,0)</f>
        <v>Service Contract</v>
      </c>
      <c r="AI46" s="2" t="str">
        <f>VLOOKUP(F46,vlookup!$A$2:$E$660,4,0)</f>
        <v>Used Car Programs</v>
      </c>
      <c r="AJ46" s="2" t="str">
        <f>VLOOKUP(F46,vlookup!$A$2:$E$660,5,0)</f>
        <v>High Mileage</v>
      </c>
      <c r="AK46" s="2"/>
      <c r="AL46" s="2">
        <f t="shared" si="4"/>
        <v>79</v>
      </c>
      <c r="AM46" s="2">
        <f t="shared" si="5"/>
        <v>742</v>
      </c>
      <c r="AN46" s="2">
        <f t="shared" si="6"/>
        <v>18402</v>
      </c>
      <c r="AO46" s="2" t="str">
        <f t="shared" si="7"/>
        <v/>
      </c>
      <c r="AP46" s="2" t="str">
        <f t="shared" si="8"/>
        <v/>
      </c>
      <c r="AQ46" s="2" t="str">
        <f t="shared" si="9"/>
        <v/>
      </c>
      <c r="AR46" s="2">
        <f t="shared" si="10"/>
        <v>-16.25</v>
      </c>
      <c r="AS46" s="2" t="str">
        <f t="shared" si="11"/>
        <v>APC500205-4</v>
      </c>
      <c r="AT46" s="2" t="str">
        <f>IFERROR(IF(VLOOKUP(Y46,vlookup!$I$2:$J$9,1,0)=Y46,VLOOKUP(Y46,vlookup!$I$2:$J$9,2,0),PROPER(Y46)),PROPER(Y46))</f>
        <v>Towing &amp; Roadside</v>
      </c>
      <c r="AU46" s="2" t="str">
        <f>IFERROR(IF(B46=VLOOKUP(B46,vlookup!$L$2:$L$10,1,0),"Yes","No"),"No")</f>
        <v>No</v>
      </c>
    </row>
    <row r="47" spans="1:47" x14ac:dyDescent="0.25">
      <c r="A47" t="s">
        <v>761</v>
      </c>
      <c r="B47" t="s">
        <v>762</v>
      </c>
      <c r="C47">
        <v>2</v>
      </c>
      <c r="D47">
        <v>2</v>
      </c>
      <c r="E47" t="s">
        <v>382</v>
      </c>
      <c r="F47" t="s">
        <v>207</v>
      </c>
      <c r="G47" t="s">
        <v>683</v>
      </c>
      <c r="H47" s="11" t="s">
        <v>715</v>
      </c>
      <c r="I47">
        <v>62972</v>
      </c>
      <c r="J47" s="22">
        <v>44124</v>
      </c>
      <c r="K47" s="22">
        <v>44188</v>
      </c>
      <c r="L47">
        <v>202012</v>
      </c>
      <c r="M47" s="22">
        <v>44166</v>
      </c>
      <c r="N47">
        <v>77871</v>
      </c>
      <c r="O47" t="s">
        <v>699</v>
      </c>
      <c r="P47" t="s">
        <v>604</v>
      </c>
      <c r="Q47" t="s">
        <v>378</v>
      </c>
      <c r="R47">
        <v>483716156</v>
      </c>
      <c r="S47" s="22">
        <v>44768</v>
      </c>
      <c r="T47">
        <v>50000</v>
      </c>
      <c r="U47" t="s">
        <v>357</v>
      </c>
      <c r="V47" s="22">
        <v>44817</v>
      </c>
      <c r="W47" t="s">
        <v>607</v>
      </c>
      <c r="X47" t="s">
        <v>608</v>
      </c>
      <c r="Y47" t="s">
        <v>259</v>
      </c>
      <c r="Z47" t="s">
        <v>14</v>
      </c>
      <c r="AA47">
        <v>-16.25</v>
      </c>
      <c r="AC47" s="2">
        <f t="shared" si="0"/>
        <v>2022</v>
      </c>
      <c r="AD47" s="2">
        <f t="shared" si="1"/>
        <v>9</v>
      </c>
      <c r="AE47" s="2">
        <f t="shared" si="2"/>
        <v>2020</v>
      </c>
      <c r="AF47" s="2">
        <f t="shared" si="3"/>
        <v>10</v>
      </c>
      <c r="AG47" s="2" t="str">
        <f>VLOOKUP(F47,vlookup!$A$2:$E$660,2,0)</f>
        <v>Retained</v>
      </c>
      <c r="AH47" s="2" t="str">
        <f>VLOOKUP(F47,vlookup!$A$2:$E$660,3,0)</f>
        <v>Service Contract</v>
      </c>
      <c r="AI47" s="2" t="str">
        <f>VLOOKUP(F47,vlookup!$A$2:$E$660,4,0)</f>
        <v>Used Car Programs</v>
      </c>
      <c r="AJ47" s="2" t="str">
        <f>VLOOKUP(F47,vlookup!$A$2:$E$660,5,0)</f>
        <v>High Mileage</v>
      </c>
      <c r="AK47" s="2"/>
      <c r="AL47" s="2">
        <f t="shared" si="4"/>
        <v>63</v>
      </c>
      <c r="AM47" s="2">
        <f t="shared" si="5"/>
        <v>683</v>
      </c>
      <c r="AN47" s="2" t="str">
        <f t="shared" si="6"/>
        <v/>
      </c>
      <c r="AO47" s="2" t="str">
        <f t="shared" si="7"/>
        <v/>
      </c>
      <c r="AP47" s="2" t="str">
        <f t="shared" si="8"/>
        <v/>
      </c>
      <c r="AQ47" s="2" t="str">
        <f t="shared" si="9"/>
        <v/>
      </c>
      <c r="AR47" s="2">
        <f t="shared" si="10"/>
        <v>-16.25</v>
      </c>
      <c r="AS47" s="2" t="str">
        <f t="shared" si="11"/>
        <v>APC500211-2</v>
      </c>
      <c r="AT47" s="2" t="str">
        <f>IFERROR(IF(VLOOKUP(Y47,vlookup!$I$2:$J$9,1,0)=Y47,VLOOKUP(Y47,vlookup!$I$2:$J$9,2,0),PROPER(Y47)),PROPER(Y47))</f>
        <v>Towing &amp; Roadside</v>
      </c>
      <c r="AU47" s="2" t="str">
        <f>IFERROR(IF(B47=VLOOKUP(B47,vlookup!$L$2:$L$10,1,0),"Yes","No"),"No")</f>
        <v>No</v>
      </c>
    </row>
    <row r="48" spans="1:47" x14ac:dyDescent="0.25">
      <c r="A48" t="s">
        <v>700</v>
      </c>
      <c r="B48" t="s">
        <v>701</v>
      </c>
      <c r="C48">
        <v>1</v>
      </c>
      <c r="D48">
        <v>2</v>
      </c>
      <c r="E48" t="s">
        <v>382</v>
      </c>
      <c r="F48" t="s">
        <v>191</v>
      </c>
      <c r="G48" t="s">
        <v>543</v>
      </c>
      <c r="H48" s="11" t="s">
        <v>602</v>
      </c>
      <c r="I48">
        <v>39001</v>
      </c>
      <c r="J48" s="22">
        <v>44211</v>
      </c>
      <c r="K48" s="22">
        <v>44271</v>
      </c>
      <c r="L48">
        <v>202103</v>
      </c>
      <c r="M48" s="22">
        <v>44256</v>
      </c>
      <c r="N48">
        <v>77871</v>
      </c>
      <c r="O48" t="s">
        <v>699</v>
      </c>
      <c r="P48" t="s">
        <v>604</v>
      </c>
      <c r="Q48" t="s">
        <v>378</v>
      </c>
      <c r="R48">
        <v>4105188</v>
      </c>
      <c r="S48" s="22">
        <v>44483</v>
      </c>
      <c r="T48">
        <v>4772</v>
      </c>
      <c r="U48" t="s">
        <v>357</v>
      </c>
      <c r="V48" s="22">
        <v>44586</v>
      </c>
      <c r="W48" t="s">
        <v>607</v>
      </c>
      <c r="X48" t="s">
        <v>608</v>
      </c>
      <c r="Y48" t="s">
        <v>259</v>
      </c>
      <c r="Z48" t="s">
        <v>14</v>
      </c>
      <c r="AA48">
        <v>-16.25</v>
      </c>
      <c r="AC48" s="2">
        <f t="shared" si="0"/>
        <v>2022</v>
      </c>
      <c r="AD48" s="2">
        <f t="shared" si="1"/>
        <v>1</v>
      </c>
      <c r="AE48" s="2">
        <f t="shared" si="2"/>
        <v>2021</v>
      </c>
      <c r="AF48" s="2">
        <f t="shared" si="3"/>
        <v>1</v>
      </c>
      <c r="AG48" s="2" t="str">
        <f>VLOOKUP(F48,vlookup!$A$2:$E$660,2,0)</f>
        <v>Retained</v>
      </c>
      <c r="AH48" s="2" t="str">
        <f>VLOOKUP(F48,vlookup!$A$2:$E$660,3,0)</f>
        <v>Service Contract</v>
      </c>
      <c r="AI48" s="2" t="str">
        <f>VLOOKUP(F48,vlookup!$A$2:$E$660,4,0)</f>
        <v>New Car Programs</v>
      </c>
      <c r="AJ48" s="2" t="str">
        <f>VLOOKUP(F48,vlookup!$A$2:$E$660,5,0)</f>
        <v>High Mileage</v>
      </c>
      <c r="AK48" s="2"/>
      <c r="AL48" s="2">
        <f t="shared" si="4"/>
        <v>61</v>
      </c>
      <c r="AM48" s="2">
        <f t="shared" si="5"/>
        <v>370</v>
      </c>
      <c r="AN48" s="2" t="str">
        <f t="shared" si="6"/>
        <v/>
      </c>
      <c r="AO48" s="2" t="str">
        <f t="shared" si="7"/>
        <v/>
      </c>
      <c r="AP48" s="2" t="str">
        <f t="shared" si="8"/>
        <v/>
      </c>
      <c r="AQ48" s="2" t="str">
        <f t="shared" si="9"/>
        <v/>
      </c>
      <c r="AR48" s="2">
        <f t="shared" si="10"/>
        <v>-16.25</v>
      </c>
      <c r="AS48" s="2" t="str">
        <f t="shared" si="11"/>
        <v>APC100174-1</v>
      </c>
      <c r="AT48" s="2" t="str">
        <f>IFERROR(IF(VLOOKUP(Y48,vlookup!$I$2:$J$9,1,0)=Y48,VLOOKUP(Y48,vlookup!$I$2:$J$9,2,0),PROPER(Y48)),PROPER(Y48))</f>
        <v>Towing &amp; Roadside</v>
      </c>
      <c r="AU48" s="2" t="str">
        <f>IFERROR(IF(B48=VLOOKUP(B48,vlookup!$L$2:$L$10,1,0),"Yes","No"),"No")</f>
        <v>No</v>
      </c>
    </row>
    <row r="49" spans="1:47" x14ac:dyDescent="0.25">
      <c r="A49" t="s">
        <v>700</v>
      </c>
      <c r="B49" t="s">
        <v>701</v>
      </c>
      <c r="C49">
        <v>1</v>
      </c>
      <c r="D49">
        <v>3</v>
      </c>
      <c r="E49" t="s">
        <v>382</v>
      </c>
      <c r="F49" t="s">
        <v>191</v>
      </c>
      <c r="G49" t="s">
        <v>543</v>
      </c>
      <c r="H49" s="11" t="s">
        <v>602</v>
      </c>
      <c r="I49">
        <v>39001</v>
      </c>
      <c r="J49" s="22">
        <v>44211</v>
      </c>
      <c r="K49" s="22">
        <v>44271</v>
      </c>
      <c r="L49">
        <v>202103</v>
      </c>
      <c r="M49" s="22">
        <v>44256</v>
      </c>
      <c r="N49">
        <v>77871</v>
      </c>
      <c r="O49" t="s">
        <v>699</v>
      </c>
      <c r="P49" t="s">
        <v>604</v>
      </c>
      <c r="Q49" t="s">
        <v>378</v>
      </c>
      <c r="R49">
        <v>751892736</v>
      </c>
      <c r="S49" s="22">
        <v>44483</v>
      </c>
      <c r="T49">
        <v>4772</v>
      </c>
      <c r="U49" t="s">
        <v>357</v>
      </c>
      <c r="V49" s="22">
        <v>44586</v>
      </c>
      <c r="W49" t="s">
        <v>607</v>
      </c>
      <c r="X49" t="s">
        <v>608</v>
      </c>
      <c r="Y49" t="s">
        <v>259</v>
      </c>
      <c r="Z49" t="s">
        <v>14</v>
      </c>
      <c r="AA49">
        <v>-16.25</v>
      </c>
      <c r="AC49" s="2">
        <f t="shared" si="0"/>
        <v>2022</v>
      </c>
      <c r="AD49" s="2">
        <f t="shared" si="1"/>
        <v>1</v>
      </c>
      <c r="AE49" s="2">
        <f t="shared" si="2"/>
        <v>2021</v>
      </c>
      <c r="AF49" s="2">
        <f t="shared" si="3"/>
        <v>1</v>
      </c>
      <c r="AG49" s="2" t="str">
        <f>VLOOKUP(F49,vlookup!$A$2:$E$660,2,0)</f>
        <v>Retained</v>
      </c>
      <c r="AH49" s="2" t="str">
        <f>VLOOKUP(F49,vlookup!$A$2:$E$660,3,0)</f>
        <v>Service Contract</v>
      </c>
      <c r="AI49" s="2" t="str">
        <f>VLOOKUP(F49,vlookup!$A$2:$E$660,4,0)</f>
        <v>New Car Programs</v>
      </c>
      <c r="AJ49" s="2" t="str">
        <f>VLOOKUP(F49,vlookup!$A$2:$E$660,5,0)</f>
        <v>High Mileage</v>
      </c>
      <c r="AK49" s="2"/>
      <c r="AL49" s="2">
        <f t="shared" si="4"/>
        <v>61</v>
      </c>
      <c r="AM49" s="2">
        <f t="shared" si="5"/>
        <v>370</v>
      </c>
      <c r="AN49" s="2" t="str">
        <f t="shared" si="6"/>
        <v/>
      </c>
      <c r="AO49" s="2" t="str">
        <f t="shared" si="7"/>
        <v/>
      </c>
      <c r="AP49" s="2" t="str">
        <f t="shared" si="8"/>
        <v/>
      </c>
      <c r="AQ49" s="2" t="str">
        <f t="shared" si="9"/>
        <v/>
      </c>
      <c r="AR49" s="2">
        <f t="shared" si="10"/>
        <v>-16.25</v>
      </c>
      <c r="AS49" s="2" t="str">
        <f t="shared" si="11"/>
        <v>APC100174-1</v>
      </c>
      <c r="AT49" s="2" t="str">
        <f>IFERROR(IF(VLOOKUP(Y49,vlookup!$I$2:$J$9,1,0)=Y49,VLOOKUP(Y49,vlookup!$I$2:$J$9,2,0),PROPER(Y49)),PROPER(Y49))</f>
        <v>Towing &amp; Roadside</v>
      </c>
      <c r="AU49" s="2" t="str">
        <f>IFERROR(IF(B49=VLOOKUP(B49,vlookup!$L$2:$L$10,1,0),"Yes","No"),"No")</f>
        <v>No</v>
      </c>
    </row>
    <row r="50" spans="1:47" x14ac:dyDescent="0.25">
      <c r="A50" t="s">
        <v>700</v>
      </c>
      <c r="B50" t="s">
        <v>701</v>
      </c>
      <c r="C50">
        <v>1</v>
      </c>
      <c r="D50">
        <v>4</v>
      </c>
      <c r="E50" t="s">
        <v>382</v>
      </c>
      <c r="F50" t="s">
        <v>191</v>
      </c>
      <c r="G50" t="s">
        <v>543</v>
      </c>
      <c r="H50" s="11" t="s">
        <v>602</v>
      </c>
      <c r="I50">
        <v>39001</v>
      </c>
      <c r="J50" s="22">
        <v>44211</v>
      </c>
      <c r="K50" s="22">
        <v>44271</v>
      </c>
      <c r="L50">
        <v>202103</v>
      </c>
      <c r="M50" s="22">
        <v>44256</v>
      </c>
      <c r="N50">
        <v>77871</v>
      </c>
      <c r="O50" t="s">
        <v>699</v>
      </c>
      <c r="P50" t="s">
        <v>604</v>
      </c>
      <c r="Q50" t="s">
        <v>378</v>
      </c>
      <c r="R50">
        <v>417075606</v>
      </c>
      <c r="S50" s="22">
        <v>44543</v>
      </c>
      <c r="T50">
        <v>47000</v>
      </c>
      <c r="U50" t="s">
        <v>357</v>
      </c>
      <c r="V50" s="22">
        <v>44628</v>
      </c>
      <c r="W50" t="s">
        <v>607</v>
      </c>
      <c r="X50" t="s">
        <v>608</v>
      </c>
      <c r="Y50" t="s">
        <v>259</v>
      </c>
      <c r="Z50" t="s">
        <v>14</v>
      </c>
      <c r="AA50">
        <v>-16.25</v>
      </c>
      <c r="AC50" s="2">
        <f t="shared" si="0"/>
        <v>2022</v>
      </c>
      <c r="AD50" s="2">
        <f t="shared" si="1"/>
        <v>3</v>
      </c>
      <c r="AE50" s="2">
        <f t="shared" si="2"/>
        <v>2021</v>
      </c>
      <c r="AF50" s="2">
        <f t="shared" si="3"/>
        <v>1</v>
      </c>
      <c r="AG50" s="2" t="str">
        <f>VLOOKUP(F50,vlookup!$A$2:$E$660,2,0)</f>
        <v>Retained</v>
      </c>
      <c r="AH50" s="2" t="str">
        <f>VLOOKUP(F50,vlookup!$A$2:$E$660,3,0)</f>
        <v>Service Contract</v>
      </c>
      <c r="AI50" s="2" t="str">
        <f>VLOOKUP(F50,vlookup!$A$2:$E$660,4,0)</f>
        <v>New Car Programs</v>
      </c>
      <c r="AJ50" s="2" t="str">
        <f>VLOOKUP(F50,vlookup!$A$2:$E$660,5,0)</f>
        <v>High Mileage</v>
      </c>
      <c r="AK50" s="2"/>
      <c r="AL50" s="2">
        <f t="shared" si="4"/>
        <v>61</v>
      </c>
      <c r="AM50" s="2">
        <f t="shared" si="5"/>
        <v>413</v>
      </c>
      <c r="AN50" s="2">
        <f t="shared" si="6"/>
        <v>7999</v>
      </c>
      <c r="AO50" s="2" t="str">
        <f t="shared" si="7"/>
        <v/>
      </c>
      <c r="AP50" s="2" t="str">
        <f t="shared" si="8"/>
        <v/>
      </c>
      <c r="AQ50" s="2" t="str">
        <f t="shared" si="9"/>
        <v/>
      </c>
      <c r="AR50" s="2">
        <f t="shared" si="10"/>
        <v>-16.25</v>
      </c>
      <c r="AS50" s="2" t="str">
        <f t="shared" si="11"/>
        <v>APC100174-1</v>
      </c>
      <c r="AT50" s="2" t="str">
        <f>IFERROR(IF(VLOOKUP(Y50,vlookup!$I$2:$J$9,1,0)=Y50,VLOOKUP(Y50,vlookup!$I$2:$J$9,2,0),PROPER(Y50)),PROPER(Y50))</f>
        <v>Towing &amp; Roadside</v>
      </c>
      <c r="AU50" s="2" t="str">
        <f>IFERROR(IF(B50=VLOOKUP(B50,vlookup!$L$2:$L$10,1,0),"Yes","No"),"No")</f>
        <v>No</v>
      </c>
    </row>
    <row r="51" spans="1:47" x14ac:dyDescent="0.25">
      <c r="A51" t="s">
        <v>702</v>
      </c>
      <c r="B51" t="s">
        <v>703</v>
      </c>
      <c r="C51">
        <v>1</v>
      </c>
      <c r="D51">
        <v>1</v>
      </c>
      <c r="E51" t="s">
        <v>382</v>
      </c>
      <c r="F51" t="s">
        <v>191</v>
      </c>
      <c r="G51" t="s">
        <v>697</v>
      </c>
      <c r="H51" s="11" t="s">
        <v>704</v>
      </c>
      <c r="I51">
        <v>33397</v>
      </c>
      <c r="J51" s="22">
        <v>44211</v>
      </c>
      <c r="K51" s="22">
        <v>44271</v>
      </c>
      <c r="L51">
        <v>202103</v>
      </c>
      <c r="M51" s="22">
        <v>44256</v>
      </c>
      <c r="N51">
        <v>77871</v>
      </c>
      <c r="O51" t="s">
        <v>699</v>
      </c>
      <c r="P51" t="s">
        <v>604</v>
      </c>
      <c r="Q51" t="s">
        <v>378</v>
      </c>
      <c r="R51">
        <v>729172489</v>
      </c>
      <c r="S51" s="22">
        <v>44319</v>
      </c>
      <c r="T51">
        <v>34000</v>
      </c>
      <c r="U51" t="s">
        <v>356</v>
      </c>
      <c r="V51" s="22">
        <v>44397</v>
      </c>
      <c r="W51" t="s">
        <v>607</v>
      </c>
      <c r="X51" t="s">
        <v>608</v>
      </c>
      <c r="Y51" t="s">
        <v>259</v>
      </c>
      <c r="Z51" t="s">
        <v>14</v>
      </c>
      <c r="AA51">
        <v>-16.25</v>
      </c>
      <c r="AC51" s="2">
        <f t="shared" si="0"/>
        <v>2021</v>
      </c>
      <c r="AD51" s="2">
        <f t="shared" si="1"/>
        <v>7</v>
      </c>
      <c r="AE51" s="2">
        <f t="shared" si="2"/>
        <v>2021</v>
      </c>
      <c r="AF51" s="2">
        <f t="shared" si="3"/>
        <v>1</v>
      </c>
      <c r="AG51" s="2" t="str">
        <f>VLOOKUP(F51,vlookup!$A$2:$E$660,2,0)</f>
        <v>Retained</v>
      </c>
      <c r="AH51" s="2" t="str">
        <f>VLOOKUP(F51,vlookup!$A$2:$E$660,3,0)</f>
        <v>Service Contract</v>
      </c>
      <c r="AI51" s="2" t="str">
        <f>VLOOKUP(F51,vlookup!$A$2:$E$660,4,0)</f>
        <v>New Car Programs</v>
      </c>
      <c r="AJ51" s="2" t="str">
        <f>VLOOKUP(F51,vlookup!$A$2:$E$660,5,0)</f>
        <v>High Mileage</v>
      </c>
      <c r="AK51" s="2"/>
      <c r="AL51" s="2">
        <f t="shared" si="4"/>
        <v>61</v>
      </c>
      <c r="AM51" s="2">
        <f t="shared" si="5"/>
        <v>185</v>
      </c>
      <c r="AN51" s="2">
        <f t="shared" si="6"/>
        <v>603</v>
      </c>
      <c r="AO51" s="2" t="str">
        <f t="shared" si="7"/>
        <v/>
      </c>
      <c r="AP51" s="2" t="str">
        <f t="shared" si="8"/>
        <v/>
      </c>
      <c r="AQ51" s="2" t="str">
        <f t="shared" si="9"/>
        <v/>
      </c>
      <c r="AR51" s="2">
        <f t="shared" si="10"/>
        <v>-16.25</v>
      </c>
      <c r="AS51" s="2" t="str">
        <f t="shared" si="11"/>
        <v>APC100175-1</v>
      </c>
      <c r="AT51" s="2" t="str">
        <f>IFERROR(IF(VLOOKUP(Y51,vlookup!$I$2:$J$9,1,0)=Y51,VLOOKUP(Y51,vlookup!$I$2:$J$9,2,0),PROPER(Y51)),PROPER(Y51))</f>
        <v>Towing &amp; Roadside</v>
      </c>
      <c r="AU51" s="2" t="str">
        <f>IFERROR(IF(B51=VLOOKUP(B51,vlookup!$L$2:$L$10,1,0),"Yes","No"),"No")</f>
        <v>No</v>
      </c>
    </row>
    <row r="52" spans="1:47" x14ac:dyDescent="0.25">
      <c r="A52" t="s">
        <v>723</v>
      </c>
      <c r="B52" t="s">
        <v>724</v>
      </c>
      <c r="C52">
        <v>1</v>
      </c>
      <c r="D52">
        <v>2</v>
      </c>
      <c r="E52" t="s">
        <v>382</v>
      </c>
      <c r="F52" t="s">
        <v>346</v>
      </c>
      <c r="G52" t="s">
        <v>30</v>
      </c>
      <c r="H52" s="11" t="s">
        <v>613</v>
      </c>
      <c r="I52">
        <v>125225</v>
      </c>
      <c r="J52" s="22">
        <v>44239</v>
      </c>
      <c r="K52" s="22">
        <v>44291</v>
      </c>
      <c r="L52">
        <v>202103</v>
      </c>
      <c r="M52" s="22">
        <v>44256</v>
      </c>
      <c r="N52">
        <v>77871</v>
      </c>
      <c r="O52" t="s">
        <v>699</v>
      </c>
      <c r="P52" t="s">
        <v>377</v>
      </c>
      <c r="Q52" t="s">
        <v>359</v>
      </c>
      <c r="R52">
        <v>84827034376</v>
      </c>
      <c r="S52" s="22">
        <v>44349</v>
      </c>
      <c r="T52">
        <v>125225</v>
      </c>
      <c r="U52" t="s">
        <v>357</v>
      </c>
      <c r="V52" s="22">
        <v>44357</v>
      </c>
      <c r="W52" t="s">
        <v>360</v>
      </c>
      <c r="X52" t="s">
        <v>361</v>
      </c>
      <c r="Y52" t="s">
        <v>361</v>
      </c>
      <c r="Z52" t="s">
        <v>14</v>
      </c>
      <c r="AA52">
        <v>-95</v>
      </c>
      <c r="AC52" s="2">
        <f t="shared" si="0"/>
        <v>2021</v>
      </c>
      <c r="AD52" s="2">
        <f t="shared" si="1"/>
        <v>6</v>
      </c>
      <c r="AE52" s="2">
        <f t="shared" si="2"/>
        <v>2021</v>
      </c>
      <c r="AF52" s="2">
        <f t="shared" si="3"/>
        <v>2</v>
      </c>
      <c r="AG52" s="2" t="str">
        <f>VLOOKUP(F52,vlookup!$A$2:$E$660,2,0)</f>
        <v>Retained</v>
      </c>
      <c r="AH52" s="2" t="str">
        <f>VLOOKUP(F52,vlookup!$A$2:$E$660,3,0)</f>
        <v>Service Contract</v>
      </c>
      <c r="AI52" s="2" t="str">
        <f>VLOOKUP(F52,vlookup!$A$2:$E$660,4,0)</f>
        <v>Used Car Programs</v>
      </c>
      <c r="AJ52" s="2" t="str">
        <f>VLOOKUP(F52,vlookup!$A$2:$E$660,5,0)</f>
        <v>High Mileage</v>
      </c>
      <c r="AK52" s="2"/>
      <c r="AL52" s="2">
        <f t="shared" si="4"/>
        <v>53</v>
      </c>
      <c r="AM52" s="2">
        <f t="shared" si="5"/>
        <v>118</v>
      </c>
      <c r="AN52" s="2" t="str">
        <f t="shared" si="6"/>
        <v/>
      </c>
      <c r="AO52" s="2" t="str">
        <f t="shared" si="7"/>
        <v/>
      </c>
      <c r="AP52" s="2" t="str">
        <f t="shared" si="8"/>
        <v/>
      </c>
      <c r="AQ52" s="2" t="str">
        <f t="shared" si="9"/>
        <v/>
      </c>
      <c r="AR52" s="2">
        <f t="shared" si="10"/>
        <v>-95</v>
      </c>
      <c r="AS52" s="2" t="str">
        <f t="shared" si="11"/>
        <v>SDF8J254834B21-1</v>
      </c>
      <c r="AT52" s="2" t="str">
        <f>IFERROR(IF(VLOOKUP(Y52,vlookup!$I$2:$J$9,1,0)=Y52,VLOOKUP(Y52,vlookup!$I$2:$J$9,2,0),PROPER(Y52)),PROPER(Y52))</f>
        <v>Inspection</v>
      </c>
      <c r="AU52" s="2" t="str">
        <f>IFERROR(IF(B52=VLOOKUP(B52,vlookup!$L$2:$L$10,1,0),"Yes","No"),"No")</f>
        <v>No</v>
      </c>
    </row>
    <row r="53" spans="1:47" x14ac:dyDescent="0.25">
      <c r="A53" t="s">
        <v>705</v>
      </c>
      <c r="B53" t="s">
        <v>706</v>
      </c>
      <c r="C53">
        <v>1</v>
      </c>
      <c r="D53">
        <v>1</v>
      </c>
      <c r="E53" t="s">
        <v>382</v>
      </c>
      <c r="F53" t="s">
        <v>503</v>
      </c>
      <c r="G53" t="s">
        <v>19</v>
      </c>
      <c r="H53" s="11" t="s">
        <v>707</v>
      </c>
      <c r="I53">
        <v>83193</v>
      </c>
      <c r="J53" s="22">
        <v>44657</v>
      </c>
      <c r="K53" s="22">
        <v>44707</v>
      </c>
      <c r="L53">
        <v>202205</v>
      </c>
      <c r="M53" s="22">
        <v>44682</v>
      </c>
      <c r="N53">
        <v>77871</v>
      </c>
      <c r="O53" t="s">
        <v>699</v>
      </c>
      <c r="P53" t="s">
        <v>708</v>
      </c>
      <c r="Q53" t="s">
        <v>612</v>
      </c>
      <c r="R53">
        <v>425604</v>
      </c>
      <c r="S53" s="22">
        <v>44740</v>
      </c>
      <c r="T53">
        <v>88867</v>
      </c>
      <c r="U53" t="s">
        <v>356</v>
      </c>
      <c r="V53" s="22">
        <v>44743</v>
      </c>
      <c r="W53" t="s">
        <v>648</v>
      </c>
      <c r="X53" t="s">
        <v>649</v>
      </c>
      <c r="Y53" t="s">
        <v>94</v>
      </c>
      <c r="Z53" t="s">
        <v>364</v>
      </c>
      <c r="AA53">
        <v>-536.41999999999996</v>
      </c>
      <c r="AC53" s="2">
        <f t="shared" si="0"/>
        <v>2022</v>
      </c>
      <c r="AD53" s="2">
        <f t="shared" si="1"/>
        <v>7</v>
      </c>
      <c r="AE53" s="2">
        <f t="shared" si="2"/>
        <v>2022</v>
      </c>
      <c r="AF53" s="2">
        <f t="shared" si="3"/>
        <v>4</v>
      </c>
      <c r="AG53" s="2" t="str">
        <f>VLOOKUP(F53,vlookup!$A$2:$E$660,2,0)</f>
        <v>Retained</v>
      </c>
      <c r="AH53" s="2" t="str">
        <f>VLOOKUP(F53,vlookup!$A$2:$E$660,3,0)</f>
        <v>Service Contract</v>
      </c>
      <c r="AI53" s="2" t="str">
        <f>VLOOKUP(F53,vlookup!$A$2:$E$660,4,0)</f>
        <v>Used Car Programs</v>
      </c>
      <c r="AJ53" s="2" t="str">
        <f>VLOOKUP(F53,vlookup!$A$2:$E$660,5,0)</f>
        <v>High Mileage</v>
      </c>
      <c r="AK53" s="2"/>
      <c r="AL53" s="2">
        <f t="shared" si="4"/>
        <v>50</v>
      </c>
      <c r="AM53" s="2">
        <f t="shared" si="5"/>
        <v>85</v>
      </c>
      <c r="AN53" s="2">
        <f t="shared" si="6"/>
        <v>5674</v>
      </c>
      <c r="AO53" s="2" t="str">
        <f t="shared" si="7"/>
        <v/>
      </c>
      <c r="AP53" s="2" t="str">
        <f t="shared" si="8"/>
        <v/>
      </c>
      <c r="AQ53" s="2">
        <f t="shared" si="9"/>
        <v>-536.41999999999996</v>
      </c>
      <c r="AR53" s="2" t="str">
        <f t="shared" si="10"/>
        <v/>
      </c>
      <c r="AS53" s="2" t="str">
        <f t="shared" si="11"/>
        <v>PTPFD311163D22-1</v>
      </c>
      <c r="AT53" s="2" t="str">
        <f>IFERROR(IF(VLOOKUP(Y53,vlookup!$I$2:$J$9,1,0)=Y53,VLOOKUP(Y53,vlookup!$I$2:$J$9,2,0),PROPER(Y53)),PROPER(Y53))</f>
        <v>Labor</v>
      </c>
      <c r="AU53" s="2" t="str">
        <f>IFERROR(IF(B53=VLOOKUP(B53,vlookup!$L$2:$L$10,1,0),"Yes","No"),"No")</f>
        <v>No</v>
      </c>
    </row>
    <row r="54" spans="1:47" x14ac:dyDescent="0.25">
      <c r="A54" t="s">
        <v>710</v>
      </c>
      <c r="B54" t="s">
        <v>711</v>
      </c>
      <c r="C54">
        <v>1</v>
      </c>
      <c r="D54">
        <v>1</v>
      </c>
      <c r="E54" t="s">
        <v>382</v>
      </c>
      <c r="F54" t="s">
        <v>346</v>
      </c>
      <c r="G54" t="s">
        <v>620</v>
      </c>
      <c r="H54" s="11">
        <v>1500</v>
      </c>
      <c r="I54">
        <v>99894</v>
      </c>
      <c r="J54" s="22">
        <v>44375</v>
      </c>
      <c r="K54" s="22">
        <v>44407</v>
      </c>
      <c r="L54">
        <v>202107</v>
      </c>
      <c r="M54" s="22">
        <v>44378</v>
      </c>
      <c r="N54">
        <v>77871</v>
      </c>
      <c r="O54" t="s">
        <v>699</v>
      </c>
      <c r="P54" t="s">
        <v>712</v>
      </c>
      <c r="Q54" t="s">
        <v>612</v>
      </c>
      <c r="R54">
        <v>115872</v>
      </c>
      <c r="S54" s="22">
        <v>44713</v>
      </c>
      <c r="T54">
        <v>119550</v>
      </c>
      <c r="U54" t="s">
        <v>356</v>
      </c>
      <c r="V54" s="22">
        <v>44713</v>
      </c>
      <c r="W54" t="s">
        <v>573</v>
      </c>
      <c r="X54" t="s">
        <v>574</v>
      </c>
      <c r="Y54" t="s">
        <v>94</v>
      </c>
      <c r="Z54" t="s">
        <v>575</v>
      </c>
      <c r="AA54">
        <v>-134.94999999999999</v>
      </c>
      <c r="AC54" s="2">
        <f t="shared" si="0"/>
        <v>2022</v>
      </c>
      <c r="AD54" s="2">
        <f t="shared" si="1"/>
        <v>6</v>
      </c>
      <c r="AE54" s="2">
        <f t="shared" si="2"/>
        <v>2021</v>
      </c>
      <c r="AF54" s="2">
        <f t="shared" si="3"/>
        <v>6</v>
      </c>
      <c r="AG54" s="2" t="str">
        <f>VLOOKUP(F54,vlookup!$A$2:$E$660,2,0)</f>
        <v>Retained</v>
      </c>
      <c r="AH54" s="2" t="str">
        <f>VLOOKUP(F54,vlookup!$A$2:$E$660,3,0)</f>
        <v>Service Contract</v>
      </c>
      <c r="AI54" s="2" t="str">
        <f>VLOOKUP(F54,vlookup!$A$2:$E$660,4,0)</f>
        <v>Used Car Programs</v>
      </c>
      <c r="AJ54" s="2" t="str">
        <f>VLOOKUP(F54,vlookup!$A$2:$E$660,5,0)</f>
        <v>High Mileage</v>
      </c>
      <c r="AK54" s="2"/>
      <c r="AL54" s="2">
        <f t="shared" si="4"/>
        <v>32</v>
      </c>
      <c r="AM54" s="2">
        <f t="shared" si="5"/>
        <v>333</v>
      </c>
      <c r="AN54" s="2">
        <f t="shared" si="6"/>
        <v>19656</v>
      </c>
      <c r="AO54" s="2" t="str">
        <f t="shared" si="7"/>
        <v/>
      </c>
      <c r="AP54" s="2" t="str">
        <f t="shared" si="8"/>
        <v/>
      </c>
      <c r="AQ54" s="2" t="str">
        <f t="shared" si="9"/>
        <v/>
      </c>
      <c r="AR54" s="2">
        <f t="shared" si="10"/>
        <v>-134.94999999999999</v>
      </c>
      <c r="AS54" s="2" t="str">
        <f t="shared" si="11"/>
        <v>SDFGS411937F21-1</v>
      </c>
      <c r="AT54" s="2" t="str">
        <f>IFERROR(IF(VLOOKUP(Y54,vlookup!$I$2:$J$9,1,0)=Y54,VLOOKUP(Y54,vlookup!$I$2:$J$9,2,0),PROPER(Y54)),PROPER(Y54))</f>
        <v>Labor</v>
      </c>
      <c r="AU54" s="2" t="str">
        <f>IFERROR(IF(B54=VLOOKUP(B54,vlookup!$L$2:$L$10,1,0),"Yes","No"),"No")</f>
        <v>No</v>
      </c>
    </row>
    <row r="55" spans="1:47" x14ac:dyDescent="0.25">
      <c r="A55" t="s">
        <v>710</v>
      </c>
      <c r="B55" t="s">
        <v>711</v>
      </c>
      <c r="C55">
        <v>1</v>
      </c>
      <c r="D55">
        <v>1</v>
      </c>
      <c r="E55" t="s">
        <v>382</v>
      </c>
      <c r="F55" t="s">
        <v>346</v>
      </c>
      <c r="G55" t="s">
        <v>620</v>
      </c>
      <c r="H55" s="11">
        <v>1500</v>
      </c>
      <c r="I55">
        <v>99894</v>
      </c>
      <c r="J55" s="22">
        <v>44375</v>
      </c>
      <c r="K55" s="22">
        <v>44407</v>
      </c>
      <c r="L55">
        <v>202107</v>
      </c>
      <c r="M55" s="22">
        <v>44378</v>
      </c>
      <c r="N55">
        <v>77871</v>
      </c>
      <c r="O55" t="s">
        <v>699</v>
      </c>
      <c r="P55" t="s">
        <v>712</v>
      </c>
      <c r="Q55" t="s">
        <v>612</v>
      </c>
      <c r="R55">
        <v>115872</v>
      </c>
      <c r="S55" s="22">
        <v>44713</v>
      </c>
      <c r="T55">
        <v>119550</v>
      </c>
      <c r="U55" t="s">
        <v>356</v>
      </c>
      <c r="V55" s="22">
        <v>44713</v>
      </c>
      <c r="W55" t="s">
        <v>763</v>
      </c>
      <c r="X55" t="s">
        <v>764</v>
      </c>
      <c r="Y55" t="s">
        <v>94</v>
      </c>
      <c r="Z55" t="s">
        <v>579</v>
      </c>
      <c r="AA55">
        <v>-158</v>
      </c>
      <c r="AC55" s="2">
        <f t="shared" si="0"/>
        <v>2022</v>
      </c>
      <c r="AD55" s="2">
        <f t="shared" si="1"/>
        <v>6</v>
      </c>
      <c r="AE55" s="2">
        <f t="shared" si="2"/>
        <v>2021</v>
      </c>
      <c r="AF55" s="2">
        <f t="shared" si="3"/>
        <v>6</v>
      </c>
      <c r="AG55" s="2" t="str">
        <f>VLOOKUP(F55,vlookup!$A$2:$E$660,2,0)</f>
        <v>Retained</v>
      </c>
      <c r="AH55" s="2" t="str">
        <f>VLOOKUP(F55,vlookup!$A$2:$E$660,3,0)</f>
        <v>Service Contract</v>
      </c>
      <c r="AI55" s="2" t="str">
        <f>VLOOKUP(F55,vlookup!$A$2:$E$660,4,0)</f>
        <v>Used Car Programs</v>
      </c>
      <c r="AJ55" s="2" t="str">
        <f>VLOOKUP(F55,vlookup!$A$2:$E$660,5,0)</f>
        <v>High Mileage</v>
      </c>
      <c r="AK55" s="2"/>
      <c r="AL55" s="2">
        <f t="shared" si="4"/>
        <v>32</v>
      </c>
      <c r="AM55" s="2">
        <f t="shared" si="5"/>
        <v>333</v>
      </c>
      <c r="AN55" s="2">
        <f t="shared" si="6"/>
        <v>19656</v>
      </c>
      <c r="AO55" s="2" t="str">
        <f t="shared" si="7"/>
        <v/>
      </c>
      <c r="AP55" s="2" t="str">
        <f t="shared" si="8"/>
        <v/>
      </c>
      <c r="AQ55" s="2" t="str">
        <f t="shared" si="9"/>
        <v/>
      </c>
      <c r="AR55" s="2">
        <f t="shared" si="10"/>
        <v>-158</v>
      </c>
      <c r="AS55" s="2" t="str">
        <f t="shared" si="11"/>
        <v>SDFGS411937F21-1</v>
      </c>
      <c r="AT55" s="2" t="str">
        <f>IFERROR(IF(VLOOKUP(Y55,vlookup!$I$2:$J$9,1,0)=Y55,VLOOKUP(Y55,vlookup!$I$2:$J$9,2,0),PROPER(Y55)),PROPER(Y55))</f>
        <v>Labor</v>
      </c>
      <c r="AU55" s="2" t="str">
        <f>IFERROR(IF(B55=VLOOKUP(B55,vlookup!$L$2:$L$10,1,0),"Yes","No"),"No")</f>
        <v>No</v>
      </c>
    </row>
    <row r="56" spans="1:47" x14ac:dyDescent="0.25">
      <c r="A56" t="s">
        <v>710</v>
      </c>
      <c r="B56" t="s">
        <v>711</v>
      </c>
      <c r="C56">
        <v>1</v>
      </c>
      <c r="D56">
        <v>1</v>
      </c>
      <c r="E56" t="s">
        <v>382</v>
      </c>
      <c r="F56" t="s">
        <v>346</v>
      </c>
      <c r="G56" t="s">
        <v>620</v>
      </c>
      <c r="H56" s="11">
        <v>1500</v>
      </c>
      <c r="I56">
        <v>99894</v>
      </c>
      <c r="J56" s="22">
        <v>44375</v>
      </c>
      <c r="K56" s="22">
        <v>44407</v>
      </c>
      <c r="L56">
        <v>202107</v>
      </c>
      <c r="M56" s="22">
        <v>44378</v>
      </c>
      <c r="N56">
        <v>77871</v>
      </c>
      <c r="O56" t="s">
        <v>699</v>
      </c>
      <c r="P56" t="s">
        <v>712</v>
      </c>
      <c r="Q56" t="s">
        <v>612</v>
      </c>
      <c r="R56">
        <v>115872</v>
      </c>
      <c r="S56" s="22">
        <v>44713</v>
      </c>
      <c r="T56">
        <v>119550</v>
      </c>
      <c r="U56" t="s">
        <v>356</v>
      </c>
      <c r="V56" s="22">
        <v>44713</v>
      </c>
      <c r="W56" t="s">
        <v>690</v>
      </c>
      <c r="X56" t="s">
        <v>691</v>
      </c>
      <c r="Y56" t="s">
        <v>94</v>
      </c>
      <c r="Z56" t="s">
        <v>579</v>
      </c>
      <c r="AA56">
        <v>-489.8</v>
      </c>
      <c r="AC56" s="2">
        <f t="shared" si="0"/>
        <v>2022</v>
      </c>
      <c r="AD56" s="2">
        <f t="shared" si="1"/>
        <v>6</v>
      </c>
      <c r="AE56" s="2">
        <f t="shared" si="2"/>
        <v>2021</v>
      </c>
      <c r="AF56" s="2">
        <f t="shared" si="3"/>
        <v>6</v>
      </c>
      <c r="AG56" s="2" t="str">
        <f>VLOOKUP(F56,vlookup!$A$2:$E$660,2,0)</f>
        <v>Retained</v>
      </c>
      <c r="AH56" s="2" t="str">
        <f>VLOOKUP(F56,vlookup!$A$2:$E$660,3,0)</f>
        <v>Service Contract</v>
      </c>
      <c r="AI56" s="2" t="str">
        <f>VLOOKUP(F56,vlookup!$A$2:$E$660,4,0)</f>
        <v>Used Car Programs</v>
      </c>
      <c r="AJ56" s="2" t="str">
        <f>VLOOKUP(F56,vlookup!$A$2:$E$660,5,0)</f>
        <v>High Mileage</v>
      </c>
      <c r="AK56" s="2"/>
      <c r="AL56" s="2">
        <f t="shared" si="4"/>
        <v>32</v>
      </c>
      <c r="AM56" s="2">
        <f t="shared" si="5"/>
        <v>333</v>
      </c>
      <c r="AN56" s="2">
        <f t="shared" si="6"/>
        <v>19656</v>
      </c>
      <c r="AO56" s="2" t="str">
        <f t="shared" si="7"/>
        <v/>
      </c>
      <c r="AP56" s="2" t="str">
        <f t="shared" si="8"/>
        <v/>
      </c>
      <c r="AQ56" s="2" t="str">
        <f t="shared" si="9"/>
        <v/>
      </c>
      <c r="AR56" s="2">
        <f t="shared" si="10"/>
        <v>-489.8</v>
      </c>
      <c r="AS56" s="2" t="str">
        <f t="shared" si="11"/>
        <v>SDFGS411937F21-1</v>
      </c>
      <c r="AT56" s="2" t="str">
        <f>IFERROR(IF(VLOOKUP(Y56,vlookup!$I$2:$J$9,1,0)=Y56,VLOOKUP(Y56,vlookup!$I$2:$J$9,2,0),PROPER(Y56)),PROPER(Y56))</f>
        <v>Labor</v>
      </c>
      <c r="AU56" s="2" t="str">
        <f>IFERROR(IF(B56=VLOOKUP(B56,vlookup!$L$2:$L$10,1,0),"Yes","No"),"No")</f>
        <v>No</v>
      </c>
    </row>
    <row r="57" spans="1:47" x14ac:dyDescent="0.25">
      <c r="A57" t="s">
        <v>710</v>
      </c>
      <c r="B57" t="s">
        <v>711</v>
      </c>
      <c r="C57">
        <v>2</v>
      </c>
      <c r="D57">
        <v>1</v>
      </c>
      <c r="E57" t="s">
        <v>382</v>
      </c>
      <c r="F57" t="s">
        <v>346</v>
      </c>
      <c r="G57" t="s">
        <v>620</v>
      </c>
      <c r="H57" s="11">
        <v>1500</v>
      </c>
      <c r="I57">
        <v>99894</v>
      </c>
      <c r="J57" s="22">
        <v>44375</v>
      </c>
      <c r="K57" s="22">
        <v>44407</v>
      </c>
      <c r="L57">
        <v>202107</v>
      </c>
      <c r="M57" s="22">
        <v>44378</v>
      </c>
      <c r="N57">
        <v>77871</v>
      </c>
      <c r="O57" t="s">
        <v>699</v>
      </c>
      <c r="P57" t="s">
        <v>712</v>
      </c>
      <c r="Q57" t="s">
        <v>612</v>
      </c>
      <c r="R57">
        <v>116079</v>
      </c>
      <c r="S57" s="22">
        <v>44718</v>
      </c>
      <c r="T57">
        <v>119711</v>
      </c>
      <c r="U57" t="s">
        <v>356</v>
      </c>
      <c r="V57" s="22">
        <v>44721</v>
      </c>
      <c r="W57" t="s">
        <v>765</v>
      </c>
      <c r="X57" t="s">
        <v>766</v>
      </c>
      <c r="Y57" t="s">
        <v>94</v>
      </c>
      <c r="Z57" t="s">
        <v>365</v>
      </c>
      <c r="AA57">
        <v>-347.6</v>
      </c>
      <c r="AC57" s="2">
        <f t="shared" si="0"/>
        <v>2022</v>
      </c>
      <c r="AD57" s="2">
        <f t="shared" si="1"/>
        <v>6</v>
      </c>
      <c r="AE57" s="2">
        <f t="shared" si="2"/>
        <v>2021</v>
      </c>
      <c r="AF57" s="2">
        <f t="shared" si="3"/>
        <v>6</v>
      </c>
      <c r="AG57" s="2" t="str">
        <f>VLOOKUP(F57,vlookup!$A$2:$E$660,2,0)</f>
        <v>Retained</v>
      </c>
      <c r="AH57" s="2" t="str">
        <f>VLOOKUP(F57,vlookup!$A$2:$E$660,3,0)</f>
        <v>Service Contract</v>
      </c>
      <c r="AI57" s="2" t="str">
        <f>VLOOKUP(F57,vlookup!$A$2:$E$660,4,0)</f>
        <v>Used Car Programs</v>
      </c>
      <c r="AJ57" s="2" t="str">
        <f>VLOOKUP(F57,vlookup!$A$2:$E$660,5,0)</f>
        <v>High Mileage</v>
      </c>
      <c r="AK57" s="2"/>
      <c r="AL57" s="2">
        <f t="shared" si="4"/>
        <v>32</v>
      </c>
      <c r="AM57" s="2">
        <f t="shared" si="5"/>
        <v>341</v>
      </c>
      <c r="AN57" s="2">
        <f t="shared" si="6"/>
        <v>19817</v>
      </c>
      <c r="AO57" s="2" t="str">
        <f t="shared" si="7"/>
        <v/>
      </c>
      <c r="AP57" s="2" t="str">
        <f t="shared" si="8"/>
        <v/>
      </c>
      <c r="AQ57" s="2" t="str">
        <f t="shared" si="9"/>
        <v/>
      </c>
      <c r="AR57" s="2">
        <f t="shared" si="10"/>
        <v>-347.6</v>
      </c>
      <c r="AS57" s="2" t="str">
        <f t="shared" si="11"/>
        <v>SDFGS411937F21-2</v>
      </c>
      <c r="AT57" s="2" t="str">
        <f>IFERROR(IF(VLOOKUP(Y57,vlookup!$I$2:$J$9,1,0)=Y57,VLOOKUP(Y57,vlookup!$I$2:$J$9,2,0),PROPER(Y57)),PROPER(Y57))</f>
        <v>Labor</v>
      </c>
      <c r="AU57" s="2" t="str">
        <f>IFERROR(IF(B57=VLOOKUP(B57,vlookup!$L$2:$L$10,1,0),"Yes","No"),"No")</f>
        <v>No</v>
      </c>
    </row>
    <row r="58" spans="1:47" x14ac:dyDescent="0.25">
      <c r="A58" t="s">
        <v>710</v>
      </c>
      <c r="B58" t="s">
        <v>711</v>
      </c>
      <c r="C58">
        <v>2</v>
      </c>
      <c r="D58">
        <v>1</v>
      </c>
      <c r="E58" t="s">
        <v>382</v>
      </c>
      <c r="F58" t="s">
        <v>346</v>
      </c>
      <c r="G58" t="s">
        <v>620</v>
      </c>
      <c r="H58" s="11">
        <v>1500</v>
      </c>
      <c r="I58">
        <v>99894</v>
      </c>
      <c r="J58" s="22">
        <v>44375</v>
      </c>
      <c r="K58" s="22">
        <v>44407</v>
      </c>
      <c r="L58">
        <v>202107</v>
      </c>
      <c r="M58" s="22">
        <v>44378</v>
      </c>
      <c r="N58">
        <v>77871</v>
      </c>
      <c r="O58" t="s">
        <v>699</v>
      </c>
      <c r="P58" t="s">
        <v>712</v>
      </c>
      <c r="Q58" t="s">
        <v>612</v>
      </c>
      <c r="R58">
        <v>116079</v>
      </c>
      <c r="S58" s="22">
        <v>44718</v>
      </c>
      <c r="T58">
        <v>119711</v>
      </c>
      <c r="U58" t="s">
        <v>356</v>
      </c>
      <c r="V58" s="22">
        <v>44721</v>
      </c>
      <c r="W58" t="s">
        <v>656</v>
      </c>
      <c r="X58" t="s">
        <v>657</v>
      </c>
      <c r="Y58" t="s">
        <v>94</v>
      </c>
      <c r="Z58" t="s">
        <v>579</v>
      </c>
      <c r="AA58">
        <v>-410.8</v>
      </c>
      <c r="AC58" s="2">
        <f t="shared" si="0"/>
        <v>2022</v>
      </c>
      <c r="AD58" s="2">
        <f t="shared" si="1"/>
        <v>6</v>
      </c>
      <c r="AE58" s="2">
        <f t="shared" si="2"/>
        <v>2021</v>
      </c>
      <c r="AF58" s="2">
        <f t="shared" si="3"/>
        <v>6</v>
      </c>
      <c r="AG58" s="2" t="str">
        <f>VLOOKUP(F58,vlookup!$A$2:$E$660,2,0)</f>
        <v>Retained</v>
      </c>
      <c r="AH58" s="2" t="str">
        <f>VLOOKUP(F58,vlookup!$A$2:$E$660,3,0)</f>
        <v>Service Contract</v>
      </c>
      <c r="AI58" s="2" t="str">
        <f>VLOOKUP(F58,vlookup!$A$2:$E$660,4,0)</f>
        <v>Used Car Programs</v>
      </c>
      <c r="AJ58" s="2" t="str">
        <f>VLOOKUP(F58,vlookup!$A$2:$E$660,5,0)</f>
        <v>High Mileage</v>
      </c>
      <c r="AK58" s="2"/>
      <c r="AL58" s="2">
        <f t="shared" si="4"/>
        <v>32</v>
      </c>
      <c r="AM58" s="2">
        <f t="shared" si="5"/>
        <v>341</v>
      </c>
      <c r="AN58" s="2">
        <f t="shared" si="6"/>
        <v>19817</v>
      </c>
      <c r="AO58" s="2" t="str">
        <f t="shared" si="7"/>
        <v/>
      </c>
      <c r="AP58" s="2" t="str">
        <f t="shared" si="8"/>
        <v/>
      </c>
      <c r="AQ58" s="2" t="str">
        <f t="shared" si="9"/>
        <v/>
      </c>
      <c r="AR58" s="2">
        <f t="shared" si="10"/>
        <v>-410.8</v>
      </c>
      <c r="AS58" s="2" t="str">
        <f t="shared" si="11"/>
        <v>SDFGS411937F21-2</v>
      </c>
      <c r="AT58" s="2" t="str">
        <f>IFERROR(IF(VLOOKUP(Y58,vlookup!$I$2:$J$9,1,0)=Y58,VLOOKUP(Y58,vlookup!$I$2:$J$9,2,0),PROPER(Y58)),PROPER(Y58))</f>
        <v>Labor</v>
      </c>
      <c r="AU58" s="2" t="str">
        <f>IFERROR(IF(B58=VLOOKUP(B58,vlookup!$L$2:$L$10,1,0),"Yes","No"),"No")</f>
        <v>No</v>
      </c>
    </row>
    <row r="59" spans="1:47" x14ac:dyDescent="0.25">
      <c r="A59" t="s">
        <v>710</v>
      </c>
      <c r="B59" t="s">
        <v>711</v>
      </c>
      <c r="C59">
        <v>3</v>
      </c>
      <c r="D59">
        <v>1</v>
      </c>
      <c r="E59" t="s">
        <v>382</v>
      </c>
      <c r="F59" t="s">
        <v>346</v>
      </c>
      <c r="G59" t="s">
        <v>620</v>
      </c>
      <c r="H59" s="11">
        <v>1500</v>
      </c>
      <c r="I59">
        <v>99894</v>
      </c>
      <c r="J59" s="22">
        <v>44375</v>
      </c>
      <c r="K59" s="22">
        <v>44407</v>
      </c>
      <c r="L59">
        <v>202107</v>
      </c>
      <c r="M59" s="22">
        <v>44378</v>
      </c>
      <c r="N59">
        <v>77871</v>
      </c>
      <c r="O59" t="s">
        <v>699</v>
      </c>
      <c r="P59" t="s">
        <v>712</v>
      </c>
      <c r="Q59" t="s">
        <v>612</v>
      </c>
      <c r="R59">
        <v>122768</v>
      </c>
      <c r="S59" s="22">
        <v>44853</v>
      </c>
      <c r="T59">
        <v>127487</v>
      </c>
      <c r="U59" t="s">
        <v>356</v>
      </c>
      <c r="V59" s="22">
        <v>44872</v>
      </c>
      <c r="W59" t="s">
        <v>631</v>
      </c>
      <c r="X59" t="s">
        <v>632</v>
      </c>
      <c r="Y59" t="s">
        <v>94</v>
      </c>
      <c r="Z59" t="s">
        <v>576</v>
      </c>
      <c r="AA59">
        <v>-584.6</v>
      </c>
      <c r="AC59" s="2">
        <f t="shared" si="0"/>
        <v>2022</v>
      </c>
      <c r="AD59" s="2">
        <f t="shared" si="1"/>
        <v>11</v>
      </c>
      <c r="AE59" s="2">
        <f t="shared" si="2"/>
        <v>2021</v>
      </c>
      <c r="AF59" s="2">
        <f t="shared" si="3"/>
        <v>6</v>
      </c>
      <c r="AG59" s="2" t="str">
        <f>VLOOKUP(F59,vlookup!$A$2:$E$660,2,0)</f>
        <v>Retained</v>
      </c>
      <c r="AH59" s="2" t="str">
        <f>VLOOKUP(F59,vlookup!$A$2:$E$660,3,0)</f>
        <v>Service Contract</v>
      </c>
      <c r="AI59" s="2" t="str">
        <f>VLOOKUP(F59,vlookup!$A$2:$E$660,4,0)</f>
        <v>Used Car Programs</v>
      </c>
      <c r="AJ59" s="2" t="str">
        <f>VLOOKUP(F59,vlookup!$A$2:$E$660,5,0)</f>
        <v>High Mileage</v>
      </c>
      <c r="AK59" s="2"/>
      <c r="AL59" s="2">
        <f t="shared" si="4"/>
        <v>32</v>
      </c>
      <c r="AM59" s="2">
        <f t="shared" si="5"/>
        <v>489</v>
      </c>
      <c r="AN59" s="2">
        <f t="shared" si="6"/>
        <v>27593</v>
      </c>
      <c r="AO59" s="2" t="str">
        <f t="shared" si="7"/>
        <v/>
      </c>
      <c r="AP59" s="2" t="str">
        <f t="shared" si="8"/>
        <v/>
      </c>
      <c r="AQ59" s="2" t="str">
        <f t="shared" si="9"/>
        <v/>
      </c>
      <c r="AR59" s="2">
        <f t="shared" si="10"/>
        <v>-584.6</v>
      </c>
      <c r="AS59" s="2" t="str">
        <f t="shared" si="11"/>
        <v>SDFGS411937F21-3</v>
      </c>
      <c r="AT59" s="2" t="str">
        <f>IFERROR(IF(VLOOKUP(Y59,vlookup!$I$2:$J$9,1,0)=Y59,VLOOKUP(Y59,vlookup!$I$2:$J$9,2,0),PROPER(Y59)),PROPER(Y59))</f>
        <v>Labor</v>
      </c>
      <c r="AU59" s="2" t="str">
        <f>IFERROR(IF(B59=VLOOKUP(B59,vlookup!$L$2:$L$10,1,0),"Yes","No"),"No")</f>
        <v>No</v>
      </c>
    </row>
    <row r="60" spans="1:47" x14ac:dyDescent="0.25">
      <c r="A60" t="s">
        <v>710</v>
      </c>
      <c r="B60" t="s">
        <v>711</v>
      </c>
      <c r="C60">
        <v>4</v>
      </c>
      <c r="D60">
        <v>1</v>
      </c>
      <c r="E60" t="s">
        <v>382</v>
      </c>
      <c r="F60" t="s">
        <v>346</v>
      </c>
      <c r="G60" t="s">
        <v>620</v>
      </c>
      <c r="H60" s="11">
        <v>1500</v>
      </c>
      <c r="I60">
        <v>99894</v>
      </c>
      <c r="J60" s="22">
        <v>44375</v>
      </c>
      <c r="K60" s="22">
        <v>44407</v>
      </c>
      <c r="L60">
        <v>202107</v>
      </c>
      <c r="M60" s="22">
        <v>44378</v>
      </c>
      <c r="N60">
        <v>77871</v>
      </c>
      <c r="O60" t="s">
        <v>699</v>
      </c>
      <c r="P60" t="s">
        <v>712</v>
      </c>
      <c r="Q60" t="s">
        <v>612</v>
      </c>
      <c r="R60">
        <v>123975</v>
      </c>
      <c r="S60" s="22">
        <v>44876</v>
      </c>
      <c r="T60">
        <v>128913</v>
      </c>
      <c r="U60" t="s">
        <v>356</v>
      </c>
      <c r="V60" s="22">
        <v>44886</v>
      </c>
      <c r="W60" t="s">
        <v>573</v>
      </c>
      <c r="X60" t="s">
        <v>574</v>
      </c>
      <c r="Y60" t="s">
        <v>94</v>
      </c>
      <c r="Z60" t="s">
        <v>575</v>
      </c>
      <c r="AA60">
        <v>-134.94999999999999</v>
      </c>
      <c r="AC60" s="2">
        <f t="shared" si="0"/>
        <v>2022</v>
      </c>
      <c r="AD60" s="2">
        <f t="shared" si="1"/>
        <v>11</v>
      </c>
      <c r="AE60" s="2">
        <f t="shared" si="2"/>
        <v>2021</v>
      </c>
      <c r="AF60" s="2">
        <f t="shared" si="3"/>
        <v>6</v>
      </c>
      <c r="AG60" s="2" t="str">
        <f>VLOOKUP(F60,vlookup!$A$2:$E$660,2,0)</f>
        <v>Retained</v>
      </c>
      <c r="AH60" s="2" t="str">
        <f>VLOOKUP(F60,vlookup!$A$2:$E$660,3,0)</f>
        <v>Service Contract</v>
      </c>
      <c r="AI60" s="2" t="str">
        <f>VLOOKUP(F60,vlookup!$A$2:$E$660,4,0)</f>
        <v>Used Car Programs</v>
      </c>
      <c r="AJ60" s="2" t="str">
        <f>VLOOKUP(F60,vlookup!$A$2:$E$660,5,0)</f>
        <v>High Mileage</v>
      </c>
      <c r="AK60" s="2"/>
      <c r="AL60" s="2">
        <f t="shared" si="4"/>
        <v>32</v>
      </c>
      <c r="AM60" s="2">
        <f t="shared" si="5"/>
        <v>503</v>
      </c>
      <c r="AN60" s="2">
        <f t="shared" si="6"/>
        <v>29019</v>
      </c>
      <c r="AO60" s="2" t="str">
        <f t="shared" si="7"/>
        <v/>
      </c>
      <c r="AP60" s="2" t="str">
        <f t="shared" si="8"/>
        <v/>
      </c>
      <c r="AQ60" s="2" t="str">
        <f t="shared" si="9"/>
        <v/>
      </c>
      <c r="AR60" s="2">
        <f t="shared" si="10"/>
        <v>-134.94999999999999</v>
      </c>
      <c r="AS60" s="2" t="str">
        <f t="shared" si="11"/>
        <v>SDFGS411937F21-4</v>
      </c>
      <c r="AT60" s="2" t="str">
        <f>IFERROR(IF(VLOOKUP(Y60,vlookup!$I$2:$J$9,1,0)=Y60,VLOOKUP(Y60,vlookup!$I$2:$J$9,2,0),PROPER(Y60)),PROPER(Y60))</f>
        <v>Labor</v>
      </c>
      <c r="AU60" s="2" t="str">
        <f>IFERROR(IF(B60=VLOOKUP(B60,vlookup!$L$2:$L$10,1,0),"Yes","No"),"No")</f>
        <v>No</v>
      </c>
    </row>
    <row r="61" spans="1:47" x14ac:dyDescent="0.25">
      <c r="A61" t="s">
        <v>710</v>
      </c>
      <c r="B61" t="s">
        <v>711</v>
      </c>
      <c r="C61">
        <v>4</v>
      </c>
      <c r="D61">
        <v>1</v>
      </c>
      <c r="E61" t="s">
        <v>382</v>
      </c>
      <c r="F61" t="s">
        <v>346</v>
      </c>
      <c r="G61" t="s">
        <v>620</v>
      </c>
      <c r="H61" s="11">
        <v>1500</v>
      </c>
      <c r="I61">
        <v>99894</v>
      </c>
      <c r="J61" s="22">
        <v>44375</v>
      </c>
      <c r="K61" s="22">
        <v>44407</v>
      </c>
      <c r="L61">
        <v>202107</v>
      </c>
      <c r="M61" s="22">
        <v>44378</v>
      </c>
      <c r="N61">
        <v>77871</v>
      </c>
      <c r="O61" t="s">
        <v>699</v>
      </c>
      <c r="P61" t="s">
        <v>712</v>
      </c>
      <c r="Q61" t="s">
        <v>612</v>
      </c>
      <c r="R61">
        <v>123975</v>
      </c>
      <c r="S61" s="22">
        <v>44876</v>
      </c>
      <c r="T61">
        <v>128913</v>
      </c>
      <c r="U61" t="s">
        <v>356</v>
      </c>
      <c r="V61" s="22">
        <v>44886</v>
      </c>
      <c r="W61" t="s">
        <v>767</v>
      </c>
      <c r="X61" t="s">
        <v>768</v>
      </c>
      <c r="Y61" t="s">
        <v>94</v>
      </c>
      <c r="Z61" t="s">
        <v>579</v>
      </c>
      <c r="AA61">
        <v>-742.6</v>
      </c>
      <c r="AC61" s="2">
        <f t="shared" si="0"/>
        <v>2022</v>
      </c>
      <c r="AD61" s="2">
        <f t="shared" si="1"/>
        <v>11</v>
      </c>
      <c r="AE61" s="2">
        <f t="shared" si="2"/>
        <v>2021</v>
      </c>
      <c r="AF61" s="2">
        <f t="shared" si="3"/>
        <v>6</v>
      </c>
      <c r="AG61" s="2" t="str">
        <f>VLOOKUP(F61,vlookup!$A$2:$E$660,2,0)</f>
        <v>Retained</v>
      </c>
      <c r="AH61" s="2" t="str">
        <f>VLOOKUP(F61,vlookup!$A$2:$E$660,3,0)</f>
        <v>Service Contract</v>
      </c>
      <c r="AI61" s="2" t="str">
        <f>VLOOKUP(F61,vlookup!$A$2:$E$660,4,0)</f>
        <v>Used Car Programs</v>
      </c>
      <c r="AJ61" s="2" t="str">
        <f>VLOOKUP(F61,vlookup!$A$2:$E$660,5,0)</f>
        <v>High Mileage</v>
      </c>
      <c r="AK61" s="2"/>
      <c r="AL61" s="2">
        <f t="shared" si="4"/>
        <v>32</v>
      </c>
      <c r="AM61" s="2">
        <f t="shared" si="5"/>
        <v>503</v>
      </c>
      <c r="AN61" s="2">
        <f t="shared" si="6"/>
        <v>29019</v>
      </c>
      <c r="AO61" s="2" t="str">
        <f t="shared" si="7"/>
        <v/>
      </c>
      <c r="AP61" s="2" t="str">
        <f t="shared" si="8"/>
        <v/>
      </c>
      <c r="AQ61" s="2" t="str">
        <f t="shared" si="9"/>
        <v/>
      </c>
      <c r="AR61" s="2">
        <f t="shared" si="10"/>
        <v>-742.6</v>
      </c>
      <c r="AS61" s="2" t="str">
        <f t="shared" si="11"/>
        <v>SDFGS411937F21-4</v>
      </c>
      <c r="AT61" s="2" t="str">
        <f>IFERROR(IF(VLOOKUP(Y61,vlookup!$I$2:$J$9,1,0)=Y61,VLOOKUP(Y61,vlookup!$I$2:$J$9,2,0),PROPER(Y61)),PROPER(Y61))</f>
        <v>Labor</v>
      </c>
      <c r="AU61" s="2" t="str">
        <f>IFERROR(IF(B61=VLOOKUP(B61,vlookup!$L$2:$L$10,1,0),"Yes","No"),"No")</f>
        <v>No</v>
      </c>
    </row>
    <row r="62" spans="1:47" x14ac:dyDescent="0.25">
      <c r="A62" t="s">
        <v>769</v>
      </c>
      <c r="B62" t="s">
        <v>770</v>
      </c>
      <c r="C62">
        <v>1</v>
      </c>
      <c r="D62">
        <v>1</v>
      </c>
      <c r="E62" t="s">
        <v>382</v>
      </c>
      <c r="F62" t="s">
        <v>207</v>
      </c>
      <c r="G62" t="s">
        <v>388</v>
      </c>
      <c r="H62" s="11" t="s">
        <v>771</v>
      </c>
      <c r="I62">
        <v>86513</v>
      </c>
      <c r="J62" s="22">
        <v>44331</v>
      </c>
      <c r="K62" s="22">
        <v>44399</v>
      </c>
      <c r="L62">
        <v>202107</v>
      </c>
      <c r="M62" s="22">
        <v>44378</v>
      </c>
      <c r="N62">
        <v>77871</v>
      </c>
      <c r="O62" t="s">
        <v>699</v>
      </c>
      <c r="P62" t="s">
        <v>772</v>
      </c>
      <c r="Q62" t="s">
        <v>612</v>
      </c>
      <c r="R62" t="s">
        <v>773</v>
      </c>
      <c r="S62" s="22">
        <v>44819</v>
      </c>
      <c r="T62">
        <v>116051</v>
      </c>
      <c r="U62" t="s">
        <v>356</v>
      </c>
      <c r="V62" s="22">
        <v>44819</v>
      </c>
      <c r="W62" t="s">
        <v>634</v>
      </c>
      <c r="X62" t="s">
        <v>635</v>
      </c>
      <c r="Y62" t="s">
        <v>94</v>
      </c>
      <c r="Z62" t="s">
        <v>583</v>
      </c>
      <c r="AA62">
        <v>-180</v>
      </c>
      <c r="AC62" s="2">
        <f t="shared" si="0"/>
        <v>2022</v>
      </c>
      <c r="AD62" s="2">
        <f t="shared" si="1"/>
        <v>9</v>
      </c>
      <c r="AE62" s="2">
        <f t="shared" si="2"/>
        <v>2021</v>
      </c>
      <c r="AF62" s="2">
        <f t="shared" si="3"/>
        <v>5</v>
      </c>
      <c r="AG62" s="2" t="str">
        <f>VLOOKUP(F62,vlookup!$A$2:$E$660,2,0)</f>
        <v>Retained</v>
      </c>
      <c r="AH62" s="2" t="str">
        <f>VLOOKUP(F62,vlookup!$A$2:$E$660,3,0)</f>
        <v>Service Contract</v>
      </c>
      <c r="AI62" s="2" t="str">
        <f>VLOOKUP(F62,vlookup!$A$2:$E$660,4,0)</f>
        <v>Used Car Programs</v>
      </c>
      <c r="AJ62" s="2" t="str">
        <f>VLOOKUP(F62,vlookup!$A$2:$E$660,5,0)</f>
        <v>High Mileage</v>
      </c>
      <c r="AK62" s="2"/>
      <c r="AL62" s="2">
        <f t="shared" si="4"/>
        <v>67</v>
      </c>
      <c r="AM62" s="2">
        <f t="shared" si="5"/>
        <v>480</v>
      </c>
      <c r="AN62" s="2">
        <f t="shared" si="6"/>
        <v>29538</v>
      </c>
      <c r="AO62" s="2" t="str">
        <f t="shared" si="7"/>
        <v/>
      </c>
      <c r="AP62" s="2" t="str">
        <f t="shared" si="8"/>
        <v/>
      </c>
      <c r="AQ62" s="2" t="str">
        <f t="shared" si="9"/>
        <v/>
      </c>
      <c r="AR62" s="2">
        <f t="shared" si="10"/>
        <v>-180</v>
      </c>
      <c r="AS62" s="2" t="str">
        <f t="shared" si="11"/>
        <v>APC500412-1</v>
      </c>
      <c r="AT62" s="2" t="str">
        <f>IFERROR(IF(VLOOKUP(Y62,vlookup!$I$2:$J$9,1,0)=Y62,VLOOKUP(Y62,vlookup!$I$2:$J$9,2,0),PROPER(Y62)),PROPER(Y62))</f>
        <v>Labor</v>
      </c>
      <c r="AU62" s="2" t="str">
        <f>IFERROR(IF(B62=VLOOKUP(B62,vlookup!$L$2:$L$10,1,0),"Yes","No"),"No")</f>
        <v>No</v>
      </c>
    </row>
    <row r="63" spans="1:47" x14ac:dyDescent="0.25">
      <c r="A63" t="s">
        <v>774</v>
      </c>
      <c r="B63" t="s">
        <v>775</v>
      </c>
      <c r="C63">
        <v>1</v>
      </c>
      <c r="D63">
        <v>1</v>
      </c>
      <c r="E63" t="s">
        <v>382</v>
      </c>
      <c r="F63" t="s">
        <v>207</v>
      </c>
      <c r="G63" t="s">
        <v>543</v>
      </c>
      <c r="H63" s="11" t="s">
        <v>628</v>
      </c>
      <c r="I63">
        <v>66725</v>
      </c>
      <c r="J63" s="22">
        <v>44211</v>
      </c>
      <c r="K63" s="22">
        <v>44284</v>
      </c>
      <c r="L63">
        <v>202103</v>
      </c>
      <c r="M63" s="22">
        <v>44256</v>
      </c>
      <c r="N63">
        <v>77871</v>
      </c>
      <c r="O63" t="s">
        <v>699</v>
      </c>
      <c r="P63" t="s">
        <v>712</v>
      </c>
      <c r="Q63" t="s">
        <v>612</v>
      </c>
      <c r="R63">
        <v>903495</v>
      </c>
      <c r="S63" s="22">
        <v>44296</v>
      </c>
      <c r="T63">
        <v>69909</v>
      </c>
      <c r="U63" t="s">
        <v>356</v>
      </c>
      <c r="V63" s="22">
        <v>44312</v>
      </c>
      <c r="W63" t="s">
        <v>592</v>
      </c>
      <c r="X63" t="s">
        <v>593</v>
      </c>
      <c r="Y63" t="s">
        <v>94</v>
      </c>
      <c r="Z63" t="s">
        <v>364</v>
      </c>
      <c r="AA63">
        <v>-1027</v>
      </c>
      <c r="AC63" s="2">
        <f t="shared" si="0"/>
        <v>2021</v>
      </c>
      <c r="AD63" s="2">
        <f t="shared" si="1"/>
        <v>4</v>
      </c>
      <c r="AE63" s="2">
        <f t="shared" si="2"/>
        <v>2021</v>
      </c>
      <c r="AF63" s="2">
        <f t="shared" si="3"/>
        <v>1</v>
      </c>
      <c r="AG63" s="2" t="str">
        <f>VLOOKUP(F63,vlookup!$A$2:$E$660,2,0)</f>
        <v>Retained</v>
      </c>
      <c r="AH63" s="2" t="str">
        <f>VLOOKUP(F63,vlookup!$A$2:$E$660,3,0)</f>
        <v>Service Contract</v>
      </c>
      <c r="AI63" s="2" t="str">
        <f>VLOOKUP(F63,vlookup!$A$2:$E$660,4,0)</f>
        <v>Used Car Programs</v>
      </c>
      <c r="AJ63" s="2" t="str">
        <f>VLOOKUP(F63,vlookup!$A$2:$E$660,5,0)</f>
        <v>High Mileage</v>
      </c>
      <c r="AK63" s="2"/>
      <c r="AL63" s="2">
        <f t="shared" si="4"/>
        <v>74</v>
      </c>
      <c r="AM63" s="2">
        <f t="shared" si="5"/>
        <v>101</v>
      </c>
      <c r="AN63" s="2">
        <f t="shared" si="6"/>
        <v>3184</v>
      </c>
      <c r="AO63" s="2" t="str">
        <f t="shared" si="7"/>
        <v/>
      </c>
      <c r="AP63" s="2" t="str">
        <f t="shared" si="8"/>
        <v/>
      </c>
      <c r="AQ63" s="2" t="str">
        <f t="shared" si="9"/>
        <v/>
      </c>
      <c r="AR63" s="2">
        <f t="shared" si="10"/>
        <v>-1027</v>
      </c>
      <c r="AS63" s="2" t="str">
        <f t="shared" si="11"/>
        <v>APC500277-1</v>
      </c>
      <c r="AT63" s="2" t="str">
        <f>IFERROR(IF(VLOOKUP(Y63,vlookup!$I$2:$J$9,1,0)=Y63,VLOOKUP(Y63,vlookup!$I$2:$J$9,2,0),PROPER(Y63)),PROPER(Y63))</f>
        <v>Labor</v>
      </c>
      <c r="AU63" s="2" t="str">
        <f>IFERROR(IF(B63=VLOOKUP(B63,vlookup!$L$2:$L$10,1,0),"Yes","No"),"No")</f>
        <v>No</v>
      </c>
    </row>
    <row r="64" spans="1:47" x14ac:dyDescent="0.25">
      <c r="A64" t="s">
        <v>774</v>
      </c>
      <c r="B64" t="s">
        <v>775</v>
      </c>
      <c r="C64">
        <v>1</v>
      </c>
      <c r="D64">
        <v>1</v>
      </c>
      <c r="E64" t="s">
        <v>382</v>
      </c>
      <c r="F64" t="s">
        <v>207</v>
      </c>
      <c r="G64" t="s">
        <v>543</v>
      </c>
      <c r="H64" s="11" t="s">
        <v>628</v>
      </c>
      <c r="I64">
        <v>66725</v>
      </c>
      <c r="J64" s="22">
        <v>44211</v>
      </c>
      <c r="K64" s="22">
        <v>44284</v>
      </c>
      <c r="L64">
        <v>202103</v>
      </c>
      <c r="M64" s="22">
        <v>44256</v>
      </c>
      <c r="N64">
        <v>77871</v>
      </c>
      <c r="O64" t="s">
        <v>699</v>
      </c>
      <c r="P64" t="s">
        <v>712</v>
      </c>
      <c r="Q64" t="s">
        <v>612</v>
      </c>
      <c r="R64">
        <v>903495</v>
      </c>
      <c r="S64" s="22">
        <v>44296</v>
      </c>
      <c r="T64">
        <v>69909</v>
      </c>
      <c r="U64" t="s">
        <v>356</v>
      </c>
      <c r="V64" s="22">
        <v>44312</v>
      </c>
      <c r="W64" t="s">
        <v>776</v>
      </c>
      <c r="X64" t="s">
        <v>777</v>
      </c>
      <c r="Y64" t="s">
        <v>94</v>
      </c>
      <c r="Z64" t="s">
        <v>369</v>
      </c>
      <c r="AA64">
        <v>-158</v>
      </c>
      <c r="AC64" s="2">
        <f t="shared" si="0"/>
        <v>2021</v>
      </c>
      <c r="AD64" s="2">
        <f t="shared" si="1"/>
        <v>4</v>
      </c>
      <c r="AE64" s="2">
        <f t="shared" si="2"/>
        <v>2021</v>
      </c>
      <c r="AF64" s="2">
        <f t="shared" si="3"/>
        <v>1</v>
      </c>
      <c r="AG64" s="2" t="str">
        <f>VLOOKUP(F64,vlookup!$A$2:$E$660,2,0)</f>
        <v>Retained</v>
      </c>
      <c r="AH64" s="2" t="str">
        <f>VLOOKUP(F64,vlookup!$A$2:$E$660,3,0)</f>
        <v>Service Contract</v>
      </c>
      <c r="AI64" s="2" t="str">
        <f>VLOOKUP(F64,vlookup!$A$2:$E$660,4,0)</f>
        <v>Used Car Programs</v>
      </c>
      <c r="AJ64" s="2" t="str">
        <f>VLOOKUP(F64,vlookup!$A$2:$E$660,5,0)</f>
        <v>High Mileage</v>
      </c>
      <c r="AK64" s="2"/>
      <c r="AL64" s="2">
        <f t="shared" si="4"/>
        <v>74</v>
      </c>
      <c r="AM64" s="2">
        <f t="shared" si="5"/>
        <v>101</v>
      </c>
      <c r="AN64" s="2">
        <f t="shared" si="6"/>
        <v>3184</v>
      </c>
      <c r="AO64" s="2" t="str">
        <f t="shared" si="7"/>
        <v/>
      </c>
      <c r="AP64" s="2" t="str">
        <f t="shared" si="8"/>
        <v/>
      </c>
      <c r="AQ64" s="2" t="str">
        <f t="shared" si="9"/>
        <v/>
      </c>
      <c r="AR64" s="2">
        <f t="shared" si="10"/>
        <v>-158</v>
      </c>
      <c r="AS64" s="2" t="str">
        <f t="shared" si="11"/>
        <v>APC500277-1</v>
      </c>
      <c r="AT64" s="2" t="str">
        <f>IFERROR(IF(VLOOKUP(Y64,vlookup!$I$2:$J$9,1,0)=Y64,VLOOKUP(Y64,vlookup!$I$2:$J$9,2,0),PROPER(Y64)),PROPER(Y64))</f>
        <v>Labor</v>
      </c>
      <c r="AU64" s="2" t="str">
        <f>IFERROR(IF(B64=VLOOKUP(B64,vlookup!$L$2:$L$10,1,0),"Yes","No"),"No")</f>
        <v>No</v>
      </c>
    </row>
    <row r="65" spans="1:47" x14ac:dyDescent="0.25">
      <c r="A65" t="s">
        <v>774</v>
      </c>
      <c r="B65" t="s">
        <v>775</v>
      </c>
      <c r="C65">
        <v>2</v>
      </c>
      <c r="D65">
        <v>1</v>
      </c>
      <c r="E65" t="s">
        <v>382</v>
      </c>
      <c r="F65" t="s">
        <v>207</v>
      </c>
      <c r="G65" t="s">
        <v>543</v>
      </c>
      <c r="H65" s="11" t="s">
        <v>628</v>
      </c>
      <c r="I65">
        <v>66725</v>
      </c>
      <c r="J65" s="22">
        <v>44211</v>
      </c>
      <c r="K65" s="22">
        <v>44284</v>
      </c>
      <c r="L65">
        <v>202103</v>
      </c>
      <c r="M65" s="22">
        <v>44256</v>
      </c>
      <c r="N65">
        <v>77871</v>
      </c>
      <c r="O65" t="s">
        <v>699</v>
      </c>
      <c r="P65" t="s">
        <v>712</v>
      </c>
      <c r="Q65" t="s">
        <v>612</v>
      </c>
      <c r="R65">
        <v>102181</v>
      </c>
      <c r="S65" s="22">
        <v>44439</v>
      </c>
      <c r="T65">
        <v>74627</v>
      </c>
      <c r="U65" t="s">
        <v>356</v>
      </c>
      <c r="V65" s="22">
        <v>44442</v>
      </c>
      <c r="W65" t="s">
        <v>778</v>
      </c>
      <c r="X65" t="s">
        <v>779</v>
      </c>
      <c r="Y65" t="s">
        <v>94</v>
      </c>
      <c r="Z65" t="s">
        <v>582</v>
      </c>
      <c r="AA65">
        <v>-74.5</v>
      </c>
      <c r="AC65" s="2">
        <f t="shared" si="0"/>
        <v>2021</v>
      </c>
      <c r="AD65" s="2">
        <f t="shared" si="1"/>
        <v>9</v>
      </c>
      <c r="AE65" s="2">
        <f t="shared" si="2"/>
        <v>2021</v>
      </c>
      <c r="AF65" s="2">
        <f t="shared" si="3"/>
        <v>1</v>
      </c>
      <c r="AG65" s="2" t="str">
        <f>VLOOKUP(F65,vlookup!$A$2:$E$660,2,0)</f>
        <v>Retained</v>
      </c>
      <c r="AH65" s="2" t="str">
        <f>VLOOKUP(F65,vlookup!$A$2:$E$660,3,0)</f>
        <v>Service Contract</v>
      </c>
      <c r="AI65" s="2" t="str">
        <f>VLOOKUP(F65,vlookup!$A$2:$E$660,4,0)</f>
        <v>Used Car Programs</v>
      </c>
      <c r="AJ65" s="2" t="str">
        <f>VLOOKUP(F65,vlookup!$A$2:$E$660,5,0)</f>
        <v>High Mileage</v>
      </c>
      <c r="AK65" s="2"/>
      <c r="AL65" s="2">
        <f t="shared" si="4"/>
        <v>74</v>
      </c>
      <c r="AM65" s="2">
        <f t="shared" si="5"/>
        <v>228</v>
      </c>
      <c r="AN65" s="2">
        <f t="shared" si="6"/>
        <v>7902</v>
      </c>
      <c r="AO65" s="2" t="str">
        <f t="shared" si="7"/>
        <v/>
      </c>
      <c r="AP65" s="2" t="str">
        <f t="shared" si="8"/>
        <v/>
      </c>
      <c r="AQ65" s="2" t="str">
        <f t="shared" si="9"/>
        <v/>
      </c>
      <c r="AR65" s="2">
        <f t="shared" si="10"/>
        <v>-74.5</v>
      </c>
      <c r="AS65" s="2" t="str">
        <f t="shared" si="11"/>
        <v>APC500277-2</v>
      </c>
      <c r="AT65" s="2" t="str">
        <f>IFERROR(IF(VLOOKUP(Y65,vlookup!$I$2:$J$9,1,0)=Y65,VLOOKUP(Y65,vlookup!$I$2:$J$9,2,0),PROPER(Y65)),PROPER(Y65))</f>
        <v>Labor</v>
      </c>
      <c r="AU65" s="2" t="str">
        <f>IFERROR(IF(B65=VLOOKUP(B65,vlookup!$L$2:$L$10,1,0),"Yes","No"),"No")</f>
        <v>No</v>
      </c>
    </row>
    <row r="66" spans="1:47" x14ac:dyDescent="0.25">
      <c r="A66" t="s">
        <v>774</v>
      </c>
      <c r="B66" t="s">
        <v>775</v>
      </c>
      <c r="C66">
        <v>2</v>
      </c>
      <c r="D66">
        <v>1</v>
      </c>
      <c r="E66" t="s">
        <v>382</v>
      </c>
      <c r="F66" t="s">
        <v>207</v>
      </c>
      <c r="G66" t="s">
        <v>543</v>
      </c>
      <c r="H66" s="11" t="s">
        <v>628</v>
      </c>
      <c r="I66">
        <v>66725</v>
      </c>
      <c r="J66" s="22">
        <v>44211</v>
      </c>
      <c r="K66" s="22">
        <v>44284</v>
      </c>
      <c r="L66">
        <v>202103</v>
      </c>
      <c r="M66" s="22">
        <v>44256</v>
      </c>
      <c r="N66">
        <v>77871</v>
      </c>
      <c r="O66" t="s">
        <v>699</v>
      </c>
      <c r="P66" t="s">
        <v>712</v>
      </c>
      <c r="Q66" t="s">
        <v>612</v>
      </c>
      <c r="R66">
        <v>102181</v>
      </c>
      <c r="S66" s="22">
        <v>44439</v>
      </c>
      <c r="T66">
        <v>74627</v>
      </c>
      <c r="U66" t="s">
        <v>356</v>
      </c>
      <c r="V66" s="22">
        <v>44442</v>
      </c>
      <c r="W66" t="s">
        <v>780</v>
      </c>
      <c r="X66" t="s">
        <v>781</v>
      </c>
      <c r="Y66" t="s">
        <v>94</v>
      </c>
      <c r="Z66" t="s">
        <v>366</v>
      </c>
      <c r="AA66">
        <v>-208.6</v>
      </c>
      <c r="AC66" s="2">
        <f t="shared" ref="AC66:AC129" si="12">YEAR(V66)</f>
        <v>2021</v>
      </c>
      <c r="AD66" s="2">
        <f t="shared" ref="AD66:AD129" si="13">MONTH(V66)</f>
        <v>9</v>
      </c>
      <c r="AE66" s="2">
        <f t="shared" ref="AE66:AE129" si="14">YEAR(J66)</f>
        <v>2021</v>
      </c>
      <c r="AF66" s="2">
        <f t="shared" ref="AF66:AF129" si="15">MONTH(J66)</f>
        <v>1</v>
      </c>
      <c r="AG66" s="2" t="str">
        <f>VLOOKUP(F66,vlookup!$A$2:$E$660,2,0)</f>
        <v>Retained</v>
      </c>
      <c r="AH66" s="2" t="str">
        <f>VLOOKUP(F66,vlookup!$A$2:$E$660,3,0)</f>
        <v>Service Contract</v>
      </c>
      <c r="AI66" s="2" t="str">
        <f>VLOOKUP(F66,vlookup!$A$2:$E$660,4,0)</f>
        <v>Used Car Programs</v>
      </c>
      <c r="AJ66" s="2" t="str">
        <f>VLOOKUP(F66,vlookup!$A$2:$E$660,5,0)</f>
        <v>High Mileage</v>
      </c>
      <c r="AK66" s="2"/>
      <c r="AL66" s="2">
        <f t="shared" ref="AL66:AL129" si="16">DAYS360(J66,K66)</f>
        <v>74</v>
      </c>
      <c r="AM66" s="2">
        <f t="shared" ref="AM66:AM129" si="17">DAYS360(J66,V66)</f>
        <v>228</v>
      </c>
      <c r="AN66" s="2">
        <f t="shared" ref="AN66:AN129" si="18">IF(T66-I66&lt;1,"",T66-I66)</f>
        <v>7902</v>
      </c>
      <c r="AO66" s="2" t="str">
        <f t="shared" ref="AO66:AO129" si="19">IF(AM66&lt;31,AA66,"")</f>
        <v/>
      </c>
      <c r="AP66" s="2" t="str">
        <f t="shared" ref="AP66:AP129" si="20">IF(AND(AM66&gt;30,AM66&lt;61),AA66,"")</f>
        <v/>
      </c>
      <c r="AQ66" s="2" t="str">
        <f t="shared" ref="AQ66:AQ129" si="21">IF(AND(AM66&gt;60,AM66&lt;91),AA66,"")</f>
        <v/>
      </c>
      <c r="AR66" s="2">
        <f t="shared" ref="AR66:AR129" si="22">IF(AM66&gt;90,AA66,"")</f>
        <v>-208.6</v>
      </c>
      <c r="AS66" s="2" t="str">
        <f t="shared" ref="AS66:AS129" si="23">CONCATENATE(B66,"-",C66)</f>
        <v>APC500277-2</v>
      </c>
      <c r="AT66" s="2" t="str">
        <f>IFERROR(IF(VLOOKUP(Y66,vlookup!$I$2:$J$9,1,0)=Y66,VLOOKUP(Y66,vlookup!$I$2:$J$9,2,0),PROPER(Y66)),PROPER(Y66))</f>
        <v>Labor</v>
      </c>
      <c r="AU66" s="2" t="str">
        <f>IFERROR(IF(B66=VLOOKUP(B66,vlookup!$L$2:$L$10,1,0),"Yes","No"),"No")</f>
        <v>No</v>
      </c>
    </row>
    <row r="67" spans="1:47" x14ac:dyDescent="0.25">
      <c r="A67" t="s">
        <v>774</v>
      </c>
      <c r="B67" t="s">
        <v>775</v>
      </c>
      <c r="C67">
        <v>2</v>
      </c>
      <c r="D67">
        <v>1</v>
      </c>
      <c r="E67" t="s">
        <v>382</v>
      </c>
      <c r="F67" t="s">
        <v>207</v>
      </c>
      <c r="G67" t="s">
        <v>543</v>
      </c>
      <c r="H67" s="11" t="s">
        <v>628</v>
      </c>
      <c r="I67">
        <v>66725</v>
      </c>
      <c r="J67" s="22">
        <v>44211</v>
      </c>
      <c r="K67" s="22">
        <v>44284</v>
      </c>
      <c r="L67">
        <v>202103</v>
      </c>
      <c r="M67" s="22">
        <v>44256</v>
      </c>
      <c r="N67">
        <v>77871</v>
      </c>
      <c r="O67" t="s">
        <v>699</v>
      </c>
      <c r="P67" t="s">
        <v>712</v>
      </c>
      <c r="Q67" t="s">
        <v>612</v>
      </c>
      <c r="R67">
        <v>102181</v>
      </c>
      <c r="S67" s="22">
        <v>44439</v>
      </c>
      <c r="T67">
        <v>74627</v>
      </c>
      <c r="U67" t="s">
        <v>356</v>
      </c>
      <c r="V67" s="22">
        <v>44442</v>
      </c>
      <c r="W67" t="s">
        <v>658</v>
      </c>
      <c r="X67" t="s">
        <v>659</v>
      </c>
      <c r="Y67" t="s">
        <v>94</v>
      </c>
      <c r="Z67" t="s">
        <v>364</v>
      </c>
      <c r="AA67">
        <v>-610.9</v>
      </c>
      <c r="AC67" s="2">
        <f t="shared" si="12"/>
        <v>2021</v>
      </c>
      <c r="AD67" s="2">
        <f t="shared" si="13"/>
        <v>9</v>
      </c>
      <c r="AE67" s="2">
        <f t="shared" si="14"/>
        <v>2021</v>
      </c>
      <c r="AF67" s="2">
        <f t="shared" si="15"/>
        <v>1</v>
      </c>
      <c r="AG67" s="2" t="str">
        <f>VLOOKUP(F67,vlookup!$A$2:$E$660,2,0)</f>
        <v>Retained</v>
      </c>
      <c r="AH67" s="2" t="str">
        <f>VLOOKUP(F67,vlookup!$A$2:$E$660,3,0)</f>
        <v>Service Contract</v>
      </c>
      <c r="AI67" s="2" t="str">
        <f>VLOOKUP(F67,vlookup!$A$2:$E$660,4,0)</f>
        <v>Used Car Programs</v>
      </c>
      <c r="AJ67" s="2" t="str">
        <f>VLOOKUP(F67,vlookup!$A$2:$E$660,5,0)</f>
        <v>High Mileage</v>
      </c>
      <c r="AK67" s="2"/>
      <c r="AL67" s="2">
        <f t="shared" si="16"/>
        <v>74</v>
      </c>
      <c r="AM67" s="2">
        <f t="shared" si="17"/>
        <v>228</v>
      </c>
      <c r="AN67" s="2">
        <f t="shared" si="18"/>
        <v>7902</v>
      </c>
      <c r="AO67" s="2" t="str">
        <f t="shared" si="19"/>
        <v/>
      </c>
      <c r="AP67" s="2" t="str">
        <f t="shared" si="20"/>
        <v/>
      </c>
      <c r="AQ67" s="2" t="str">
        <f t="shared" si="21"/>
        <v/>
      </c>
      <c r="AR67" s="2">
        <f t="shared" si="22"/>
        <v>-610.9</v>
      </c>
      <c r="AS67" s="2" t="str">
        <f t="shared" si="23"/>
        <v>APC500277-2</v>
      </c>
      <c r="AT67" s="2" t="str">
        <f>IFERROR(IF(VLOOKUP(Y67,vlookup!$I$2:$J$9,1,0)=Y67,VLOOKUP(Y67,vlookup!$I$2:$J$9,2,0),PROPER(Y67)),PROPER(Y67))</f>
        <v>Labor</v>
      </c>
      <c r="AU67" s="2" t="str">
        <f>IFERROR(IF(B67=VLOOKUP(B67,vlookup!$L$2:$L$10,1,0),"Yes","No"),"No")</f>
        <v>No</v>
      </c>
    </row>
    <row r="68" spans="1:47" x14ac:dyDescent="0.25">
      <c r="A68" t="s">
        <v>774</v>
      </c>
      <c r="B68" t="s">
        <v>775</v>
      </c>
      <c r="C68">
        <v>2</v>
      </c>
      <c r="D68">
        <v>1</v>
      </c>
      <c r="E68" t="s">
        <v>382</v>
      </c>
      <c r="F68" t="s">
        <v>207</v>
      </c>
      <c r="G68" t="s">
        <v>543</v>
      </c>
      <c r="H68" s="11" t="s">
        <v>628</v>
      </c>
      <c r="I68">
        <v>66725</v>
      </c>
      <c r="J68" s="22">
        <v>44211</v>
      </c>
      <c r="K68" s="22">
        <v>44284</v>
      </c>
      <c r="L68">
        <v>202103</v>
      </c>
      <c r="M68" s="22">
        <v>44256</v>
      </c>
      <c r="N68">
        <v>77871</v>
      </c>
      <c r="O68" t="s">
        <v>699</v>
      </c>
      <c r="P68" t="s">
        <v>712</v>
      </c>
      <c r="Q68" t="s">
        <v>612</v>
      </c>
      <c r="R68">
        <v>102181</v>
      </c>
      <c r="S68" s="22">
        <v>44439</v>
      </c>
      <c r="T68">
        <v>74627</v>
      </c>
      <c r="U68" t="s">
        <v>356</v>
      </c>
      <c r="V68" s="22">
        <v>44442</v>
      </c>
      <c r="W68" t="s">
        <v>675</v>
      </c>
      <c r="X68" t="s">
        <v>676</v>
      </c>
      <c r="Y68" t="s">
        <v>94</v>
      </c>
      <c r="Z68" t="s">
        <v>364</v>
      </c>
      <c r="AA68">
        <v>-223.5</v>
      </c>
      <c r="AC68" s="2">
        <f t="shared" si="12"/>
        <v>2021</v>
      </c>
      <c r="AD68" s="2">
        <f t="shared" si="13"/>
        <v>9</v>
      </c>
      <c r="AE68" s="2">
        <f t="shared" si="14"/>
        <v>2021</v>
      </c>
      <c r="AF68" s="2">
        <f t="shared" si="15"/>
        <v>1</v>
      </c>
      <c r="AG68" s="2" t="str">
        <f>VLOOKUP(F68,vlookup!$A$2:$E$660,2,0)</f>
        <v>Retained</v>
      </c>
      <c r="AH68" s="2" t="str">
        <f>VLOOKUP(F68,vlookup!$A$2:$E$660,3,0)</f>
        <v>Service Contract</v>
      </c>
      <c r="AI68" s="2" t="str">
        <f>VLOOKUP(F68,vlookup!$A$2:$E$660,4,0)</f>
        <v>Used Car Programs</v>
      </c>
      <c r="AJ68" s="2" t="str">
        <f>VLOOKUP(F68,vlookup!$A$2:$E$660,5,0)</f>
        <v>High Mileage</v>
      </c>
      <c r="AK68" s="2"/>
      <c r="AL68" s="2">
        <f t="shared" si="16"/>
        <v>74</v>
      </c>
      <c r="AM68" s="2">
        <f t="shared" si="17"/>
        <v>228</v>
      </c>
      <c r="AN68" s="2">
        <f t="shared" si="18"/>
        <v>7902</v>
      </c>
      <c r="AO68" s="2" t="str">
        <f t="shared" si="19"/>
        <v/>
      </c>
      <c r="AP68" s="2" t="str">
        <f t="shared" si="20"/>
        <v/>
      </c>
      <c r="AQ68" s="2" t="str">
        <f t="shared" si="21"/>
        <v/>
      </c>
      <c r="AR68" s="2">
        <f t="shared" si="22"/>
        <v>-223.5</v>
      </c>
      <c r="AS68" s="2" t="str">
        <f t="shared" si="23"/>
        <v>APC500277-2</v>
      </c>
      <c r="AT68" s="2" t="str">
        <f>IFERROR(IF(VLOOKUP(Y68,vlookup!$I$2:$J$9,1,0)=Y68,VLOOKUP(Y68,vlookup!$I$2:$J$9,2,0),PROPER(Y68)),PROPER(Y68))</f>
        <v>Labor</v>
      </c>
      <c r="AU68" s="2" t="str">
        <f>IFERROR(IF(B68=VLOOKUP(B68,vlookup!$L$2:$L$10,1,0),"Yes","No"),"No")</f>
        <v>No</v>
      </c>
    </row>
    <row r="69" spans="1:47" x14ac:dyDescent="0.25">
      <c r="A69" t="s">
        <v>774</v>
      </c>
      <c r="B69" t="s">
        <v>775</v>
      </c>
      <c r="C69">
        <v>2</v>
      </c>
      <c r="D69">
        <v>1</v>
      </c>
      <c r="E69" t="s">
        <v>382</v>
      </c>
      <c r="F69" t="s">
        <v>207</v>
      </c>
      <c r="G69" t="s">
        <v>543</v>
      </c>
      <c r="H69" s="11" t="s">
        <v>628</v>
      </c>
      <c r="I69">
        <v>66725</v>
      </c>
      <c r="J69" s="22">
        <v>44211</v>
      </c>
      <c r="K69" s="22">
        <v>44284</v>
      </c>
      <c r="L69">
        <v>202103</v>
      </c>
      <c r="M69" s="22">
        <v>44256</v>
      </c>
      <c r="N69">
        <v>77871</v>
      </c>
      <c r="O69" t="s">
        <v>699</v>
      </c>
      <c r="P69" t="s">
        <v>712</v>
      </c>
      <c r="Q69" t="s">
        <v>612</v>
      </c>
      <c r="R69">
        <v>102181</v>
      </c>
      <c r="S69" s="22">
        <v>44439</v>
      </c>
      <c r="T69">
        <v>74627</v>
      </c>
      <c r="U69" t="s">
        <v>356</v>
      </c>
      <c r="V69" s="22">
        <v>44442</v>
      </c>
      <c r="W69" t="s">
        <v>638</v>
      </c>
      <c r="X69" t="s">
        <v>639</v>
      </c>
      <c r="Y69" t="s">
        <v>94</v>
      </c>
      <c r="Z69" t="s">
        <v>579</v>
      </c>
      <c r="AA69">
        <v>-59.6</v>
      </c>
      <c r="AC69" s="2">
        <f t="shared" si="12"/>
        <v>2021</v>
      </c>
      <c r="AD69" s="2">
        <f t="shared" si="13"/>
        <v>9</v>
      </c>
      <c r="AE69" s="2">
        <f t="shared" si="14"/>
        <v>2021</v>
      </c>
      <c r="AF69" s="2">
        <f t="shared" si="15"/>
        <v>1</v>
      </c>
      <c r="AG69" s="2" t="str">
        <f>VLOOKUP(F69,vlookup!$A$2:$E$660,2,0)</f>
        <v>Retained</v>
      </c>
      <c r="AH69" s="2" t="str">
        <f>VLOOKUP(F69,vlookup!$A$2:$E$660,3,0)</f>
        <v>Service Contract</v>
      </c>
      <c r="AI69" s="2" t="str">
        <f>VLOOKUP(F69,vlookup!$A$2:$E$660,4,0)</f>
        <v>Used Car Programs</v>
      </c>
      <c r="AJ69" s="2" t="str">
        <f>VLOOKUP(F69,vlookup!$A$2:$E$660,5,0)</f>
        <v>High Mileage</v>
      </c>
      <c r="AK69" s="2"/>
      <c r="AL69" s="2">
        <f t="shared" si="16"/>
        <v>74</v>
      </c>
      <c r="AM69" s="2">
        <f t="shared" si="17"/>
        <v>228</v>
      </c>
      <c r="AN69" s="2">
        <f t="shared" si="18"/>
        <v>7902</v>
      </c>
      <c r="AO69" s="2" t="str">
        <f t="shared" si="19"/>
        <v/>
      </c>
      <c r="AP69" s="2" t="str">
        <f t="shared" si="20"/>
        <v/>
      </c>
      <c r="AQ69" s="2" t="str">
        <f t="shared" si="21"/>
        <v/>
      </c>
      <c r="AR69" s="2">
        <f t="shared" si="22"/>
        <v>-59.6</v>
      </c>
      <c r="AS69" s="2" t="str">
        <f t="shared" si="23"/>
        <v>APC500277-2</v>
      </c>
      <c r="AT69" s="2" t="str">
        <f>IFERROR(IF(VLOOKUP(Y69,vlookup!$I$2:$J$9,1,0)=Y69,VLOOKUP(Y69,vlookup!$I$2:$J$9,2,0),PROPER(Y69)),PROPER(Y69))</f>
        <v>Labor</v>
      </c>
      <c r="AU69" s="2" t="str">
        <f>IFERROR(IF(B69=VLOOKUP(B69,vlookup!$L$2:$L$10,1,0),"Yes","No"),"No")</f>
        <v>No</v>
      </c>
    </row>
    <row r="70" spans="1:47" x14ac:dyDescent="0.25">
      <c r="A70" t="s">
        <v>782</v>
      </c>
      <c r="B70" t="s">
        <v>783</v>
      </c>
      <c r="C70">
        <v>2</v>
      </c>
      <c r="D70">
        <v>1</v>
      </c>
      <c r="E70" t="s">
        <v>572</v>
      </c>
      <c r="F70" t="s">
        <v>207</v>
      </c>
      <c r="G70" t="s">
        <v>683</v>
      </c>
      <c r="H70" s="11" t="s">
        <v>715</v>
      </c>
      <c r="I70">
        <v>65447</v>
      </c>
      <c r="J70" s="22">
        <v>44335</v>
      </c>
      <c r="K70" s="22">
        <v>44399</v>
      </c>
      <c r="L70">
        <v>202107</v>
      </c>
      <c r="M70" s="22">
        <v>44378</v>
      </c>
      <c r="N70">
        <v>77871</v>
      </c>
      <c r="O70" t="s">
        <v>699</v>
      </c>
      <c r="P70" t="s">
        <v>712</v>
      </c>
      <c r="Q70" t="s">
        <v>612</v>
      </c>
      <c r="R70">
        <v>108228</v>
      </c>
      <c r="S70" s="22">
        <v>44558</v>
      </c>
      <c r="T70">
        <v>79642</v>
      </c>
      <c r="U70" t="s">
        <v>356</v>
      </c>
      <c r="V70" s="22">
        <v>44560</v>
      </c>
      <c r="W70" t="s">
        <v>784</v>
      </c>
      <c r="X70" t="s">
        <v>785</v>
      </c>
      <c r="Y70" t="s">
        <v>94</v>
      </c>
      <c r="Z70" t="s">
        <v>358</v>
      </c>
      <c r="AA70">
        <v>-302</v>
      </c>
      <c r="AC70" s="2">
        <f t="shared" si="12"/>
        <v>2021</v>
      </c>
      <c r="AD70" s="2">
        <f t="shared" si="13"/>
        <v>12</v>
      </c>
      <c r="AE70" s="2">
        <f t="shared" si="14"/>
        <v>2021</v>
      </c>
      <c r="AF70" s="2">
        <f t="shared" si="15"/>
        <v>5</v>
      </c>
      <c r="AG70" s="2" t="str">
        <f>VLOOKUP(F70,vlookup!$A$2:$E$660,2,0)</f>
        <v>Retained</v>
      </c>
      <c r="AH70" s="2" t="str">
        <f>VLOOKUP(F70,vlookup!$A$2:$E$660,3,0)</f>
        <v>Service Contract</v>
      </c>
      <c r="AI70" s="2" t="str">
        <f>VLOOKUP(F70,vlookup!$A$2:$E$660,4,0)</f>
        <v>Used Car Programs</v>
      </c>
      <c r="AJ70" s="2" t="str">
        <f>VLOOKUP(F70,vlookup!$A$2:$E$660,5,0)</f>
        <v>High Mileage</v>
      </c>
      <c r="AK70" s="2"/>
      <c r="AL70" s="2">
        <f t="shared" si="16"/>
        <v>63</v>
      </c>
      <c r="AM70" s="2">
        <f t="shared" si="17"/>
        <v>221</v>
      </c>
      <c r="AN70" s="2">
        <f t="shared" si="18"/>
        <v>14195</v>
      </c>
      <c r="AO70" s="2" t="str">
        <f t="shared" si="19"/>
        <v/>
      </c>
      <c r="AP70" s="2" t="str">
        <f t="shared" si="20"/>
        <v/>
      </c>
      <c r="AQ70" s="2" t="str">
        <f t="shared" si="21"/>
        <v/>
      </c>
      <c r="AR70" s="2">
        <f t="shared" si="22"/>
        <v>-302</v>
      </c>
      <c r="AS70" s="2" t="str">
        <f t="shared" si="23"/>
        <v>APC500416-2</v>
      </c>
      <c r="AT70" s="2" t="str">
        <f>IFERROR(IF(VLOOKUP(Y70,vlookup!$I$2:$J$9,1,0)=Y70,VLOOKUP(Y70,vlookup!$I$2:$J$9,2,0),PROPER(Y70)),PROPER(Y70))</f>
        <v>Labor</v>
      </c>
      <c r="AU70" s="2" t="str">
        <f>IFERROR(IF(B70=VLOOKUP(B70,vlookup!$L$2:$L$10,1,0),"Yes","No"),"No")</f>
        <v>No</v>
      </c>
    </row>
    <row r="71" spans="1:47" x14ac:dyDescent="0.25">
      <c r="A71" t="s">
        <v>757</v>
      </c>
      <c r="B71" t="s">
        <v>758</v>
      </c>
      <c r="C71">
        <v>2</v>
      </c>
      <c r="D71">
        <v>1</v>
      </c>
      <c r="E71" t="s">
        <v>382</v>
      </c>
      <c r="F71" t="s">
        <v>207</v>
      </c>
      <c r="G71" t="s">
        <v>683</v>
      </c>
      <c r="H71" s="11" t="s">
        <v>715</v>
      </c>
      <c r="I71">
        <v>114400</v>
      </c>
      <c r="J71" s="22">
        <v>44125</v>
      </c>
      <c r="K71" s="22">
        <v>44200</v>
      </c>
      <c r="L71">
        <v>202012</v>
      </c>
      <c r="M71" s="22">
        <v>44166</v>
      </c>
      <c r="N71">
        <v>77871</v>
      </c>
      <c r="O71" t="s">
        <v>699</v>
      </c>
      <c r="P71" t="s">
        <v>712</v>
      </c>
      <c r="Q71" t="s">
        <v>612</v>
      </c>
      <c r="R71">
        <v>108521</v>
      </c>
      <c r="S71" s="22">
        <v>44564</v>
      </c>
      <c r="T71">
        <v>127914</v>
      </c>
      <c r="U71" t="s">
        <v>356</v>
      </c>
      <c r="V71" s="22">
        <v>44635</v>
      </c>
      <c r="W71" t="s">
        <v>573</v>
      </c>
      <c r="X71" t="s">
        <v>574</v>
      </c>
      <c r="Y71" t="s">
        <v>94</v>
      </c>
      <c r="Z71" t="s">
        <v>575</v>
      </c>
      <c r="AA71">
        <v>-129.94999999999999</v>
      </c>
      <c r="AC71" s="2">
        <f t="shared" si="12"/>
        <v>2022</v>
      </c>
      <c r="AD71" s="2">
        <f t="shared" si="13"/>
        <v>3</v>
      </c>
      <c r="AE71" s="2">
        <f t="shared" si="14"/>
        <v>2020</v>
      </c>
      <c r="AF71" s="2">
        <f t="shared" si="15"/>
        <v>10</v>
      </c>
      <c r="AG71" s="2" t="str">
        <f>VLOOKUP(F71,vlookup!$A$2:$E$660,2,0)</f>
        <v>Retained</v>
      </c>
      <c r="AH71" s="2" t="str">
        <f>VLOOKUP(F71,vlookup!$A$2:$E$660,3,0)</f>
        <v>Service Contract</v>
      </c>
      <c r="AI71" s="2" t="str">
        <f>VLOOKUP(F71,vlookup!$A$2:$E$660,4,0)</f>
        <v>Used Car Programs</v>
      </c>
      <c r="AJ71" s="2" t="str">
        <f>VLOOKUP(F71,vlookup!$A$2:$E$660,5,0)</f>
        <v>High Mileage</v>
      </c>
      <c r="AK71" s="2"/>
      <c r="AL71" s="2">
        <f t="shared" si="16"/>
        <v>73</v>
      </c>
      <c r="AM71" s="2">
        <f t="shared" si="17"/>
        <v>504</v>
      </c>
      <c r="AN71" s="2">
        <f t="shared" si="18"/>
        <v>13514</v>
      </c>
      <c r="AO71" s="2" t="str">
        <f t="shared" si="19"/>
        <v/>
      </c>
      <c r="AP71" s="2" t="str">
        <f t="shared" si="20"/>
        <v/>
      </c>
      <c r="AQ71" s="2" t="str">
        <f t="shared" si="21"/>
        <v/>
      </c>
      <c r="AR71" s="2">
        <f t="shared" si="22"/>
        <v>-129.94999999999999</v>
      </c>
      <c r="AS71" s="2" t="str">
        <f t="shared" si="23"/>
        <v>APC500213-2</v>
      </c>
      <c r="AT71" s="2" t="str">
        <f>IFERROR(IF(VLOOKUP(Y71,vlookup!$I$2:$J$9,1,0)=Y71,VLOOKUP(Y71,vlookup!$I$2:$J$9,2,0),PROPER(Y71)),PROPER(Y71))</f>
        <v>Labor</v>
      </c>
      <c r="AU71" s="2" t="str">
        <f>IFERROR(IF(B71=VLOOKUP(B71,vlookup!$L$2:$L$10,1,0),"Yes","No"),"No")</f>
        <v>No</v>
      </c>
    </row>
    <row r="72" spans="1:47" x14ac:dyDescent="0.25">
      <c r="A72" t="s">
        <v>757</v>
      </c>
      <c r="B72" t="s">
        <v>758</v>
      </c>
      <c r="C72">
        <v>2</v>
      </c>
      <c r="D72">
        <v>1</v>
      </c>
      <c r="E72" t="s">
        <v>382</v>
      </c>
      <c r="F72" t="s">
        <v>207</v>
      </c>
      <c r="G72" t="s">
        <v>683</v>
      </c>
      <c r="H72" s="11" t="s">
        <v>715</v>
      </c>
      <c r="I72">
        <v>114400</v>
      </c>
      <c r="J72" s="22">
        <v>44125</v>
      </c>
      <c r="K72" s="22">
        <v>44200</v>
      </c>
      <c r="L72">
        <v>202012</v>
      </c>
      <c r="M72" s="22">
        <v>44166</v>
      </c>
      <c r="N72">
        <v>77871</v>
      </c>
      <c r="O72" t="s">
        <v>699</v>
      </c>
      <c r="P72" t="s">
        <v>712</v>
      </c>
      <c r="Q72" t="s">
        <v>612</v>
      </c>
      <c r="R72">
        <v>108521</v>
      </c>
      <c r="S72" s="22">
        <v>44564</v>
      </c>
      <c r="T72">
        <v>127914</v>
      </c>
      <c r="U72" t="s">
        <v>356</v>
      </c>
      <c r="V72" s="22">
        <v>44635</v>
      </c>
      <c r="W72" t="s">
        <v>786</v>
      </c>
      <c r="X72" t="s">
        <v>787</v>
      </c>
      <c r="Y72" t="s">
        <v>94</v>
      </c>
      <c r="Z72" t="s">
        <v>625</v>
      </c>
      <c r="AA72">
        <v>-1132.5</v>
      </c>
      <c r="AC72" s="2">
        <f t="shared" si="12"/>
        <v>2022</v>
      </c>
      <c r="AD72" s="2">
        <f t="shared" si="13"/>
        <v>3</v>
      </c>
      <c r="AE72" s="2">
        <f t="shared" si="14"/>
        <v>2020</v>
      </c>
      <c r="AF72" s="2">
        <f t="shared" si="15"/>
        <v>10</v>
      </c>
      <c r="AG72" s="2" t="str">
        <f>VLOOKUP(F72,vlookup!$A$2:$E$660,2,0)</f>
        <v>Retained</v>
      </c>
      <c r="AH72" s="2" t="str">
        <f>VLOOKUP(F72,vlookup!$A$2:$E$660,3,0)</f>
        <v>Service Contract</v>
      </c>
      <c r="AI72" s="2" t="str">
        <f>VLOOKUP(F72,vlookup!$A$2:$E$660,4,0)</f>
        <v>Used Car Programs</v>
      </c>
      <c r="AJ72" s="2" t="str">
        <f>VLOOKUP(F72,vlookup!$A$2:$E$660,5,0)</f>
        <v>High Mileage</v>
      </c>
      <c r="AK72" s="2"/>
      <c r="AL72" s="2">
        <f t="shared" si="16"/>
        <v>73</v>
      </c>
      <c r="AM72" s="2">
        <f t="shared" si="17"/>
        <v>504</v>
      </c>
      <c r="AN72" s="2">
        <f t="shared" si="18"/>
        <v>13514</v>
      </c>
      <c r="AO72" s="2" t="str">
        <f t="shared" si="19"/>
        <v/>
      </c>
      <c r="AP72" s="2" t="str">
        <f t="shared" si="20"/>
        <v/>
      </c>
      <c r="AQ72" s="2" t="str">
        <f t="shared" si="21"/>
        <v/>
      </c>
      <c r="AR72" s="2">
        <f t="shared" si="22"/>
        <v>-1132.5</v>
      </c>
      <c r="AS72" s="2" t="str">
        <f t="shared" si="23"/>
        <v>APC500213-2</v>
      </c>
      <c r="AT72" s="2" t="str">
        <f>IFERROR(IF(VLOOKUP(Y72,vlookup!$I$2:$J$9,1,0)=Y72,VLOOKUP(Y72,vlookup!$I$2:$J$9,2,0),PROPER(Y72)),PROPER(Y72))</f>
        <v>Labor</v>
      </c>
      <c r="AU72" s="2" t="str">
        <f>IFERROR(IF(B72=VLOOKUP(B72,vlookup!$L$2:$L$10,1,0),"Yes","No"),"No")</f>
        <v>No</v>
      </c>
    </row>
    <row r="73" spans="1:47" x14ac:dyDescent="0.25">
      <c r="A73" t="s">
        <v>713</v>
      </c>
      <c r="B73" t="s">
        <v>714</v>
      </c>
      <c r="C73">
        <v>1</v>
      </c>
      <c r="D73">
        <v>1</v>
      </c>
      <c r="E73" t="s">
        <v>382</v>
      </c>
      <c r="F73" t="s">
        <v>346</v>
      </c>
      <c r="G73" t="s">
        <v>683</v>
      </c>
      <c r="H73" s="11" t="s">
        <v>715</v>
      </c>
      <c r="I73">
        <v>68520</v>
      </c>
      <c r="J73" s="22">
        <v>44092</v>
      </c>
      <c r="K73" s="22">
        <v>44139</v>
      </c>
      <c r="L73">
        <v>202010</v>
      </c>
      <c r="M73" s="22">
        <v>44105</v>
      </c>
      <c r="N73">
        <v>77871</v>
      </c>
      <c r="O73" t="s">
        <v>699</v>
      </c>
      <c r="P73" t="s">
        <v>712</v>
      </c>
      <c r="Q73" t="s">
        <v>612</v>
      </c>
      <c r="R73">
        <v>905752</v>
      </c>
      <c r="S73" s="22">
        <v>44336</v>
      </c>
      <c r="T73">
        <v>73721</v>
      </c>
      <c r="U73" t="s">
        <v>356</v>
      </c>
      <c r="V73" s="22">
        <v>44350</v>
      </c>
      <c r="W73" t="s">
        <v>788</v>
      </c>
      <c r="X73" t="s">
        <v>789</v>
      </c>
      <c r="Y73" t="s">
        <v>94</v>
      </c>
      <c r="Z73" t="s">
        <v>358</v>
      </c>
      <c r="AA73">
        <v>-596</v>
      </c>
      <c r="AC73" s="2">
        <f t="shared" si="12"/>
        <v>2021</v>
      </c>
      <c r="AD73" s="2">
        <f t="shared" si="13"/>
        <v>6</v>
      </c>
      <c r="AE73" s="2">
        <f t="shared" si="14"/>
        <v>2020</v>
      </c>
      <c r="AF73" s="2">
        <f t="shared" si="15"/>
        <v>9</v>
      </c>
      <c r="AG73" s="2" t="str">
        <f>VLOOKUP(F73,vlookup!$A$2:$E$660,2,0)</f>
        <v>Retained</v>
      </c>
      <c r="AH73" s="2" t="str">
        <f>VLOOKUP(F73,vlookup!$A$2:$E$660,3,0)</f>
        <v>Service Contract</v>
      </c>
      <c r="AI73" s="2" t="str">
        <f>VLOOKUP(F73,vlookup!$A$2:$E$660,4,0)</f>
        <v>Used Car Programs</v>
      </c>
      <c r="AJ73" s="2" t="str">
        <f>VLOOKUP(F73,vlookup!$A$2:$E$660,5,0)</f>
        <v>High Mileage</v>
      </c>
      <c r="AK73" s="2"/>
      <c r="AL73" s="2">
        <f t="shared" si="16"/>
        <v>46</v>
      </c>
      <c r="AM73" s="2">
        <f t="shared" si="17"/>
        <v>255</v>
      </c>
      <c r="AN73" s="2">
        <f t="shared" si="18"/>
        <v>5201</v>
      </c>
      <c r="AO73" s="2" t="str">
        <f t="shared" si="19"/>
        <v/>
      </c>
      <c r="AP73" s="2" t="str">
        <f t="shared" si="20"/>
        <v/>
      </c>
      <c r="AQ73" s="2" t="str">
        <f t="shared" si="21"/>
        <v/>
      </c>
      <c r="AR73" s="2">
        <f t="shared" si="22"/>
        <v>-596</v>
      </c>
      <c r="AS73" s="2" t="str">
        <f t="shared" si="23"/>
        <v>SDFBF369586I20-1</v>
      </c>
      <c r="AT73" s="2" t="str">
        <f>IFERROR(IF(VLOOKUP(Y73,vlookup!$I$2:$J$9,1,0)=Y73,VLOOKUP(Y73,vlookup!$I$2:$J$9,2,0),PROPER(Y73)),PROPER(Y73))</f>
        <v>Labor</v>
      </c>
      <c r="AU73" s="2" t="str">
        <f>IFERROR(IF(B73=VLOOKUP(B73,vlookup!$L$2:$L$10,1,0),"Yes","No"),"No")</f>
        <v>No</v>
      </c>
    </row>
    <row r="74" spans="1:47" x14ac:dyDescent="0.25">
      <c r="A74" t="s">
        <v>713</v>
      </c>
      <c r="B74" t="s">
        <v>714</v>
      </c>
      <c r="C74">
        <v>2</v>
      </c>
      <c r="D74">
        <v>1</v>
      </c>
      <c r="E74" t="s">
        <v>382</v>
      </c>
      <c r="F74" t="s">
        <v>346</v>
      </c>
      <c r="G74" t="s">
        <v>683</v>
      </c>
      <c r="H74" s="11" t="s">
        <v>715</v>
      </c>
      <c r="I74">
        <v>68520</v>
      </c>
      <c r="J74" s="22">
        <v>44092</v>
      </c>
      <c r="K74" s="22">
        <v>44139</v>
      </c>
      <c r="L74">
        <v>202010</v>
      </c>
      <c r="M74" s="22">
        <v>44105</v>
      </c>
      <c r="N74">
        <v>77871</v>
      </c>
      <c r="O74" t="s">
        <v>699</v>
      </c>
      <c r="P74" t="s">
        <v>716</v>
      </c>
      <c r="Q74" t="s">
        <v>612</v>
      </c>
      <c r="R74">
        <v>711063</v>
      </c>
      <c r="S74" s="22">
        <v>44447</v>
      </c>
      <c r="T74">
        <v>76629</v>
      </c>
      <c r="U74" t="s">
        <v>356</v>
      </c>
      <c r="V74" s="22">
        <v>44448</v>
      </c>
      <c r="W74" t="s">
        <v>776</v>
      </c>
      <c r="X74" t="s">
        <v>777</v>
      </c>
      <c r="Y74" t="s">
        <v>94</v>
      </c>
      <c r="Z74" t="s">
        <v>369</v>
      </c>
      <c r="AA74">
        <v>-414.68</v>
      </c>
      <c r="AC74" s="2">
        <f t="shared" si="12"/>
        <v>2021</v>
      </c>
      <c r="AD74" s="2">
        <f t="shared" si="13"/>
        <v>9</v>
      </c>
      <c r="AE74" s="2">
        <f t="shared" si="14"/>
        <v>2020</v>
      </c>
      <c r="AF74" s="2">
        <f t="shared" si="15"/>
        <v>9</v>
      </c>
      <c r="AG74" s="2" t="str">
        <f>VLOOKUP(F74,vlookup!$A$2:$E$660,2,0)</f>
        <v>Retained</v>
      </c>
      <c r="AH74" s="2" t="str">
        <f>VLOOKUP(F74,vlookup!$A$2:$E$660,3,0)</f>
        <v>Service Contract</v>
      </c>
      <c r="AI74" s="2" t="str">
        <f>VLOOKUP(F74,vlookup!$A$2:$E$660,4,0)</f>
        <v>Used Car Programs</v>
      </c>
      <c r="AJ74" s="2" t="str">
        <f>VLOOKUP(F74,vlookup!$A$2:$E$660,5,0)</f>
        <v>High Mileage</v>
      </c>
      <c r="AK74" s="2"/>
      <c r="AL74" s="2">
        <f t="shared" si="16"/>
        <v>46</v>
      </c>
      <c r="AM74" s="2">
        <f t="shared" si="17"/>
        <v>351</v>
      </c>
      <c r="AN74" s="2">
        <f t="shared" si="18"/>
        <v>8109</v>
      </c>
      <c r="AO74" s="2" t="str">
        <f t="shared" si="19"/>
        <v/>
      </c>
      <c r="AP74" s="2" t="str">
        <f t="shared" si="20"/>
        <v/>
      </c>
      <c r="AQ74" s="2" t="str">
        <f t="shared" si="21"/>
        <v/>
      </c>
      <c r="AR74" s="2">
        <f t="shared" si="22"/>
        <v>-414.68</v>
      </c>
      <c r="AS74" s="2" t="str">
        <f t="shared" si="23"/>
        <v>SDFBF369586I20-2</v>
      </c>
      <c r="AT74" s="2" t="str">
        <f>IFERROR(IF(VLOOKUP(Y74,vlookup!$I$2:$J$9,1,0)=Y74,VLOOKUP(Y74,vlookup!$I$2:$J$9,2,0),PROPER(Y74)),PROPER(Y74))</f>
        <v>Labor</v>
      </c>
      <c r="AU74" s="2" t="str">
        <f>IFERROR(IF(B74=VLOOKUP(B74,vlookup!$L$2:$L$10,1,0),"Yes","No"),"No")</f>
        <v>No</v>
      </c>
    </row>
    <row r="75" spans="1:47" x14ac:dyDescent="0.25">
      <c r="A75" t="s">
        <v>713</v>
      </c>
      <c r="B75" t="s">
        <v>714</v>
      </c>
      <c r="C75">
        <v>3</v>
      </c>
      <c r="D75">
        <v>1</v>
      </c>
      <c r="E75" t="s">
        <v>382</v>
      </c>
      <c r="F75" t="s">
        <v>346</v>
      </c>
      <c r="G75" t="s">
        <v>683</v>
      </c>
      <c r="H75" s="11" t="s">
        <v>715</v>
      </c>
      <c r="I75">
        <v>68520</v>
      </c>
      <c r="J75" s="22">
        <v>44092</v>
      </c>
      <c r="K75" s="22">
        <v>44139</v>
      </c>
      <c r="L75">
        <v>202010</v>
      </c>
      <c r="M75" s="22">
        <v>44105</v>
      </c>
      <c r="N75">
        <v>77871</v>
      </c>
      <c r="O75" t="s">
        <v>699</v>
      </c>
      <c r="P75" t="s">
        <v>716</v>
      </c>
      <c r="Q75" t="s">
        <v>612</v>
      </c>
      <c r="R75">
        <v>731304</v>
      </c>
      <c r="S75" s="22">
        <v>44838</v>
      </c>
      <c r="T75">
        <v>89522</v>
      </c>
      <c r="U75" t="s">
        <v>356</v>
      </c>
      <c r="V75" s="22">
        <v>44841</v>
      </c>
      <c r="W75" t="s">
        <v>596</v>
      </c>
      <c r="X75" t="s">
        <v>597</v>
      </c>
      <c r="Y75" t="s">
        <v>94</v>
      </c>
      <c r="Z75" t="s">
        <v>358</v>
      </c>
      <c r="AA75">
        <v>-527.77</v>
      </c>
      <c r="AC75" s="2">
        <f t="shared" si="12"/>
        <v>2022</v>
      </c>
      <c r="AD75" s="2">
        <f t="shared" si="13"/>
        <v>10</v>
      </c>
      <c r="AE75" s="2">
        <f t="shared" si="14"/>
        <v>2020</v>
      </c>
      <c r="AF75" s="2">
        <f t="shared" si="15"/>
        <v>9</v>
      </c>
      <c r="AG75" s="2" t="str">
        <f>VLOOKUP(F75,vlookup!$A$2:$E$660,2,0)</f>
        <v>Retained</v>
      </c>
      <c r="AH75" s="2" t="str">
        <f>VLOOKUP(F75,vlookup!$A$2:$E$660,3,0)</f>
        <v>Service Contract</v>
      </c>
      <c r="AI75" s="2" t="str">
        <f>VLOOKUP(F75,vlookup!$A$2:$E$660,4,0)</f>
        <v>Used Car Programs</v>
      </c>
      <c r="AJ75" s="2" t="str">
        <f>VLOOKUP(F75,vlookup!$A$2:$E$660,5,0)</f>
        <v>High Mileage</v>
      </c>
      <c r="AK75" s="2"/>
      <c r="AL75" s="2">
        <f t="shared" si="16"/>
        <v>46</v>
      </c>
      <c r="AM75" s="2">
        <f t="shared" si="17"/>
        <v>739</v>
      </c>
      <c r="AN75" s="2">
        <f t="shared" si="18"/>
        <v>21002</v>
      </c>
      <c r="AO75" s="2" t="str">
        <f t="shared" si="19"/>
        <v/>
      </c>
      <c r="AP75" s="2" t="str">
        <f t="shared" si="20"/>
        <v/>
      </c>
      <c r="AQ75" s="2" t="str">
        <f t="shared" si="21"/>
        <v/>
      </c>
      <c r="AR75" s="2">
        <f t="shared" si="22"/>
        <v>-527.77</v>
      </c>
      <c r="AS75" s="2" t="str">
        <f t="shared" si="23"/>
        <v>SDFBF369586I20-3</v>
      </c>
      <c r="AT75" s="2" t="str">
        <f>IFERROR(IF(VLOOKUP(Y75,vlookup!$I$2:$J$9,1,0)=Y75,VLOOKUP(Y75,vlookup!$I$2:$J$9,2,0),PROPER(Y75)),PROPER(Y75))</f>
        <v>Labor</v>
      </c>
      <c r="AU75" s="2" t="str">
        <f>IFERROR(IF(B75=VLOOKUP(B75,vlookup!$L$2:$L$10,1,0),"Yes","No"),"No")</f>
        <v>No</v>
      </c>
    </row>
    <row r="76" spans="1:47" x14ac:dyDescent="0.25">
      <c r="A76" t="s">
        <v>717</v>
      </c>
      <c r="B76" t="s">
        <v>718</v>
      </c>
      <c r="C76">
        <v>1</v>
      </c>
      <c r="D76">
        <v>1</v>
      </c>
      <c r="E76" t="s">
        <v>382</v>
      </c>
      <c r="F76" t="s">
        <v>279</v>
      </c>
      <c r="G76" t="s">
        <v>683</v>
      </c>
      <c r="H76" s="11" t="s">
        <v>715</v>
      </c>
      <c r="I76">
        <v>76513</v>
      </c>
      <c r="J76" s="22">
        <v>44788</v>
      </c>
      <c r="K76" s="22">
        <v>44803</v>
      </c>
      <c r="L76">
        <v>202208</v>
      </c>
      <c r="M76" s="22">
        <v>44774</v>
      </c>
      <c r="N76">
        <v>77871</v>
      </c>
      <c r="O76" t="s">
        <v>699</v>
      </c>
      <c r="P76" t="s">
        <v>719</v>
      </c>
      <c r="Q76" t="s">
        <v>612</v>
      </c>
      <c r="R76">
        <v>6007434</v>
      </c>
      <c r="S76" s="22">
        <v>44854</v>
      </c>
      <c r="T76">
        <v>77491</v>
      </c>
      <c r="U76" t="s">
        <v>356</v>
      </c>
      <c r="V76" s="22">
        <v>44858</v>
      </c>
      <c r="W76" t="s">
        <v>362</v>
      </c>
      <c r="X76" t="s">
        <v>363</v>
      </c>
      <c r="Y76" t="s">
        <v>94</v>
      </c>
      <c r="Z76" t="s">
        <v>358</v>
      </c>
      <c r="AA76">
        <v>-358.8</v>
      </c>
      <c r="AC76" s="2">
        <f t="shared" si="12"/>
        <v>2022</v>
      </c>
      <c r="AD76" s="2">
        <f t="shared" si="13"/>
        <v>10</v>
      </c>
      <c r="AE76" s="2">
        <f t="shared" si="14"/>
        <v>2022</v>
      </c>
      <c r="AF76" s="2">
        <f t="shared" si="15"/>
        <v>8</v>
      </c>
      <c r="AG76" s="2" t="str">
        <f>VLOOKUP(F76,vlookup!$A$2:$E$660,2,0)</f>
        <v>Retained</v>
      </c>
      <c r="AH76" s="2" t="str">
        <f>VLOOKUP(F76,vlookup!$A$2:$E$660,3,0)</f>
        <v>Service Contract</v>
      </c>
      <c r="AI76" s="2" t="str">
        <f>VLOOKUP(F76,vlookup!$A$2:$E$660,4,0)</f>
        <v>New Car Programs</v>
      </c>
      <c r="AJ76" s="2" t="str">
        <f>VLOOKUP(F76,vlookup!$A$2:$E$660,5,0)</f>
        <v>Absolute</v>
      </c>
      <c r="AK76" s="2"/>
      <c r="AL76" s="2">
        <f t="shared" si="16"/>
        <v>15</v>
      </c>
      <c r="AM76" s="2">
        <f t="shared" si="17"/>
        <v>69</v>
      </c>
      <c r="AN76" s="2">
        <f t="shared" si="18"/>
        <v>978</v>
      </c>
      <c r="AO76" s="2" t="str">
        <f t="shared" si="19"/>
        <v/>
      </c>
      <c r="AP76" s="2" t="str">
        <f t="shared" si="20"/>
        <v/>
      </c>
      <c r="AQ76" s="2">
        <f t="shared" si="21"/>
        <v>-358.8</v>
      </c>
      <c r="AR76" s="2" t="str">
        <f t="shared" si="22"/>
        <v/>
      </c>
      <c r="AS76" s="2" t="str">
        <f t="shared" si="23"/>
        <v>ARCCF201739H22-1</v>
      </c>
      <c r="AT76" s="2" t="str">
        <f>IFERROR(IF(VLOOKUP(Y76,vlookup!$I$2:$J$9,1,0)=Y76,VLOOKUP(Y76,vlookup!$I$2:$J$9,2,0),PROPER(Y76)),PROPER(Y76))</f>
        <v>Labor</v>
      </c>
      <c r="AU76" s="2" t="str">
        <f>IFERROR(IF(B76=VLOOKUP(B76,vlookup!$L$2:$L$10,1,0),"Yes","No"),"No")</f>
        <v>No</v>
      </c>
    </row>
    <row r="77" spans="1:47" x14ac:dyDescent="0.25">
      <c r="A77" t="s">
        <v>717</v>
      </c>
      <c r="B77" t="s">
        <v>718</v>
      </c>
      <c r="C77">
        <v>1</v>
      </c>
      <c r="D77">
        <v>1</v>
      </c>
      <c r="E77" t="s">
        <v>382</v>
      </c>
      <c r="F77" t="s">
        <v>279</v>
      </c>
      <c r="G77" t="s">
        <v>683</v>
      </c>
      <c r="H77" s="11" t="s">
        <v>715</v>
      </c>
      <c r="I77">
        <v>76513</v>
      </c>
      <c r="J77" s="22">
        <v>44788</v>
      </c>
      <c r="K77" s="22">
        <v>44803</v>
      </c>
      <c r="L77">
        <v>202208</v>
      </c>
      <c r="M77" s="22">
        <v>44774</v>
      </c>
      <c r="N77">
        <v>77871</v>
      </c>
      <c r="O77" t="s">
        <v>699</v>
      </c>
      <c r="P77" t="s">
        <v>719</v>
      </c>
      <c r="Q77" t="s">
        <v>612</v>
      </c>
      <c r="R77">
        <v>6007434</v>
      </c>
      <c r="S77" s="22">
        <v>44854</v>
      </c>
      <c r="T77">
        <v>77491</v>
      </c>
      <c r="U77" t="s">
        <v>356</v>
      </c>
      <c r="V77" s="22">
        <v>44858</v>
      </c>
      <c r="W77" t="s">
        <v>776</v>
      </c>
      <c r="X77" t="s">
        <v>777</v>
      </c>
      <c r="Y77" t="s">
        <v>94</v>
      </c>
      <c r="Z77" t="s">
        <v>369</v>
      </c>
      <c r="AA77">
        <v>-343.2</v>
      </c>
      <c r="AC77" s="2">
        <f t="shared" si="12"/>
        <v>2022</v>
      </c>
      <c r="AD77" s="2">
        <f t="shared" si="13"/>
        <v>10</v>
      </c>
      <c r="AE77" s="2">
        <f t="shared" si="14"/>
        <v>2022</v>
      </c>
      <c r="AF77" s="2">
        <f t="shared" si="15"/>
        <v>8</v>
      </c>
      <c r="AG77" s="2" t="str">
        <f>VLOOKUP(F77,vlookup!$A$2:$E$660,2,0)</f>
        <v>Retained</v>
      </c>
      <c r="AH77" s="2" t="str">
        <f>VLOOKUP(F77,vlookup!$A$2:$E$660,3,0)</f>
        <v>Service Contract</v>
      </c>
      <c r="AI77" s="2" t="str">
        <f>VLOOKUP(F77,vlookup!$A$2:$E$660,4,0)</f>
        <v>New Car Programs</v>
      </c>
      <c r="AJ77" s="2" t="str">
        <f>VLOOKUP(F77,vlookup!$A$2:$E$660,5,0)</f>
        <v>Absolute</v>
      </c>
      <c r="AK77" s="2"/>
      <c r="AL77" s="2">
        <f t="shared" si="16"/>
        <v>15</v>
      </c>
      <c r="AM77" s="2">
        <f t="shared" si="17"/>
        <v>69</v>
      </c>
      <c r="AN77" s="2">
        <f t="shared" si="18"/>
        <v>978</v>
      </c>
      <c r="AO77" s="2" t="str">
        <f t="shared" si="19"/>
        <v/>
      </c>
      <c r="AP77" s="2" t="str">
        <f t="shared" si="20"/>
        <v/>
      </c>
      <c r="AQ77" s="2">
        <f t="shared" si="21"/>
        <v>-343.2</v>
      </c>
      <c r="AR77" s="2" t="str">
        <f t="shared" si="22"/>
        <v/>
      </c>
      <c r="AS77" s="2" t="str">
        <f t="shared" si="23"/>
        <v>ARCCF201739H22-1</v>
      </c>
      <c r="AT77" s="2" t="str">
        <f>IFERROR(IF(VLOOKUP(Y77,vlookup!$I$2:$J$9,1,0)=Y77,VLOOKUP(Y77,vlookup!$I$2:$J$9,2,0),PROPER(Y77)),PROPER(Y77))</f>
        <v>Labor</v>
      </c>
      <c r="AU77" s="2" t="str">
        <f>IFERROR(IF(B77=VLOOKUP(B77,vlookup!$L$2:$L$10,1,0),"Yes","No"),"No")</f>
        <v>No</v>
      </c>
    </row>
    <row r="78" spans="1:47" x14ac:dyDescent="0.25">
      <c r="A78" t="s">
        <v>790</v>
      </c>
      <c r="B78" t="s">
        <v>791</v>
      </c>
      <c r="C78">
        <v>1</v>
      </c>
      <c r="D78">
        <v>1</v>
      </c>
      <c r="E78" t="s">
        <v>572</v>
      </c>
      <c r="F78" t="s">
        <v>207</v>
      </c>
      <c r="G78" t="s">
        <v>683</v>
      </c>
      <c r="H78" s="11" t="s">
        <v>792</v>
      </c>
      <c r="I78">
        <v>77001</v>
      </c>
      <c r="J78" s="22">
        <v>44132</v>
      </c>
      <c r="K78" s="22">
        <v>44183</v>
      </c>
      <c r="L78">
        <v>202012</v>
      </c>
      <c r="M78" s="22">
        <v>44166</v>
      </c>
      <c r="N78">
        <v>77871</v>
      </c>
      <c r="O78" t="s">
        <v>699</v>
      </c>
      <c r="P78" t="s">
        <v>712</v>
      </c>
      <c r="Q78" t="s">
        <v>612</v>
      </c>
      <c r="R78">
        <v>89622</v>
      </c>
      <c r="S78" s="22">
        <v>44165</v>
      </c>
      <c r="T78">
        <v>78308</v>
      </c>
      <c r="U78" t="s">
        <v>356</v>
      </c>
      <c r="V78" s="22">
        <v>44186</v>
      </c>
      <c r="W78" t="s">
        <v>640</v>
      </c>
      <c r="X78" t="s">
        <v>641</v>
      </c>
      <c r="Y78" t="s">
        <v>94</v>
      </c>
      <c r="Z78" t="s">
        <v>364</v>
      </c>
      <c r="AA78">
        <v>-208.6</v>
      </c>
      <c r="AC78" s="2">
        <f t="shared" si="12"/>
        <v>2020</v>
      </c>
      <c r="AD78" s="2">
        <f t="shared" si="13"/>
        <v>12</v>
      </c>
      <c r="AE78" s="2">
        <f t="shared" si="14"/>
        <v>2020</v>
      </c>
      <c r="AF78" s="2">
        <f t="shared" si="15"/>
        <v>10</v>
      </c>
      <c r="AG78" s="2" t="str">
        <f>VLOOKUP(F78,vlookup!$A$2:$E$660,2,0)</f>
        <v>Retained</v>
      </c>
      <c r="AH78" s="2" t="str">
        <f>VLOOKUP(F78,vlookup!$A$2:$E$660,3,0)</f>
        <v>Service Contract</v>
      </c>
      <c r="AI78" s="2" t="str">
        <f>VLOOKUP(F78,vlookup!$A$2:$E$660,4,0)</f>
        <v>Used Car Programs</v>
      </c>
      <c r="AJ78" s="2" t="str">
        <f>VLOOKUP(F78,vlookup!$A$2:$E$660,5,0)</f>
        <v>High Mileage</v>
      </c>
      <c r="AK78" s="2"/>
      <c r="AL78" s="2">
        <f t="shared" si="16"/>
        <v>50</v>
      </c>
      <c r="AM78" s="2">
        <f t="shared" si="17"/>
        <v>53</v>
      </c>
      <c r="AN78" s="2">
        <f t="shared" si="18"/>
        <v>1307</v>
      </c>
      <c r="AO78" s="2" t="str">
        <f t="shared" si="19"/>
        <v/>
      </c>
      <c r="AP78" s="2">
        <f t="shared" si="20"/>
        <v>-208.6</v>
      </c>
      <c r="AQ78" s="2" t="str">
        <f t="shared" si="21"/>
        <v/>
      </c>
      <c r="AR78" s="2" t="str">
        <f t="shared" si="22"/>
        <v/>
      </c>
      <c r="AS78" s="2" t="str">
        <f t="shared" si="23"/>
        <v>APC500219-1</v>
      </c>
      <c r="AT78" s="2" t="str">
        <f>IFERROR(IF(VLOOKUP(Y78,vlookup!$I$2:$J$9,1,0)=Y78,VLOOKUP(Y78,vlookup!$I$2:$J$9,2,0),PROPER(Y78)),PROPER(Y78))</f>
        <v>Labor</v>
      </c>
      <c r="AU78" s="2" t="str">
        <f>IFERROR(IF(B78=VLOOKUP(B78,vlookup!$L$2:$L$10,1,0),"Yes","No"),"No")</f>
        <v>No</v>
      </c>
    </row>
    <row r="79" spans="1:47" x14ac:dyDescent="0.25">
      <c r="A79" t="s">
        <v>790</v>
      </c>
      <c r="B79" t="s">
        <v>791</v>
      </c>
      <c r="C79">
        <v>1</v>
      </c>
      <c r="D79">
        <v>1</v>
      </c>
      <c r="E79" t="s">
        <v>572</v>
      </c>
      <c r="F79" t="s">
        <v>207</v>
      </c>
      <c r="G79" t="s">
        <v>683</v>
      </c>
      <c r="H79" s="11" t="s">
        <v>792</v>
      </c>
      <c r="I79">
        <v>77001</v>
      </c>
      <c r="J79" s="22">
        <v>44132</v>
      </c>
      <c r="K79" s="22">
        <v>44183</v>
      </c>
      <c r="L79">
        <v>202012</v>
      </c>
      <c r="M79" s="22">
        <v>44166</v>
      </c>
      <c r="N79">
        <v>77871</v>
      </c>
      <c r="O79" t="s">
        <v>699</v>
      </c>
      <c r="P79" t="s">
        <v>712</v>
      </c>
      <c r="Q79" t="s">
        <v>612</v>
      </c>
      <c r="R79">
        <v>89622</v>
      </c>
      <c r="S79" s="22">
        <v>44165</v>
      </c>
      <c r="T79">
        <v>78308</v>
      </c>
      <c r="U79" t="s">
        <v>356</v>
      </c>
      <c r="V79" s="22">
        <v>44186</v>
      </c>
      <c r="W79" t="s">
        <v>370</v>
      </c>
      <c r="X79" t="s">
        <v>371</v>
      </c>
      <c r="Y79" t="s">
        <v>94</v>
      </c>
      <c r="Z79" t="s">
        <v>369</v>
      </c>
      <c r="AA79">
        <v>-1370.8</v>
      </c>
      <c r="AC79" s="2">
        <f t="shared" si="12"/>
        <v>2020</v>
      </c>
      <c r="AD79" s="2">
        <f t="shared" si="13"/>
        <v>12</v>
      </c>
      <c r="AE79" s="2">
        <f t="shared" si="14"/>
        <v>2020</v>
      </c>
      <c r="AF79" s="2">
        <f t="shared" si="15"/>
        <v>10</v>
      </c>
      <c r="AG79" s="2" t="str">
        <f>VLOOKUP(F79,vlookup!$A$2:$E$660,2,0)</f>
        <v>Retained</v>
      </c>
      <c r="AH79" s="2" t="str">
        <f>VLOOKUP(F79,vlookup!$A$2:$E$660,3,0)</f>
        <v>Service Contract</v>
      </c>
      <c r="AI79" s="2" t="str">
        <f>VLOOKUP(F79,vlookup!$A$2:$E$660,4,0)</f>
        <v>Used Car Programs</v>
      </c>
      <c r="AJ79" s="2" t="str">
        <f>VLOOKUP(F79,vlookup!$A$2:$E$660,5,0)</f>
        <v>High Mileage</v>
      </c>
      <c r="AK79" s="2"/>
      <c r="AL79" s="2">
        <f t="shared" si="16"/>
        <v>50</v>
      </c>
      <c r="AM79" s="2">
        <f t="shared" si="17"/>
        <v>53</v>
      </c>
      <c r="AN79" s="2">
        <f t="shared" si="18"/>
        <v>1307</v>
      </c>
      <c r="AO79" s="2" t="str">
        <f t="shared" si="19"/>
        <v/>
      </c>
      <c r="AP79" s="2">
        <f t="shared" si="20"/>
        <v>-1370.8</v>
      </c>
      <c r="AQ79" s="2" t="str">
        <f t="shared" si="21"/>
        <v/>
      </c>
      <c r="AR79" s="2" t="str">
        <f t="shared" si="22"/>
        <v/>
      </c>
      <c r="AS79" s="2" t="str">
        <f t="shared" si="23"/>
        <v>APC500219-1</v>
      </c>
      <c r="AT79" s="2" t="str">
        <f>IFERROR(IF(VLOOKUP(Y79,vlookup!$I$2:$J$9,1,0)=Y79,VLOOKUP(Y79,vlookup!$I$2:$J$9,2,0),PROPER(Y79)),PROPER(Y79))</f>
        <v>Labor</v>
      </c>
      <c r="AU79" s="2" t="str">
        <f>IFERROR(IF(B79=VLOOKUP(B79,vlookup!$L$2:$L$10,1,0),"Yes","No"),"No")</f>
        <v>No</v>
      </c>
    </row>
    <row r="80" spans="1:47" x14ac:dyDescent="0.25">
      <c r="A80" t="s">
        <v>790</v>
      </c>
      <c r="B80" t="s">
        <v>791</v>
      </c>
      <c r="C80">
        <v>2</v>
      </c>
      <c r="D80">
        <v>1</v>
      </c>
      <c r="E80" t="s">
        <v>572</v>
      </c>
      <c r="F80" t="s">
        <v>207</v>
      </c>
      <c r="G80" t="s">
        <v>683</v>
      </c>
      <c r="H80" s="11" t="s">
        <v>792</v>
      </c>
      <c r="I80">
        <v>77001</v>
      </c>
      <c r="J80" s="22">
        <v>44132</v>
      </c>
      <c r="K80" s="22">
        <v>44183</v>
      </c>
      <c r="L80">
        <v>202012</v>
      </c>
      <c r="M80" s="22">
        <v>44166</v>
      </c>
      <c r="N80">
        <v>77871</v>
      </c>
      <c r="O80" t="s">
        <v>699</v>
      </c>
      <c r="P80" t="s">
        <v>712</v>
      </c>
      <c r="Q80" t="s">
        <v>612</v>
      </c>
      <c r="R80">
        <v>901349</v>
      </c>
      <c r="S80" s="22">
        <v>44259</v>
      </c>
      <c r="T80">
        <v>78934</v>
      </c>
      <c r="U80" t="s">
        <v>356</v>
      </c>
      <c r="V80" s="22">
        <v>44267</v>
      </c>
      <c r="W80" t="s">
        <v>573</v>
      </c>
      <c r="X80" t="s">
        <v>574</v>
      </c>
      <c r="Y80" t="s">
        <v>94</v>
      </c>
      <c r="Z80" t="s">
        <v>575</v>
      </c>
      <c r="AA80">
        <v>-129</v>
      </c>
      <c r="AC80" s="2">
        <f t="shared" si="12"/>
        <v>2021</v>
      </c>
      <c r="AD80" s="2">
        <f t="shared" si="13"/>
        <v>3</v>
      </c>
      <c r="AE80" s="2">
        <f t="shared" si="14"/>
        <v>2020</v>
      </c>
      <c r="AF80" s="2">
        <f t="shared" si="15"/>
        <v>10</v>
      </c>
      <c r="AG80" s="2" t="str">
        <f>VLOOKUP(F80,vlookup!$A$2:$E$660,2,0)</f>
        <v>Retained</v>
      </c>
      <c r="AH80" s="2" t="str">
        <f>VLOOKUP(F80,vlookup!$A$2:$E$660,3,0)</f>
        <v>Service Contract</v>
      </c>
      <c r="AI80" s="2" t="str">
        <f>VLOOKUP(F80,vlookup!$A$2:$E$660,4,0)</f>
        <v>Used Car Programs</v>
      </c>
      <c r="AJ80" s="2" t="str">
        <f>VLOOKUP(F80,vlookup!$A$2:$E$660,5,0)</f>
        <v>High Mileage</v>
      </c>
      <c r="AK80" s="2"/>
      <c r="AL80" s="2">
        <f t="shared" si="16"/>
        <v>50</v>
      </c>
      <c r="AM80" s="2">
        <f t="shared" si="17"/>
        <v>134</v>
      </c>
      <c r="AN80" s="2">
        <f t="shared" si="18"/>
        <v>1933</v>
      </c>
      <c r="AO80" s="2" t="str">
        <f t="shared" si="19"/>
        <v/>
      </c>
      <c r="AP80" s="2" t="str">
        <f t="shared" si="20"/>
        <v/>
      </c>
      <c r="AQ80" s="2" t="str">
        <f t="shared" si="21"/>
        <v/>
      </c>
      <c r="AR80" s="2">
        <f t="shared" si="22"/>
        <v>-129</v>
      </c>
      <c r="AS80" s="2" t="str">
        <f t="shared" si="23"/>
        <v>APC500219-2</v>
      </c>
      <c r="AT80" s="2" t="str">
        <f>IFERROR(IF(VLOOKUP(Y80,vlookup!$I$2:$J$9,1,0)=Y80,VLOOKUP(Y80,vlookup!$I$2:$J$9,2,0),PROPER(Y80)),PROPER(Y80))</f>
        <v>Labor</v>
      </c>
      <c r="AU80" s="2" t="str">
        <f>IFERROR(IF(B80=VLOOKUP(B80,vlookup!$L$2:$L$10,1,0),"Yes","No"),"No")</f>
        <v>No</v>
      </c>
    </row>
    <row r="81" spans="1:47" x14ac:dyDescent="0.25">
      <c r="A81" t="s">
        <v>790</v>
      </c>
      <c r="B81" t="s">
        <v>791</v>
      </c>
      <c r="C81">
        <v>2</v>
      </c>
      <c r="D81">
        <v>1</v>
      </c>
      <c r="E81" t="s">
        <v>572</v>
      </c>
      <c r="F81" t="s">
        <v>207</v>
      </c>
      <c r="G81" t="s">
        <v>683</v>
      </c>
      <c r="H81" s="11" t="s">
        <v>792</v>
      </c>
      <c r="I81">
        <v>77001</v>
      </c>
      <c r="J81" s="22">
        <v>44132</v>
      </c>
      <c r="K81" s="22">
        <v>44183</v>
      </c>
      <c r="L81">
        <v>202012</v>
      </c>
      <c r="M81" s="22">
        <v>44166</v>
      </c>
      <c r="N81">
        <v>77871</v>
      </c>
      <c r="O81" t="s">
        <v>699</v>
      </c>
      <c r="P81" t="s">
        <v>712</v>
      </c>
      <c r="Q81" t="s">
        <v>612</v>
      </c>
      <c r="R81">
        <v>901349</v>
      </c>
      <c r="S81" s="22">
        <v>44259</v>
      </c>
      <c r="T81">
        <v>78934</v>
      </c>
      <c r="U81" t="s">
        <v>356</v>
      </c>
      <c r="V81" s="22">
        <v>44267</v>
      </c>
      <c r="W81" t="s">
        <v>636</v>
      </c>
      <c r="X81" t="s">
        <v>637</v>
      </c>
      <c r="Y81" t="s">
        <v>94</v>
      </c>
      <c r="Z81" t="s">
        <v>625</v>
      </c>
      <c r="AA81">
        <v>-774.2</v>
      </c>
      <c r="AC81" s="2">
        <f t="shared" si="12"/>
        <v>2021</v>
      </c>
      <c r="AD81" s="2">
        <f t="shared" si="13"/>
        <v>3</v>
      </c>
      <c r="AE81" s="2">
        <f t="shared" si="14"/>
        <v>2020</v>
      </c>
      <c r="AF81" s="2">
        <f t="shared" si="15"/>
        <v>10</v>
      </c>
      <c r="AG81" s="2" t="str">
        <f>VLOOKUP(F81,vlookup!$A$2:$E$660,2,0)</f>
        <v>Retained</v>
      </c>
      <c r="AH81" s="2" t="str">
        <f>VLOOKUP(F81,vlookup!$A$2:$E$660,3,0)</f>
        <v>Service Contract</v>
      </c>
      <c r="AI81" s="2" t="str">
        <f>VLOOKUP(F81,vlookup!$A$2:$E$660,4,0)</f>
        <v>Used Car Programs</v>
      </c>
      <c r="AJ81" s="2" t="str">
        <f>VLOOKUP(F81,vlookup!$A$2:$E$660,5,0)</f>
        <v>High Mileage</v>
      </c>
      <c r="AK81" s="2"/>
      <c r="AL81" s="2">
        <f t="shared" si="16"/>
        <v>50</v>
      </c>
      <c r="AM81" s="2">
        <f t="shared" si="17"/>
        <v>134</v>
      </c>
      <c r="AN81" s="2">
        <f t="shared" si="18"/>
        <v>1933</v>
      </c>
      <c r="AO81" s="2" t="str">
        <f t="shared" si="19"/>
        <v/>
      </c>
      <c r="AP81" s="2" t="str">
        <f t="shared" si="20"/>
        <v/>
      </c>
      <c r="AQ81" s="2" t="str">
        <f t="shared" si="21"/>
        <v/>
      </c>
      <c r="AR81" s="2">
        <f t="shared" si="22"/>
        <v>-774.2</v>
      </c>
      <c r="AS81" s="2" t="str">
        <f t="shared" si="23"/>
        <v>APC500219-2</v>
      </c>
      <c r="AT81" s="2" t="str">
        <f>IFERROR(IF(VLOOKUP(Y81,vlookup!$I$2:$J$9,1,0)=Y81,VLOOKUP(Y81,vlookup!$I$2:$J$9,2,0),PROPER(Y81)),PROPER(Y81))</f>
        <v>Labor</v>
      </c>
      <c r="AU81" s="2" t="str">
        <f>IFERROR(IF(B81=VLOOKUP(B81,vlookup!$L$2:$L$10,1,0),"Yes","No"),"No")</f>
        <v>No</v>
      </c>
    </row>
    <row r="82" spans="1:47" x14ac:dyDescent="0.25">
      <c r="A82" t="s">
        <v>793</v>
      </c>
      <c r="B82" t="s">
        <v>794</v>
      </c>
      <c r="C82">
        <v>2</v>
      </c>
      <c r="D82">
        <v>2</v>
      </c>
      <c r="E82" t="s">
        <v>382</v>
      </c>
      <c r="F82" t="s">
        <v>207</v>
      </c>
      <c r="G82" t="s">
        <v>683</v>
      </c>
      <c r="H82" s="11" t="s">
        <v>684</v>
      </c>
      <c r="I82">
        <v>86800</v>
      </c>
      <c r="J82" s="22">
        <v>44173</v>
      </c>
      <c r="K82" s="22">
        <v>44230</v>
      </c>
      <c r="L82">
        <v>202101</v>
      </c>
      <c r="M82" s="22">
        <v>44197</v>
      </c>
      <c r="N82">
        <v>77871</v>
      </c>
      <c r="O82" t="s">
        <v>699</v>
      </c>
      <c r="P82" t="s">
        <v>795</v>
      </c>
      <c r="Q82" t="s">
        <v>612</v>
      </c>
      <c r="R82">
        <v>905263</v>
      </c>
      <c r="S82" s="22">
        <v>44328</v>
      </c>
      <c r="T82">
        <v>92087</v>
      </c>
      <c r="U82" t="s">
        <v>357</v>
      </c>
      <c r="V82" s="22">
        <v>44384</v>
      </c>
      <c r="W82" t="s">
        <v>629</v>
      </c>
      <c r="X82" t="s">
        <v>630</v>
      </c>
      <c r="Y82" t="s">
        <v>94</v>
      </c>
      <c r="Z82" t="s">
        <v>364</v>
      </c>
      <c r="AA82">
        <v>-320.35000000000002</v>
      </c>
      <c r="AC82" s="2">
        <f t="shared" si="12"/>
        <v>2021</v>
      </c>
      <c r="AD82" s="2">
        <f t="shared" si="13"/>
        <v>7</v>
      </c>
      <c r="AE82" s="2">
        <f t="shared" si="14"/>
        <v>2020</v>
      </c>
      <c r="AF82" s="2">
        <f t="shared" si="15"/>
        <v>12</v>
      </c>
      <c r="AG82" s="2" t="str">
        <f>VLOOKUP(F82,vlookup!$A$2:$E$660,2,0)</f>
        <v>Retained</v>
      </c>
      <c r="AH82" s="2" t="str">
        <f>VLOOKUP(F82,vlookup!$A$2:$E$660,3,0)</f>
        <v>Service Contract</v>
      </c>
      <c r="AI82" s="2" t="str">
        <f>VLOOKUP(F82,vlookup!$A$2:$E$660,4,0)</f>
        <v>Used Car Programs</v>
      </c>
      <c r="AJ82" s="2" t="str">
        <f>VLOOKUP(F82,vlookup!$A$2:$E$660,5,0)</f>
        <v>High Mileage</v>
      </c>
      <c r="AK82" s="2"/>
      <c r="AL82" s="2">
        <f t="shared" si="16"/>
        <v>55</v>
      </c>
      <c r="AM82" s="2">
        <f t="shared" si="17"/>
        <v>209</v>
      </c>
      <c r="AN82" s="2">
        <f t="shared" si="18"/>
        <v>5287</v>
      </c>
      <c r="AO82" s="2" t="str">
        <f t="shared" si="19"/>
        <v/>
      </c>
      <c r="AP82" s="2" t="str">
        <f t="shared" si="20"/>
        <v/>
      </c>
      <c r="AQ82" s="2" t="str">
        <f t="shared" si="21"/>
        <v/>
      </c>
      <c r="AR82" s="2">
        <f t="shared" si="22"/>
        <v>-320.35000000000002</v>
      </c>
      <c r="AS82" s="2" t="str">
        <f t="shared" si="23"/>
        <v>APC500249-2</v>
      </c>
      <c r="AT82" s="2" t="str">
        <f>IFERROR(IF(VLOOKUP(Y82,vlookup!$I$2:$J$9,1,0)=Y82,VLOOKUP(Y82,vlookup!$I$2:$J$9,2,0),PROPER(Y82)),PROPER(Y82))</f>
        <v>Labor</v>
      </c>
      <c r="AU82" s="2" t="str">
        <f>IFERROR(IF(B82=VLOOKUP(B82,vlookup!$L$2:$L$10,1,0),"Yes","No"),"No")</f>
        <v>No</v>
      </c>
    </row>
    <row r="83" spans="1:47" x14ac:dyDescent="0.25">
      <c r="A83" t="s">
        <v>720</v>
      </c>
      <c r="B83" t="s">
        <v>721</v>
      </c>
      <c r="C83">
        <v>1</v>
      </c>
      <c r="D83">
        <v>1</v>
      </c>
      <c r="E83" t="s">
        <v>382</v>
      </c>
      <c r="F83" t="s">
        <v>191</v>
      </c>
      <c r="G83" t="s">
        <v>697</v>
      </c>
      <c r="H83" s="11" t="s">
        <v>722</v>
      </c>
      <c r="I83">
        <v>31702</v>
      </c>
      <c r="J83" s="22">
        <v>44119</v>
      </c>
      <c r="K83" s="22">
        <v>44194</v>
      </c>
      <c r="L83">
        <v>202012</v>
      </c>
      <c r="M83" s="22">
        <v>44166</v>
      </c>
      <c r="N83">
        <v>77871</v>
      </c>
      <c r="O83" t="s">
        <v>699</v>
      </c>
      <c r="P83" t="s">
        <v>712</v>
      </c>
      <c r="Q83" t="s">
        <v>612</v>
      </c>
      <c r="R83">
        <v>900714</v>
      </c>
      <c r="S83" s="22">
        <v>44250</v>
      </c>
      <c r="T83">
        <v>32643</v>
      </c>
      <c r="U83" t="s">
        <v>356</v>
      </c>
      <c r="V83" s="22">
        <v>44258</v>
      </c>
      <c r="W83" t="s">
        <v>796</v>
      </c>
      <c r="X83" t="s">
        <v>797</v>
      </c>
      <c r="Y83" t="s">
        <v>94</v>
      </c>
      <c r="Z83" t="s">
        <v>358</v>
      </c>
      <c r="AA83">
        <v>-363.4</v>
      </c>
      <c r="AC83" s="2">
        <f t="shared" si="12"/>
        <v>2021</v>
      </c>
      <c r="AD83" s="2">
        <f t="shared" si="13"/>
        <v>3</v>
      </c>
      <c r="AE83" s="2">
        <f t="shared" si="14"/>
        <v>2020</v>
      </c>
      <c r="AF83" s="2">
        <f t="shared" si="15"/>
        <v>10</v>
      </c>
      <c r="AG83" s="2" t="str">
        <f>VLOOKUP(F83,vlookup!$A$2:$E$660,2,0)</f>
        <v>Retained</v>
      </c>
      <c r="AH83" s="2" t="str">
        <f>VLOOKUP(F83,vlookup!$A$2:$E$660,3,0)</f>
        <v>Service Contract</v>
      </c>
      <c r="AI83" s="2" t="str">
        <f>VLOOKUP(F83,vlookup!$A$2:$E$660,4,0)</f>
        <v>New Car Programs</v>
      </c>
      <c r="AJ83" s="2" t="str">
        <f>VLOOKUP(F83,vlookup!$A$2:$E$660,5,0)</f>
        <v>High Mileage</v>
      </c>
      <c r="AK83" s="2"/>
      <c r="AL83" s="2">
        <f t="shared" si="16"/>
        <v>74</v>
      </c>
      <c r="AM83" s="2">
        <f t="shared" si="17"/>
        <v>138</v>
      </c>
      <c r="AN83" s="2">
        <f t="shared" si="18"/>
        <v>941</v>
      </c>
      <c r="AO83" s="2" t="str">
        <f t="shared" si="19"/>
        <v/>
      </c>
      <c r="AP83" s="2" t="str">
        <f t="shared" si="20"/>
        <v/>
      </c>
      <c r="AQ83" s="2" t="str">
        <f t="shared" si="21"/>
        <v/>
      </c>
      <c r="AR83" s="2">
        <f t="shared" si="22"/>
        <v>-363.4</v>
      </c>
      <c r="AS83" s="2" t="str">
        <f t="shared" si="23"/>
        <v>APC100109-1</v>
      </c>
      <c r="AT83" s="2" t="str">
        <f>IFERROR(IF(VLOOKUP(Y83,vlookup!$I$2:$J$9,1,0)=Y83,VLOOKUP(Y83,vlookup!$I$2:$J$9,2,0),PROPER(Y83)),PROPER(Y83))</f>
        <v>Labor</v>
      </c>
      <c r="AU83" s="2" t="str">
        <f>IFERROR(IF(B83=VLOOKUP(B83,vlookup!$L$2:$L$10,1,0),"Yes","No"),"No")</f>
        <v>No</v>
      </c>
    </row>
    <row r="84" spans="1:47" x14ac:dyDescent="0.25">
      <c r="A84" t="s">
        <v>723</v>
      </c>
      <c r="B84" t="s">
        <v>724</v>
      </c>
      <c r="C84">
        <v>2</v>
      </c>
      <c r="D84">
        <v>1</v>
      </c>
      <c r="E84" t="s">
        <v>382</v>
      </c>
      <c r="F84" t="s">
        <v>346</v>
      </c>
      <c r="G84" t="s">
        <v>30</v>
      </c>
      <c r="H84" s="11" t="s">
        <v>613</v>
      </c>
      <c r="I84">
        <v>125225</v>
      </c>
      <c r="J84" s="22">
        <v>44239</v>
      </c>
      <c r="K84" s="22">
        <v>44291</v>
      </c>
      <c r="L84">
        <v>202103</v>
      </c>
      <c r="M84" s="22">
        <v>44256</v>
      </c>
      <c r="N84">
        <v>77871</v>
      </c>
      <c r="O84" t="s">
        <v>699</v>
      </c>
      <c r="P84" t="s">
        <v>712</v>
      </c>
      <c r="Q84" t="s">
        <v>612</v>
      </c>
      <c r="R84">
        <v>905929</v>
      </c>
      <c r="S84" s="22">
        <v>44340</v>
      </c>
      <c r="T84">
        <v>127253</v>
      </c>
      <c r="U84" t="s">
        <v>356</v>
      </c>
      <c r="V84" s="22">
        <v>44365</v>
      </c>
      <c r="W84" t="s">
        <v>594</v>
      </c>
      <c r="X84" t="s">
        <v>595</v>
      </c>
      <c r="Y84" t="s">
        <v>94</v>
      </c>
      <c r="Z84" t="s">
        <v>358</v>
      </c>
      <c r="AA84">
        <v>-149</v>
      </c>
      <c r="AC84" s="2">
        <f t="shared" si="12"/>
        <v>2021</v>
      </c>
      <c r="AD84" s="2">
        <f t="shared" si="13"/>
        <v>6</v>
      </c>
      <c r="AE84" s="2">
        <f t="shared" si="14"/>
        <v>2021</v>
      </c>
      <c r="AF84" s="2">
        <f t="shared" si="15"/>
        <v>2</v>
      </c>
      <c r="AG84" s="2" t="str">
        <f>VLOOKUP(F84,vlookup!$A$2:$E$660,2,0)</f>
        <v>Retained</v>
      </c>
      <c r="AH84" s="2" t="str">
        <f>VLOOKUP(F84,vlookup!$A$2:$E$660,3,0)</f>
        <v>Service Contract</v>
      </c>
      <c r="AI84" s="2" t="str">
        <f>VLOOKUP(F84,vlookup!$A$2:$E$660,4,0)</f>
        <v>Used Car Programs</v>
      </c>
      <c r="AJ84" s="2" t="str">
        <f>VLOOKUP(F84,vlookup!$A$2:$E$660,5,0)</f>
        <v>High Mileage</v>
      </c>
      <c r="AK84" s="2"/>
      <c r="AL84" s="2">
        <f t="shared" si="16"/>
        <v>53</v>
      </c>
      <c r="AM84" s="2">
        <f t="shared" si="17"/>
        <v>126</v>
      </c>
      <c r="AN84" s="2">
        <f t="shared" si="18"/>
        <v>2028</v>
      </c>
      <c r="AO84" s="2" t="str">
        <f t="shared" si="19"/>
        <v/>
      </c>
      <c r="AP84" s="2" t="str">
        <f t="shared" si="20"/>
        <v/>
      </c>
      <c r="AQ84" s="2" t="str">
        <f t="shared" si="21"/>
        <v/>
      </c>
      <c r="AR84" s="2">
        <f t="shared" si="22"/>
        <v>-149</v>
      </c>
      <c r="AS84" s="2" t="str">
        <f t="shared" si="23"/>
        <v>SDF8J254834B21-2</v>
      </c>
      <c r="AT84" s="2" t="str">
        <f>IFERROR(IF(VLOOKUP(Y84,vlookup!$I$2:$J$9,1,0)=Y84,VLOOKUP(Y84,vlookup!$I$2:$J$9,2,0),PROPER(Y84)),PROPER(Y84))</f>
        <v>Labor</v>
      </c>
      <c r="AU84" s="2" t="str">
        <f>IFERROR(IF(B84=VLOOKUP(B84,vlookup!$L$2:$L$10,1,0),"Yes","No"),"No")</f>
        <v>No</v>
      </c>
    </row>
    <row r="85" spans="1:47" x14ac:dyDescent="0.25">
      <c r="A85" t="s">
        <v>723</v>
      </c>
      <c r="B85" t="s">
        <v>724</v>
      </c>
      <c r="C85">
        <v>2</v>
      </c>
      <c r="D85">
        <v>1</v>
      </c>
      <c r="E85" t="s">
        <v>382</v>
      </c>
      <c r="F85" t="s">
        <v>346</v>
      </c>
      <c r="G85" t="s">
        <v>30</v>
      </c>
      <c r="H85" s="11" t="s">
        <v>613</v>
      </c>
      <c r="I85">
        <v>125225</v>
      </c>
      <c r="J85" s="22">
        <v>44239</v>
      </c>
      <c r="K85" s="22">
        <v>44291</v>
      </c>
      <c r="L85">
        <v>202103</v>
      </c>
      <c r="M85" s="22">
        <v>44256</v>
      </c>
      <c r="N85">
        <v>77871</v>
      </c>
      <c r="O85" t="s">
        <v>699</v>
      </c>
      <c r="P85" t="s">
        <v>712</v>
      </c>
      <c r="Q85" t="s">
        <v>612</v>
      </c>
      <c r="R85">
        <v>905929</v>
      </c>
      <c r="S85" s="22">
        <v>44340</v>
      </c>
      <c r="T85">
        <v>127253</v>
      </c>
      <c r="U85" t="s">
        <v>356</v>
      </c>
      <c r="V85" s="22">
        <v>44365</v>
      </c>
      <c r="W85" t="s">
        <v>660</v>
      </c>
      <c r="X85" t="s">
        <v>661</v>
      </c>
      <c r="Y85" t="s">
        <v>94</v>
      </c>
      <c r="Z85" t="s">
        <v>369</v>
      </c>
      <c r="AA85">
        <v>-745</v>
      </c>
      <c r="AC85" s="2">
        <f t="shared" si="12"/>
        <v>2021</v>
      </c>
      <c r="AD85" s="2">
        <f t="shared" si="13"/>
        <v>6</v>
      </c>
      <c r="AE85" s="2">
        <f t="shared" si="14"/>
        <v>2021</v>
      </c>
      <c r="AF85" s="2">
        <f t="shared" si="15"/>
        <v>2</v>
      </c>
      <c r="AG85" s="2" t="str">
        <f>VLOOKUP(F85,vlookup!$A$2:$E$660,2,0)</f>
        <v>Retained</v>
      </c>
      <c r="AH85" s="2" t="str">
        <f>VLOOKUP(F85,vlookup!$A$2:$E$660,3,0)</f>
        <v>Service Contract</v>
      </c>
      <c r="AI85" s="2" t="str">
        <f>VLOOKUP(F85,vlookup!$A$2:$E$660,4,0)</f>
        <v>Used Car Programs</v>
      </c>
      <c r="AJ85" s="2" t="str">
        <f>VLOOKUP(F85,vlookup!$A$2:$E$660,5,0)</f>
        <v>High Mileage</v>
      </c>
      <c r="AK85" s="2"/>
      <c r="AL85" s="2">
        <f t="shared" si="16"/>
        <v>53</v>
      </c>
      <c r="AM85" s="2">
        <f t="shared" si="17"/>
        <v>126</v>
      </c>
      <c r="AN85" s="2">
        <f t="shared" si="18"/>
        <v>2028</v>
      </c>
      <c r="AO85" s="2" t="str">
        <f t="shared" si="19"/>
        <v/>
      </c>
      <c r="AP85" s="2" t="str">
        <f t="shared" si="20"/>
        <v/>
      </c>
      <c r="AQ85" s="2" t="str">
        <f t="shared" si="21"/>
        <v/>
      </c>
      <c r="AR85" s="2">
        <f t="shared" si="22"/>
        <v>-745</v>
      </c>
      <c r="AS85" s="2" t="str">
        <f t="shared" si="23"/>
        <v>SDF8J254834B21-2</v>
      </c>
      <c r="AT85" s="2" t="str">
        <f>IFERROR(IF(VLOOKUP(Y85,vlookup!$I$2:$J$9,1,0)=Y85,VLOOKUP(Y85,vlookup!$I$2:$J$9,2,0),PROPER(Y85)),PROPER(Y85))</f>
        <v>Labor</v>
      </c>
      <c r="AU85" s="2" t="str">
        <f>IFERROR(IF(B85=VLOOKUP(B85,vlookup!$L$2:$L$10,1,0),"Yes","No"),"No")</f>
        <v>No</v>
      </c>
    </row>
    <row r="86" spans="1:47" x14ac:dyDescent="0.25">
      <c r="A86" t="s">
        <v>723</v>
      </c>
      <c r="B86" t="s">
        <v>724</v>
      </c>
      <c r="C86">
        <v>4</v>
      </c>
      <c r="D86">
        <v>1</v>
      </c>
      <c r="E86" t="s">
        <v>382</v>
      </c>
      <c r="F86" t="s">
        <v>346</v>
      </c>
      <c r="G86" t="s">
        <v>30</v>
      </c>
      <c r="H86" s="11" t="s">
        <v>613</v>
      </c>
      <c r="I86">
        <v>125225</v>
      </c>
      <c r="J86" s="22">
        <v>44239</v>
      </c>
      <c r="K86" s="22">
        <v>44291</v>
      </c>
      <c r="L86">
        <v>202103</v>
      </c>
      <c r="M86" s="22">
        <v>44256</v>
      </c>
      <c r="N86">
        <v>77871</v>
      </c>
      <c r="O86" t="s">
        <v>699</v>
      </c>
      <c r="P86" t="s">
        <v>712</v>
      </c>
      <c r="Q86" t="s">
        <v>612</v>
      </c>
      <c r="R86">
        <v>120414</v>
      </c>
      <c r="S86" s="22">
        <v>44805</v>
      </c>
      <c r="T86">
        <v>139234</v>
      </c>
      <c r="U86" t="s">
        <v>356</v>
      </c>
      <c r="V86" s="22">
        <v>44812</v>
      </c>
      <c r="W86" t="s">
        <v>798</v>
      </c>
      <c r="X86" t="s">
        <v>799</v>
      </c>
      <c r="Y86" t="s">
        <v>94</v>
      </c>
      <c r="Z86" t="s">
        <v>358</v>
      </c>
      <c r="AA86">
        <v>-316</v>
      </c>
      <c r="AC86" s="2">
        <f t="shared" si="12"/>
        <v>2022</v>
      </c>
      <c r="AD86" s="2">
        <f t="shared" si="13"/>
        <v>9</v>
      </c>
      <c r="AE86" s="2">
        <f t="shared" si="14"/>
        <v>2021</v>
      </c>
      <c r="AF86" s="2">
        <f t="shared" si="15"/>
        <v>2</v>
      </c>
      <c r="AG86" s="2" t="str">
        <f>VLOOKUP(F86,vlookup!$A$2:$E$660,2,0)</f>
        <v>Retained</v>
      </c>
      <c r="AH86" s="2" t="str">
        <f>VLOOKUP(F86,vlookup!$A$2:$E$660,3,0)</f>
        <v>Service Contract</v>
      </c>
      <c r="AI86" s="2" t="str">
        <f>VLOOKUP(F86,vlookup!$A$2:$E$660,4,0)</f>
        <v>Used Car Programs</v>
      </c>
      <c r="AJ86" s="2" t="str">
        <f>VLOOKUP(F86,vlookup!$A$2:$E$660,5,0)</f>
        <v>High Mileage</v>
      </c>
      <c r="AK86" s="2"/>
      <c r="AL86" s="2">
        <f t="shared" si="16"/>
        <v>53</v>
      </c>
      <c r="AM86" s="2">
        <f t="shared" si="17"/>
        <v>566</v>
      </c>
      <c r="AN86" s="2">
        <f t="shared" si="18"/>
        <v>14009</v>
      </c>
      <c r="AO86" s="2" t="str">
        <f t="shared" si="19"/>
        <v/>
      </c>
      <c r="AP86" s="2" t="str">
        <f t="shared" si="20"/>
        <v/>
      </c>
      <c r="AQ86" s="2" t="str">
        <f t="shared" si="21"/>
        <v/>
      </c>
      <c r="AR86" s="2">
        <f t="shared" si="22"/>
        <v>-316</v>
      </c>
      <c r="AS86" s="2" t="str">
        <f t="shared" si="23"/>
        <v>SDF8J254834B21-4</v>
      </c>
      <c r="AT86" s="2" t="str">
        <f>IFERROR(IF(VLOOKUP(Y86,vlookup!$I$2:$J$9,1,0)=Y86,VLOOKUP(Y86,vlookup!$I$2:$J$9,2,0),PROPER(Y86)),PROPER(Y86))</f>
        <v>Labor</v>
      </c>
      <c r="AU86" s="2" t="str">
        <f>IFERROR(IF(B86=VLOOKUP(B86,vlookup!$L$2:$L$10,1,0),"Yes","No"),"No")</f>
        <v>No</v>
      </c>
    </row>
    <row r="87" spans="1:47" x14ac:dyDescent="0.25">
      <c r="A87" t="s">
        <v>800</v>
      </c>
      <c r="B87" t="s">
        <v>801</v>
      </c>
      <c r="C87">
        <v>1</v>
      </c>
      <c r="D87">
        <v>1</v>
      </c>
      <c r="E87" t="s">
        <v>382</v>
      </c>
      <c r="F87" t="s">
        <v>346</v>
      </c>
      <c r="G87" t="s">
        <v>30</v>
      </c>
      <c r="H87" s="11" t="s">
        <v>613</v>
      </c>
      <c r="I87">
        <v>75025</v>
      </c>
      <c r="J87" s="22">
        <v>44357</v>
      </c>
      <c r="K87" s="22">
        <v>44383</v>
      </c>
      <c r="L87">
        <v>202106</v>
      </c>
      <c r="M87" s="22">
        <v>44348</v>
      </c>
      <c r="N87">
        <v>77871</v>
      </c>
      <c r="O87" t="s">
        <v>699</v>
      </c>
      <c r="P87" t="s">
        <v>712</v>
      </c>
      <c r="Q87" t="s">
        <v>612</v>
      </c>
      <c r="R87">
        <v>117036</v>
      </c>
      <c r="S87" s="22">
        <v>44736</v>
      </c>
      <c r="T87">
        <v>82720</v>
      </c>
      <c r="U87" t="s">
        <v>356</v>
      </c>
      <c r="V87" s="22">
        <v>44925</v>
      </c>
      <c r="W87" t="s">
        <v>802</v>
      </c>
      <c r="X87" t="s">
        <v>803</v>
      </c>
      <c r="Y87" t="s">
        <v>94</v>
      </c>
      <c r="Z87" t="s">
        <v>366</v>
      </c>
      <c r="AA87">
        <v>-205.4</v>
      </c>
      <c r="AC87" s="2">
        <f t="shared" si="12"/>
        <v>2022</v>
      </c>
      <c r="AD87" s="2">
        <f t="shared" si="13"/>
        <v>12</v>
      </c>
      <c r="AE87" s="2">
        <f t="shared" si="14"/>
        <v>2021</v>
      </c>
      <c r="AF87" s="2">
        <f t="shared" si="15"/>
        <v>6</v>
      </c>
      <c r="AG87" s="2" t="str">
        <f>VLOOKUP(F87,vlookup!$A$2:$E$660,2,0)</f>
        <v>Retained</v>
      </c>
      <c r="AH87" s="2" t="str">
        <f>VLOOKUP(F87,vlookup!$A$2:$E$660,3,0)</f>
        <v>Service Contract</v>
      </c>
      <c r="AI87" s="2" t="str">
        <f>VLOOKUP(F87,vlookup!$A$2:$E$660,4,0)</f>
        <v>Used Car Programs</v>
      </c>
      <c r="AJ87" s="2" t="str">
        <f>VLOOKUP(F87,vlookup!$A$2:$E$660,5,0)</f>
        <v>High Mileage</v>
      </c>
      <c r="AK87" s="2"/>
      <c r="AL87" s="2">
        <f t="shared" si="16"/>
        <v>26</v>
      </c>
      <c r="AM87" s="2">
        <f t="shared" si="17"/>
        <v>560</v>
      </c>
      <c r="AN87" s="2">
        <f t="shared" si="18"/>
        <v>7695</v>
      </c>
      <c r="AO87" s="2" t="str">
        <f t="shared" si="19"/>
        <v/>
      </c>
      <c r="AP87" s="2" t="str">
        <f t="shared" si="20"/>
        <v/>
      </c>
      <c r="AQ87" s="2" t="str">
        <f t="shared" si="21"/>
        <v/>
      </c>
      <c r="AR87" s="2">
        <f t="shared" si="22"/>
        <v>-205.4</v>
      </c>
      <c r="AS87" s="2" t="str">
        <f t="shared" si="23"/>
        <v>SDFFJ249196F21-1</v>
      </c>
      <c r="AT87" s="2" t="str">
        <f>IFERROR(IF(VLOOKUP(Y87,vlookup!$I$2:$J$9,1,0)=Y87,VLOOKUP(Y87,vlookup!$I$2:$J$9,2,0),PROPER(Y87)),PROPER(Y87))</f>
        <v>Labor</v>
      </c>
      <c r="AU87" s="2" t="str">
        <f>IFERROR(IF(B87=VLOOKUP(B87,vlookup!$L$2:$L$10,1,0),"Yes","No"),"No")</f>
        <v>No</v>
      </c>
    </row>
    <row r="88" spans="1:47" x14ac:dyDescent="0.25">
      <c r="A88" t="s">
        <v>800</v>
      </c>
      <c r="B88" t="s">
        <v>801</v>
      </c>
      <c r="C88">
        <v>1</v>
      </c>
      <c r="D88">
        <v>1</v>
      </c>
      <c r="E88" t="s">
        <v>382</v>
      </c>
      <c r="F88" t="s">
        <v>346</v>
      </c>
      <c r="G88" t="s">
        <v>30</v>
      </c>
      <c r="H88" s="11" t="s">
        <v>613</v>
      </c>
      <c r="I88">
        <v>75025</v>
      </c>
      <c r="J88" s="22">
        <v>44357</v>
      </c>
      <c r="K88" s="22">
        <v>44383</v>
      </c>
      <c r="L88">
        <v>202106</v>
      </c>
      <c r="M88" s="22">
        <v>44348</v>
      </c>
      <c r="N88">
        <v>77871</v>
      </c>
      <c r="O88" t="s">
        <v>699</v>
      </c>
      <c r="P88" t="s">
        <v>712</v>
      </c>
      <c r="Q88" t="s">
        <v>612</v>
      </c>
      <c r="R88">
        <v>117036</v>
      </c>
      <c r="S88" s="22">
        <v>44736</v>
      </c>
      <c r="T88">
        <v>82720</v>
      </c>
      <c r="U88" t="s">
        <v>356</v>
      </c>
      <c r="V88" s="22">
        <v>44925</v>
      </c>
      <c r="W88" t="s">
        <v>804</v>
      </c>
      <c r="X88" t="s">
        <v>805</v>
      </c>
      <c r="Y88" t="s">
        <v>94</v>
      </c>
      <c r="Z88" t="s">
        <v>366</v>
      </c>
      <c r="AA88">
        <v>-1011.2</v>
      </c>
      <c r="AC88" s="2">
        <f t="shared" si="12"/>
        <v>2022</v>
      </c>
      <c r="AD88" s="2">
        <f t="shared" si="13"/>
        <v>12</v>
      </c>
      <c r="AE88" s="2">
        <f t="shared" si="14"/>
        <v>2021</v>
      </c>
      <c r="AF88" s="2">
        <f t="shared" si="15"/>
        <v>6</v>
      </c>
      <c r="AG88" s="2" t="str">
        <f>VLOOKUP(F88,vlookup!$A$2:$E$660,2,0)</f>
        <v>Retained</v>
      </c>
      <c r="AH88" s="2" t="str">
        <f>VLOOKUP(F88,vlookup!$A$2:$E$660,3,0)</f>
        <v>Service Contract</v>
      </c>
      <c r="AI88" s="2" t="str">
        <f>VLOOKUP(F88,vlookup!$A$2:$E$660,4,0)</f>
        <v>Used Car Programs</v>
      </c>
      <c r="AJ88" s="2" t="str">
        <f>VLOOKUP(F88,vlookup!$A$2:$E$660,5,0)</f>
        <v>High Mileage</v>
      </c>
      <c r="AK88" s="2"/>
      <c r="AL88" s="2">
        <f t="shared" si="16"/>
        <v>26</v>
      </c>
      <c r="AM88" s="2">
        <f t="shared" si="17"/>
        <v>560</v>
      </c>
      <c r="AN88" s="2">
        <f t="shared" si="18"/>
        <v>7695</v>
      </c>
      <c r="AO88" s="2" t="str">
        <f t="shared" si="19"/>
        <v/>
      </c>
      <c r="AP88" s="2" t="str">
        <f t="shared" si="20"/>
        <v/>
      </c>
      <c r="AQ88" s="2" t="str">
        <f t="shared" si="21"/>
        <v/>
      </c>
      <c r="AR88" s="2">
        <f t="shared" si="22"/>
        <v>-1011.2</v>
      </c>
      <c r="AS88" s="2" t="str">
        <f t="shared" si="23"/>
        <v>SDFFJ249196F21-1</v>
      </c>
      <c r="AT88" s="2" t="str">
        <f>IFERROR(IF(VLOOKUP(Y88,vlookup!$I$2:$J$9,1,0)=Y88,VLOOKUP(Y88,vlookup!$I$2:$J$9,2,0),PROPER(Y88)),PROPER(Y88))</f>
        <v>Labor</v>
      </c>
      <c r="AU88" s="2" t="str">
        <f>IFERROR(IF(B88=VLOOKUP(B88,vlookup!$L$2:$L$10,1,0),"Yes","No"),"No")</f>
        <v>No</v>
      </c>
    </row>
    <row r="89" spans="1:47" x14ac:dyDescent="0.25">
      <c r="A89" t="s">
        <v>725</v>
      </c>
      <c r="B89" t="s">
        <v>726</v>
      </c>
      <c r="C89">
        <v>1</v>
      </c>
      <c r="D89">
        <v>1</v>
      </c>
      <c r="E89" t="s">
        <v>382</v>
      </c>
      <c r="F89" t="s">
        <v>346</v>
      </c>
      <c r="G89" t="s">
        <v>610</v>
      </c>
      <c r="H89" s="11" t="s">
        <v>613</v>
      </c>
      <c r="I89">
        <v>74358</v>
      </c>
      <c r="J89" s="22">
        <v>44147</v>
      </c>
      <c r="K89" s="22">
        <v>44168</v>
      </c>
      <c r="L89">
        <v>202011</v>
      </c>
      <c r="M89" s="22">
        <v>44136</v>
      </c>
      <c r="N89">
        <v>77871</v>
      </c>
      <c r="O89" t="s">
        <v>699</v>
      </c>
      <c r="P89" t="s">
        <v>712</v>
      </c>
      <c r="Q89" t="s">
        <v>612</v>
      </c>
      <c r="R89">
        <v>104791</v>
      </c>
      <c r="S89" s="22">
        <v>44489</v>
      </c>
      <c r="T89">
        <v>84307</v>
      </c>
      <c r="U89" t="s">
        <v>356</v>
      </c>
      <c r="V89" s="22">
        <v>44490</v>
      </c>
      <c r="W89" t="s">
        <v>806</v>
      </c>
      <c r="X89" t="s">
        <v>807</v>
      </c>
      <c r="Y89" t="s">
        <v>94</v>
      </c>
      <c r="Z89" t="s">
        <v>365</v>
      </c>
      <c r="AA89">
        <v>-166.1</v>
      </c>
      <c r="AC89" s="2">
        <f t="shared" si="12"/>
        <v>2021</v>
      </c>
      <c r="AD89" s="2">
        <f t="shared" si="13"/>
        <v>10</v>
      </c>
      <c r="AE89" s="2">
        <f t="shared" si="14"/>
        <v>2020</v>
      </c>
      <c r="AF89" s="2">
        <f t="shared" si="15"/>
        <v>11</v>
      </c>
      <c r="AG89" s="2" t="str">
        <f>VLOOKUP(F89,vlookup!$A$2:$E$660,2,0)</f>
        <v>Retained</v>
      </c>
      <c r="AH89" s="2" t="str">
        <f>VLOOKUP(F89,vlookup!$A$2:$E$660,3,0)</f>
        <v>Service Contract</v>
      </c>
      <c r="AI89" s="2" t="str">
        <f>VLOOKUP(F89,vlookup!$A$2:$E$660,4,0)</f>
        <v>Used Car Programs</v>
      </c>
      <c r="AJ89" s="2" t="str">
        <f>VLOOKUP(F89,vlookup!$A$2:$E$660,5,0)</f>
        <v>High Mileage</v>
      </c>
      <c r="AK89" s="2"/>
      <c r="AL89" s="2">
        <f t="shared" si="16"/>
        <v>21</v>
      </c>
      <c r="AM89" s="2">
        <f t="shared" si="17"/>
        <v>339</v>
      </c>
      <c r="AN89" s="2">
        <f t="shared" si="18"/>
        <v>9949</v>
      </c>
      <c r="AO89" s="2" t="str">
        <f t="shared" si="19"/>
        <v/>
      </c>
      <c r="AP89" s="2" t="str">
        <f t="shared" si="20"/>
        <v/>
      </c>
      <c r="AQ89" s="2" t="str">
        <f t="shared" si="21"/>
        <v/>
      </c>
      <c r="AR89" s="2">
        <f t="shared" si="22"/>
        <v>-166.1</v>
      </c>
      <c r="AS89" s="2" t="str">
        <f t="shared" si="23"/>
        <v>SDFHJ139894K20-1</v>
      </c>
      <c r="AT89" s="2" t="str">
        <f>IFERROR(IF(VLOOKUP(Y89,vlookup!$I$2:$J$9,1,0)=Y89,VLOOKUP(Y89,vlookup!$I$2:$J$9,2,0),PROPER(Y89)),PROPER(Y89))</f>
        <v>Labor</v>
      </c>
      <c r="AU89" s="2" t="str">
        <f>IFERROR(IF(B89=VLOOKUP(B89,vlookup!$L$2:$L$10,1,0),"Yes","No"),"No")</f>
        <v>No</v>
      </c>
    </row>
    <row r="90" spans="1:47" x14ac:dyDescent="0.25">
      <c r="A90" t="s">
        <v>725</v>
      </c>
      <c r="B90" t="s">
        <v>726</v>
      </c>
      <c r="C90">
        <v>1</v>
      </c>
      <c r="D90">
        <v>1</v>
      </c>
      <c r="E90" t="s">
        <v>382</v>
      </c>
      <c r="F90" t="s">
        <v>346</v>
      </c>
      <c r="G90" t="s">
        <v>610</v>
      </c>
      <c r="H90" s="11" t="s">
        <v>613</v>
      </c>
      <c r="I90">
        <v>74358</v>
      </c>
      <c r="J90" s="22">
        <v>44147</v>
      </c>
      <c r="K90" s="22">
        <v>44168</v>
      </c>
      <c r="L90">
        <v>202011</v>
      </c>
      <c r="M90" s="22">
        <v>44136</v>
      </c>
      <c r="N90">
        <v>77871</v>
      </c>
      <c r="O90" t="s">
        <v>699</v>
      </c>
      <c r="P90" t="s">
        <v>712</v>
      </c>
      <c r="Q90" t="s">
        <v>612</v>
      </c>
      <c r="R90">
        <v>104791</v>
      </c>
      <c r="S90" s="22">
        <v>44489</v>
      </c>
      <c r="T90">
        <v>84307</v>
      </c>
      <c r="U90" t="s">
        <v>356</v>
      </c>
      <c r="V90" s="22">
        <v>44490</v>
      </c>
      <c r="W90" t="s">
        <v>808</v>
      </c>
      <c r="X90" t="s">
        <v>809</v>
      </c>
      <c r="Y90" t="s">
        <v>94</v>
      </c>
      <c r="Z90" t="s">
        <v>364</v>
      </c>
      <c r="AA90">
        <v>-286.89999999999998</v>
      </c>
      <c r="AC90" s="2">
        <f t="shared" si="12"/>
        <v>2021</v>
      </c>
      <c r="AD90" s="2">
        <f t="shared" si="13"/>
        <v>10</v>
      </c>
      <c r="AE90" s="2">
        <f t="shared" si="14"/>
        <v>2020</v>
      </c>
      <c r="AF90" s="2">
        <f t="shared" si="15"/>
        <v>11</v>
      </c>
      <c r="AG90" s="2" t="str">
        <f>VLOOKUP(F90,vlookup!$A$2:$E$660,2,0)</f>
        <v>Retained</v>
      </c>
      <c r="AH90" s="2" t="str">
        <f>VLOOKUP(F90,vlookup!$A$2:$E$660,3,0)</f>
        <v>Service Contract</v>
      </c>
      <c r="AI90" s="2" t="str">
        <f>VLOOKUP(F90,vlookup!$A$2:$E$660,4,0)</f>
        <v>Used Car Programs</v>
      </c>
      <c r="AJ90" s="2" t="str">
        <f>VLOOKUP(F90,vlookup!$A$2:$E$660,5,0)</f>
        <v>High Mileage</v>
      </c>
      <c r="AK90" s="2"/>
      <c r="AL90" s="2">
        <f t="shared" si="16"/>
        <v>21</v>
      </c>
      <c r="AM90" s="2">
        <f t="shared" si="17"/>
        <v>339</v>
      </c>
      <c r="AN90" s="2">
        <f t="shared" si="18"/>
        <v>9949</v>
      </c>
      <c r="AO90" s="2" t="str">
        <f t="shared" si="19"/>
        <v/>
      </c>
      <c r="AP90" s="2" t="str">
        <f t="shared" si="20"/>
        <v/>
      </c>
      <c r="AQ90" s="2" t="str">
        <f t="shared" si="21"/>
        <v/>
      </c>
      <c r="AR90" s="2">
        <f t="shared" si="22"/>
        <v>-286.89999999999998</v>
      </c>
      <c r="AS90" s="2" t="str">
        <f t="shared" si="23"/>
        <v>SDFHJ139894K20-1</v>
      </c>
      <c r="AT90" s="2" t="str">
        <f>IFERROR(IF(VLOOKUP(Y90,vlookup!$I$2:$J$9,1,0)=Y90,VLOOKUP(Y90,vlookup!$I$2:$J$9,2,0),PROPER(Y90)),PROPER(Y90))</f>
        <v>Labor</v>
      </c>
      <c r="AU90" s="2" t="str">
        <f>IFERROR(IF(B90=VLOOKUP(B90,vlookup!$L$2:$L$10,1,0),"Yes","No"),"No")</f>
        <v>No</v>
      </c>
    </row>
    <row r="91" spans="1:47" x14ac:dyDescent="0.25">
      <c r="A91" t="s">
        <v>725</v>
      </c>
      <c r="B91" t="s">
        <v>726</v>
      </c>
      <c r="C91">
        <v>2</v>
      </c>
      <c r="D91">
        <v>1</v>
      </c>
      <c r="E91" t="s">
        <v>382</v>
      </c>
      <c r="F91" t="s">
        <v>346</v>
      </c>
      <c r="G91" t="s">
        <v>610</v>
      </c>
      <c r="H91" s="11" t="s">
        <v>613</v>
      </c>
      <c r="I91">
        <v>74358</v>
      </c>
      <c r="J91" s="22">
        <v>44147</v>
      </c>
      <c r="K91" s="22">
        <v>44168</v>
      </c>
      <c r="L91">
        <v>202011</v>
      </c>
      <c r="M91" s="22">
        <v>44136</v>
      </c>
      <c r="N91">
        <v>77871</v>
      </c>
      <c r="O91" t="s">
        <v>699</v>
      </c>
      <c r="P91" t="s">
        <v>712</v>
      </c>
      <c r="Q91" t="s">
        <v>612</v>
      </c>
      <c r="R91">
        <v>110714</v>
      </c>
      <c r="S91" s="22">
        <v>44608</v>
      </c>
      <c r="T91">
        <v>87608</v>
      </c>
      <c r="U91" t="s">
        <v>356</v>
      </c>
      <c r="V91" s="22">
        <v>44608</v>
      </c>
      <c r="W91" t="s">
        <v>626</v>
      </c>
      <c r="X91" t="s">
        <v>627</v>
      </c>
      <c r="Y91" t="s">
        <v>94</v>
      </c>
      <c r="Z91" t="s">
        <v>358</v>
      </c>
      <c r="AA91">
        <v>-347.6</v>
      </c>
      <c r="AC91" s="2">
        <f t="shared" si="12"/>
        <v>2022</v>
      </c>
      <c r="AD91" s="2">
        <f t="shared" si="13"/>
        <v>2</v>
      </c>
      <c r="AE91" s="2">
        <f t="shared" si="14"/>
        <v>2020</v>
      </c>
      <c r="AF91" s="2">
        <f t="shared" si="15"/>
        <v>11</v>
      </c>
      <c r="AG91" s="2" t="str">
        <f>VLOOKUP(F91,vlookup!$A$2:$E$660,2,0)</f>
        <v>Retained</v>
      </c>
      <c r="AH91" s="2" t="str">
        <f>VLOOKUP(F91,vlookup!$A$2:$E$660,3,0)</f>
        <v>Service Contract</v>
      </c>
      <c r="AI91" s="2" t="str">
        <f>VLOOKUP(F91,vlookup!$A$2:$E$660,4,0)</f>
        <v>Used Car Programs</v>
      </c>
      <c r="AJ91" s="2" t="str">
        <f>VLOOKUP(F91,vlookup!$A$2:$E$660,5,0)</f>
        <v>High Mileage</v>
      </c>
      <c r="AK91" s="2"/>
      <c r="AL91" s="2">
        <f t="shared" si="16"/>
        <v>21</v>
      </c>
      <c r="AM91" s="2">
        <f t="shared" si="17"/>
        <v>454</v>
      </c>
      <c r="AN91" s="2">
        <f t="shared" si="18"/>
        <v>13250</v>
      </c>
      <c r="AO91" s="2" t="str">
        <f t="shared" si="19"/>
        <v/>
      </c>
      <c r="AP91" s="2" t="str">
        <f t="shared" si="20"/>
        <v/>
      </c>
      <c r="AQ91" s="2" t="str">
        <f t="shared" si="21"/>
        <v/>
      </c>
      <c r="AR91" s="2">
        <f t="shared" si="22"/>
        <v>-347.6</v>
      </c>
      <c r="AS91" s="2" t="str">
        <f t="shared" si="23"/>
        <v>SDFHJ139894K20-2</v>
      </c>
      <c r="AT91" s="2" t="str">
        <f>IFERROR(IF(VLOOKUP(Y91,vlookup!$I$2:$J$9,1,0)=Y91,VLOOKUP(Y91,vlookup!$I$2:$J$9,2,0),PROPER(Y91)),PROPER(Y91))</f>
        <v>Labor</v>
      </c>
      <c r="AU91" s="2" t="str">
        <f>IFERROR(IF(B91=VLOOKUP(B91,vlookup!$L$2:$L$10,1,0),"Yes","No"),"No")</f>
        <v>No</v>
      </c>
    </row>
    <row r="92" spans="1:47" x14ac:dyDescent="0.25">
      <c r="A92" t="s">
        <v>727</v>
      </c>
      <c r="B92" t="s">
        <v>728</v>
      </c>
      <c r="C92">
        <v>1</v>
      </c>
      <c r="D92">
        <v>1</v>
      </c>
      <c r="E92" t="s">
        <v>382</v>
      </c>
      <c r="F92" t="s">
        <v>346</v>
      </c>
      <c r="G92" t="s">
        <v>30</v>
      </c>
      <c r="H92" s="11" t="s">
        <v>633</v>
      </c>
      <c r="I92">
        <v>98795</v>
      </c>
      <c r="J92" s="22">
        <v>44313</v>
      </c>
      <c r="K92" s="22">
        <v>44350</v>
      </c>
      <c r="L92">
        <v>202105</v>
      </c>
      <c r="M92" s="22">
        <v>44317</v>
      </c>
      <c r="N92">
        <v>77871</v>
      </c>
      <c r="O92" t="s">
        <v>699</v>
      </c>
      <c r="P92" t="s">
        <v>712</v>
      </c>
      <c r="Q92" t="s">
        <v>612</v>
      </c>
      <c r="R92">
        <v>100719</v>
      </c>
      <c r="S92" s="22">
        <v>44411</v>
      </c>
      <c r="T92">
        <v>103095</v>
      </c>
      <c r="U92" t="s">
        <v>356</v>
      </c>
      <c r="V92" s="22">
        <v>44420</v>
      </c>
      <c r="W92" t="s">
        <v>810</v>
      </c>
      <c r="X92" t="s">
        <v>811</v>
      </c>
      <c r="Y92" t="s">
        <v>94</v>
      </c>
      <c r="Z92" t="s">
        <v>579</v>
      </c>
      <c r="AA92">
        <v>-223.5</v>
      </c>
      <c r="AC92" s="2">
        <f t="shared" si="12"/>
        <v>2021</v>
      </c>
      <c r="AD92" s="2">
        <f t="shared" si="13"/>
        <v>8</v>
      </c>
      <c r="AE92" s="2">
        <f t="shared" si="14"/>
        <v>2021</v>
      </c>
      <c r="AF92" s="2">
        <f t="shared" si="15"/>
        <v>4</v>
      </c>
      <c r="AG92" s="2" t="str">
        <f>VLOOKUP(F92,vlookup!$A$2:$E$660,2,0)</f>
        <v>Retained</v>
      </c>
      <c r="AH92" s="2" t="str">
        <f>VLOOKUP(F92,vlookup!$A$2:$E$660,3,0)</f>
        <v>Service Contract</v>
      </c>
      <c r="AI92" s="2" t="str">
        <f>VLOOKUP(F92,vlookup!$A$2:$E$660,4,0)</f>
        <v>Used Car Programs</v>
      </c>
      <c r="AJ92" s="2" t="str">
        <f>VLOOKUP(F92,vlookup!$A$2:$E$660,5,0)</f>
        <v>High Mileage</v>
      </c>
      <c r="AK92" s="2"/>
      <c r="AL92" s="2">
        <f t="shared" si="16"/>
        <v>36</v>
      </c>
      <c r="AM92" s="2">
        <f t="shared" si="17"/>
        <v>105</v>
      </c>
      <c r="AN92" s="2">
        <f t="shared" si="18"/>
        <v>4300</v>
      </c>
      <c r="AO92" s="2" t="str">
        <f t="shared" si="19"/>
        <v/>
      </c>
      <c r="AP92" s="2" t="str">
        <f t="shared" si="20"/>
        <v/>
      </c>
      <c r="AQ92" s="2" t="str">
        <f t="shared" si="21"/>
        <v/>
      </c>
      <c r="AR92" s="2">
        <f t="shared" si="22"/>
        <v>-223.5</v>
      </c>
      <c r="AS92" s="2" t="str">
        <f t="shared" si="23"/>
        <v>SDFFR144088D21-1</v>
      </c>
      <c r="AT92" s="2" t="str">
        <f>IFERROR(IF(VLOOKUP(Y92,vlookup!$I$2:$J$9,1,0)=Y92,VLOOKUP(Y92,vlookup!$I$2:$J$9,2,0),PROPER(Y92)),PROPER(Y92))</f>
        <v>Labor</v>
      </c>
      <c r="AU92" s="2" t="str">
        <f>IFERROR(IF(B92=VLOOKUP(B92,vlookup!$L$2:$L$10,1,0),"Yes","No"),"No")</f>
        <v>No</v>
      </c>
    </row>
    <row r="93" spans="1:47" x14ac:dyDescent="0.25">
      <c r="A93" t="s">
        <v>727</v>
      </c>
      <c r="B93" t="s">
        <v>728</v>
      </c>
      <c r="C93">
        <v>1</v>
      </c>
      <c r="D93">
        <v>1</v>
      </c>
      <c r="E93" t="s">
        <v>382</v>
      </c>
      <c r="F93" t="s">
        <v>346</v>
      </c>
      <c r="G93" t="s">
        <v>30</v>
      </c>
      <c r="H93" s="11" t="s">
        <v>633</v>
      </c>
      <c r="I93">
        <v>98795</v>
      </c>
      <c r="J93" s="22">
        <v>44313</v>
      </c>
      <c r="K93" s="22">
        <v>44350</v>
      </c>
      <c r="L93">
        <v>202105</v>
      </c>
      <c r="M93" s="22">
        <v>44317</v>
      </c>
      <c r="N93">
        <v>77871</v>
      </c>
      <c r="O93" t="s">
        <v>699</v>
      </c>
      <c r="P93" t="s">
        <v>712</v>
      </c>
      <c r="Q93" t="s">
        <v>612</v>
      </c>
      <c r="R93">
        <v>100719</v>
      </c>
      <c r="S93" s="22">
        <v>44411</v>
      </c>
      <c r="T93">
        <v>103095</v>
      </c>
      <c r="U93" t="s">
        <v>356</v>
      </c>
      <c r="V93" s="22">
        <v>44420</v>
      </c>
      <c r="W93" t="s">
        <v>618</v>
      </c>
      <c r="X93" t="s">
        <v>619</v>
      </c>
      <c r="Y93" t="s">
        <v>94</v>
      </c>
      <c r="Z93" t="s">
        <v>579</v>
      </c>
      <c r="AA93">
        <v>-89.4</v>
      </c>
      <c r="AC93" s="2">
        <f t="shared" si="12"/>
        <v>2021</v>
      </c>
      <c r="AD93" s="2">
        <f t="shared" si="13"/>
        <v>8</v>
      </c>
      <c r="AE93" s="2">
        <f t="shared" si="14"/>
        <v>2021</v>
      </c>
      <c r="AF93" s="2">
        <f t="shared" si="15"/>
        <v>4</v>
      </c>
      <c r="AG93" s="2" t="str">
        <f>VLOOKUP(F93,vlookup!$A$2:$E$660,2,0)</f>
        <v>Retained</v>
      </c>
      <c r="AH93" s="2" t="str">
        <f>VLOOKUP(F93,vlookup!$A$2:$E$660,3,0)</f>
        <v>Service Contract</v>
      </c>
      <c r="AI93" s="2" t="str">
        <f>VLOOKUP(F93,vlookup!$A$2:$E$660,4,0)</f>
        <v>Used Car Programs</v>
      </c>
      <c r="AJ93" s="2" t="str">
        <f>VLOOKUP(F93,vlookup!$A$2:$E$660,5,0)</f>
        <v>High Mileage</v>
      </c>
      <c r="AK93" s="2"/>
      <c r="AL93" s="2">
        <f t="shared" si="16"/>
        <v>36</v>
      </c>
      <c r="AM93" s="2">
        <f t="shared" si="17"/>
        <v>105</v>
      </c>
      <c r="AN93" s="2">
        <f t="shared" si="18"/>
        <v>4300</v>
      </c>
      <c r="AO93" s="2" t="str">
        <f t="shared" si="19"/>
        <v/>
      </c>
      <c r="AP93" s="2" t="str">
        <f t="shared" si="20"/>
        <v/>
      </c>
      <c r="AQ93" s="2" t="str">
        <f t="shared" si="21"/>
        <v/>
      </c>
      <c r="AR93" s="2">
        <f t="shared" si="22"/>
        <v>-89.4</v>
      </c>
      <c r="AS93" s="2" t="str">
        <f t="shared" si="23"/>
        <v>SDFFR144088D21-1</v>
      </c>
      <c r="AT93" s="2" t="str">
        <f>IFERROR(IF(VLOOKUP(Y93,vlookup!$I$2:$J$9,1,0)=Y93,VLOOKUP(Y93,vlookup!$I$2:$J$9,2,0),PROPER(Y93)),PROPER(Y93))</f>
        <v>Labor</v>
      </c>
      <c r="AU93" s="2" t="str">
        <f>IFERROR(IF(B93=VLOOKUP(B93,vlookup!$L$2:$L$10,1,0),"Yes","No"),"No")</f>
        <v>No</v>
      </c>
    </row>
    <row r="94" spans="1:47" x14ac:dyDescent="0.25">
      <c r="A94" t="s">
        <v>727</v>
      </c>
      <c r="B94" t="s">
        <v>728</v>
      </c>
      <c r="C94">
        <v>2</v>
      </c>
      <c r="D94">
        <v>1</v>
      </c>
      <c r="E94" t="s">
        <v>382</v>
      </c>
      <c r="F94" t="s">
        <v>346</v>
      </c>
      <c r="G94" t="s">
        <v>30</v>
      </c>
      <c r="H94" s="11" t="s">
        <v>633</v>
      </c>
      <c r="I94">
        <v>98795</v>
      </c>
      <c r="J94" s="22">
        <v>44313</v>
      </c>
      <c r="K94" s="22">
        <v>44350</v>
      </c>
      <c r="L94">
        <v>202105</v>
      </c>
      <c r="M94" s="22">
        <v>44317</v>
      </c>
      <c r="N94">
        <v>77871</v>
      </c>
      <c r="O94" t="s">
        <v>699</v>
      </c>
      <c r="P94" t="s">
        <v>712</v>
      </c>
      <c r="Q94" t="s">
        <v>612</v>
      </c>
      <c r="R94">
        <v>115162</v>
      </c>
      <c r="S94" s="22">
        <v>44698</v>
      </c>
      <c r="T94">
        <v>115155</v>
      </c>
      <c r="U94" t="s">
        <v>356</v>
      </c>
      <c r="V94" s="22">
        <v>44700</v>
      </c>
      <c r="W94" t="s">
        <v>650</v>
      </c>
      <c r="X94" t="s">
        <v>651</v>
      </c>
      <c r="Y94" t="s">
        <v>94</v>
      </c>
      <c r="Z94" t="s">
        <v>579</v>
      </c>
      <c r="AA94">
        <v>-126.4</v>
      </c>
      <c r="AC94" s="2">
        <f t="shared" si="12"/>
        <v>2022</v>
      </c>
      <c r="AD94" s="2">
        <f t="shared" si="13"/>
        <v>5</v>
      </c>
      <c r="AE94" s="2">
        <f t="shared" si="14"/>
        <v>2021</v>
      </c>
      <c r="AF94" s="2">
        <f t="shared" si="15"/>
        <v>4</v>
      </c>
      <c r="AG94" s="2" t="str">
        <f>VLOOKUP(F94,vlookup!$A$2:$E$660,2,0)</f>
        <v>Retained</v>
      </c>
      <c r="AH94" s="2" t="str">
        <f>VLOOKUP(F94,vlookup!$A$2:$E$660,3,0)</f>
        <v>Service Contract</v>
      </c>
      <c r="AI94" s="2" t="str">
        <f>VLOOKUP(F94,vlookup!$A$2:$E$660,4,0)</f>
        <v>Used Car Programs</v>
      </c>
      <c r="AJ94" s="2" t="str">
        <f>VLOOKUP(F94,vlookup!$A$2:$E$660,5,0)</f>
        <v>High Mileage</v>
      </c>
      <c r="AK94" s="2"/>
      <c r="AL94" s="2">
        <f t="shared" si="16"/>
        <v>36</v>
      </c>
      <c r="AM94" s="2">
        <f t="shared" si="17"/>
        <v>382</v>
      </c>
      <c r="AN94" s="2">
        <f t="shared" si="18"/>
        <v>16360</v>
      </c>
      <c r="AO94" s="2" t="str">
        <f t="shared" si="19"/>
        <v/>
      </c>
      <c r="AP94" s="2" t="str">
        <f t="shared" si="20"/>
        <v/>
      </c>
      <c r="AQ94" s="2" t="str">
        <f t="shared" si="21"/>
        <v/>
      </c>
      <c r="AR94" s="2">
        <f t="shared" si="22"/>
        <v>-126.4</v>
      </c>
      <c r="AS94" s="2" t="str">
        <f t="shared" si="23"/>
        <v>SDFFR144088D21-2</v>
      </c>
      <c r="AT94" s="2" t="str">
        <f>IFERROR(IF(VLOOKUP(Y94,vlookup!$I$2:$J$9,1,0)=Y94,VLOOKUP(Y94,vlookup!$I$2:$J$9,2,0),PROPER(Y94)),PROPER(Y94))</f>
        <v>Labor</v>
      </c>
      <c r="AU94" s="2" t="str">
        <f>IFERROR(IF(B94=VLOOKUP(B94,vlookup!$L$2:$L$10,1,0),"Yes","No"),"No")</f>
        <v>No</v>
      </c>
    </row>
    <row r="95" spans="1:47" x14ac:dyDescent="0.25">
      <c r="A95" t="s">
        <v>729</v>
      </c>
      <c r="B95" t="s">
        <v>730</v>
      </c>
      <c r="C95">
        <v>1</v>
      </c>
      <c r="D95">
        <v>2</v>
      </c>
      <c r="E95" t="s">
        <v>382</v>
      </c>
      <c r="F95" t="s">
        <v>503</v>
      </c>
      <c r="G95" t="s">
        <v>30</v>
      </c>
      <c r="H95" s="11" t="s">
        <v>731</v>
      </c>
      <c r="I95">
        <v>74246</v>
      </c>
      <c r="J95" s="22">
        <v>44665</v>
      </c>
      <c r="K95" s="22">
        <v>44707</v>
      </c>
      <c r="L95">
        <v>202205</v>
      </c>
      <c r="M95" s="22">
        <v>44682</v>
      </c>
      <c r="N95">
        <v>77871</v>
      </c>
      <c r="O95" t="s">
        <v>699</v>
      </c>
      <c r="P95" t="s">
        <v>712</v>
      </c>
      <c r="Q95" t="s">
        <v>612</v>
      </c>
      <c r="R95">
        <v>120205</v>
      </c>
      <c r="S95" s="22">
        <v>44804</v>
      </c>
      <c r="T95">
        <v>79600</v>
      </c>
      <c r="U95" t="s">
        <v>356</v>
      </c>
      <c r="V95" s="22">
        <v>44812</v>
      </c>
      <c r="W95" t="s">
        <v>642</v>
      </c>
      <c r="X95" t="s">
        <v>643</v>
      </c>
      <c r="Y95" t="s">
        <v>94</v>
      </c>
      <c r="Z95" t="s">
        <v>364</v>
      </c>
      <c r="AA95">
        <v>-2275.1999999999998</v>
      </c>
      <c r="AC95" s="2">
        <f t="shared" si="12"/>
        <v>2022</v>
      </c>
      <c r="AD95" s="2">
        <f t="shared" si="13"/>
        <v>9</v>
      </c>
      <c r="AE95" s="2">
        <f t="shared" si="14"/>
        <v>2022</v>
      </c>
      <c r="AF95" s="2">
        <f t="shared" si="15"/>
        <v>4</v>
      </c>
      <c r="AG95" s="2" t="str">
        <f>VLOOKUP(F95,vlookup!$A$2:$E$660,2,0)</f>
        <v>Retained</v>
      </c>
      <c r="AH95" s="2" t="str">
        <f>VLOOKUP(F95,vlookup!$A$2:$E$660,3,0)</f>
        <v>Service Contract</v>
      </c>
      <c r="AI95" s="2" t="str">
        <f>VLOOKUP(F95,vlookup!$A$2:$E$660,4,0)</f>
        <v>Used Car Programs</v>
      </c>
      <c r="AJ95" s="2" t="str">
        <f>VLOOKUP(F95,vlookup!$A$2:$E$660,5,0)</f>
        <v>High Mileage</v>
      </c>
      <c r="AK95" s="2"/>
      <c r="AL95" s="2">
        <f t="shared" si="16"/>
        <v>42</v>
      </c>
      <c r="AM95" s="2">
        <f t="shared" si="17"/>
        <v>144</v>
      </c>
      <c r="AN95" s="2">
        <f t="shared" si="18"/>
        <v>5354</v>
      </c>
      <c r="AO95" s="2" t="str">
        <f t="shared" si="19"/>
        <v/>
      </c>
      <c r="AP95" s="2" t="str">
        <f t="shared" si="20"/>
        <v/>
      </c>
      <c r="AQ95" s="2" t="str">
        <f t="shared" si="21"/>
        <v/>
      </c>
      <c r="AR95" s="2">
        <f t="shared" si="22"/>
        <v>-2275.1999999999998</v>
      </c>
      <c r="AS95" s="2" t="str">
        <f t="shared" si="23"/>
        <v>PTPGR159369D22-1</v>
      </c>
      <c r="AT95" s="2" t="str">
        <f>IFERROR(IF(VLOOKUP(Y95,vlookup!$I$2:$J$9,1,0)=Y95,VLOOKUP(Y95,vlookup!$I$2:$J$9,2,0),PROPER(Y95)),PROPER(Y95))</f>
        <v>Labor</v>
      </c>
      <c r="AU95" s="2" t="str">
        <f>IFERROR(IF(B95=VLOOKUP(B95,vlookup!$L$2:$L$10,1,0),"Yes","No"),"No")</f>
        <v>No</v>
      </c>
    </row>
    <row r="96" spans="1:47" x14ac:dyDescent="0.25">
      <c r="A96" t="s">
        <v>812</v>
      </c>
      <c r="B96" t="s">
        <v>813</v>
      </c>
      <c r="C96">
        <v>2</v>
      </c>
      <c r="D96">
        <v>1</v>
      </c>
      <c r="E96" t="s">
        <v>382</v>
      </c>
      <c r="F96" t="s">
        <v>346</v>
      </c>
      <c r="G96" t="s">
        <v>30</v>
      </c>
      <c r="H96" s="11" t="s">
        <v>633</v>
      </c>
      <c r="I96">
        <v>89241</v>
      </c>
      <c r="J96" s="22">
        <v>44398</v>
      </c>
      <c r="K96" s="22">
        <v>44412</v>
      </c>
      <c r="L96">
        <v>202107</v>
      </c>
      <c r="M96" s="22">
        <v>44378</v>
      </c>
      <c r="N96">
        <v>77871</v>
      </c>
      <c r="O96" t="s">
        <v>699</v>
      </c>
      <c r="P96" t="s">
        <v>712</v>
      </c>
      <c r="Q96" t="s">
        <v>612</v>
      </c>
      <c r="R96">
        <v>124540</v>
      </c>
      <c r="S96" s="22">
        <v>44888</v>
      </c>
      <c r="T96">
        <v>104824</v>
      </c>
      <c r="U96" t="s">
        <v>356</v>
      </c>
      <c r="V96" s="22">
        <v>44896</v>
      </c>
      <c r="W96" t="s">
        <v>814</v>
      </c>
      <c r="X96" t="s">
        <v>815</v>
      </c>
      <c r="Y96" t="s">
        <v>94</v>
      </c>
      <c r="Z96" t="s">
        <v>358</v>
      </c>
      <c r="AA96">
        <v>-237</v>
      </c>
      <c r="AC96" s="2">
        <f t="shared" si="12"/>
        <v>2022</v>
      </c>
      <c r="AD96" s="2">
        <f t="shared" si="13"/>
        <v>12</v>
      </c>
      <c r="AE96" s="2">
        <f t="shared" si="14"/>
        <v>2021</v>
      </c>
      <c r="AF96" s="2">
        <f t="shared" si="15"/>
        <v>7</v>
      </c>
      <c r="AG96" s="2" t="str">
        <f>VLOOKUP(F96,vlookup!$A$2:$E$660,2,0)</f>
        <v>Retained</v>
      </c>
      <c r="AH96" s="2" t="str">
        <f>VLOOKUP(F96,vlookup!$A$2:$E$660,3,0)</f>
        <v>Service Contract</v>
      </c>
      <c r="AI96" s="2" t="str">
        <f>VLOOKUP(F96,vlookup!$A$2:$E$660,4,0)</f>
        <v>Used Car Programs</v>
      </c>
      <c r="AJ96" s="2" t="str">
        <f>VLOOKUP(F96,vlookup!$A$2:$E$660,5,0)</f>
        <v>High Mileage</v>
      </c>
      <c r="AK96" s="2"/>
      <c r="AL96" s="2">
        <f t="shared" si="16"/>
        <v>13</v>
      </c>
      <c r="AM96" s="2">
        <f t="shared" si="17"/>
        <v>490</v>
      </c>
      <c r="AN96" s="2">
        <f t="shared" si="18"/>
        <v>15583</v>
      </c>
      <c r="AO96" s="2" t="str">
        <f t="shared" si="19"/>
        <v/>
      </c>
      <c r="AP96" s="2" t="str">
        <f t="shared" si="20"/>
        <v/>
      </c>
      <c r="AQ96" s="2" t="str">
        <f t="shared" si="21"/>
        <v/>
      </c>
      <c r="AR96" s="2">
        <f t="shared" si="22"/>
        <v>-237</v>
      </c>
      <c r="AS96" s="2" t="str">
        <f t="shared" si="23"/>
        <v>SDFFR140328G21-2</v>
      </c>
      <c r="AT96" s="2" t="str">
        <f>IFERROR(IF(VLOOKUP(Y96,vlookup!$I$2:$J$9,1,0)=Y96,VLOOKUP(Y96,vlookup!$I$2:$J$9,2,0),PROPER(Y96)),PROPER(Y96))</f>
        <v>Labor</v>
      </c>
      <c r="AU96" s="2" t="str">
        <f>IFERROR(IF(B96=VLOOKUP(B96,vlookup!$L$2:$L$10,1,0),"Yes","No"),"No")</f>
        <v>No</v>
      </c>
    </row>
    <row r="97" spans="1:47" x14ac:dyDescent="0.25">
      <c r="A97" t="s">
        <v>816</v>
      </c>
      <c r="B97" t="s">
        <v>817</v>
      </c>
      <c r="C97">
        <v>1</v>
      </c>
      <c r="D97">
        <v>1</v>
      </c>
      <c r="E97" t="s">
        <v>382</v>
      </c>
      <c r="F97" t="s">
        <v>207</v>
      </c>
      <c r="G97" t="s">
        <v>30</v>
      </c>
      <c r="H97" s="11" t="s">
        <v>633</v>
      </c>
      <c r="I97">
        <v>102020</v>
      </c>
      <c r="J97" s="22">
        <v>44203</v>
      </c>
      <c r="K97" s="22">
        <v>44258</v>
      </c>
      <c r="L97">
        <v>202102</v>
      </c>
      <c r="M97" s="22">
        <v>44228</v>
      </c>
      <c r="N97">
        <v>77871</v>
      </c>
      <c r="O97" t="s">
        <v>699</v>
      </c>
      <c r="P97" t="s">
        <v>712</v>
      </c>
      <c r="Q97" t="s">
        <v>612</v>
      </c>
      <c r="R97">
        <v>905492</v>
      </c>
      <c r="S97" s="22">
        <v>44333</v>
      </c>
      <c r="T97">
        <v>107921</v>
      </c>
      <c r="U97" t="s">
        <v>356</v>
      </c>
      <c r="V97" s="22">
        <v>44333</v>
      </c>
      <c r="W97" t="s">
        <v>577</v>
      </c>
      <c r="X97" t="s">
        <v>578</v>
      </c>
      <c r="Y97" t="s">
        <v>94</v>
      </c>
      <c r="Z97" t="s">
        <v>576</v>
      </c>
      <c r="AA97">
        <v>-208.6</v>
      </c>
      <c r="AC97" s="2">
        <f t="shared" si="12"/>
        <v>2021</v>
      </c>
      <c r="AD97" s="2">
        <f t="shared" si="13"/>
        <v>5</v>
      </c>
      <c r="AE97" s="2">
        <f t="shared" si="14"/>
        <v>2021</v>
      </c>
      <c r="AF97" s="2">
        <f t="shared" si="15"/>
        <v>1</v>
      </c>
      <c r="AG97" s="2" t="str">
        <f>VLOOKUP(F97,vlookup!$A$2:$E$660,2,0)</f>
        <v>Retained</v>
      </c>
      <c r="AH97" s="2" t="str">
        <f>VLOOKUP(F97,vlookup!$A$2:$E$660,3,0)</f>
        <v>Service Contract</v>
      </c>
      <c r="AI97" s="2" t="str">
        <f>VLOOKUP(F97,vlookup!$A$2:$E$660,4,0)</f>
        <v>Used Car Programs</v>
      </c>
      <c r="AJ97" s="2" t="str">
        <f>VLOOKUP(F97,vlookup!$A$2:$E$660,5,0)</f>
        <v>High Mileage</v>
      </c>
      <c r="AK97" s="2"/>
      <c r="AL97" s="2">
        <f t="shared" si="16"/>
        <v>56</v>
      </c>
      <c r="AM97" s="2">
        <f t="shared" si="17"/>
        <v>130</v>
      </c>
      <c r="AN97" s="2">
        <f t="shared" si="18"/>
        <v>5901</v>
      </c>
      <c r="AO97" s="2" t="str">
        <f t="shared" si="19"/>
        <v/>
      </c>
      <c r="AP97" s="2" t="str">
        <f t="shared" si="20"/>
        <v/>
      </c>
      <c r="AQ97" s="2" t="str">
        <f t="shared" si="21"/>
        <v/>
      </c>
      <c r="AR97" s="2">
        <f t="shared" si="22"/>
        <v>-208.6</v>
      </c>
      <c r="AS97" s="2" t="str">
        <f t="shared" si="23"/>
        <v>APC500272-1</v>
      </c>
      <c r="AT97" s="2" t="str">
        <f>IFERROR(IF(VLOOKUP(Y97,vlookup!$I$2:$J$9,1,0)=Y97,VLOOKUP(Y97,vlookup!$I$2:$J$9,2,0),PROPER(Y97)),PROPER(Y97))</f>
        <v>Labor</v>
      </c>
      <c r="AU97" s="2" t="str">
        <f>IFERROR(IF(B97=VLOOKUP(B97,vlookup!$L$2:$L$10,1,0),"Yes","No"),"No")</f>
        <v>No</v>
      </c>
    </row>
    <row r="98" spans="1:47" x14ac:dyDescent="0.25">
      <c r="A98" t="s">
        <v>816</v>
      </c>
      <c r="B98" t="s">
        <v>817</v>
      </c>
      <c r="C98">
        <v>1</v>
      </c>
      <c r="D98">
        <v>1</v>
      </c>
      <c r="E98" t="s">
        <v>382</v>
      </c>
      <c r="F98" t="s">
        <v>207</v>
      </c>
      <c r="G98" t="s">
        <v>30</v>
      </c>
      <c r="H98" s="11" t="s">
        <v>633</v>
      </c>
      <c r="I98">
        <v>102020</v>
      </c>
      <c r="J98" s="22">
        <v>44203</v>
      </c>
      <c r="K98" s="22">
        <v>44258</v>
      </c>
      <c r="L98">
        <v>202102</v>
      </c>
      <c r="M98" s="22">
        <v>44228</v>
      </c>
      <c r="N98">
        <v>77871</v>
      </c>
      <c r="O98" t="s">
        <v>699</v>
      </c>
      <c r="P98" t="s">
        <v>712</v>
      </c>
      <c r="Q98" t="s">
        <v>612</v>
      </c>
      <c r="R98">
        <v>905492</v>
      </c>
      <c r="S98" s="22">
        <v>44333</v>
      </c>
      <c r="T98">
        <v>107921</v>
      </c>
      <c r="U98" t="s">
        <v>356</v>
      </c>
      <c r="V98" s="22">
        <v>44333</v>
      </c>
      <c r="W98" t="s">
        <v>586</v>
      </c>
      <c r="X98" t="s">
        <v>587</v>
      </c>
      <c r="Y98" t="s">
        <v>94</v>
      </c>
      <c r="Z98" t="s">
        <v>576</v>
      </c>
      <c r="AA98">
        <v>-745</v>
      </c>
      <c r="AC98" s="2">
        <f t="shared" si="12"/>
        <v>2021</v>
      </c>
      <c r="AD98" s="2">
        <f t="shared" si="13"/>
        <v>5</v>
      </c>
      <c r="AE98" s="2">
        <f t="shared" si="14"/>
        <v>2021</v>
      </c>
      <c r="AF98" s="2">
        <f t="shared" si="15"/>
        <v>1</v>
      </c>
      <c r="AG98" s="2" t="str">
        <f>VLOOKUP(F98,vlookup!$A$2:$E$660,2,0)</f>
        <v>Retained</v>
      </c>
      <c r="AH98" s="2" t="str">
        <f>VLOOKUP(F98,vlookup!$A$2:$E$660,3,0)</f>
        <v>Service Contract</v>
      </c>
      <c r="AI98" s="2" t="str">
        <f>VLOOKUP(F98,vlookup!$A$2:$E$660,4,0)</f>
        <v>Used Car Programs</v>
      </c>
      <c r="AJ98" s="2" t="str">
        <f>VLOOKUP(F98,vlookup!$A$2:$E$660,5,0)</f>
        <v>High Mileage</v>
      </c>
      <c r="AK98" s="2"/>
      <c r="AL98" s="2">
        <f t="shared" si="16"/>
        <v>56</v>
      </c>
      <c r="AM98" s="2">
        <f t="shared" si="17"/>
        <v>130</v>
      </c>
      <c r="AN98" s="2">
        <f t="shared" si="18"/>
        <v>5901</v>
      </c>
      <c r="AO98" s="2" t="str">
        <f t="shared" si="19"/>
        <v/>
      </c>
      <c r="AP98" s="2" t="str">
        <f t="shared" si="20"/>
        <v/>
      </c>
      <c r="AQ98" s="2" t="str">
        <f t="shared" si="21"/>
        <v/>
      </c>
      <c r="AR98" s="2">
        <f t="shared" si="22"/>
        <v>-745</v>
      </c>
      <c r="AS98" s="2" t="str">
        <f t="shared" si="23"/>
        <v>APC500272-1</v>
      </c>
      <c r="AT98" s="2" t="str">
        <f>IFERROR(IF(VLOOKUP(Y98,vlookup!$I$2:$J$9,1,0)=Y98,VLOOKUP(Y98,vlookup!$I$2:$J$9,2,0),PROPER(Y98)),PROPER(Y98))</f>
        <v>Labor</v>
      </c>
      <c r="AU98" s="2" t="str">
        <f>IFERROR(IF(B98=VLOOKUP(B98,vlookup!$L$2:$L$10,1,0),"Yes","No"),"No")</f>
        <v>No</v>
      </c>
    </row>
    <row r="99" spans="1:47" x14ac:dyDescent="0.25">
      <c r="A99" t="s">
        <v>816</v>
      </c>
      <c r="B99" t="s">
        <v>817</v>
      </c>
      <c r="C99">
        <v>2</v>
      </c>
      <c r="D99">
        <v>1</v>
      </c>
      <c r="E99" t="s">
        <v>382</v>
      </c>
      <c r="F99" t="s">
        <v>207</v>
      </c>
      <c r="G99" t="s">
        <v>30</v>
      </c>
      <c r="H99" s="11" t="s">
        <v>633</v>
      </c>
      <c r="I99">
        <v>102020</v>
      </c>
      <c r="J99" s="22">
        <v>44203</v>
      </c>
      <c r="K99" s="22">
        <v>44258</v>
      </c>
      <c r="L99">
        <v>202102</v>
      </c>
      <c r="M99" s="22">
        <v>44228</v>
      </c>
      <c r="N99">
        <v>77871</v>
      </c>
      <c r="O99" t="s">
        <v>699</v>
      </c>
      <c r="P99" t="s">
        <v>818</v>
      </c>
      <c r="Q99" t="s">
        <v>819</v>
      </c>
      <c r="R99">
        <v>28015</v>
      </c>
      <c r="S99" s="22">
        <v>44482</v>
      </c>
      <c r="T99">
        <v>115042</v>
      </c>
      <c r="U99" t="s">
        <v>356</v>
      </c>
      <c r="V99" s="22">
        <v>44482</v>
      </c>
      <c r="W99" t="s">
        <v>820</v>
      </c>
      <c r="X99" t="s">
        <v>821</v>
      </c>
      <c r="Y99" t="s">
        <v>94</v>
      </c>
      <c r="Z99" t="s">
        <v>364</v>
      </c>
      <c r="AA99">
        <v>-195</v>
      </c>
      <c r="AC99" s="2">
        <f t="shared" si="12"/>
        <v>2021</v>
      </c>
      <c r="AD99" s="2">
        <f t="shared" si="13"/>
        <v>10</v>
      </c>
      <c r="AE99" s="2">
        <f t="shared" si="14"/>
        <v>2021</v>
      </c>
      <c r="AF99" s="2">
        <f t="shared" si="15"/>
        <v>1</v>
      </c>
      <c r="AG99" s="2" t="str">
        <f>VLOOKUP(F99,vlookup!$A$2:$E$660,2,0)</f>
        <v>Retained</v>
      </c>
      <c r="AH99" s="2" t="str">
        <f>VLOOKUP(F99,vlookup!$A$2:$E$660,3,0)</f>
        <v>Service Contract</v>
      </c>
      <c r="AI99" s="2" t="str">
        <f>VLOOKUP(F99,vlookup!$A$2:$E$660,4,0)</f>
        <v>Used Car Programs</v>
      </c>
      <c r="AJ99" s="2" t="str">
        <f>VLOOKUP(F99,vlookup!$A$2:$E$660,5,0)</f>
        <v>High Mileage</v>
      </c>
      <c r="AK99" s="2"/>
      <c r="AL99" s="2">
        <f t="shared" si="16"/>
        <v>56</v>
      </c>
      <c r="AM99" s="2">
        <f t="shared" si="17"/>
        <v>276</v>
      </c>
      <c r="AN99" s="2">
        <f t="shared" si="18"/>
        <v>13022</v>
      </c>
      <c r="AO99" s="2" t="str">
        <f t="shared" si="19"/>
        <v/>
      </c>
      <c r="AP99" s="2" t="str">
        <f t="shared" si="20"/>
        <v/>
      </c>
      <c r="AQ99" s="2" t="str">
        <f t="shared" si="21"/>
        <v/>
      </c>
      <c r="AR99" s="2">
        <f t="shared" si="22"/>
        <v>-195</v>
      </c>
      <c r="AS99" s="2" t="str">
        <f t="shared" si="23"/>
        <v>APC500272-2</v>
      </c>
      <c r="AT99" s="2" t="str">
        <f>IFERROR(IF(VLOOKUP(Y99,vlookup!$I$2:$J$9,1,0)=Y99,VLOOKUP(Y99,vlookup!$I$2:$J$9,2,0),PROPER(Y99)),PROPER(Y99))</f>
        <v>Labor</v>
      </c>
      <c r="AU99" s="2" t="str">
        <f>IFERROR(IF(B99=VLOOKUP(B99,vlookup!$L$2:$L$10,1,0),"Yes","No"),"No")</f>
        <v>No</v>
      </c>
    </row>
    <row r="100" spans="1:47" x14ac:dyDescent="0.25">
      <c r="A100" t="s">
        <v>816</v>
      </c>
      <c r="B100" t="s">
        <v>817</v>
      </c>
      <c r="C100">
        <v>3</v>
      </c>
      <c r="D100">
        <v>1</v>
      </c>
      <c r="E100" t="s">
        <v>382</v>
      </c>
      <c r="F100" t="s">
        <v>207</v>
      </c>
      <c r="G100" t="s">
        <v>30</v>
      </c>
      <c r="H100" s="11" t="s">
        <v>633</v>
      </c>
      <c r="I100">
        <v>102020</v>
      </c>
      <c r="J100" s="22">
        <v>44203</v>
      </c>
      <c r="K100" s="22">
        <v>44258</v>
      </c>
      <c r="L100">
        <v>202102</v>
      </c>
      <c r="M100" s="22">
        <v>44228</v>
      </c>
      <c r="N100">
        <v>77871</v>
      </c>
      <c r="O100" t="s">
        <v>699</v>
      </c>
      <c r="P100" t="s">
        <v>818</v>
      </c>
      <c r="Q100" t="s">
        <v>819</v>
      </c>
      <c r="R100">
        <v>5363</v>
      </c>
      <c r="S100" s="22">
        <v>44578</v>
      </c>
      <c r="T100">
        <v>118885</v>
      </c>
      <c r="U100" t="s">
        <v>356</v>
      </c>
      <c r="V100" s="22">
        <v>44579</v>
      </c>
      <c r="W100" t="s">
        <v>573</v>
      </c>
      <c r="X100" t="s">
        <v>574</v>
      </c>
      <c r="Y100" t="s">
        <v>94</v>
      </c>
      <c r="Z100" t="s">
        <v>575</v>
      </c>
      <c r="AA100">
        <v>-89.95</v>
      </c>
      <c r="AC100" s="2">
        <f t="shared" si="12"/>
        <v>2022</v>
      </c>
      <c r="AD100" s="2">
        <f t="shared" si="13"/>
        <v>1</v>
      </c>
      <c r="AE100" s="2">
        <f t="shared" si="14"/>
        <v>2021</v>
      </c>
      <c r="AF100" s="2">
        <f t="shared" si="15"/>
        <v>1</v>
      </c>
      <c r="AG100" s="2" t="str">
        <f>VLOOKUP(F100,vlookup!$A$2:$E$660,2,0)</f>
        <v>Retained</v>
      </c>
      <c r="AH100" s="2" t="str">
        <f>VLOOKUP(F100,vlookup!$A$2:$E$660,3,0)</f>
        <v>Service Contract</v>
      </c>
      <c r="AI100" s="2" t="str">
        <f>VLOOKUP(F100,vlookup!$A$2:$E$660,4,0)</f>
        <v>Used Car Programs</v>
      </c>
      <c r="AJ100" s="2" t="str">
        <f>VLOOKUP(F100,vlookup!$A$2:$E$660,5,0)</f>
        <v>High Mileage</v>
      </c>
      <c r="AK100" s="2"/>
      <c r="AL100" s="2">
        <f t="shared" si="16"/>
        <v>56</v>
      </c>
      <c r="AM100" s="2">
        <f t="shared" si="17"/>
        <v>371</v>
      </c>
      <c r="AN100" s="2">
        <f t="shared" si="18"/>
        <v>16865</v>
      </c>
      <c r="AO100" s="2" t="str">
        <f t="shared" si="19"/>
        <v/>
      </c>
      <c r="AP100" s="2" t="str">
        <f t="shared" si="20"/>
        <v/>
      </c>
      <c r="AQ100" s="2" t="str">
        <f t="shared" si="21"/>
        <v/>
      </c>
      <c r="AR100" s="2">
        <f t="shared" si="22"/>
        <v>-89.95</v>
      </c>
      <c r="AS100" s="2" t="str">
        <f t="shared" si="23"/>
        <v>APC500272-3</v>
      </c>
      <c r="AT100" s="2" t="str">
        <f>IFERROR(IF(VLOOKUP(Y100,vlookup!$I$2:$J$9,1,0)=Y100,VLOOKUP(Y100,vlookup!$I$2:$J$9,2,0),PROPER(Y100)),PROPER(Y100))</f>
        <v>Labor</v>
      </c>
      <c r="AU100" s="2" t="str">
        <f>IFERROR(IF(B100=VLOOKUP(B100,vlookup!$L$2:$L$10,1,0),"Yes","No"),"No")</f>
        <v>No</v>
      </c>
    </row>
    <row r="101" spans="1:47" x14ac:dyDescent="0.25">
      <c r="A101" t="s">
        <v>816</v>
      </c>
      <c r="B101" t="s">
        <v>817</v>
      </c>
      <c r="C101">
        <v>3</v>
      </c>
      <c r="D101">
        <v>1</v>
      </c>
      <c r="E101" t="s">
        <v>382</v>
      </c>
      <c r="F101" t="s">
        <v>207</v>
      </c>
      <c r="G101" t="s">
        <v>30</v>
      </c>
      <c r="H101" s="11" t="s">
        <v>633</v>
      </c>
      <c r="I101">
        <v>102020</v>
      </c>
      <c r="J101" s="22">
        <v>44203</v>
      </c>
      <c r="K101" s="22">
        <v>44258</v>
      </c>
      <c r="L101">
        <v>202102</v>
      </c>
      <c r="M101" s="22">
        <v>44228</v>
      </c>
      <c r="N101">
        <v>77871</v>
      </c>
      <c r="O101" t="s">
        <v>699</v>
      </c>
      <c r="P101" t="s">
        <v>818</v>
      </c>
      <c r="Q101" t="s">
        <v>819</v>
      </c>
      <c r="R101">
        <v>5363</v>
      </c>
      <c r="S101" s="22">
        <v>44578</v>
      </c>
      <c r="T101">
        <v>118885</v>
      </c>
      <c r="U101" t="s">
        <v>356</v>
      </c>
      <c r="V101" s="22">
        <v>44579</v>
      </c>
      <c r="W101" t="s">
        <v>646</v>
      </c>
      <c r="X101" t="s">
        <v>647</v>
      </c>
      <c r="Y101" t="s">
        <v>94</v>
      </c>
      <c r="Z101" t="s">
        <v>579</v>
      </c>
      <c r="AA101">
        <v>-448</v>
      </c>
      <c r="AC101" s="2">
        <f t="shared" si="12"/>
        <v>2022</v>
      </c>
      <c r="AD101" s="2">
        <f t="shared" si="13"/>
        <v>1</v>
      </c>
      <c r="AE101" s="2">
        <f t="shared" si="14"/>
        <v>2021</v>
      </c>
      <c r="AF101" s="2">
        <f t="shared" si="15"/>
        <v>1</v>
      </c>
      <c r="AG101" s="2" t="str">
        <f>VLOOKUP(F101,vlookup!$A$2:$E$660,2,0)</f>
        <v>Retained</v>
      </c>
      <c r="AH101" s="2" t="str">
        <f>VLOOKUP(F101,vlookup!$A$2:$E$660,3,0)</f>
        <v>Service Contract</v>
      </c>
      <c r="AI101" s="2" t="str">
        <f>VLOOKUP(F101,vlookup!$A$2:$E$660,4,0)</f>
        <v>Used Car Programs</v>
      </c>
      <c r="AJ101" s="2" t="str">
        <f>VLOOKUP(F101,vlookup!$A$2:$E$660,5,0)</f>
        <v>High Mileage</v>
      </c>
      <c r="AK101" s="2"/>
      <c r="AL101" s="2">
        <f t="shared" si="16"/>
        <v>56</v>
      </c>
      <c r="AM101" s="2">
        <f t="shared" si="17"/>
        <v>371</v>
      </c>
      <c r="AN101" s="2">
        <f t="shared" si="18"/>
        <v>16865</v>
      </c>
      <c r="AO101" s="2" t="str">
        <f t="shared" si="19"/>
        <v/>
      </c>
      <c r="AP101" s="2" t="str">
        <f t="shared" si="20"/>
        <v/>
      </c>
      <c r="AQ101" s="2" t="str">
        <f t="shared" si="21"/>
        <v/>
      </c>
      <c r="AR101" s="2">
        <f t="shared" si="22"/>
        <v>-448</v>
      </c>
      <c r="AS101" s="2" t="str">
        <f t="shared" si="23"/>
        <v>APC500272-3</v>
      </c>
      <c r="AT101" s="2" t="str">
        <f>IFERROR(IF(VLOOKUP(Y101,vlookup!$I$2:$J$9,1,0)=Y101,VLOOKUP(Y101,vlookup!$I$2:$J$9,2,0),PROPER(Y101)),PROPER(Y101))</f>
        <v>Labor</v>
      </c>
      <c r="AU101" s="2" t="str">
        <f>IFERROR(IF(B101=VLOOKUP(B101,vlookup!$L$2:$L$10,1,0),"Yes","No"),"No")</f>
        <v>No</v>
      </c>
    </row>
    <row r="102" spans="1:47" x14ac:dyDescent="0.25">
      <c r="A102" t="s">
        <v>816</v>
      </c>
      <c r="B102" t="s">
        <v>817</v>
      </c>
      <c r="C102">
        <v>3</v>
      </c>
      <c r="D102">
        <v>1</v>
      </c>
      <c r="E102" t="s">
        <v>382</v>
      </c>
      <c r="F102" t="s">
        <v>207</v>
      </c>
      <c r="G102" t="s">
        <v>30</v>
      </c>
      <c r="H102" s="11" t="s">
        <v>633</v>
      </c>
      <c r="I102">
        <v>102020</v>
      </c>
      <c r="J102" s="22">
        <v>44203</v>
      </c>
      <c r="K102" s="22">
        <v>44258</v>
      </c>
      <c r="L102">
        <v>202102</v>
      </c>
      <c r="M102" s="22">
        <v>44228</v>
      </c>
      <c r="N102">
        <v>77871</v>
      </c>
      <c r="O102" t="s">
        <v>699</v>
      </c>
      <c r="P102" t="s">
        <v>818</v>
      </c>
      <c r="Q102" t="s">
        <v>819</v>
      </c>
      <c r="R102">
        <v>5363</v>
      </c>
      <c r="S102" s="22">
        <v>44578</v>
      </c>
      <c r="T102">
        <v>118885</v>
      </c>
      <c r="U102" t="s">
        <v>356</v>
      </c>
      <c r="V102" s="22">
        <v>44579</v>
      </c>
      <c r="W102" t="s">
        <v>822</v>
      </c>
      <c r="X102" t="s">
        <v>823</v>
      </c>
      <c r="Y102" t="s">
        <v>94</v>
      </c>
      <c r="Z102" t="s">
        <v>579</v>
      </c>
      <c r="AA102">
        <v>-168</v>
      </c>
      <c r="AC102" s="2">
        <f t="shared" si="12"/>
        <v>2022</v>
      </c>
      <c r="AD102" s="2">
        <f t="shared" si="13"/>
        <v>1</v>
      </c>
      <c r="AE102" s="2">
        <f t="shared" si="14"/>
        <v>2021</v>
      </c>
      <c r="AF102" s="2">
        <f t="shared" si="15"/>
        <v>1</v>
      </c>
      <c r="AG102" s="2" t="str">
        <f>VLOOKUP(F102,vlookup!$A$2:$E$660,2,0)</f>
        <v>Retained</v>
      </c>
      <c r="AH102" s="2" t="str">
        <f>VLOOKUP(F102,vlookup!$A$2:$E$660,3,0)</f>
        <v>Service Contract</v>
      </c>
      <c r="AI102" s="2" t="str">
        <f>VLOOKUP(F102,vlookup!$A$2:$E$660,4,0)</f>
        <v>Used Car Programs</v>
      </c>
      <c r="AJ102" s="2" t="str">
        <f>VLOOKUP(F102,vlookup!$A$2:$E$660,5,0)</f>
        <v>High Mileage</v>
      </c>
      <c r="AK102" s="2"/>
      <c r="AL102" s="2">
        <f t="shared" si="16"/>
        <v>56</v>
      </c>
      <c r="AM102" s="2">
        <f t="shared" si="17"/>
        <v>371</v>
      </c>
      <c r="AN102" s="2">
        <f t="shared" si="18"/>
        <v>16865</v>
      </c>
      <c r="AO102" s="2" t="str">
        <f t="shared" si="19"/>
        <v/>
      </c>
      <c r="AP102" s="2" t="str">
        <f t="shared" si="20"/>
        <v/>
      </c>
      <c r="AQ102" s="2" t="str">
        <f t="shared" si="21"/>
        <v/>
      </c>
      <c r="AR102" s="2">
        <f t="shared" si="22"/>
        <v>-168</v>
      </c>
      <c r="AS102" s="2" t="str">
        <f t="shared" si="23"/>
        <v>APC500272-3</v>
      </c>
      <c r="AT102" s="2" t="str">
        <f>IFERROR(IF(VLOOKUP(Y102,vlookup!$I$2:$J$9,1,0)=Y102,VLOOKUP(Y102,vlookup!$I$2:$J$9,2,0),PROPER(Y102)),PROPER(Y102))</f>
        <v>Labor</v>
      </c>
      <c r="AU102" s="2" t="str">
        <f>IFERROR(IF(B102=VLOOKUP(B102,vlookup!$L$2:$L$10,1,0),"Yes","No"),"No")</f>
        <v>No</v>
      </c>
    </row>
    <row r="103" spans="1:47" x14ac:dyDescent="0.25">
      <c r="A103" t="s">
        <v>732</v>
      </c>
      <c r="B103" t="s">
        <v>733</v>
      </c>
      <c r="C103">
        <v>1</v>
      </c>
      <c r="D103">
        <v>1</v>
      </c>
      <c r="E103" t="s">
        <v>382</v>
      </c>
      <c r="F103" t="s">
        <v>257</v>
      </c>
      <c r="G103" t="s">
        <v>610</v>
      </c>
      <c r="H103" s="11" t="s">
        <v>633</v>
      </c>
      <c r="I103">
        <v>43130</v>
      </c>
      <c r="J103" s="22">
        <v>44147</v>
      </c>
      <c r="K103" s="22">
        <v>44229</v>
      </c>
      <c r="L103">
        <v>202101</v>
      </c>
      <c r="M103" s="22">
        <v>44197</v>
      </c>
      <c r="N103">
        <v>77871</v>
      </c>
      <c r="O103" t="s">
        <v>699</v>
      </c>
      <c r="P103" t="s">
        <v>712</v>
      </c>
      <c r="Q103" t="s">
        <v>612</v>
      </c>
      <c r="R103">
        <v>101389</v>
      </c>
      <c r="S103" s="22">
        <v>44424</v>
      </c>
      <c r="T103">
        <v>43753</v>
      </c>
      <c r="U103" t="s">
        <v>356</v>
      </c>
      <c r="V103" s="22">
        <v>44426</v>
      </c>
      <c r="W103" t="s">
        <v>824</v>
      </c>
      <c r="X103" t="s">
        <v>825</v>
      </c>
      <c r="Y103" t="s">
        <v>94</v>
      </c>
      <c r="Z103" t="s">
        <v>358</v>
      </c>
      <c r="AA103">
        <v>-268.2</v>
      </c>
      <c r="AC103" s="2">
        <f t="shared" si="12"/>
        <v>2021</v>
      </c>
      <c r="AD103" s="2">
        <f t="shared" si="13"/>
        <v>8</v>
      </c>
      <c r="AE103" s="2">
        <f t="shared" si="14"/>
        <v>2020</v>
      </c>
      <c r="AF103" s="2">
        <f t="shared" si="15"/>
        <v>11</v>
      </c>
      <c r="AG103" s="2" t="str">
        <f>VLOOKUP(F103,vlookup!$A$2:$E$660,2,0)</f>
        <v>Retained</v>
      </c>
      <c r="AH103" s="2" t="str">
        <f>VLOOKUP(F103,vlookup!$A$2:$E$660,3,0)</f>
        <v>Service Contract</v>
      </c>
      <c r="AI103" s="2" t="str">
        <f>VLOOKUP(F103,vlookup!$A$2:$E$660,4,0)</f>
        <v>Used Car Programs</v>
      </c>
      <c r="AJ103" s="2" t="str">
        <f>VLOOKUP(F103,vlookup!$A$2:$E$660,5,0)</f>
        <v>High Mileage</v>
      </c>
      <c r="AK103" s="2"/>
      <c r="AL103" s="2">
        <f t="shared" si="16"/>
        <v>80</v>
      </c>
      <c r="AM103" s="2">
        <f t="shared" si="17"/>
        <v>276</v>
      </c>
      <c r="AN103" s="2">
        <f t="shared" si="18"/>
        <v>623</v>
      </c>
      <c r="AO103" s="2" t="str">
        <f t="shared" si="19"/>
        <v/>
      </c>
      <c r="AP103" s="2" t="str">
        <f t="shared" si="20"/>
        <v/>
      </c>
      <c r="AQ103" s="2" t="str">
        <f t="shared" si="21"/>
        <v/>
      </c>
      <c r="AR103" s="2">
        <f t="shared" si="22"/>
        <v>-268.2</v>
      </c>
      <c r="AS103" s="2" t="str">
        <f t="shared" si="23"/>
        <v>SNFJR295989K20-1</v>
      </c>
      <c r="AT103" s="2" t="str">
        <f>IFERROR(IF(VLOOKUP(Y103,vlookup!$I$2:$J$9,1,0)=Y103,VLOOKUP(Y103,vlookup!$I$2:$J$9,2,0),PROPER(Y103)),PROPER(Y103))</f>
        <v>Labor</v>
      </c>
      <c r="AU103" s="2" t="str">
        <f>IFERROR(IF(B103=VLOOKUP(B103,vlookup!$L$2:$L$10,1,0),"Yes","No"),"No")</f>
        <v>No</v>
      </c>
    </row>
    <row r="104" spans="1:47" x14ac:dyDescent="0.25">
      <c r="A104" t="s">
        <v>759</v>
      </c>
      <c r="B104" t="s">
        <v>760</v>
      </c>
      <c r="C104">
        <v>1</v>
      </c>
      <c r="D104">
        <v>1</v>
      </c>
      <c r="E104" t="s">
        <v>572</v>
      </c>
      <c r="F104" t="s">
        <v>207</v>
      </c>
      <c r="G104" t="s">
        <v>543</v>
      </c>
      <c r="H104" s="11" t="s">
        <v>609</v>
      </c>
      <c r="I104">
        <v>100055</v>
      </c>
      <c r="J104" s="22">
        <v>44275</v>
      </c>
      <c r="K104" s="22">
        <v>44342</v>
      </c>
      <c r="L104">
        <v>202105</v>
      </c>
      <c r="M104" s="22">
        <v>44317</v>
      </c>
      <c r="N104">
        <v>77871</v>
      </c>
      <c r="O104" t="s">
        <v>699</v>
      </c>
      <c r="P104" t="s">
        <v>712</v>
      </c>
      <c r="Q104" t="s">
        <v>612</v>
      </c>
      <c r="R104">
        <v>907991</v>
      </c>
      <c r="S104" s="22">
        <v>44375</v>
      </c>
      <c r="T104">
        <v>104913</v>
      </c>
      <c r="U104" t="s">
        <v>356</v>
      </c>
      <c r="V104" s="22">
        <v>44375</v>
      </c>
      <c r="W104" t="s">
        <v>810</v>
      </c>
      <c r="X104" t="s">
        <v>811</v>
      </c>
      <c r="Y104" t="s">
        <v>94</v>
      </c>
      <c r="Z104" t="s">
        <v>579</v>
      </c>
      <c r="AA104">
        <v>-268.2</v>
      </c>
      <c r="AC104" s="2">
        <f t="shared" si="12"/>
        <v>2021</v>
      </c>
      <c r="AD104" s="2">
        <f t="shared" si="13"/>
        <v>6</v>
      </c>
      <c r="AE104" s="2">
        <f t="shared" si="14"/>
        <v>2021</v>
      </c>
      <c r="AF104" s="2">
        <f t="shared" si="15"/>
        <v>3</v>
      </c>
      <c r="AG104" s="2" t="str">
        <f>VLOOKUP(F104,vlookup!$A$2:$E$660,2,0)</f>
        <v>Retained</v>
      </c>
      <c r="AH104" s="2" t="str">
        <f>VLOOKUP(F104,vlookup!$A$2:$E$660,3,0)</f>
        <v>Service Contract</v>
      </c>
      <c r="AI104" s="2" t="str">
        <f>VLOOKUP(F104,vlookup!$A$2:$E$660,4,0)</f>
        <v>Used Car Programs</v>
      </c>
      <c r="AJ104" s="2" t="str">
        <f>VLOOKUP(F104,vlookup!$A$2:$E$660,5,0)</f>
        <v>High Mileage</v>
      </c>
      <c r="AK104" s="2"/>
      <c r="AL104" s="2">
        <f t="shared" si="16"/>
        <v>66</v>
      </c>
      <c r="AM104" s="2">
        <f t="shared" si="17"/>
        <v>98</v>
      </c>
      <c r="AN104" s="2">
        <f t="shared" si="18"/>
        <v>4858</v>
      </c>
      <c r="AO104" s="2" t="str">
        <f t="shared" si="19"/>
        <v/>
      </c>
      <c r="AP104" s="2" t="str">
        <f t="shared" si="20"/>
        <v/>
      </c>
      <c r="AQ104" s="2" t="str">
        <f t="shared" si="21"/>
        <v/>
      </c>
      <c r="AR104" s="2">
        <f t="shared" si="22"/>
        <v>-268.2</v>
      </c>
      <c r="AS104" s="2" t="str">
        <f t="shared" si="23"/>
        <v>APC500369-1</v>
      </c>
      <c r="AT104" s="2" t="str">
        <f>IFERROR(IF(VLOOKUP(Y104,vlookup!$I$2:$J$9,1,0)=Y104,VLOOKUP(Y104,vlookup!$I$2:$J$9,2,0),PROPER(Y104)),PROPER(Y104))</f>
        <v>Labor</v>
      </c>
      <c r="AU104" s="2" t="str">
        <f>IFERROR(IF(B104=VLOOKUP(B104,vlookup!$L$2:$L$10,1,0),"Yes","No"),"No")</f>
        <v>No</v>
      </c>
    </row>
    <row r="105" spans="1:47" x14ac:dyDescent="0.25">
      <c r="A105" t="s">
        <v>759</v>
      </c>
      <c r="B105" t="s">
        <v>760</v>
      </c>
      <c r="C105">
        <v>2</v>
      </c>
      <c r="D105">
        <v>1</v>
      </c>
      <c r="E105" t="s">
        <v>572</v>
      </c>
      <c r="F105" t="s">
        <v>207</v>
      </c>
      <c r="G105" t="s">
        <v>543</v>
      </c>
      <c r="H105" s="11" t="s">
        <v>609</v>
      </c>
      <c r="I105">
        <v>100055</v>
      </c>
      <c r="J105" s="22">
        <v>44275</v>
      </c>
      <c r="K105" s="22">
        <v>44342</v>
      </c>
      <c r="L105">
        <v>202105</v>
      </c>
      <c r="M105" s="22">
        <v>44317</v>
      </c>
      <c r="N105">
        <v>77871</v>
      </c>
      <c r="O105" t="s">
        <v>699</v>
      </c>
      <c r="P105" t="s">
        <v>712</v>
      </c>
      <c r="Q105" t="s">
        <v>612</v>
      </c>
      <c r="R105">
        <v>101341</v>
      </c>
      <c r="S105" s="22">
        <v>44422</v>
      </c>
      <c r="T105">
        <v>106194</v>
      </c>
      <c r="U105" t="s">
        <v>356</v>
      </c>
      <c r="V105" s="22">
        <v>44426</v>
      </c>
      <c r="W105" t="s">
        <v>596</v>
      </c>
      <c r="X105" t="s">
        <v>597</v>
      </c>
      <c r="Y105" t="s">
        <v>94</v>
      </c>
      <c r="Z105" t="s">
        <v>358</v>
      </c>
      <c r="AA105">
        <v>-238.4</v>
      </c>
      <c r="AC105" s="2">
        <f t="shared" si="12"/>
        <v>2021</v>
      </c>
      <c r="AD105" s="2">
        <f t="shared" si="13"/>
        <v>8</v>
      </c>
      <c r="AE105" s="2">
        <f t="shared" si="14"/>
        <v>2021</v>
      </c>
      <c r="AF105" s="2">
        <f t="shared" si="15"/>
        <v>3</v>
      </c>
      <c r="AG105" s="2" t="str">
        <f>VLOOKUP(F105,vlookup!$A$2:$E$660,2,0)</f>
        <v>Retained</v>
      </c>
      <c r="AH105" s="2" t="str">
        <f>VLOOKUP(F105,vlookup!$A$2:$E$660,3,0)</f>
        <v>Service Contract</v>
      </c>
      <c r="AI105" s="2" t="str">
        <f>VLOOKUP(F105,vlookup!$A$2:$E$660,4,0)</f>
        <v>Used Car Programs</v>
      </c>
      <c r="AJ105" s="2" t="str">
        <f>VLOOKUP(F105,vlookup!$A$2:$E$660,5,0)</f>
        <v>High Mileage</v>
      </c>
      <c r="AK105" s="2"/>
      <c r="AL105" s="2">
        <f t="shared" si="16"/>
        <v>66</v>
      </c>
      <c r="AM105" s="2">
        <f t="shared" si="17"/>
        <v>148</v>
      </c>
      <c r="AN105" s="2">
        <f t="shared" si="18"/>
        <v>6139</v>
      </c>
      <c r="AO105" s="2" t="str">
        <f t="shared" si="19"/>
        <v/>
      </c>
      <c r="AP105" s="2" t="str">
        <f t="shared" si="20"/>
        <v/>
      </c>
      <c r="AQ105" s="2" t="str">
        <f t="shared" si="21"/>
        <v/>
      </c>
      <c r="AR105" s="2">
        <f t="shared" si="22"/>
        <v>-238.4</v>
      </c>
      <c r="AS105" s="2" t="str">
        <f t="shared" si="23"/>
        <v>APC500369-2</v>
      </c>
      <c r="AT105" s="2" t="str">
        <f>IFERROR(IF(VLOOKUP(Y105,vlookup!$I$2:$J$9,1,0)=Y105,VLOOKUP(Y105,vlookup!$I$2:$J$9,2,0),PROPER(Y105)),PROPER(Y105))</f>
        <v>Labor</v>
      </c>
      <c r="AU105" s="2" t="str">
        <f>IFERROR(IF(B105=VLOOKUP(B105,vlookup!$L$2:$L$10,1,0),"Yes","No"),"No")</f>
        <v>No</v>
      </c>
    </row>
    <row r="106" spans="1:47" x14ac:dyDescent="0.25">
      <c r="A106" t="s">
        <v>759</v>
      </c>
      <c r="B106" t="s">
        <v>760</v>
      </c>
      <c r="C106">
        <v>2</v>
      </c>
      <c r="D106">
        <v>1</v>
      </c>
      <c r="E106" t="s">
        <v>572</v>
      </c>
      <c r="F106" t="s">
        <v>207</v>
      </c>
      <c r="G106" t="s">
        <v>543</v>
      </c>
      <c r="H106" s="11" t="s">
        <v>609</v>
      </c>
      <c r="I106">
        <v>100055</v>
      </c>
      <c r="J106" s="22">
        <v>44275</v>
      </c>
      <c r="K106" s="22">
        <v>44342</v>
      </c>
      <c r="L106">
        <v>202105</v>
      </c>
      <c r="M106" s="22">
        <v>44317</v>
      </c>
      <c r="N106">
        <v>77871</v>
      </c>
      <c r="O106" t="s">
        <v>699</v>
      </c>
      <c r="P106" t="s">
        <v>712</v>
      </c>
      <c r="Q106" t="s">
        <v>612</v>
      </c>
      <c r="R106">
        <v>101341</v>
      </c>
      <c r="S106" s="22">
        <v>44422</v>
      </c>
      <c r="T106">
        <v>106194</v>
      </c>
      <c r="U106" t="s">
        <v>356</v>
      </c>
      <c r="V106" s="22">
        <v>44426</v>
      </c>
      <c r="W106" t="s">
        <v>573</v>
      </c>
      <c r="X106" t="s">
        <v>574</v>
      </c>
      <c r="Y106" t="s">
        <v>94</v>
      </c>
      <c r="Z106" t="s">
        <v>575</v>
      </c>
      <c r="AA106">
        <v>-99.95</v>
      </c>
      <c r="AC106" s="2">
        <f t="shared" si="12"/>
        <v>2021</v>
      </c>
      <c r="AD106" s="2">
        <f t="shared" si="13"/>
        <v>8</v>
      </c>
      <c r="AE106" s="2">
        <f t="shared" si="14"/>
        <v>2021</v>
      </c>
      <c r="AF106" s="2">
        <f t="shared" si="15"/>
        <v>3</v>
      </c>
      <c r="AG106" s="2" t="str">
        <f>VLOOKUP(F106,vlookup!$A$2:$E$660,2,0)</f>
        <v>Retained</v>
      </c>
      <c r="AH106" s="2" t="str">
        <f>VLOOKUP(F106,vlookup!$A$2:$E$660,3,0)</f>
        <v>Service Contract</v>
      </c>
      <c r="AI106" s="2" t="str">
        <f>VLOOKUP(F106,vlookup!$A$2:$E$660,4,0)</f>
        <v>Used Car Programs</v>
      </c>
      <c r="AJ106" s="2" t="str">
        <f>VLOOKUP(F106,vlookup!$A$2:$E$660,5,0)</f>
        <v>High Mileage</v>
      </c>
      <c r="AK106" s="2"/>
      <c r="AL106" s="2">
        <f t="shared" si="16"/>
        <v>66</v>
      </c>
      <c r="AM106" s="2">
        <f t="shared" si="17"/>
        <v>148</v>
      </c>
      <c r="AN106" s="2">
        <f t="shared" si="18"/>
        <v>6139</v>
      </c>
      <c r="AO106" s="2" t="str">
        <f t="shared" si="19"/>
        <v/>
      </c>
      <c r="AP106" s="2" t="str">
        <f t="shared" si="20"/>
        <v/>
      </c>
      <c r="AQ106" s="2" t="str">
        <f t="shared" si="21"/>
        <v/>
      </c>
      <c r="AR106" s="2">
        <f t="shared" si="22"/>
        <v>-99.95</v>
      </c>
      <c r="AS106" s="2" t="str">
        <f t="shared" si="23"/>
        <v>APC500369-2</v>
      </c>
      <c r="AT106" s="2" t="str">
        <f>IFERROR(IF(VLOOKUP(Y106,vlookup!$I$2:$J$9,1,0)=Y106,VLOOKUP(Y106,vlookup!$I$2:$J$9,2,0),PROPER(Y106)),PROPER(Y106))</f>
        <v>Labor</v>
      </c>
      <c r="AU106" s="2" t="str">
        <f>IFERROR(IF(B106=VLOOKUP(B106,vlookup!$L$2:$L$10,1,0),"Yes","No"),"No")</f>
        <v>No</v>
      </c>
    </row>
    <row r="107" spans="1:47" x14ac:dyDescent="0.25">
      <c r="A107" t="s">
        <v>759</v>
      </c>
      <c r="B107" t="s">
        <v>760</v>
      </c>
      <c r="C107">
        <v>2</v>
      </c>
      <c r="D107">
        <v>1</v>
      </c>
      <c r="E107" t="s">
        <v>572</v>
      </c>
      <c r="F107" t="s">
        <v>207</v>
      </c>
      <c r="G107" t="s">
        <v>543</v>
      </c>
      <c r="H107" s="11" t="s">
        <v>609</v>
      </c>
      <c r="I107">
        <v>100055</v>
      </c>
      <c r="J107" s="22">
        <v>44275</v>
      </c>
      <c r="K107" s="22">
        <v>44342</v>
      </c>
      <c r="L107">
        <v>202105</v>
      </c>
      <c r="M107" s="22">
        <v>44317</v>
      </c>
      <c r="N107">
        <v>77871</v>
      </c>
      <c r="O107" t="s">
        <v>699</v>
      </c>
      <c r="P107" t="s">
        <v>712</v>
      </c>
      <c r="Q107" t="s">
        <v>612</v>
      </c>
      <c r="R107">
        <v>101341</v>
      </c>
      <c r="S107" s="22">
        <v>44422</v>
      </c>
      <c r="T107">
        <v>106194</v>
      </c>
      <c r="U107" t="s">
        <v>356</v>
      </c>
      <c r="V107" s="22">
        <v>44426</v>
      </c>
      <c r="W107" t="s">
        <v>692</v>
      </c>
      <c r="X107" t="s">
        <v>693</v>
      </c>
      <c r="Y107" t="s">
        <v>94</v>
      </c>
      <c r="Z107" t="s">
        <v>579</v>
      </c>
      <c r="AA107">
        <v>-402.3</v>
      </c>
      <c r="AC107" s="2">
        <f t="shared" si="12"/>
        <v>2021</v>
      </c>
      <c r="AD107" s="2">
        <f t="shared" si="13"/>
        <v>8</v>
      </c>
      <c r="AE107" s="2">
        <f t="shared" si="14"/>
        <v>2021</v>
      </c>
      <c r="AF107" s="2">
        <f t="shared" si="15"/>
        <v>3</v>
      </c>
      <c r="AG107" s="2" t="str">
        <f>VLOOKUP(F107,vlookup!$A$2:$E$660,2,0)</f>
        <v>Retained</v>
      </c>
      <c r="AH107" s="2" t="str">
        <f>VLOOKUP(F107,vlookup!$A$2:$E$660,3,0)</f>
        <v>Service Contract</v>
      </c>
      <c r="AI107" s="2" t="str">
        <f>VLOOKUP(F107,vlookup!$A$2:$E$660,4,0)</f>
        <v>Used Car Programs</v>
      </c>
      <c r="AJ107" s="2" t="str">
        <f>VLOOKUP(F107,vlookup!$A$2:$E$660,5,0)</f>
        <v>High Mileage</v>
      </c>
      <c r="AK107" s="2"/>
      <c r="AL107" s="2">
        <f t="shared" si="16"/>
        <v>66</v>
      </c>
      <c r="AM107" s="2">
        <f t="shared" si="17"/>
        <v>148</v>
      </c>
      <c r="AN107" s="2">
        <f t="shared" si="18"/>
        <v>6139</v>
      </c>
      <c r="AO107" s="2" t="str">
        <f t="shared" si="19"/>
        <v/>
      </c>
      <c r="AP107" s="2" t="str">
        <f t="shared" si="20"/>
        <v/>
      </c>
      <c r="AQ107" s="2" t="str">
        <f t="shared" si="21"/>
        <v/>
      </c>
      <c r="AR107" s="2">
        <f t="shared" si="22"/>
        <v>-402.3</v>
      </c>
      <c r="AS107" s="2" t="str">
        <f t="shared" si="23"/>
        <v>APC500369-2</v>
      </c>
      <c r="AT107" s="2" t="str">
        <f>IFERROR(IF(VLOOKUP(Y107,vlookup!$I$2:$J$9,1,0)=Y107,VLOOKUP(Y107,vlookup!$I$2:$J$9,2,0),PROPER(Y107)),PROPER(Y107))</f>
        <v>Labor</v>
      </c>
      <c r="AU107" s="2" t="str">
        <f>IFERROR(IF(B107=VLOOKUP(B107,vlookup!$L$2:$L$10,1,0),"Yes","No"),"No")</f>
        <v>No</v>
      </c>
    </row>
    <row r="108" spans="1:47" x14ac:dyDescent="0.25">
      <c r="A108" t="s">
        <v>759</v>
      </c>
      <c r="B108" t="s">
        <v>760</v>
      </c>
      <c r="C108">
        <v>2</v>
      </c>
      <c r="D108">
        <v>1</v>
      </c>
      <c r="E108" t="s">
        <v>572</v>
      </c>
      <c r="F108" t="s">
        <v>207</v>
      </c>
      <c r="G108" t="s">
        <v>543</v>
      </c>
      <c r="H108" s="11" t="s">
        <v>609</v>
      </c>
      <c r="I108">
        <v>100055</v>
      </c>
      <c r="J108" s="22">
        <v>44275</v>
      </c>
      <c r="K108" s="22">
        <v>44342</v>
      </c>
      <c r="L108">
        <v>202105</v>
      </c>
      <c r="M108" s="22">
        <v>44317</v>
      </c>
      <c r="N108">
        <v>77871</v>
      </c>
      <c r="O108" t="s">
        <v>699</v>
      </c>
      <c r="P108" t="s">
        <v>712</v>
      </c>
      <c r="Q108" t="s">
        <v>612</v>
      </c>
      <c r="R108">
        <v>101341</v>
      </c>
      <c r="S108" s="22">
        <v>44422</v>
      </c>
      <c r="T108">
        <v>106194</v>
      </c>
      <c r="U108" t="s">
        <v>356</v>
      </c>
      <c r="V108" s="22">
        <v>44426</v>
      </c>
      <c r="W108" t="s">
        <v>638</v>
      </c>
      <c r="X108" t="s">
        <v>639</v>
      </c>
      <c r="Y108" t="s">
        <v>94</v>
      </c>
      <c r="Z108" t="s">
        <v>579</v>
      </c>
      <c r="AA108">
        <v>-74.5</v>
      </c>
      <c r="AC108" s="2">
        <f t="shared" si="12"/>
        <v>2021</v>
      </c>
      <c r="AD108" s="2">
        <f t="shared" si="13"/>
        <v>8</v>
      </c>
      <c r="AE108" s="2">
        <f t="shared" si="14"/>
        <v>2021</v>
      </c>
      <c r="AF108" s="2">
        <f t="shared" si="15"/>
        <v>3</v>
      </c>
      <c r="AG108" s="2" t="str">
        <f>VLOOKUP(F108,vlookup!$A$2:$E$660,2,0)</f>
        <v>Retained</v>
      </c>
      <c r="AH108" s="2" t="str">
        <f>VLOOKUP(F108,vlookup!$A$2:$E$660,3,0)</f>
        <v>Service Contract</v>
      </c>
      <c r="AI108" s="2" t="str">
        <f>VLOOKUP(F108,vlookup!$A$2:$E$660,4,0)</f>
        <v>Used Car Programs</v>
      </c>
      <c r="AJ108" s="2" t="str">
        <f>VLOOKUP(F108,vlookup!$A$2:$E$660,5,0)</f>
        <v>High Mileage</v>
      </c>
      <c r="AK108" s="2"/>
      <c r="AL108" s="2">
        <f t="shared" si="16"/>
        <v>66</v>
      </c>
      <c r="AM108" s="2">
        <f t="shared" si="17"/>
        <v>148</v>
      </c>
      <c r="AN108" s="2">
        <f t="shared" si="18"/>
        <v>6139</v>
      </c>
      <c r="AO108" s="2" t="str">
        <f t="shared" si="19"/>
        <v/>
      </c>
      <c r="AP108" s="2" t="str">
        <f t="shared" si="20"/>
        <v/>
      </c>
      <c r="AQ108" s="2" t="str">
        <f t="shared" si="21"/>
        <v/>
      </c>
      <c r="AR108" s="2">
        <f t="shared" si="22"/>
        <v>-74.5</v>
      </c>
      <c r="AS108" s="2" t="str">
        <f t="shared" si="23"/>
        <v>APC500369-2</v>
      </c>
      <c r="AT108" s="2" t="str">
        <f>IFERROR(IF(VLOOKUP(Y108,vlookup!$I$2:$J$9,1,0)=Y108,VLOOKUP(Y108,vlookup!$I$2:$J$9,2,0),PROPER(Y108)),PROPER(Y108))</f>
        <v>Labor</v>
      </c>
      <c r="AU108" s="2" t="str">
        <f>IFERROR(IF(B108=VLOOKUP(B108,vlookup!$L$2:$L$10,1,0),"Yes","No"),"No")</f>
        <v>No</v>
      </c>
    </row>
    <row r="109" spans="1:47" x14ac:dyDescent="0.25">
      <c r="A109" t="s">
        <v>734</v>
      </c>
      <c r="B109" t="s">
        <v>735</v>
      </c>
      <c r="C109">
        <v>1</v>
      </c>
      <c r="D109">
        <v>1</v>
      </c>
      <c r="E109" t="s">
        <v>382</v>
      </c>
      <c r="F109" t="s">
        <v>257</v>
      </c>
      <c r="G109" t="s">
        <v>543</v>
      </c>
      <c r="H109" s="11" t="s">
        <v>687</v>
      </c>
      <c r="I109">
        <v>67203</v>
      </c>
      <c r="J109" s="22">
        <v>44175</v>
      </c>
      <c r="K109" s="22">
        <v>44229</v>
      </c>
      <c r="L109">
        <v>202101</v>
      </c>
      <c r="M109" s="22">
        <v>44197</v>
      </c>
      <c r="N109">
        <v>77871</v>
      </c>
      <c r="O109" t="s">
        <v>699</v>
      </c>
      <c r="P109" t="s">
        <v>712</v>
      </c>
      <c r="Q109" t="s">
        <v>612</v>
      </c>
      <c r="R109">
        <v>904658</v>
      </c>
      <c r="S109" s="22">
        <v>44317</v>
      </c>
      <c r="T109">
        <v>71300</v>
      </c>
      <c r="U109" t="s">
        <v>356</v>
      </c>
      <c r="V109" s="22">
        <v>44336</v>
      </c>
      <c r="W109" t="s">
        <v>826</v>
      </c>
      <c r="X109" t="s">
        <v>827</v>
      </c>
      <c r="Y109" t="s">
        <v>94</v>
      </c>
      <c r="Z109" t="s">
        <v>358</v>
      </c>
      <c r="AA109">
        <v>-223.5</v>
      </c>
      <c r="AC109" s="2">
        <f t="shared" si="12"/>
        <v>2021</v>
      </c>
      <c r="AD109" s="2">
        <f t="shared" si="13"/>
        <v>5</v>
      </c>
      <c r="AE109" s="2">
        <f t="shared" si="14"/>
        <v>2020</v>
      </c>
      <c r="AF109" s="2">
        <f t="shared" si="15"/>
        <v>12</v>
      </c>
      <c r="AG109" s="2" t="str">
        <f>VLOOKUP(F109,vlookup!$A$2:$E$660,2,0)</f>
        <v>Retained</v>
      </c>
      <c r="AH109" s="2" t="str">
        <f>VLOOKUP(F109,vlookup!$A$2:$E$660,3,0)</f>
        <v>Service Contract</v>
      </c>
      <c r="AI109" s="2" t="str">
        <f>VLOOKUP(F109,vlookup!$A$2:$E$660,4,0)</f>
        <v>Used Car Programs</v>
      </c>
      <c r="AJ109" s="2" t="str">
        <f>VLOOKUP(F109,vlookup!$A$2:$E$660,5,0)</f>
        <v>High Mileage</v>
      </c>
      <c r="AK109" s="2"/>
      <c r="AL109" s="2">
        <f t="shared" si="16"/>
        <v>52</v>
      </c>
      <c r="AM109" s="2">
        <f t="shared" si="17"/>
        <v>160</v>
      </c>
      <c r="AN109" s="2">
        <f t="shared" si="18"/>
        <v>4097</v>
      </c>
      <c r="AO109" s="2" t="str">
        <f t="shared" si="19"/>
        <v/>
      </c>
      <c r="AP109" s="2" t="str">
        <f t="shared" si="20"/>
        <v/>
      </c>
      <c r="AQ109" s="2" t="str">
        <f t="shared" si="21"/>
        <v/>
      </c>
      <c r="AR109" s="2">
        <f t="shared" si="22"/>
        <v>-223.5</v>
      </c>
      <c r="AS109" s="2" t="str">
        <f t="shared" si="23"/>
        <v>SNFJR174307L20-1</v>
      </c>
      <c r="AT109" s="2" t="str">
        <f>IFERROR(IF(VLOOKUP(Y109,vlookup!$I$2:$J$9,1,0)=Y109,VLOOKUP(Y109,vlookup!$I$2:$J$9,2,0),PROPER(Y109)),PROPER(Y109))</f>
        <v>Labor</v>
      </c>
      <c r="AU109" s="2" t="str">
        <f>IFERROR(IF(B109=VLOOKUP(B109,vlookup!$L$2:$L$10,1,0),"Yes","No"),"No")</f>
        <v>No</v>
      </c>
    </row>
    <row r="110" spans="1:47" x14ac:dyDescent="0.25">
      <c r="A110" t="s">
        <v>734</v>
      </c>
      <c r="B110" t="s">
        <v>735</v>
      </c>
      <c r="C110">
        <v>2</v>
      </c>
      <c r="D110">
        <v>1</v>
      </c>
      <c r="E110" t="s">
        <v>382</v>
      </c>
      <c r="F110" t="s">
        <v>257</v>
      </c>
      <c r="G110" t="s">
        <v>543</v>
      </c>
      <c r="H110" s="11" t="s">
        <v>687</v>
      </c>
      <c r="I110">
        <v>67203</v>
      </c>
      <c r="J110" s="22">
        <v>44175</v>
      </c>
      <c r="K110" s="22">
        <v>44229</v>
      </c>
      <c r="L110">
        <v>202101</v>
      </c>
      <c r="M110" s="22">
        <v>44197</v>
      </c>
      <c r="N110">
        <v>77871</v>
      </c>
      <c r="O110" t="s">
        <v>699</v>
      </c>
      <c r="P110" t="s">
        <v>712</v>
      </c>
      <c r="Q110" t="s">
        <v>612</v>
      </c>
      <c r="R110">
        <v>102365</v>
      </c>
      <c r="S110" s="22">
        <v>44442</v>
      </c>
      <c r="T110">
        <v>74639</v>
      </c>
      <c r="U110" t="s">
        <v>356</v>
      </c>
      <c r="V110" s="22">
        <v>44449</v>
      </c>
      <c r="W110" t="s">
        <v>577</v>
      </c>
      <c r="X110" t="s">
        <v>578</v>
      </c>
      <c r="Y110" t="s">
        <v>94</v>
      </c>
      <c r="Z110" t="s">
        <v>576</v>
      </c>
      <c r="AA110">
        <v>-223.5</v>
      </c>
      <c r="AC110" s="2">
        <f t="shared" si="12"/>
        <v>2021</v>
      </c>
      <c r="AD110" s="2">
        <f t="shared" si="13"/>
        <v>9</v>
      </c>
      <c r="AE110" s="2">
        <f t="shared" si="14"/>
        <v>2020</v>
      </c>
      <c r="AF110" s="2">
        <f t="shared" si="15"/>
        <v>12</v>
      </c>
      <c r="AG110" s="2" t="str">
        <f>VLOOKUP(F110,vlookup!$A$2:$E$660,2,0)</f>
        <v>Retained</v>
      </c>
      <c r="AH110" s="2" t="str">
        <f>VLOOKUP(F110,vlookup!$A$2:$E$660,3,0)</f>
        <v>Service Contract</v>
      </c>
      <c r="AI110" s="2" t="str">
        <f>VLOOKUP(F110,vlookup!$A$2:$E$660,4,0)</f>
        <v>Used Car Programs</v>
      </c>
      <c r="AJ110" s="2" t="str">
        <f>VLOOKUP(F110,vlookup!$A$2:$E$660,5,0)</f>
        <v>High Mileage</v>
      </c>
      <c r="AK110" s="2"/>
      <c r="AL110" s="2">
        <f t="shared" si="16"/>
        <v>52</v>
      </c>
      <c r="AM110" s="2">
        <f t="shared" si="17"/>
        <v>270</v>
      </c>
      <c r="AN110" s="2">
        <f t="shared" si="18"/>
        <v>7436</v>
      </c>
      <c r="AO110" s="2" t="str">
        <f t="shared" si="19"/>
        <v/>
      </c>
      <c r="AP110" s="2" t="str">
        <f t="shared" si="20"/>
        <v/>
      </c>
      <c r="AQ110" s="2" t="str">
        <f t="shared" si="21"/>
        <v/>
      </c>
      <c r="AR110" s="2">
        <f t="shared" si="22"/>
        <v>-223.5</v>
      </c>
      <c r="AS110" s="2" t="str">
        <f t="shared" si="23"/>
        <v>SNFJR174307L20-2</v>
      </c>
      <c r="AT110" s="2" t="str">
        <f>IFERROR(IF(VLOOKUP(Y110,vlookup!$I$2:$J$9,1,0)=Y110,VLOOKUP(Y110,vlookup!$I$2:$J$9,2,0),PROPER(Y110)),PROPER(Y110))</f>
        <v>Labor</v>
      </c>
      <c r="AU110" s="2" t="str">
        <f>IFERROR(IF(B110=VLOOKUP(B110,vlookup!$L$2:$L$10,1,0),"Yes","No"),"No")</f>
        <v>No</v>
      </c>
    </row>
    <row r="111" spans="1:47" x14ac:dyDescent="0.25">
      <c r="A111" t="s">
        <v>734</v>
      </c>
      <c r="B111" t="s">
        <v>735</v>
      </c>
      <c r="C111">
        <v>2</v>
      </c>
      <c r="D111">
        <v>1</v>
      </c>
      <c r="E111" t="s">
        <v>382</v>
      </c>
      <c r="F111" t="s">
        <v>257</v>
      </c>
      <c r="G111" t="s">
        <v>543</v>
      </c>
      <c r="H111" s="11" t="s">
        <v>687</v>
      </c>
      <c r="I111">
        <v>67203</v>
      </c>
      <c r="J111" s="22">
        <v>44175</v>
      </c>
      <c r="K111" s="22">
        <v>44229</v>
      </c>
      <c r="L111">
        <v>202101</v>
      </c>
      <c r="M111" s="22">
        <v>44197</v>
      </c>
      <c r="N111">
        <v>77871</v>
      </c>
      <c r="O111" t="s">
        <v>699</v>
      </c>
      <c r="P111" t="s">
        <v>712</v>
      </c>
      <c r="Q111" t="s">
        <v>612</v>
      </c>
      <c r="R111">
        <v>102365</v>
      </c>
      <c r="S111" s="22">
        <v>44442</v>
      </c>
      <c r="T111">
        <v>74639</v>
      </c>
      <c r="U111" t="s">
        <v>356</v>
      </c>
      <c r="V111" s="22">
        <v>44449</v>
      </c>
      <c r="W111" t="s">
        <v>586</v>
      </c>
      <c r="X111" t="s">
        <v>587</v>
      </c>
      <c r="Y111" t="s">
        <v>94</v>
      </c>
      <c r="Z111" t="s">
        <v>576</v>
      </c>
      <c r="AA111">
        <v>-819.5</v>
      </c>
      <c r="AC111" s="2">
        <f t="shared" si="12"/>
        <v>2021</v>
      </c>
      <c r="AD111" s="2">
        <f t="shared" si="13"/>
        <v>9</v>
      </c>
      <c r="AE111" s="2">
        <f t="shared" si="14"/>
        <v>2020</v>
      </c>
      <c r="AF111" s="2">
        <f t="shared" si="15"/>
        <v>12</v>
      </c>
      <c r="AG111" s="2" t="str">
        <f>VLOOKUP(F111,vlookup!$A$2:$E$660,2,0)</f>
        <v>Retained</v>
      </c>
      <c r="AH111" s="2" t="str">
        <f>VLOOKUP(F111,vlookup!$A$2:$E$660,3,0)</f>
        <v>Service Contract</v>
      </c>
      <c r="AI111" s="2" t="str">
        <f>VLOOKUP(F111,vlookup!$A$2:$E$660,4,0)</f>
        <v>Used Car Programs</v>
      </c>
      <c r="AJ111" s="2" t="str">
        <f>VLOOKUP(F111,vlookup!$A$2:$E$660,5,0)</f>
        <v>High Mileage</v>
      </c>
      <c r="AK111" s="2"/>
      <c r="AL111" s="2">
        <f t="shared" si="16"/>
        <v>52</v>
      </c>
      <c r="AM111" s="2">
        <f t="shared" si="17"/>
        <v>270</v>
      </c>
      <c r="AN111" s="2">
        <f t="shared" si="18"/>
        <v>7436</v>
      </c>
      <c r="AO111" s="2" t="str">
        <f t="shared" si="19"/>
        <v/>
      </c>
      <c r="AP111" s="2" t="str">
        <f t="shared" si="20"/>
        <v/>
      </c>
      <c r="AQ111" s="2" t="str">
        <f t="shared" si="21"/>
        <v/>
      </c>
      <c r="AR111" s="2">
        <f t="shared" si="22"/>
        <v>-819.5</v>
      </c>
      <c r="AS111" s="2" t="str">
        <f t="shared" si="23"/>
        <v>SNFJR174307L20-2</v>
      </c>
      <c r="AT111" s="2" t="str">
        <f>IFERROR(IF(VLOOKUP(Y111,vlookup!$I$2:$J$9,1,0)=Y111,VLOOKUP(Y111,vlookup!$I$2:$J$9,2,0),PROPER(Y111)),PROPER(Y111))</f>
        <v>Labor</v>
      </c>
      <c r="AU111" s="2" t="str">
        <f>IFERROR(IF(B111=VLOOKUP(B111,vlookup!$L$2:$L$10,1,0),"Yes","No"),"No")</f>
        <v>No</v>
      </c>
    </row>
    <row r="112" spans="1:47" x14ac:dyDescent="0.25">
      <c r="A112" t="s">
        <v>734</v>
      </c>
      <c r="B112" t="s">
        <v>735</v>
      </c>
      <c r="C112">
        <v>3</v>
      </c>
      <c r="D112">
        <v>1</v>
      </c>
      <c r="E112" t="s">
        <v>382</v>
      </c>
      <c r="F112" t="s">
        <v>257</v>
      </c>
      <c r="G112" t="s">
        <v>543</v>
      </c>
      <c r="H112" s="11" t="s">
        <v>687</v>
      </c>
      <c r="I112">
        <v>67203</v>
      </c>
      <c r="J112" s="22">
        <v>44175</v>
      </c>
      <c r="K112" s="22">
        <v>44229</v>
      </c>
      <c r="L112">
        <v>202101</v>
      </c>
      <c r="M112" s="22">
        <v>44197</v>
      </c>
      <c r="N112">
        <v>77871</v>
      </c>
      <c r="O112" t="s">
        <v>699</v>
      </c>
      <c r="P112" t="s">
        <v>712</v>
      </c>
      <c r="Q112" t="s">
        <v>612</v>
      </c>
      <c r="R112">
        <v>118193</v>
      </c>
      <c r="S112" s="22">
        <v>44760</v>
      </c>
      <c r="T112">
        <v>85310</v>
      </c>
      <c r="U112" t="s">
        <v>356</v>
      </c>
      <c r="V112" s="22">
        <v>44763</v>
      </c>
      <c r="W112" t="s">
        <v>573</v>
      </c>
      <c r="X112" t="s">
        <v>574</v>
      </c>
      <c r="Y112" t="s">
        <v>94</v>
      </c>
      <c r="Z112" t="s">
        <v>575</v>
      </c>
      <c r="AA112">
        <v>-124.95</v>
      </c>
      <c r="AC112" s="2">
        <f t="shared" si="12"/>
        <v>2022</v>
      </c>
      <c r="AD112" s="2">
        <f t="shared" si="13"/>
        <v>7</v>
      </c>
      <c r="AE112" s="2">
        <f t="shared" si="14"/>
        <v>2020</v>
      </c>
      <c r="AF112" s="2">
        <f t="shared" si="15"/>
        <v>12</v>
      </c>
      <c r="AG112" s="2" t="str">
        <f>VLOOKUP(F112,vlookup!$A$2:$E$660,2,0)</f>
        <v>Retained</v>
      </c>
      <c r="AH112" s="2" t="str">
        <f>VLOOKUP(F112,vlookup!$A$2:$E$660,3,0)</f>
        <v>Service Contract</v>
      </c>
      <c r="AI112" s="2" t="str">
        <f>VLOOKUP(F112,vlookup!$A$2:$E$660,4,0)</f>
        <v>Used Car Programs</v>
      </c>
      <c r="AJ112" s="2" t="str">
        <f>VLOOKUP(F112,vlookup!$A$2:$E$660,5,0)</f>
        <v>High Mileage</v>
      </c>
      <c r="AK112" s="2"/>
      <c r="AL112" s="2">
        <f t="shared" si="16"/>
        <v>52</v>
      </c>
      <c r="AM112" s="2">
        <f t="shared" si="17"/>
        <v>581</v>
      </c>
      <c r="AN112" s="2">
        <f t="shared" si="18"/>
        <v>18107</v>
      </c>
      <c r="AO112" s="2" t="str">
        <f t="shared" si="19"/>
        <v/>
      </c>
      <c r="AP112" s="2" t="str">
        <f t="shared" si="20"/>
        <v/>
      </c>
      <c r="AQ112" s="2" t="str">
        <f t="shared" si="21"/>
        <v/>
      </c>
      <c r="AR112" s="2">
        <f t="shared" si="22"/>
        <v>-124.95</v>
      </c>
      <c r="AS112" s="2" t="str">
        <f t="shared" si="23"/>
        <v>SNFJR174307L20-3</v>
      </c>
      <c r="AT112" s="2" t="str">
        <f>IFERROR(IF(VLOOKUP(Y112,vlookup!$I$2:$J$9,1,0)=Y112,VLOOKUP(Y112,vlookup!$I$2:$J$9,2,0),PROPER(Y112)),PROPER(Y112))</f>
        <v>Labor</v>
      </c>
      <c r="AU112" s="2" t="str">
        <f>IFERROR(IF(B112=VLOOKUP(B112,vlookup!$L$2:$L$10,1,0),"Yes","No"),"No")</f>
        <v>No</v>
      </c>
    </row>
    <row r="113" spans="1:47" x14ac:dyDescent="0.25">
      <c r="A113" t="s">
        <v>734</v>
      </c>
      <c r="B113" t="s">
        <v>735</v>
      </c>
      <c r="C113">
        <v>3</v>
      </c>
      <c r="D113">
        <v>1</v>
      </c>
      <c r="E113" t="s">
        <v>382</v>
      </c>
      <c r="F113" t="s">
        <v>257</v>
      </c>
      <c r="G113" t="s">
        <v>543</v>
      </c>
      <c r="H113" s="11" t="s">
        <v>687</v>
      </c>
      <c r="I113">
        <v>67203</v>
      </c>
      <c r="J113" s="22">
        <v>44175</v>
      </c>
      <c r="K113" s="22">
        <v>44229</v>
      </c>
      <c r="L113">
        <v>202101</v>
      </c>
      <c r="M113" s="22">
        <v>44197</v>
      </c>
      <c r="N113">
        <v>77871</v>
      </c>
      <c r="O113" t="s">
        <v>699</v>
      </c>
      <c r="P113" t="s">
        <v>712</v>
      </c>
      <c r="Q113" t="s">
        <v>612</v>
      </c>
      <c r="R113">
        <v>118193</v>
      </c>
      <c r="S113" s="22">
        <v>44760</v>
      </c>
      <c r="T113">
        <v>85310</v>
      </c>
      <c r="U113" t="s">
        <v>356</v>
      </c>
      <c r="V113" s="22">
        <v>44763</v>
      </c>
      <c r="W113" t="s">
        <v>621</v>
      </c>
      <c r="X113" t="s">
        <v>622</v>
      </c>
      <c r="Y113" t="s">
        <v>94</v>
      </c>
      <c r="Z113" t="s">
        <v>579</v>
      </c>
      <c r="AA113">
        <v>-568.79999999999995</v>
      </c>
      <c r="AC113" s="2">
        <f t="shared" si="12"/>
        <v>2022</v>
      </c>
      <c r="AD113" s="2">
        <f t="shared" si="13"/>
        <v>7</v>
      </c>
      <c r="AE113" s="2">
        <f t="shared" si="14"/>
        <v>2020</v>
      </c>
      <c r="AF113" s="2">
        <f t="shared" si="15"/>
        <v>12</v>
      </c>
      <c r="AG113" s="2" t="str">
        <f>VLOOKUP(F113,vlookup!$A$2:$E$660,2,0)</f>
        <v>Retained</v>
      </c>
      <c r="AH113" s="2" t="str">
        <f>VLOOKUP(F113,vlookup!$A$2:$E$660,3,0)</f>
        <v>Service Contract</v>
      </c>
      <c r="AI113" s="2" t="str">
        <f>VLOOKUP(F113,vlookup!$A$2:$E$660,4,0)</f>
        <v>Used Car Programs</v>
      </c>
      <c r="AJ113" s="2" t="str">
        <f>VLOOKUP(F113,vlookup!$A$2:$E$660,5,0)</f>
        <v>High Mileage</v>
      </c>
      <c r="AK113" s="2"/>
      <c r="AL113" s="2">
        <f t="shared" si="16"/>
        <v>52</v>
      </c>
      <c r="AM113" s="2">
        <f t="shared" si="17"/>
        <v>581</v>
      </c>
      <c r="AN113" s="2">
        <f t="shared" si="18"/>
        <v>18107</v>
      </c>
      <c r="AO113" s="2" t="str">
        <f t="shared" si="19"/>
        <v/>
      </c>
      <c r="AP113" s="2" t="str">
        <f t="shared" si="20"/>
        <v/>
      </c>
      <c r="AQ113" s="2" t="str">
        <f t="shared" si="21"/>
        <v/>
      </c>
      <c r="AR113" s="2">
        <f t="shared" si="22"/>
        <v>-568.79999999999995</v>
      </c>
      <c r="AS113" s="2" t="str">
        <f t="shared" si="23"/>
        <v>SNFJR174307L20-3</v>
      </c>
      <c r="AT113" s="2" t="str">
        <f>IFERROR(IF(VLOOKUP(Y113,vlookup!$I$2:$J$9,1,0)=Y113,VLOOKUP(Y113,vlookup!$I$2:$J$9,2,0),PROPER(Y113)),PROPER(Y113))</f>
        <v>Labor</v>
      </c>
      <c r="AU113" s="2" t="str">
        <f>IFERROR(IF(B113=VLOOKUP(B113,vlookup!$L$2:$L$10,1,0),"Yes","No"),"No")</f>
        <v>No</v>
      </c>
    </row>
    <row r="114" spans="1:47" x14ac:dyDescent="0.25">
      <c r="A114" t="s">
        <v>828</v>
      </c>
      <c r="B114" t="s">
        <v>829</v>
      </c>
      <c r="C114">
        <v>1</v>
      </c>
      <c r="D114">
        <v>1</v>
      </c>
      <c r="E114" t="s">
        <v>382</v>
      </c>
      <c r="F114" t="s">
        <v>207</v>
      </c>
      <c r="G114" t="s">
        <v>30</v>
      </c>
      <c r="H114" s="11" t="s">
        <v>830</v>
      </c>
      <c r="I114">
        <v>17403</v>
      </c>
      <c r="J114" s="22">
        <v>44642</v>
      </c>
      <c r="K114" s="22">
        <v>44712</v>
      </c>
      <c r="L114">
        <v>202205</v>
      </c>
      <c r="M114" s="22">
        <v>44682</v>
      </c>
      <c r="N114">
        <v>77871</v>
      </c>
      <c r="O114" t="s">
        <v>699</v>
      </c>
      <c r="P114" t="s">
        <v>831</v>
      </c>
      <c r="Q114" t="s">
        <v>612</v>
      </c>
      <c r="R114">
        <v>3050724</v>
      </c>
      <c r="S114" s="22">
        <v>44865</v>
      </c>
      <c r="T114">
        <v>24170</v>
      </c>
      <c r="U114" t="s">
        <v>356</v>
      </c>
      <c r="V114" s="22">
        <v>44876</v>
      </c>
      <c r="W114" t="s">
        <v>832</v>
      </c>
      <c r="X114" t="s">
        <v>833</v>
      </c>
      <c r="Y114" t="s">
        <v>94</v>
      </c>
      <c r="Z114" t="s">
        <v>583</v>
      </c>
      <c r="AA114">
        <v>-627</v>
      </c>
      <c r="AC114" s="2">
        <f t="shared" si="12"/>
        <v>2022</v>
      </c>
      <c r="AD114" s="2">
        <f t="shared" si="13"/>
        <v>11</v>
      </c>
      <c r="AE114" s="2">
        <f t="shared" si="14"/>
        <v>2022</v>
      </c>
      <c r="AF114" s="2">
        <f t="shared" si="15"/>
        <v>3</v>
      </c>
      <c r="AG114" s="2" t="str">
        <f>VLOOKUP(F114,vlookup!$A$2:$E$660,2,0)</f>
        <v>Retained</v>
      </c>
      <c r="AH114" s="2" t="str">
        <f>VLOOKUP(F114,vlookup!$A$2:$E$660,3,0)</f>
        <v>Service Contract</v>
      </c>
      <c r="AI114" s="2" t="str">
        <f>VLOOKUP(F114,vlookup!$A$2:$E$660,4,0)</f>
        <v>Used Car Programs</v>
      </c>
      <c r="AJ114" s="2" t="str">
        <f>VLOOKUP(F114,vlookup!$A$2:$E$660,5,0)</f>
        <v>High Mileage</v>
      </c>
      <c r="AK114" s="2"/>
      <c r="AL114" s="2">
        <f t="shared" si="16"/>
        <v>69</v>
      </c>
      <c r="AM114" s="2">
        <f t="shared" si="17"/>
        <v>229</v>
      </c>
      <c r="AN114" s="2">
        <f t="shared" si="18"/>
        <v>6767</v>
      </c>
      <c r="AO114" s="2" t="str">
        <f t="shared" si="19"/>
        <v/>
      </c>
      <c r="AP114" s="2" t="str">
        <f t="shared" si="20"/>
        <v/>
      </c>
      <c r="AQ114" s="2" t="str">
        <f t="shared" si="21"/>
        <v/>
      </c>
      <c r="AR114" s="2">
        <f t="shared" si="22"/>
        <v>-627</v>
      </c>
      <c r="AS114" s="2" t="str">
        <f t="shared" si="23"/>
        <v>APC500709-1</v>
      </c>
      <c r="AT114" s="2" t="str">
        <f>IFERROR(IF(VLOOKUP(Y114,vlookup!$I$2:$J$9,1,0)=Y114,VLOOKUP(Y114,vlookup!$I$2:$J$9,2,0),PROPER(Y114)),PROPER(Y114))</f>
        <v>Labor</v>
      </c>
      <c r="AU114" s="2" t="str">
        <f>IFERROR(IF(B114=VLOOKUP(B114,vlookup!$L$2:$L$10,1,0),"Yes","No"),"No")</f>
        <v>No</v>
      </c>
    </row>
    <row r="115" spans="1:47" x14ac:dyDescent="0.25">
      <c r="A115" t="s">
        <v>828</v>
      </c>
      <c r="B115" t="s">
        <v>829</v>
      </c>
      <c r="C115">
        <v>1</v>
      </c>
      <c r="D115">
        <v>1</v>
      </c>
      <c r="E115" t="s">
        <v>382</v>
      </c>
      <c r="F115" t="s">
        <v>207</v>
      </c>
      <c r="G115" t="s">
        <v>30</v>
      </c>
      <c r="H115" s="11" t="s">
        <v>830</v>
      </c>
      <c r="I115">
        <v>17403</v>
      </c>
      <c r="J115" s="22">
        <v>44642</v>
      </c>
      <c r="K115" s="22">
        <v>44712</v>
      </c>
      <c r="L115">
        <v>202205</v>
      </c>
      <c r="M115" s="22">
        <v>44682</v>
      </c>
      <c r="N115">
        <v>77871</v>
      </c>
      <c r="O115" t="s">
        <v>699</v>
      </c>
      <c r="P115" t="s">
        <v>831</v>
      </c>
      <c r="Q115" t="s">
        <v>612</v>
      </c>
      <c r="R115">
        <v>3050724</v>
      </c>
      <c r="S115" s="22">
        <v>44865</v>
      </c>
      <c r="T115">
        <v>24170</v>
      </c>
      <c r="U115" t="s">
        <v>356</v>
      </c>
      <c r="V115" s="22">
        <v>44876</v>
      </c>
      <c r="W115" t="s">
        <v>834</v>
      </c>
      <c r="X115" t="s">
        <v>835</v>
      </c>
      <c r="Y115" t="s">
        <v>94</v>
      </c>
      <c r="Z115" t="s">
        <v>358</v>
      </c>
      <c r="AA115">
        <v>-266</v>
      </c>
      <c r="AC115" s="2">
        <f t="shared" si="12"/>
        <v>2022</v>
      </c>
      <c r="AD115" s="2">
        <f t="shared" si="13"/>
        <v>11</v>
      </c>
      <c r="AE115" s="2">
        <f t="shared" si="14"/>
        <v>2022</v>
      </c>
      <c r="AF115" s="2">
        <f t="shared" si="15"/>
        <v>3</v>
      </c>
      <c r="AG115" s="2" t="str">
        <f>VLOOKUP(F115,vlookup!$A$2:$E$660,2,0)</f>
        <v>Retained</v>
      </c>
      <c r="AH115" s="2" t="str">
        <f>VLOOKUP(F115,vlookup!$A$2:$E$660,3,0)</f>
        <v>Service Contract</v>
      </c>
      <c r="AI115" s="2" t="str">
        <f>VLOOKUP(F115,vlookup!$A$2:$E$660,4,0)</f>
        <v>Used Car Programs</v>
      </c>
      <c r="AJ115" s="2" t="str">
        <f>VLOOKUP(F115,vlookup!$A$2:$E$660,5,0)</f>
        <v>High Mileage</v>
      </c>
      <c r="AK115" s="2"/>
      <c r="AL115" s="2">
        <f t="shared" si="16"/>
        <v>69</v>
      </c>
      <c r="AM115" s="2">
        <f t="shared" si="17"/>
        <v>229</v>
      </c>
      <c r="AN115" s="2">
        <f t="shared" si="18"/>
        <v>6767</v>
      </c>
      <c r="AO115" s="2" t="str">
        <f t="shared" si="19"/>
        <v/>
      </c>
      <c r="AP115" s="2" t="str">
        <f t="shared" si="20"/>
        <v/>
      </c>
      <c r="AQ115" s="2" t="str">
        <f t="shared" si="21"/>
        <v/>
      </c>
      <c r="AR115" s="2">
        <f t="shared" si="22"/>
        <v>-266</v>
      </c>
      <c r="AS115" s="2" t="str">
        <f t="shared" si="23"/>
        <v>APC500709-1</v>
      </c>
      <c r="AT115" s="2" t="str">
        <f>IFERROR(IF(VLOOKUP(Y115,vlookup!$I$2:$J$9,1,0)=Y115,VLOOKUP(Y115,vlookup!$I$2:$J$9,2,0),PROPER(Y115)),PROPER(Y115))</f>
        <v>Labor</v>
      </c>
      <c r="AU115" s="2" t="str">
        <f>IFERROR(IF(B115=VLOOKUP(B115,vlookup!$L$2:$L$10,1,0),"Yes","No"),"No")</f>
        <v>No</v>
      </c>
    </row>
    <row r="116" spans="1:47" x14ac:dyDescent="0.25">
      <c r="A116" t="s">
        <v>828</v>
      </c>
      <c r="B116" t="s">
        <v>829</v>
      </c>
      <c r="C116">
        <v>2</v>
      </c>
      <c r="D116">
        <v>1</v>
      </c>
      <c r="E116" t="s">
        <v>382</v>
      </c>
      <c r="F116" t="s">
        <v>207</v>
      </c>
      <c r="G116" t="s">
        <v>30</v>
      </c>
      <c r="H116" s="11" t="s">
        <v>830</v>
      </c>
      <c r="I116">
        <v>17403</v>
      </c>
      <c r="J116" s="22">
        <v>44642</v>
      </c>
      <c r="K116" s="22">
        <v>44712</v>
      </c>
      <c r="L116">
        <v>202205</v>
      </c>
      <c r="M116" s="22">
        <v>44682</v>
      </c>
      <c r="N116">
        <v>77871</v>
      </c>
      <c r="O116" t="s">
        <v>699</v>
      </c>
      <c r="P116" t="s">
        <v>831</v>
      </c>
      <c r="Q116" t="s">
        <v>612</v>
      </c>
      <c r="R116">
        <v>3051356</v>
      </c>
      <c r="S116" s="22">
        <v>44915</v>
      </c>
      <c r="T116">
        <v>24941</v>
      </c>
      <c r="U116" t="s">
        <v>356</v>
      </c>
      <c r="V116" s="22">
        <v>44923</v>
      </c>
      <c r="W116" t="s">
        <v>836</v>
      </c>
      <c r="X116" t="s">
        <v>837</v>
      </c>
      <c r="Y116" t="s">
        <v>94</v>
      </c>
      <c r="Z116" t="s">
        <v>583</v>
      </c>
      <c r="AA116">
        <v>-717.5</v>
      </c>
      <c r="AC116" s="2">
        <f t="shared" si="12"/>
        <v>2022</v>
      </c>
      <c r="AD116" s="2">
        <f t="shared" si="13"/>
        <v>12</v>
      </c>
      <c r="AE116" s="2">
        <f t="shared" si="14"/>
        <v>2022</v>
      </c>
      <c r="AF116" s="2">
        <f t="shared" si="15"/>
        <v>3</v>
      </c>
      <c r="AG116" s="2" t="str">
        <f>VLOOKUP(F116,vlookup!$A$2:$E$660,2,0)</f>
        <v>Retained</v>
      </c>
      <c r="AH116" s="2" t="str">
        <f>VLOOKUP(F116,vlookup!$A$2:$E$660,3,0)</f>
        <v>Service Contract</v>
      </c>
      <c r="AI116" s="2" t="str">
        <f>VLOOKUP(F116,vlookup!$A$2:$E$660,4,0)</f>
        <v>Used Car Programs</v>
      </c>
      <c r="AJ116" s="2" t="str">
        <f>VLOOKUP(F116,vlookup!$A$2:$E$660,5,0)</f>
        <v>High Mileage</v>
      </c>
      <c r="AK116" s="2"/>
      <c r="AL116" s="2">
        <f t="shared" si="16"/>
        <v>69</v>
      </c>
      <c r="AM116" s="2">
        <f t="shared" si="17"/>
        <v>276</v>
      </c>
      <c r="AN116" s="2">
        <f t="shared" si="18"/>
        <v>7538</v>
      </c>
      <c r="AO116" s="2" t="str">
        <f t="shared" si="19"/>
        <v/>
      </c>
      <c r="AP116" s="2" t="str">
        <f t="shared" si="20"/>
        <v/>
      </c>
      <c r="AQ116" s="2" t="str">
        <f t="shared" si="21"/>
        <v/>
      </c>
      <c r="AR116" s="2">
        <f t="shared" si="22"/>
        <v>-717.5</v>
      </c>
      <c r="AS116" s="2" t="str">
        <f t="shared" si="23"/>
        <v>APC500709-2</v>
      </c>
      <c r="AT116" s="2" t="str">
        <f>IFERROR(IF(VLOOKUP(Y116,vlookup!$I$2:$J$9,1,0)=Y116,VLOOKUP(Y116,vlookup!$I$2:$J$9,2,0),PROPER(Y116)),PROPER(Y116))</f>
        <v>Labor</v>
      </c>
      <c r="AU116" s="2" t="str">
        <f>IFERROR(IF(B116=VLOOKUP(B116,vlookup!$L$2:$L$10,1,0),"Yes","No"),"No")</f>
        <v>No</v>
      </c>
    </row>
    <row r="117" spans="1:47" x14ac:dyDescent="0.25">
      <c r="A117" t="s">
        <v>736</v>
      </c>
      <c r="B117" t="s">
        <v>737</v>
      </c>
      <c r="C117">
        <v>1</v>
      </c>
      <c r="D117">
        <v>1</v>
      </c>
      <c r="E117" t="s">
        <v>382</v>
      </c>
      <c r="F117" t="s">
        <v>257</v>
      </c>
      <c r="G117" t="s">
        <v>697</v>
      </c>
      <c r="H117" s="11" t="s">
        <v>738</v>
      </c>
      <c r="I117">
        <v>78148</v>
      </c>
      <c r="J117" s="22">
        <v>44158</v>
      </c>
      <c r="K117" s="22">
        <v>44229</v>
      </c>
      <c r="L117">
        <v>202101</v>
      </c>
      <c r="M117" s="22">
        <v>44197</v>
      </c>
      <c r="N117">
        <v>77871</v>
      </c>
      <c r="O117" t="s">
        <v>699</v>
      </c>
      <c r="P117" t="s">
        <v>712</v>
      </c>
      <c r="Q117" t="s">
        <v>612</v>
      </c>
      <c r="R117">
        <v>106331</v>
      </c>
      <c r="S117" s="22">
        <v>44518</v>
      </c>
      <c r="T117">
        <v>89464</v>
      </c>
      <c r="U117" t="s">
        <v>356</v>
      </c>
      <c r="V117" s="22">
        <v>44524</v>
      </c>
      <c r="W117" t="s">
        <v>838</v>
      </c>
      <c r="X117" t="s">
        <v>839</v>
      </c>
      <c r="Y117" t="s">
        <v>94</v>
      </c>
      <c r="Z117" t="s">
        <v>358</v>
      </c>
      <c r="AA117">
        <v>-302</v>
      </c>
      <c r="AC117" s="2">
        <f t="shared" si="12"/>
        <v>2021</v>
      </c>
      <c r="AD117" s="2">
        <f t="shared" si="13"/>
        <v>11</v>
      </c>
      <c r="AE117" s="2">
        <f t="shared" si="14"/>
        <v>2020</v>
      </c>
      <c r="AF117" s="2">
        <f t="shared" si="15"/>
        <v>11</v>
      </c>
      <c r="AG117" s="2" t="str">
        <f>VLOOKUP(F117,vlookup!$A$2:$E$660,2,0)</f>
        <v>Retained</v>
      </c>
      <c r="AH117" s="2" t="str">
        <f>VLOOKUP(F117,vlookup!$A$2:$E$660,3,0)</f>
        <v>Service Contract</v>
      </c>
      <c r="AI117" s="2" t="str">
        <f>VLOOKUP(F117,vlookup!$A$2:$E$660,4,0)</f>
        <v>Used Car Programs</v>
      </c>
      <c r="AJ117" s="2" t="str">
        <f>VLOOKUP(F117,vlookup!$A$2:$E$660,5,0)</f>
        <v>High Mileage</v>
      </c>
      <c r="AK117" s="2"/>
      <c r="AL117" s="2">
        <f t="shared" si="16"/>
        <v>69</v>
      </c>
      <c r="AM117" s="2">
        <f t="shared" si="17"/>
        <v>361</v>
      </c>
      <c r="AN117" s="2">
        <f t="shared" si="18"/>
        <v>11316</v>
      </c>
      <c r="AO117" s="2" t="str">
        <f t="shared" si="19"/>
        <v/>
      </c>
      <c r="AP117" s="2" t="str">
        <f t="shared" si="20"/>
        <v/>
      </c>
      <c r="AQ117" s="2" t="str">
        <f t="shared" si="21"/>
        <v/>
      </c>
      <c r="AR117" s="2">
        <f t="shared" si="22"/>
        <v>-302</v>
      </c>
      <c r="AS117" s="2" t="str">
        <f t="shared" si="23"/>
        <v>SNFFR299688K20-1</v>
      </c>
      <c r="AT117" s="2" t="str">
        <f>IFERROR(IF(VLOOKUP(Y117,vlookup!$I$2:$J$9,1,0)=Y117,VLOOKUP(Y117,vlookup!$I$2:$J$9,2,0),PROPER(Y117)),PROPER(Y117))</f>
        <v>Labor</v>
      </c>
      <c r="AU117" s="2" t="str">
        <f>IFERROR(IF(B117=VLOOKUP(B117,vlookup!$L$2:$L$10,1,0),"Yes","No"),"No")</f>
        <v>No</v>
      </c>
    </row>
    <row r="118" spans="1:47" x14ac:dyDescent="0.25">
      <c r="A118" t="s">
        <v>736</v>
      </c>
      <c r="B118" t="s">
        <v>737</v>
      </c>
      <c r="C118">
        <v>1</v>
      </c>
      <c r="D118">
        <v>1</v>
      </c>
      <c r="E118" t="s">
        <v>382</v>
      </c>
      <c r="F118" t="s">
        <v>257</v>
      </c>
      <c r="G118" t="s">
        <v>697</v>
      </c>
      <c r="H118" s="11" t="s">
        <v>738</v>
      </c>
      <c r="I118">
        <v>78148</v>
      </c>
      <c r="J118" s="22">
        <v>44158</v>
      </c>
      <c r="K118" s="22">
        <v>44229</v>
      </c>
      <c r="L118">
        <v>202101</v>
      </c>
      <c r="M118" s="22">
        <v>44197</v>
      </c>
      <c r="N118">
        <v>77871</v>
      </c>
      <c r="O118" t="s">
        <v>699</v>
      </c>
      <c r="P118" t="s">
        <v>712</v>
      </c>
      <c r="Q118" t="s">
        <v>612</v>
      </c>
      <c r="R118">
        <v>106331</v>
      </c>
      <c r="S118" s="22">
        <v>44518</v>
      </c>
      <c r="T118">
        <v>89464</v>
      </c>
      <c r="U118" t="s">
        <v>356</v>
      </c>
      <c r="V118" s="22">
        <v>44524</v>
      </c>
      <c r="W118" t="s">
        <v>594</v>
      </c>
      <c r="X118" t="s">
        <v>595</v>
      </c>
      <c r="Y118" t="s">
        <v>94</v>
      </c>
      <c r="Z118" t="s">
        <v>358</v>
      </c>
      <c r="AA118">
        <v>-151</v>
      </c>
      <c r="AC118" s="2">
        <f t="shared" si="12"/>
        <v>2021</v>
      </c>
      <c r="AD118" s="2">
        <f t="shared" si="13"/>
        <v>11</v>
      </c>
      <c r="AE118" s="2">
        <f t="shared" si="14"/>
        <v>2020</v>
      </c>
      <c r="AF118" s="2">
        <f t="shared" si="15"/>
        <v>11</v>
      </c>
      <c r="AG118" s="2" t="str">
        <f>VLOOKUP(F118,vlookup!$A$2:$E$660,2,0)</f>
        <v>Retained</v>
      </c>
      <c r="AH118" s="2" t="str">
        <f>VLOOKUP(F118,vlookup!$A$2:$E$660,3,0)</f>
        <v>Service Contract</v>
      </c>
      <c r="AI118" s="2" t="str">
        <f>VLOOKUP(F118,vlookup!$A$2:$E$660,4,0)</f>
        <v>Used Car Programs</v>
      </c>
      <c r="AJ118" s="2" t="str">
        <f>VLOOKUP(F118,vlookup!$A$2:$E$660,5,0)</f>
        <v>High Mileage</v>
      </c>
      <c r="AK118" s="2"/>
      <c r="AL118" s="2">
        <f t="shared" si="16"/>
        <v>69</v>
      </c>
      <c r="AM118" s="2">
        <f t="shared" si="17"/>
        <v>361</v>
      </c>
      <c r="AN118" s="2">
        <f t="shared" si="18"/>
        <v>11316</v>
      </c>
      <c r="AO118" s="2" t="str">
        <f t="shared" si="19"/>
        <v/>
      </c>
      <c r="AP118" s="2" t="str">
        <f t="shared" si="20"/>
        <v/>
      </c>
      <c r="AQ118" s="2" t="str">
        <f t="shared" si="21"/>
        <v/>
      </c>
      <c r="AR118" s="2">
        <f t="shared" si="22"/>
        <v>-151</v>
      </c>
      <c r="AS118" s="2" t="str">
        <f t="shared" si="23"/>
        <v>SNFFR299688K20-1</v>
      </c>
      <c r="AT118" s="2" t="str">
        <f>IFERROR(IF(VLOOKUP(Y118,vlookup!$I$2:$J$9,1,0)=Y118,VLOOKUP(Y118,vlookup!$I$2:$J$9,2,0),PROPER(Y118)),PROPER(Y118))</f>
        <v>Labor</v>
      </c>
      <c r="AU118" s="2" t="str">
        <f>IFERROR(IF(B118=VLOOKUP(B118,vlookup!$L$2:$L$10,1,0),"Yes","No"),"No")</f>
        <v>No</v>
      </c>
    </row>
    <row r="119" spans="1:47" x14ac:dyDescent="0.25">
      <c r="A119" t="s">
        <v>736</v>
      </c>
      <c r="B119" t="s">
        <v>737</v>
      </c>
      <c r="C119">
        <v>2</v>
      </c>
      <c r="D119">
        <v>1</v>
      </c>
      <c r="E119" t="s">
        <v>382</v>
      </c>
      <c r="F119" t="s">
        <v>257</v>
      </c>
      <c r="G119" t="s">
        <v>697</v>
      </c>
      <c r="H119" s="11" t="s">
        <v>738</v>
      </c>
      <c r="I119">
        <v>78148</v>
      </c>
      <c r="J119" s="22">
        <v>44158</v>
      </c>
      <c r="K119" s="22">
        <v>44229</v>
      </c>
      <c r="L119">
        <v>202101</v>
      </c>
      <c r="M119" s="22">
        <v>44197</v>
      </c>
      <c r="N119">
        <v>77871</v>
      </c>
      <c r="O119" t="s">
        <v>699</v>
      </c>
      <c r="P119" t="s">
        <v>712</v>
      </c>
      <c r="Q119" t="s">
        <v>612</v>
      </c>
      <c r="R119">
        <v>110766</v>
      </c>
      <c r="S119" s="22">
        <v>44609</v>
      </c>
      <c r="T119">
        <v>92331</v>
      </c>
      <c r="U119" t="s">
        <v>356</v>
      </c>
      <c r="V119" s="22">
        <v>44620</v>
      </c>
      <c r="W119" t="s">
        <v>840</v>
      </c>
      <c r="X119" t="s">
        <v>841</v>
      </c>
      <c r="Y119" t="s">
        <v>94</v>
      </c>
      <c r="Z119" t="s">
        <v>358</v>
      </c>
      <c r="AA119">
        <v>-268.60000000000002</v>
      </c>
      <c r="AC119" s="2">
        <f t="shared" si="12"/>
        <v>2022</v>
      </c>
      <c r="AD119" s="2">
        <f t="shared" si="13"/>
        <v>2</v>
      </c>
      <c r="AE119" s="2">
        <f t="shared" si="14"/>
        <v>2020</v>
      </c>
      <c r="AF119" s="2">
        <f t="shared" si="15"/>
        <v>11</v>
      </c>
      <c r="AG119" s="2" t="str">
        <f>VLOOKUP(F119,vlookup!$A$2:$E$660,2,0)</f>
        <v>Retained</v>
      </c>
      <c r="AH119" s="2" t="str">
        <f>VLOOKUP(F119,vlookup!$A$2:$E$660,3,0)</f>
        <v>Service Contract</v>
      </c>
      <c r="AI119" s="2" t="str">
        <f>VLOOKUP(F119,vlookup!$A$2:$E$660,4,0)</f>
        <v>Used Car Programs</v>
      </c>
      <c r="AJ119" s="2" t="str">
        <f>VLOOKUP(F119,vlookup!$A$2:$E$660,5,0)</f>
        <v>High Mileage</v>
      </c>
      <c r="AK119" s="2"/>
      <c r="AL119" s="2">
        <f t="shared" si="16"/>
        <v>69</v>
      </c>
      <c r="AM119" s="2">
        <f t="shared" si="17"/>
        <v>455</v>
      </c>
      <c r="AN119" s="2">
        <f t="shared" si="18"/>
        <v>14183</v>
      </c>
      <c r="AO119" s="2" t="str">
        <f t="shared" si="19"/>
        <v/>
      </c>
      <c r="AP119" s="2" t="str">
        <f t="shared" si="20"/>
        <v/>
      </c>
      <c r="AQ119" s="2" t="str">
        <f t="shared" si="21"/>
        <v/>
      </c>
      <c r="AR119" s="2">
        <f t="shared" si="22"/>
        <v>-268.60000000000002</v>
      </c>
      <c r="AS119" s="2" t="str">
        <f t="shared" si="23"/>
        <v>SNFFR299688K20-2</v>
      </c>
      <c r="AT119" s="2" t="str">
        <f>IFERROR(IF(VLOOKUP(Y119,vlookup!$I$2:$J$9,1,0)=Y119,VLOOKUP(Y119,vlookup!$I$2:$J$9,2,0),PROPER(Y119)),PROPER(Y119))</f>
        <v>Labor</v>
      </c>
      <c r="AU119" s="2" t="str">
        <f>IFERROR(IF(B119=VLOOKUP(B119,vlookup!$L$2:$L$10,1,0),"Yes","No"),"No")</f>
        <v>No</v>
      </c>
    </row>
    <row r="120" spans="1:47" x14ac:dyDescent="0.25">
      <c r="A120" t="s">
        <v>736</v>
      </c>
      <c r="B120" t="s">
        <v>737</v>
      </c>
      <c r="C120">
        <v>2</v>
      </c>
      <c r="D120">
        <v>1</v>
      </c>
      <c r="E120" t="s">
        <v>382</v>
      </c>
      <c r="F120" t="s">
        <v>257</v>
      </c>
      <c r="G120" t="s">
        <v>697</v>
      </c>
      <c r="H120" s="11" t="s">
        <v>738</v>
      </c>
      <c r="I120">
        <v>78148</v>
      </c>
      <c r="J120" s="22">
        <v>44158</v>
      </c>
      <c r="K120" s="22">
        <v>44229</v>
      </c>
      <c r="L120">
        <v>202101</v>
      </c>
      <c r="M120" s="22">
        <v>44197</v>
      </c>
      <c r="N120">
        <v>77871</v>
      </c>
      <c r="O120" t="s">
        <v>699</v>
      </c>
      <c r="P120" t="s">
        <v>712</v>
      </c>
      <c r="Q120" t="s">
        <v>612</v>
      </c>
      <c r="R120">
        <v>110766</v>
      </c>
      <c r="S120" s="22">
        <v>44609</v>
      </c>
      <c r="T120">
        <v>92331</v>
      </c>
      <c r="U120" t="s">
        <v>356</v>
      </c>
      <c r="V120" s="22">
        <v>44620</v>
      </c>
      <c r="W120" t="s">
        <v>842</v>
      </c>
      <c r="X120" t="s">
        <v>843</v>
      </c>
      <c r="Y120" t="s">
        <v>94</v>
      </c>
      <c r="Z120" t="s">
        <v>358</v>
      </c>
      <c r="AA120">
        <v>-331.8</v>
      </c>
      <c r="AC120" s="2">
        <f t="shared" si="12"/>
        <v>2022</v>
      </c>
      <c r="AD120" s="2">
        <f t="shared" si="13"/>
        <v>2</v>
      </c>
      <c r="AE120" s="2">
        <f t="shared" si="14"/>
        <v>2020</v>
      </c>
      <c r="AF120" s="2">
        <f t="shared" si="15"/>
        <v>11</v>
      </c>
      <c r="AG120" s="2" t="str">
        <f>VLOOKUP(F120,vlookup!$A$2:$E$660,2,0)</f>
        <v>Retained</v>
      </c>
      <c r="AH120" s="2" t="str">
        <f>VLOOKUP(F120,vlookup!$A$2:$E$660,3,0)</f>
        <v>Service Contract</v>
      </c>
      <c r="AI120" s="2" t="str">
        <f>VLOOKUP(F120,vlookup!$A$2:$E$660,4,0)</f>
        <v>Used Car Programs</v>
      </c>
      <c r="AJ120" s="2" t="str">
        <f>VLOOKUP(F120,vlookup!$A$2:$E$660,5,0)</f>
        <v>High Mileage</v>
      </c>
      <c r="AK120" s="2"/>
      <c r="AL120" s="2">
        <f t="shared" si="16"/>
        <v>69</v>
      </c>
      <c r="AM120" s="2">
        <f t="shared" si="17"/>
        <v>455</v>
      </c>
      <c r="AN120" s="2">
        <f t="shared" si="18"/>
        <v>14183</v>
      </c>
      <c r="AO120" s="2" t="str">
        <f t="shared" si="19"/>
        <v/>
      </c>
      <c r="AP120" s="2" t="str">
        <f t="shared" si="20"/>
        <v/>
      </c>
      <c r="AQ120" s="2" t="str">
        <f t="shared" si="21"/>
        <v/>
      </c>
      <c r="AR120" s="2">
        <f t="shared" si="22"/>
        <v>-331.8</v>
      </c>
      <c r="AS120" s="2" t="str">
        <f t="shared" si="23"/>
        <v>SNFFR299688K20-2</v>
      </c>
      <c r="AT120" s="2" t="str">
        <f>IFERROR(IF(VLOOKUP(Y120,vlookup!$I$2:$J$9,1,0)=Y120,VLOOKUP(Y120,vlookup!$I$2:$J$9,2,0),PROPER(Y120)),PROPER(Y120))</f>
        <v>Labor</v>
      </c>
      <c r="AU120" s="2" t="str">
        <f>IFERROR(IF(B120=VLOOKUP(B120,vlookup!$L$2:$L$10,1,0),"Yes","No"),"No")</f>
        <v>No</v>
      </c>
    </row>
    <row r="121" spans="1:47" x14ac:dyDescent="0.25">
      <c r="A121" t="s">
        <v>736</v>
      </c>
      <c r="B121" t="s">
        <v>737</v>
      </c>
      <c r="C121">
        <v>3</v>
      </c>
      <c r="D121">
        <v>1</v>
      </c>
      <c r="E121" t="s">
        <v>382</v>
      </c>
      <c r="F121" t="s">
        <v>257</v>
      </c>
      <c r="G121" t="s">
        <v>697</v>
      </c>
      <c r="H121" s="11" t="s">
        <v>738</v>
      </c>
      <c r="I121">
        <v>78148</v>
      </c>
      <c r="J121" s="22">
        <v>44158</v>
      </c>
      <c r="K121" s="22">
        <v>44229</v>
      </c>
      <c r="L121">
        <v>202101</v>
      </c>
      <c r="M121" s="22">
        <v>44197</v>
      </c>
      <c r="N121">
        <v>77871</v>
      </c>
      <c r="O121" t="s">
        <v>699</v>
      </c>
      <c r="P121" t="s">
        <v>712</v>
      </c>
      <c r="Q121" t="s">
        <v>612</v>
      </c>
      <c r="R121">
        <v>111677</v>
      </c>
      <c r="S121" s="22">
        <v>44628</v>
      </c>
      <c r="T121">
        <v>92746</v>
      </c>
      <c r="U121" t="s">
        <v>356</v>
      </c>
      <c r="V121" s="22">
        <v>44629</v>
      </c>
      <c r="W121" t="s">
        <v>844</v>
      </c>
      <c r="X121" t="s">
        <v>845</v>
      </c>
      <c r="Y121" t="s">
        <v>94</v>
      </c>
      <c r="Z121" t="s">
        <v>583</v>
      </c>
      <c r="AA121">
        <v>-584.6</v>
      </c>
      <c r="AC121" s="2">
        <f t="shared" si="12"/>
        <v>2022</v>
      </c>
      <c r="AD121" s="2">
        <f t="shared" si="13"/>
        <v>3</v>
      </c>
      <c r="AE121" s="2">
        <f t="shared" si="14"/>
        <v>2020</v>
      </c>
      <c r="AF121" s="2">
        <f t="shared" si="15"/>
        <v>11</v>
      </c>
      <c r="AG121" s="2" t="str">
        <f>VLOOKUP(F121,vlookup!$A$2:$E$660,2,0)</f>
        <v>Retained</v>
      </c>
      <c r="AH121" s="2" t="str">
        <f>VLOOKUP(F121,vlookup!$A$2:$E$660,3,0)</f>
        <v>Service Contract</v>
      </c>
      <c r="AI121" s="2" t="str">
        <f>VLOOKUP(F121,vlookup!$A$2:$E$660,4,0)</f>
        <v>Used Car Programs</v>
      </c>
      <c r="AJ121" s="2" t="str">
        <f>VLOOKUP(F121,vlookup!$A$2:$E$660,5,0)</f>
        <v>High Mileage</v>
      </c>
      <c r="AK121" s="2"/>
      <c r="AL121" s="2">
        <f t="shared" si="16"/>
        <v>69</v>
      </c>
      <c r="AM121" s="2">
        <f t="shared" si="17"/>
        <v>466</v>
      </c>
      <c r="AN121" s="2">
        <f t="shared" si="18"/>
        <v>14598</v>
      </c>
      <c r="AO121" s="2" t="str">
        <f t="shared" si="19"/>
        <v/>
      </c>
      <c r="AP121" s="2" t="str">
        <f t="shared" si="20"/>
        <v/>
      </c>
      <c r="AQ121" s="2" t="str">
        <f t="shared" si="21"/>
        <v/>
      </c>
      <c r="AR121" s="2">
        <f t="shared" si="22"/>
        <v>-584.6</v>
      </c>
      <c r="AS121" s="2" t="str">
        <f t="shared" si="23"/>
        <v>SNFFR299688K20-3</v>
      </c>
      <c r="AT121" s="2" t="str">
        <f>IFERROR(IF(VLOOKUP(Y121,vlookup!$I$2:$J$9,1,0)=Y121,VLOOKUP(Y121,vlookup!$I$2:$J$9,2,0),PROPER(Y121)),PROPER(Y121))</f>
        <v>Labor</v>
      </c>
      <c r="AU121" s="2" t="str">
        <f>IFERROR(IF(B121=VLOOKUP(B121,vlookup!$L$2:$L$10,1,0),"Yes","No"),"No")</f>
        <v>No</v>
      </c>
    </row>
    <row r="122" spans="1:47" x14ac:dyDescent="0.25">
      <c r="A122" t="s">
        <v>736</v>
      </c>
      <c r="B122" t="s">
        <v>737</v>
      </c>
      <c r="C122">
        <v>4</v>
      </c>
      <c r="D122">
        <v>1</v>
      </c>
      <c r="E122" t="s">
        <v>382</v>
      </c>
      <c r="F122" t="s">
        <v>257</v>
      </c>
      <c r="G122" t="s">
        <v>697</v>
      </c>
      <c r="H122" s="11" t="s">
        <v>738</v>
      </c>
      <c r="I122">
        <v>78148</v>
      </c>
      <c r="J122" s="22">
        <v>44158</v>
      </c>
      <c r="K122" s="22">
        <v>44229</v>
      </c>
      <c r="L122">
        <v>202101</v>
      </c>
      <c r="M122" s="22">
        <v>44197</v>
      </c>
      <c r="N122">
        <v>77871</v>
      </c>
      <c r="O122" t="s">
        <v>699</v>
      </c>
      <c r="P122" t="s">
        <v>712</v>
      </c>
      <c r="Q122" t="s">
        <v>612</v>
      </c>
      <c r="R122">
        <v>112392</v>
      </c>
      <c r="S122" s="22">
        <v>44642</v>
      </c>
      <c r="T122">
        <v>93176</v>
      </c>
      <c r="U122" t="s">
        <v>356</v>
      </c>
      <c r="V122" s="22">
        <v>44643</v>
      </c>
      <c r="W122" t="s">
        <v>577</v>
      </c>
      <c r="X122" t="s">
        <v>578</v>
      </c>
      <c r="Y122" t="s">
        <v>94</v>
      </c>
      <c r="Z122" t="s">
        <v>576</v>
      </c>
      <c r="AA122">
        <v>-221.2</v>
      </c>
      <c r="AC122" s="2">
        <f t="shared" si="12"/>
        <v>2022</v>
      </c>
      <c r="AD122" s="2">
        <f t="shared" si="13"/>
        <v>3</v>
      </c>
      <c r="AE122" s="2">
        <f t="shared" si="14"/>
        <v>2020</v>
      </c>
      <c r="AF122" s="2">
        <f t="shared" si="15"/>
        <v>11</v>
      </c>
      <c r="AG122" s="2" t="str">
        <f>VLOOKUP(F122,vlookup!$A$2:$E$660,2,0)</f>
        <v>Retained</v>
      </c>
      <c r="AH122" s="2" t="str">
        <f>VLOOKUP(F122,vlookup!$A$2:$E$660,3,0)</f>
        <v>Service Contract</v>
      </c>
      <c r="AI122" s="2" t="str">
        <f>VLOOKUP(F122,vlookup!$A$2:$E$660,4,0)</f>
        <v>Used Car Programs</v>
      </c>
      <c r="AJ122" s="2" t="str">
        <f>VLOOKUP(F122,vlookup!$A$2:$E$660,5,0)</f>
        <v>High Mileage</v>
      </c>
      <c r="AK122" s="2"/>
      <c r="AL122" s="2">
        <f t="shared" si="16"/>
        <v>69</v>
      </c>
      <c r="AM122" s="2">
        <f t="shared" si="17"/>
        <v>480</v>
      </c>
      <c r="AN122" s="2">
        <f t="shared" si="18"/>
        <v>15028</v>
      </c>
      <c r="AO122" s="2" t="str">
        <f t="shared" si="19"/>
        <v/>
      </c>
      <c r="AP122" s="2" t="str">
        <f t="shared" si="20"/>
        <v/>
      </c>
      <c r="AQ122" s="2" t="str">
        <f t="shared" si="21"/>
        <v/>
      </c>
      <c r="AR122" s="2">
        <f t="shared" si="22"/>
        <v>-221.2</v>
      </c>
      <c r="AS122" s="2" t="str">
        <f t="shared" si="23"/>
        <v>SNFFR299688K20-4</v>
      </c>
      <c r="AT122" s="2" t="str">
        <f>IFERROR(IF(VLOOKUP(Y122,vlookup!$I$2:$J$9,1,0)=Y122,VLOOKUP(Y122,vlookup!$I$2:$J$9,2,0),PROPER(Y122)),PROPER(Y122))</f>
        <v>Labor</v>
      </c>
      <c r="AU122" s="2" t="str">
        <f>IFERROR(IF(B122=VLOOKUP(B122,vlookup!$L$2:$L$10,1,0),"Yes","No"),"No")</f>
        <v>No</v>
      </c>
    </row>
    <row r="123" spans="1:47" x14ac:dyDescent="0.25">
      <c r="A123" t="s">
        <v>736</v>
      </c>
      <c r="B123" t="s">
        <v>737</v>
      </c>
      <c r="C123">
        <v>4</v>
      </c>
      <c r="D123">
        <v>1</v>
      </c>
      <c r="E123" t="s">
        <v>382</v>
      </c>
      <c r="F123" t="s">
        <v>257</v>
      </c>
      <c r="G123" t="s">
        <v>697</v>
      </c>
      <c r="H123" s="11" t="s">
        <v>738</v>
      </c>
      <c r="I123">
        <v>78148</v>
      </c>
      <c r="J123" s="22">
        <v>44158</v>
      </c>
      <c r="K123" s="22">
        <v>44229</v>
      </c>
      <c r="L123">
        <v>202101</v>
      </c>
      <c r="M123" s="22">
        <v>44197</v>
      </c>
      <c r="N123">
        <v>77871</v>
      </c>
      <c r="O123" t="s">
        <v>699</v>
      </c>
      <c r="P123" t="s">
        <v>712</v>
      </c>
      <c r="Q123" t="s">
        <v>612</v>
      </c>
      <c r="R123">
        <v>112392</v>
      </c>
      <c r="S123" s="22">
        <v>44642</v>
      </c>
      <c r="T123">
        <v>93176</v>
      </c>
      <c r="U123" t="s">
        <v>356</v>
      </c>
      <c r="V123" s="22">
        <v>44643</v>
      </c>
      <c r="W123" t="s">
        <v>586</v>
      </c>
      <c r="X123" t="s">
        <v>587</v>
      </c>
      <c r="Y123" t="s">
        <v>94</v>
      </c>
      <c r="Z123" t="s">
        <v>576</v>
      </c>
      <c r="AA123">
        <v>-395</v>
      </c>
      <c r="AC123" s="2">
        <f t="shared" si="12"/>
        <v>2022</v>
      </c>
      <c r="AD123" s="2">
        <f t="shared" si="13"/>
        <v>3</v>
      </c>
      <c r="AE123" s="2">
        <f t="shared" si="14"/>
        <v>2020</v>
      </c>
      <c r="AF123" s="2">
        <f t="shared" si="15"/>
        <v>11</v>
      </c>
      <c r="AG123" s="2" t="str">
        <f>VLOOKUP(F123,vlookup!$A$2:$E$660,2,0)</f>
        <v>Retained</v>
      </c>
      <c r="AH123" s="2" t="str">
        <f>VLOOKUP(F123,vlookup!$A$2:$E$660,3,0)</f>
        <v>Service Contract</v>
      </c>
      <c r="AI123" s="2" t="str">
        <f>VLOOKUP(F123,vlookup!$A$2:$E$660,4,0)</f>
        <v>Used Car Programs</v>
      </c>
      <c r="AJ123" s="2" t="str">
        <f>VLOOKUP(F123,vlookup!$A$2:$E$660,5,0)</f>
        <v>High Mileage</v>
      </c>
      <c r="AK123" s="2"/>
      <c r="AL123" s="2">
        <f t="shared" si="16"/>
        <v>69</v>
      </c>
      <c r="AM123" s="2">
        <f t="shared" si="17"/>
        <v>480</v>
      </c>
      <c r="AN123" s="2">
        <f t="shared" si="18"/>
        <v>15028</v>
      </c>
      <c r="AO123" s="2" t="str">
        <f t="shared" si="19"/>
        <v/>
      </c>
      <c r="AP123" s="2" t="str">
        <f t="shared" si="20"/>
        <v/>
      </c>
      <c r="AQ123" s="2" t="str">
        <f t="shared" si="21"/>
        <v/>
      </c>
      <c r="AR123" s="2">
        <f t="shared" si="22"/>
        <v>-395</v>
      </c>
      <c r="AS123" s="2" t="str">
        <f t="shared" si="23"/>
        <v>SNFFR299688K20-4</v>
      </c>
      <c r="AT123" s="2" t="str">
        <f>IFERROR(IF(VLOOKUP(Y123,vlookup!$I$2:$J$9,1,0)=Y123,VLOOKUP(Y123,vlookup!$I$2:$J$9,2,0),PROPER(Y123)),PROPER(Y123))</f>
        <v>Labor</v>
      </c>
      <c r="AU123" s="2" t="str">
        <f>IFERROR(IF(B123=VLOOKUP(B123,vlookup!$L$2:$L$10,1,0),"Yes","No"),"No")</f>
        <v>No</v>
      </c>
    </row>
    <row r="124" spans="1:47" x14ac:dyDescent="0.25">
      <c r="A124" t="s">
        <v>736</v>
      </c>
      <c r="B124" t="s">
        <v>737</v>
      </c>
      <c r="C124">
        <v>5</v>
      </c>
      <c r="D124">
        <v>1</v>
      </c>
      <c r="E124" t="s">
        <v>382</v>
      </c>
      <c r="F124" t="s">
        <v>257</v>
      </c>
      <c r="G124" t="s">
        <v>697</v>
      </c>
      <c r="H124" s="11" t="s">
        <v>738</v>
      </c>
      <c r="I124">
        <v>78148</v>
      </c>
      <c r="J124" s="22">
        <v>44158</v>
      </c>
      <c r="K124" s="22">
        <v>44229</v>
      </c>
      <c r="L124">
        <v>202101</v>
      </c>
      <c r="M124" s="22">
        <v>44197</v>
      </c>
      <c r="N124">
        <v>77871</v>
      </c>
      <c r="O124" t="s">
        <v>699</v>
      </c>
      <c r="P124" t="s">
        <v>712</v>
      </c>
      <c r="Q124" t="s">
        <v>612</v>
      </c>
      <c r="R124">
        <v>142378</v>
      </c>
      <c r="S124" s="22">
        <v>44886</v>
      </c>
      <c r="T124">
        <v>100749</v>
      </c>
      <c r="U124" t="s">
        <v>356</v>
      </c>
      <c r="V124" s="22">
        <v>44895</v>
      </c>
      <c r="W124" t="s">
        <v>618</v>
      </c>
      <c r="X124" t="s">
        <v>619</v>
      </c>
      <c r="Y124" t="s">
        <v>94</v>
      </c>
      <c r="Z124" t="s">
        <v>579</v>
      </c>
      <c r="AA124">
        <v>-158</v>
      </c>
      <c r="AC124" s="2">
        <f t="shared" si="12"/>
        <v>2022</v>
      </c>
      <c r="AD124" s="2">
        <f t="shared" si="13"/>
        <v>11</v>
      </c>
      <c r="AE124" s="2">
        <f t="shared" si="14"/>
        <v>2020</v>
      </c>
      <c r="AF124" s="2">
        <f t="shared" si="15"/>
        <v>11</v>
      </c>
      <c r="AG124" s="2" t="str">
        <f>VLOOKUP(F124,vlookup!$A$2:$E$660,2,0)</f>
        <v>Retained</v>
      </c>
      <c r="AH124" s="2" t="str">
        <f>VLOOKUP(F124,vlookup!$A$2:$E$660,3,0)</f>
        <v>Service Contract</v>
      </c>
      <c r="AI124" s="2" t="str">
        <f>VLOOKUP(F124,vlookup!$A$2:$E$660,4,0)</f>
        <v>Used Car Programs</v>
      </c>
      <c r="AJ124" s="2" t="str">
        <f>VLOOKUP(F124,vlookup!$A$2:$E$660,5,0)</f>
        <v>High Mileage</v>
      </c>
      <c r="AK124" s="2"/>
      <c r="AL124" s="2">
        <f t="shared" si="16"/>
        <v>69</v>
      </c>
      <c r="AM124" s="2">
        <f t="shared" si="17"/>
        <v>727</v>
      </c>
      <c r="AN124" s="2">
        <f t="shared" si="18"/>
        <v>22601</v>
      </c>
      <c r="AO124" s="2" t="str">
        <f t="shared" si="19"/>
        <v/>
      </c>
      <c r="AP124" s="2" t="str">
        <f t="shared" si="20"/>
        <v/>
      </c>
      <c r="AQ124" s="2" t="str">
        <f t="shared" si="21"/>
        <v/>
      </c>
      <c r="AR124" s="2">
        <f t="shared" si="22"/>
        <v>-158</v>
      </c>
      <c r="AS124" s="2" t="str">
        <f t="shared" si="23"/>
        <v>SNFFR299688K20-5</v>
      </c>
      <c r="AT124" s="2" t="str">
        <f>IFERROR(IF(VLOOKUP(Y124,vlookup!$I$2:$J$9,1,0)=Y124,VLOOKUP(Y124,vlookup!$I$2:$J$9,2,0),PROPER(Y124)),PROPER(Y124))</f>
        <v>Labor</v>
      </c>
      <c r="AU124" s="2" t="str">
        <f>IFERROR(IF(B124=VLOOKUP(B124,vlookup!$L$2:$L$10,1,0),"Yes","No"),"No")</f>
        <v>No</v>
      </c>
    </row>
    <row r="125" spans="1:47" x14ac:dyDescent="0.25">
      <c r="A125" t="s">
        <v>739</v>
      </c>
      <c r="B125" t="s">
        <v>740</v>
      </c>
      <c r="C125">
        <v>1</v>
      </c>
      <c r="D125">
        <v>1</v>
      </c>
      <c r="E125" t="s">
        <v>572</v>
      </c>
      <c r="F125" t="s">
        <v>346</v>
      </c>
      <c r="G125" t="s">
        <v>697</v>
      </c>
      <c r="H125" s="11" t="s">
        <v>738</v>
      </c>
      <c r="I125">
        <v>65533</v>
      </c>
      <c r="J125" s="22">
        <v>44141</v>
      </c>
      <c r="K125" s="22">
        <v>44168</v>
      </c>
      <c r="L125">
        <v>202011</v>
      </c>
      <c r="M125" s="22">
        <v>44136</v>
      </c>
      <c r="N125">
        <v>77871</v>
      </c>
      <c r="O125" t="s">
        <v>699</v>
      </c>
      <c r="P125" t="s">
        <v>712</v>
      </c>
      <c r="Q125" t="s">
        <v>612</v>
      </c>
      <c r="R125">
        <v>905856</v>
      </c>
      <c r="S125" s="22">
        <v>44337</v>
      </c>
      <c r="T125">
        <v>76841</v>
      </c>
      <c r="U125" t="s">
        <v>356</v>
      </c>
      <c r="V125" s="22">
        <v>44348</v>
      </c>
      <c r="W125" t="s">
        <v>577</v>
      </c>
      <c r="X125" t="s">
        <v>578</v>
      </c>
      <c r="Y125" t="s">
        <v>94</v>
      </c>
      <c r="Z125" t="s">
        <v>576</v>
      </c>
      <c r="AA125">
        <v>-208.6</v>
      </c>
      <c r="AC125" s="2">
        <f t="shared" si="12"/>
        <v>2021</v>
      </c>
      <c r="AD125" s="2">
        <f t="shared" si="13"/>
        <v>6</v>
      </c>
      <c r="AE125" s="2">
        <f t="shared" si="14"/>
        <v>2020</v>
      </c>
      <c r="AF125" s="2">
        <f t="shared" si="15"/>
        <v>11</v>
      </c>
      <c r="AG125" s="2" t="str">
        <f>VLOOKUP(F125,vlookup!$A$2:$E$660,2,0)</f>
        <v>Retained</v>
      </c>
      <c r="AH125" s="2" t="str">
        <f>VLOOKUP(F125,vlookup!$A$2:$E$660,3,0)</f>
        <v>Service Contract</v>
      </c>
      <c r="AI125" s="2" t="str">
        <f>VLOOKUP(F125,vlookup!$A$2:$E$660,4,0)</f>
        <v>Used Car Programs</v>
      </c>
      <c r="AJ125" s="2" t="str">
        <f>VLOOKUP(F125,vlookup!$A$2:$E$660,5,0)</f>
        <v>High Mileage</v>
      </c>
      <c r="AK125" s="2"/>
      <c r="AL125" s="2">
        <f t="shared" si="16"/>
        <v>27</v>
      </c>
      <c r="AM125" s="2">
        <f t="shared" si="17"/>
        <v>205</v>
      </c>
      <c r="AN125" s="2">
        <f t="shared" si="18"/>
        <v>11308</v>
      </c>
      <c r="AO125" s="2" t="str">
        <f t="shared" si="19"/>
        <v/>
      </c>
      <c r="AP125" s="2" t="str">
        <f t="shared" si="20"/>
        <v/>
      </c>
      <c r="AQ125" s="2" t="str">
        <f t="shared" si="21"/>
        <v/>
      </c>
      <c r="AR125" s="2">
        <f t="shared" si="22"/>
        <v>-208.6</v>
      </c>
      <c r="AS125" s="2" t="str">
        <f t="shared" si="23"/>
        <v>SDFGR356895K20-1</v>
      </c>
      <c r="AT125" s="2" t="str">
        <f>IFERROR(IF(VLOOKUP(Y125,vlookup!$I$2:$J$9,1,0)=Y125,VLOOKUP(Y125,vlookup!$I$2:$J$9,2,0),PROPER(Y125)),PROPER(Y125))</f>
        <v>Labor</v>
      </c>
      <c r="AU125" s="2" t="str">
        <f>IFERROR(IF(B125=VLOOKUP(B125,vlookup!$L$2:$L$10,1,0),"Yes","No"),"No")</f>
        <v>No</v>
      </c>
    </row>
    <row r="126" spans="1:47" x14ac:dyDescent="0.25">
      <c r="A126" t="s">
        <v>739</v>
      </c>
      <c r="B126" t="s">
        <v>740</v>
      </c>
      <c r="C126">
        <v>1</v>
      </c>
      <c r="D126">
        <v>1</v>
      </c>
      <c r="E126" t="s">
        <v>572</v>
      </c>
      <c r="F126" t="s">
        <v>346</v>
      </c>
      <c r="G126" t="s">
        <v>697</v>
      </c>
      <c r="H126" s="11" t="s">
        <v>738</v>
      </c>
      <c r="I126">
        <v>65533</v>
      </c>
      <c r="J126" s="22">
        <v>44141</v>
      </c>
      <c r="K126" s="22">
        <v>44168</v>
      </c>
      <c r="L126">
        <v>202011</v>
      </c>
      <c r="M126" s="22">
        <v>44136</v>
      </c>
      <c r="N126">
        <v>77871</v>
      </c>
      <c r="O126" t="s">
        <v>699</v>
      </c>
      <c r="P126" t="s">
        <v>712</v>
      </c>
      <c r="Q126" t="s">
        <v>612</v>
      </c>
      <c r="R126">
        <v>905856</v>
      </c>
      <c r="S126" s="22">
        <v>44337</v>
      </c>
      <c r="T126">
        <v>76841</v>
      </c>
      <c r="U126" t="s">
        <v>356</v>
      </c>
      <c r="V126" s="22">
        <v>44348</v>
      </c>
      <c r="W126" t="s">
        <v>586</v>
      </c>
      <c r="X126" t="s">
        <v>587</v>
      </c>
      <c r="Y126" t="s">
        <v>94</v>
      </c>
      <c r="Z126" t="s">
        <v>576</v>
      </c>
      <c r="AA126">
        <v>-745</v>
      </c>
      <c r="AC126" s="2">
        <f t="shared" si="12"/>
        <v>2021</v>
      </c>
      <c r="AD126" s="2">
        <f t="shared" si="13"/>
        <v>6</v>
      </c>
      <c r="AE126" s="2">
        <f t="shared" si="14"/>
        <v>2020</v>
      </c>
      <c r="AF126" s="2">
        <f t="shared" si="15"/>
        <v>11</v>
      </c>
      <c r="AG126" s="2" t="str">
        <f>VLOOKUP(F126,vlookup!$A$2:$E$660,2,0)</f>
        <v>Retained</v>
      </c>
      <c r="AH126" s="2" t="str">
        <f>VLOOKUP(F126,vlookup!$A$2:$E$660,3,0)</f>
        <v>Service Contract</v>
      </c>
      <c r="AI126" s="2" t="str">
        <f>VLOOKUP(F126,vlookup!$A$2:$E$660,4,0)</f>
        <v>Used Car Programs</v>
      </c>
      <c r="AJ126" s="2" t="str">
        <f>VLOOKUP(F126,vlookup!$A$2:$E$660,5,0)</f>
        <v>High Mileage</v>
      </c>
      <c r="AK126" s="2"/>
      <c r="AL126" s="2">
        <f t="shared" si="16"/>
        <v>27</v>
      </c>
      <c r="AM126" s="2">
        <f t="shared" si="17"/>
        <v>205</v>
      </c>
      <c r="AN126" s="2">
        <f t="shared" si="18"/>
        <v>11308</v>
      </c>
      <c r="AO126" s="2" t="str">
        <f t="shared" si="19"/>
        <v/>
      </c>
      <c r="AP126" s="2" t="str">
        <f t="shared" si="20"/>
        <v/>
      </c>
      <c r="AQ126" s="2" t="str">
        <f t="shared" si="21"/>
        <v/>
      </c>
      <c r="AR126" s="2">
        <f t="shared" si="22"/>
        <v>-745</v>
      </c>
      <c r="AS126" s="2" t="str">
        <f t="shared" si="23"/>
        <v>SDFGR356895K20-1</v>
      </c>
      <c r="AT126" s="2" t="str">
        <f>IFERROR(IF(VLOOKUP(Y126,vlookup!$I$2:$J$9,1,0)=Y126,VLOOKUP(Y126,vlookup!$I$2:$J$9,2,0),PROPER(Y126)),PROPER(Y126))</f>
        <v>Labor</v>
      </c>
      <c r="AU126" s="2" t="str">
        <f>IFERROR(IF(B126=VLOOKUP(B126,vlookup!$L$2:$L$10,1,0),"Yes","No"),"No")</f>
        <v>No</v>
      </c>
    </row>
    <row r="127" spans="1:47" x14ac:dyDescent="0.25">
      <c r="A127" t="s">
        <v>739</v>
      </c>
      <c r="B127" t="s">
        <v>740</v>
      </c>
      <c r="C127">
        <v>1</v>
      </c>
      <c r="D127">
        <v>1</v>
      </c>
      <c r="E127" t="s">
        <v>572</v>
      </c>
      <c r="F127" t="s">
        <v>346</v>
      </c>
      <c r="G127" t="s">
        <v>697</v>
      </c>
      <c r="H127" s="11" t="s">
        <v>738</v>
      </c>
      <c r="I127">
        <v>65533</v>
      </c>
      <c r="J127" s="22">
        <v>44141</v>
      </c>
      <c r="K127" s="22">
        <v>44168</v>
      </c>
      <c r="L127">
        <v>202011</v>
      </c>
      <c r="M127" s="22">
        <v>44136</v>
      </c>
      <c r="N127">
        <v>77871</v>
      </c>
      <c r="O127" t="s">
        <v>699</v>
      </c>
      <c r="P127" t="s">
        <v>712</v>
      </c>
      <c r="Q127" t="s">
        <v>612</v>
      </c>
      <c r="R127">
        <v>905856</v>
      </c>
      <c r="S127" s="22">
        <v>44337</v>
      </c>
      <c r="T127">
        <v>76841</v>
      </c>
      <c r="U127" t="s">
        <v>356</v>
      </c>
      <c r="V127" s="22">
        <v>44348</v>
      </c>
      <c r="W127" t="s">
        <v>573</v>
      </c>
      <c r="X127" t="s">
        <v>574</v>
      </c>
      <c r="Y127" t="s">
        <v>94</v>
      </c>
      <c r="Z127" t="s">
        <v>575</v>
      </c>
      <c r="AA127">
        <v>-129.94999999999999</v>
      </c>
      <c r="AC127" s="2">
        <f t="shared" si="12"/>
        <v>2021</v>
      </c>
      <c r="AD127" s="2">
        <f t="shared" si="13"/>
        <v>6</v>
      </c>
      <c r="AE127" s="2">
        <f t="shared" si="14"/>
        <v>2020</v>
      </c>
      <c r="AF127" s="2">
        <f t="shared" si="15"/>
        <v>11</v>
      </c>
      <c r="AG127" s="2" t="str">
        <f>VLOOKUP(F127,vlookup!$A$2:$E$660,2,0)</f>
        <v>Retained</v>
      </c>
      <c r="AH127" s="2" t="str">
        <f>VLOOKUP(F127,vlookup!$A$2:$E$660,3,0)</f>
        <v>Service Contract</v>
      </c>
      <c r="AI127" s="2" t="str">
        <f>VLOOKUP(F127,vlookup!$A$2:$E$660,4,0)</f>
        <v>Used Car Programs</v>
      </c>
      <c r="AJ127" s="2" t="str">
        <f>VLOOKUP(F127,vlookup!$A$2:$E$660,5,0)</f>
        <v>High Mileage</v>
      </c>
      <c r="AK127" s="2"/>
      <c r="AL127" s="2">
        <f t="shared" si="16"/>
        <v>27</v>
      </c>
      <c r="AM127" s="2">
        <f t="shared" si="17"/>
        <v>205</v>
      </c>
      <c r="AN127" s="2">
        <f t="shared" si="18"/>
        <v>11308</v>
      </c>
      <c r="AO127" s="2" t="str">
        <f t="shared" si="19"/>
        <v/>
      </c>
      <c r="AP127" s="2" t="str">
        <f t="shared" si="20"/>
        <v/>
      </c>
      <c r="AQ127" s="2" t="str">
        <f t="shared" si="21"/>
        <v/>
      </c>
      <c r="AR127" s="2">
        <f t="shared" si="22"/>
        <v>-129.94999999999999</v>
      </c>
      <c r="AS127" s="2" t="str">
        <f t="shared" si="23"/>
        <v>SDFGR356895K20-1</v>
      </c>
      <c r="AT127" s="2" t="str">
        <f>IFERROR(IF(VLOOKUP(Y127,vlookup!$I$2:$J$9,1,0)=Y127,VLOOKUP(Y127,vlookup!$I$2:$J$9,2,0),PROPER(Y127)),PROPER(Y127))</f>
        <v>Labor</v>
      </c>
      <c r="AU127" s="2" t="str">
        <f>IFERROR(IF(B127=VLOOKUP(B127,vlookup!$L$2:$L$10,1,0),"Yes","No"),"No")</f>
        <v>No</v>
      </c>
    </row>
    <row r="128" spans="1:47" x14ac:dyDescent="0.25">
      <c r="A128" t="s">
        <v>739</v>
      </c>
      <c r="B128" t="s">
        <v>740</v>
      </c>
      <c r="C128">
        <v>1</v>
      </c>
      <c r="D128">
        <v>1</v>
      </c>
      <c r="E128" t="s">
        <v>572</v>
      </c>
      <c r="F128" t="s">
        <v>346</v>
      </c>
      <c r="G128" t="s">
        <v>697</v>
      </c>
      <c r="H128" s="11" t="s">
        <v>738</v>
      </c>
      <c r="I128">
        <v>65533</v>
      </c>
      <c r="J128" s="22">
        <v>44141</v>
      </c>
      <c r="K128" s="22">
        <v>44168</v>
      </c>
      <c r="L128">
        <v>202011</v>
      </c>
      <c r="M128" s="22">
        <v>44136</v>
      </c>
      <c r="N128">
        <v>77871</v>
      </c>
      <c r="O128" t="s">
        <v>699</v>
      </c>
      <c r="P128" t="s">
        <v>712</v>
      </c>
      <c r="Q128" t="s">
        <v>612</v>
      </c>
      <c r="R128">
        <v>905856</v>
      </c>
      <c r="S128" s="22">
        <v>44337</v>
      </c>
      <c r="T128">
        <v>76841</v>
      </c>
      <c r="U128" t="s">
        <v>356</v>
      </c>
      <c r="V128" s="22">
        <v>44348</v>
      </c>
      <c r="W128" t="s">
        <v>621</v>
      </c>
      <c r="X128" t="s">
        <v>622</v>
      </c>
      <c r="Y128" t="s">
        <v>94</v>
      </c>
      <c r="Z128" t="s">
        <v>579</v>
      </c>
      <c r="AA128">
        <v>-447</v>
      </c>
      <c r="AC128" s="2">
        <f t="shared" si="12"/>
        <v>2021</v>
      </c>
      <c r="AD128" s="2">
        <f t="shared" si="13"/>
        <v>6</v>
      </c>
      <c r="AE128" s="2">
        <f t="shared" si="14"/>
        <v>2020</v>
      </c>
      <c r="AF128" s="2">
        <f t="shared" si="15"/>
        <v>11</v>
      </c>
      <c r="AG128" s="2" t="str">
        <f>VLOOKUP(F128,vlookup!$A$2:$E$660,2,0)</f>
        <v>Retained</v>
      </c>
      <c r="AH128" s="2" t="str">
        <f>VLOOKUP(F128,vlookup!$A$2:$E$660,3,0)</f>
        <v>Service Contract</v>
      </c>
      <c r="AI128" s="2" t="str">
        <f>VLOOKUP(F128,vlookup!$A$2:$E$660,4,0)</f>
        <v>Used Car Programs</v>
      </c>
      <c r="AJ128" s="2" t="str">
        <f>VLOOKUP(F128,vlookup!$A$2:$E$660,5,0)</f>
        <v>High Mileage</v>
      </c>
      <c r="AK128" s="2"/>
      <c r="AL128" s="2">
        <f t="shared" si="16"/>
        <v>27</v>
      </c>
      <c r="AM128" s="2">
        <f t="shared" si="17"/>
        <v>205</v>
      </c>
      <c r="AN128" s="2">
        <f t="shared" si="18"/>
        <v>11308</v>
      </c>
      <c r="AO128" s="2" t="str">
        <f t="shared" si="19"/>
        <v/>
      </c>
      <c r="AP128" s="2" t="str">
        <f t="shared" si="20"/>
        <v/>
      </c>
      <c r="AQ128" s="2" t="str">
        <f t="shared" si="21"/>
        <v/>
      </c>
      <c r="AR128" s="2">
        <f t="shared" si="22"/>
        <v>-447</v>
      </c>
      <c r="AS128" s="2" t="str">
        <f t="shared" si="23"/>
        <v>SDFGR356895K20-1</v>
      </c>
      <c r="AT128" s="2" t="str">
        <f>IFERROR(IF(VLOOKUP(Y128,vlookup!$I$2:$J$9,1,0)=Y128,VLOOKUP(Y128,vlookup!$I$2:$J$9,2,0),PROPER(Y128)),PROPER(Y128))</f>
        <v>Labor</v>
      </c>
      <c r="AU128" s="2" t="str">
        <f>IFERROR(IF(B128=VLOOKUP(B128,vlookup!$L$2:$L$10,1,0),"Yes","No"),"No")</f>
        <v>No</v>
      </c>
    </row>
    <row r="129" spans="1:47" x14ac:dyDescent="0.25">
      <c r="A129" t="s">
        <v>695</v>
      </c>
      <c r="B129" t="s">
        <v>696</v>
      </c>
      <c r="C129">
        <v>1</v>
      </c>
      <c r="D129">
        <v>1</v>
      </c>
      <c r="E129" t="s">
        <v>382</v>
      </c>
      <c r="F129" t="s">
        <v>207</v>
      </c>
      <c r="G129" t="s">
        <v>697</v>
      </c>
      <c r="H129" s="11" t="s">
        <v>698</v>
      </c>
      <c r="I129">
        <v>56598</v>
      </c>
      <c r="J129" s="22">
        <v>44119</v>
      </c>
      <c r="K129" s="22">
        <v>44200</v>
      </c>
      <c r="L129">
        <v>202012</v>
      </c>
      <c r="M129" s="22">
        <v>44166</v>
      </c>
      <c r="N129">
        <v>77871</v>
      </c>
      <c r="O129" t="s">
        <v>699</v>
      </c>
      <c r="P129" t="s">
        <v>831</v>
      </c>
      <c r="Q129" t="s">
        <v>612</v>
      </c>
      <c r="R129">
        <v>3047953</v>
      </c>
      <c r="S129" s="22">
        <v>44636</v>
      </c>
      <c r="T129">
        <v>80252</v>
      </c>
      <c r="U129" t="s">
        <v>356</v>
      </c>
      <c r="V129" s="22">
        <v>44643</v>
      </c>
      <c r="W129" t="s">
        <v>614</v>
      </c>
      <c r="X129" t="s">
        <v>615</v>
      </c>
      <c r="Y129" t="s">
        <v>94</v>
      </c>
      <c r="Z129" t="s">
        <v>365</v>
      </c>
      <c r="AA129">
        <v>-418</v>
      </c>
      <c r="AC129" s="2">
        <f t="shared" si="12"/>
        <v>2022</v>
      </c>
      <c r="AD129" s="2">
        <f t="shared" si="13"/>
        <v>3</v>
      </c>
      <c r="AE129" s="2">
        <f t="shared" si="14"/>
        <v>2020</v>
      </c>
      <c r="AF129" s="2">
        <f t="shared" si="15"/>
        <v>10</v>
      </c>
      <c r="AG129" s="2" t="str">
        <f>VLOOKUP(F129,vlookup!$A$2:$E$660,2,0)</f>
        <v>Retained</v>
      </c>
      <c r="AH129" s="2" t="str">
        <f>VLOOKUP(F129,vlookup!$A$2:$E$660,3,0)</f>
        <v>Service Contract</v>
      </c>
      <c r="AI129" s="2" t="str">
        <f>VLOOKUP(F129,vlookup!$A$2:$E$660,4,0)</f>
        <v>Used Car Programs</v>
      </c>
      <c r="AJ129" s="2" t="str">
        <f>VLOOKUP(F129,vlookup!$A$2:$E$660,5,0)</f>
        <v>High Mileage</v>
      </c>
      <c r="AK129" s="2"/>
      <c r="AL129" s="2">
        <f t="shared" si="16"/>
        <v>79</v>
      </c>
      <c r="AM129" s="2">
        <f t="shared" si="17"/>
        <v>518</v>
      </c>
      <c r="AN129" s="2">
        <f t="shared" si="18"/>
        <v>23654</v>
      </c>
      <c r="AO129" s="2" t="str">
        <f t="shared" si="19"/>
        <v/>
      </c>
      <c r="AP129" s="2" t="str">
        <f t="shared" si="20"/>
        <v/>
      </c>
      <c r="AQ129" s="2" t="str">
        <f t="shared" si="21"/>
        <v/>
      </c>
      <c r="AR129" s="2">
        <f t="shared" si="22"/>
        <v>-418</v>
      </c>
      <c r="AS129" s="2" t="str">
        <f t="shared" si="23"/>
        <v>APC500205-1</v>
      </c>
      <c r="AT129" s="2" t="str">
        <f>IFERROR(IF(VLOOKUP(Y129,vlookup!$I$2:$J$9,1,0)=Y129,VLOOKUP(Y129,vlookup!$I$2:$J$9,2,0),PROPER(Y129)),PROPER(Y129))</f>
        <v>Labor</v>
      </c>
      <c r="AU129" s="2" t="str">
        <f>IFERROR(IF(B129=VLOOKUP(B129,vlookup!$L$2:$L$10,1,0),"Yes","No"),"No")</f>
        <v>No</v>
      </c>
    </row>
    <row r="130" spans="1:47" x14ac:dyDescent="0.25">
      <c r="A130" t="s">
        <v>846</v>
      </c>
      <c r="B130" t="s">
        <v>847</v>
      </c>
      <c r="C130">
        <v>1</v>
      </c>
      <c r="D130">
        <v>1</v>
      </c>
      <c r="E130" t="s">
        <v>382</v>
      </c>
      <c r="F130" t="s">
        <v>207</v>
      </c>
      <c r="G130" t="s">
        <v>697</v>
      </c>
      <c r="H130" s="11" t="s">
        <v>738</v>
      </c>
      <c r="I130">
        <v>78864</v>
      </c>
      <c r="J130" s="22">
        <v>44344</v>
      </c>
      <c r="K130" s="22">
        <v>44399</v>
      </c>
      <c r="L130">
        <v>202107</v>
      </c>
      <c r="M130" s="22">
        <v>44378</v>
      </c>
      <c r="N130">
        <v>77871</v>
      </c>
      <c r="O130" t="s">
        <v>699</v>
      </c>
      <c r="P130" t="s">
        <v>712</v>
      </c>
      <c r="Q130" t="s">
        <v>612</v>
      </c>
      <c r="R130">
        <v>106126</v>
      </c>
      <c r="S130" s="22">
        <v>44513</v>
      </c>
      <c r="T130">
        <v>84984</v>
      </c>
      <c r="U130" t="s">
        <v>356</v>
      </c>
      <c r="V130" s="22">
        <v>44608</v>
      </c>
      <c r="W130" t="s">
        <v>685</v>
      </c>
      <c r="X130" t="s">
        <v>686</v>
      </c>
      <c r="Y130" t="s">
        <v>94</v>
      </c>
      <c r="Z130" t="s">
        <v>575</v>
      </c>
      <c r="AA130">
        <v>-75.5</v>
      </c>
      <c r="AC130" s="2">
        <f t="shared" ref="AC130:AC153" si="24">YEAR(V130)</f>
        <v>2022</v>
      </c>
      <c r="AD130" s="2">
        <f t="shared" ref="AD130:AD153" si="25">MONTH(V130)</f>
        <v>2</v>
      </c>
      <c r="AE130" s="2">
        <f t="shared" ref="AE130:AE153" si="26">YEAR(J130)</f>
        <v>2021</v>
      </c>
      <c r="AF130" s="2">
        <f t="shared" ref="AF130:AF153" si="27">MONTH(J130)</f>
        <v>5</v>
      </c>
      <c r="AG130" s="2" t="str">
        <f>VLOOKUP(F130,vlookup!$A$2:$E$660,2,0)</f>
        <v>Retained</v>
      </c>
      <c r="AH130" s="2" t="str">
        <f>VLOOKUP(F130,vlookup!$A$2:$E$660,3,0)</f>
        <v>Service Contract</v>
      </c>
      <c r="AI130" s="2" t="str">
        <f>VLOOKUP(F130,vlookup!$A$2:$E$660,4,0)</f>
        <v>Used Car Programs</v>
      </c>
      <c r="AJ130" s="2" t="str">
        <f>VLOOKUP(F130,vlookup!$A$2:$E$660,5,0)</f>
        <v>High Mileage</v>
      </c>
      <c r="AK130" s="2"/>
      <c r="AL130" s="2">
        <f t="shared" ref="AL130:AL153" si="28">DAYS360(J130,K130)</f>
        <v>54</v>
      </c>
      <c r="AM130" s="2">
        <f t="shared" ref="AM130:AM153" si="29">DAYS360(J130,V130)</f>
        <v>258</v>
      </c>
      <c r="AN130" s="2">
        <f t="shared" ref="AN130:AN153" si="30">IF(T130-I130&lt;1,"",T130-I130)</f>
        <v>6120</v>
      </c>
      <c r="AO130" s="2" t="str">
        <f t="shared" ref="AO130:AO153" si="31">IF(AM130&lt;31,AA130,"")</f>
        <v/>
      </c>
      <c r="AP130" s="2" t="str">
        <f t="shared" ref="AP130:AP153" si="32">IF(AND(AM130&gt;30,AM130&lt;61),AA130,"")</f>
        <v/>
      </c>
      <c r="AQ130" s="2" t="str">
        <f t="shared" ref="AQ130:AQ153" si="33">IF(AND(AM130&gt;60,AM130&lt;91),AA130,"")</f>
        <v/>
      </c>
      <c r="AR130" s="2">
        <f t="shared" ref="AR130:AR153" si="34">IF(AM130&gt;90,AA130,"")</f>
        <v>-75.5</v>
      </c>
      <c r="AS130" s="2" t="str">
        <f t="shared" ref="AS130:AS153" si="35">CONCATENATE(B130,"-",C130)</f>
        <v>APC500425-1</v>
      </c>
      <c r="AT130" s="2" t="str">
        <f>IFERROR(IF(VLOOKUP(Y130,vlookup!$I$2:$J$9,1,0)=Y130,VLOOKUP(Y130,vlookup!$I$2:$J$9,2,0),PROPER(Y130)),PROPER(Y130))</f>
        <v>Labor</v>
      </c>
      <c r="AU130" s="2" t="str">
        <f>IFERROR(IF(B130=VLOOKUP(B130,vlookup!$L$2:$L$10,1,0),"Yes","No"),"No")</f>
        <v>No</v>
      </c>
    </row>
    <row r="131" spans="1:47" x14ac:dyDescent="0.25">
      <c r="A131" t="s">
        <v>846</v>
      </c>
      <c r="B131" t="s">
        <v>847</v>
      </c>
      <c r="C131">
        <v>2</v>
      </c>
      <c r="D131">
        <v>1</v>
      </c>
      <c r="E131" t="s">
        <v>382</v>
      </c>
      <c r="F131" t="s">
        <v>207</v>
      </c>
      <c r="G131" t="s">
        <v>697</v>
      </c>
      <c r="H131" s="11" t="s">
        <v>738</v>
      </c>
      <c r="I131">
        <v>78864</v>
      </c>
      <c r="J131" s="22">
        <v>44344</v>
      </c>
      <c r="K131" s="22">
        <v>44399</v>
      </c>
      <c r="L131">
        <v>202107</v>
      </c>
      <c r="M131" s="22">
        <v>44378</v>
      </c>
      <c r="N131">
        <v>77871</v>
      </c>
      <c r="O131" t="s">
        <v>699</v>
      </c>
      <c r="P131" t="s">
        <v>712</v>
      </c>
      <c r="Q131" t="s">
        <v>612</v>
      </c>
      <c r="R131">
        <v>110098</v>
      </c>
      <c r="S131" s="22">
        <v>44596</v>
      </c>
      <c r="T131">
        <v>87392</v>
      </c>
      <c r="U131" t="s">
        <v>356</v>
      </c>
      <c r="V131" s="22">
        <v>44601</v>
      </c>
      <c r="W131" t="s">
        <v>642</v>
      </c>
      <c r="X131" t="s">
        <v>643</v>
      </c>
      <c r="Y131" t="s">
        <v>94</v>
      </c>
      <c r="Z131" t="s">
        <v>364</v>
      </c>
      <c r="AA131">
        <v>-2325.4</v>
      </c>
      <c r="AC131" s="2">
        <f t="shared" si="24"/>
        <v>2022</v>
      </c>
      <c r="AD131" s="2">
        <f t="shared" si="25"/>
        <v>2</v>
      </c>
      <c r="AE131" s="2">
        <f t="shared" si="26"/>
        <v>2021</v>
      </c>
      <c r="AF131" s="2">
        <f t="shared" si="27"/>
        <v>5</v>
      </c>
      <c r="AG131" s="2" t="str">
        <f>VLOOKUP(F131,vlookup!$A$2:$E$660,2,0)</f>
        <v>Retained</v>
      </c>
      <c r="AH131" s="2" t="str">
        <f>VLOOKUP(F131,vlookup!$A$2:$E$660,3,0)</f>
        <v>Service Contract</v>
      </c>
      <c r="AI131" s="2" t="str">
        <f>VLOOKUP(F131,vlookup!$A$2:$E$660,4,0)</f>
        <v>Used Car Programs</v>
      </c>
      <c r="AJ131" s="2" t="str">
        <f>VLOOKUP(F131,vlookup!$A$2:$E$660,5,0)</f>
        <v>High Mileage</v>
      </c>
      <c r="AK131" s="2"/>
      <c r="AL131" s="2">
        <f t="shared" si="28"/>
        <v>54</v>
      </c>
      <c r="AM131" s="2">
        <f t="shared" si="29"/>
        <v>251</v>
      </c>
      <c r="AN131" s="2">
        <f t="shared" si="30"/>
        <v>8528</v>
      </c>
      <c r="AO131" s="2" t="str">
        <f t="shared" si="31"/>
        <v/>
      </c>
      <c r="AP131" s="2" t="str">
        <f t="shared" si="32"/>
        <v/>
      </c>
      <c r="AQ131" s="2" t="str">
        <f t="shared" si="33"/>
        <v/>
      </c>
      <c r="AR131" s="2">
        <f t="shared" si="34"/>
        <v>-2325.4</v>
      </c>
      <c r="AS131" s="2" t="str">
        <f t="shared" si="35"/>
        <v>APC500425-2</v>
      </c>
      <c r="AT131" s="2" t="str">
        <f>IFERROR(IF(VLOOKUP(Y131,vlookup!$I$2:$J$9,1,0)=Y131,VLOOKUP(Y131,vlookup!$I$2:$J$9,2,0),PROPER(Y131)),PROPER(Y131))</f>
        <v>Labor</v>
      </c>
      <c r="AU131" s="2" t="str">
        <f>IFERROR(IF(B131=VLOOKUP(B131,vlookup!$L$2:$L$10,1,0),"Yes","No"),"No")</f>
        <v>No</v>
      </c>
    </row>
    <row r="132" spans="1:47" x14ac:dyDescent="0.25">
      <c r="A132" t="s">
        <v>846</v>
      </c>
      <c r="B132" t="s">
        <v>847</v>
      </c>
      <c r="C132">
        <v>3</v>
      </c>
      <c r="D132">
        <v>1</v>
      </c>
      <c r="E132" t="s">
        <v>382</v>
      </c>
      <c r="F132" t="s">
        <v>207</v>
      </c>
      <c r="G132" t="s">
        <v>697</v>
      </c>
      <c r="H132" s="11" t="s">
        <v>738</v>
      </c>
      <c r="I132">
        <v>78864</v>
      </c>
      <c r="J132" s="22">
        <v>44344</v>
      </c>
      <c r="K132" s="22">
        <v>44399</v>
      </c>
      <c r="L132">
        <v>202107</v>
      </c>
      <c r="M132" s="22">
        <v>44378</v>
      </c>
      <c r="N132">
        <v>77871</v>
      </c>
      <c r="O132" t="s">
        <v>699</v>
      </c>
      <c r="P132" t="s">
        <v>712</v>
      </c>
      <c r="Q132" t="s">
        <v>612</v>
      </c>
      <c r="R132">
        <v>120222</v>
      </c>
      <c r="S132" s="22">
        <v>44802</v>
      </c>
      <c r="T132">
        <v>92994</v>
      </c>
      <c r="U132" t="s">
        <v>356</v>
      </c>
      <c r="V132" s="22">
        <v>44805</v>
      </c>
      <c r="W132" t="s">
        <v>598</v>
      </c>
      <c r="X132" t="s">
        <v>599</v>
      </c>
      <c r="Y132" t="s">
        <v>94</v>
      </c>
      <c r="Z132" t="s">
        <v>582</v>
      </c>
      <c r="AA132">
        <v>-126.4</v>
      </c>
      <c r="AC132" s="2">
        <f t="shared" si="24"/>
        <v>2022</v>
      </c>
      <c r="AD132" s="2">
        <f t="shared" si="25"/>
        <v>9</v>
      </c>
      <c r="AE132" s="2">
        <f t="shared" si="26"/>
        <v>2021</v>
      </c>
      <c r="AF132" s="2">
        <f t="shared" si="27"/>
        <v>5</v>
      </c>
      <c r="AG132" s="2" t="str">
        <f>VLOOKUP(F132,vlookup!$A$2:$E$660,2,0)</f>
        <v>Retained</v>
      </c>
      <c r="AH132" s="2" t="str">
        <f>VLOOKUP(F132,vlookup!$A$2:$E$660,3,0)</f>
        <v>Service Contract</v>
      </c>
      <c r="AI132" s="2" t="str">
        <f>VLOOKUP(F132,vlookup!$A$2:$E$660,4,0)</f>
        <v>Used Car Programs</v>
      </c>
      <c r="AJ132" s="2" t="str">
        <f>VLOOKUP(F132,vlookup!$A$2:$E$660,5,0)</f>
        <v>High Mileage</v>
      </c>
      <c r="AK132" s="2"/>
      <c r="AL132" s="2">
        <f t="shared" si="28"/>
        <v>54</v>
      </c>
      <c r="AM132" s="2">
        <f t="shared" si="29"/>
        <v>453</v>
      </c>
      <c r="AN132" s="2">
        <f t="shared" si="30"/>
        <v>14130</v>
      </c>
      <c r="AO132" s="2" t="str">
        <f t="shared" si="31"/>
        <v/>
      </c>
      <c r="AP132" s="2" t="str">
        <f t="shared" si="32"/>
        <v/>
      </c>
      <c r="AQ132" s="2" t="str">
        <f t="shared" si="33"/>
        <v/>
      </c>
      <c r="AR132" s="2">
        <f t="shared" si="34"/>
        <v>-126.4</v>
      </c>
      <c r="AS132" s="2" t="str">
        <f t="shared" si="35"/>
        <v>APC500425-3</v>
      </c>
      <c r="AT132" s="2" t="str">
        <f>IFERROR(IF(VLOOKUP(Y132,vlookup!$I$2:$J$9,1,0)=Y132,VLOOKUP(Y132,vlookup!$I$2:$J$9,2,0),PROPER(Y132)),PROPER(Y132))</f>
        <v>Labor</v>
      </c>
      <c r="AU132" s="2" t="str">
        <f>IFERROR(IF(B132=VLOOKUP(B132,vlookup!$L$2:$L$10,1,0),"Yes","No"),"No")</f>
        <v>No</v>
      </c>
    </row>
    <row r="133" spans="1:47" x14ac:dyDescent="0.25">
      <c r="A133" t="s">
        <v>846</v>
      </c>
      <c r="B133" t="s">
        <v>847</v>
      </c>
      <c r="C133">
        <v>3</v>
      </c>
      <c r="D133">
        <v>1</v>
      </c>
      <c r="E133" t="s">
        <v>382</v>
      </c>
      <c r="F133" t="s">
        <v>207</v>
      </c>
      <c r="G133" t="s">
        <v>697</v>
      </c>
      <c r="H133" s="11" t="s">
        <v>738</v>
      </c>
      <c r="I133">
        <v>78864</v>
      </c>
      <c r="J133" s="22">
        <v>44344</v>
      </c>
      <c r="K133" s="22">
        <v>44399</v>
      </c>
      <c r="L133">
        <v>202107</v>
      </c>
      <c r="M133" s="22">
        <v>44378</v>
      </c>
      <c r="N133">
        <v>77871</v>
      </c>
      <c r="O133" t="s">
        <v>699</v>
      </c>
      <c r="P133" t="s">
        <v>712</v>
      </c>
      <c r="Q133" t="s">
        <v>612</v>
      </c>
      <c r="R133">
        <v>120222</v>
      </c>
      <c r="S133" s="22">
        <v>44802</v>
      </c>
      <c r="T133">
        <v>92994</v>
      </c>
      <c r="U133" t="s">
        <v>356</v>
      </c>
      <c r="V133" s="22">
        <v>44805</v>
      </c>
      <c r="W133" t="s">
        <v>618</v>
      </c>
      <c r="X133" t="s">
        <v>619</v>
      </c>
      <c r="Y133" t="s">
        <v>94</v>
      </c>
      <c r="Z133" t="s">
        <v>579</v>
      </c>
      <c r="AA133">
        <v>-237</v>
      </c>
      <c r="AC133" s="2">
        <f t="shared" si="24"/>
        <v>2022</v>
      </c>
      <c r="AD133" s="2">
        <f t="shared" si="25"/>
        <v>9</v>
      </c>
      <c r="AE133" s="2">
        <f t="shared" si="26"/>
        <v>2021</v>
      </c>
      <c r="AF133" s="2">
        <f t="shared" si="27"/>
        <v>5</v>
      </c>
      <c r="AG133" s="2" t="str">
        <f>VLOOKUP(F133,vlookup!$A$2:$E$660,2,0)</f>
        <v>Retained</v>
      </c>
      <c r="AH133" s="2" t="str">
        <f>VLOOKUP(F133,vlookup!$A$2:$E$660,3,0)</f>
        <v>Service Contract</v>
      </c>
      <c r="AI133" s="2" t="str">
        <f>VLOOKUP(F133,vlookup!$A$2:$E$660,4,0)</f>
        <v>Used Car Programs</v>
      </c>
      <c r="AJ133" s="2" t="str">
        <f>VLOOKUP(F133,vlookup!$A$2:$E$660,5,0)</f>
        <v>High Mileage</v>
      </c>
      <c r="AK133" s="2"/>
      <c r="AL133" s="2">
        <f t="shared" si="28"/>
        <v>54</v>
      </c>
      <c r="AM133" s="2">
        <f t="shared" si="29"/>
        <v>453</v>
      </c>
      <c r="AN133" s="2">
        <f t="shared" si="30"/>
        <v>14130</v>
      </c>
      <c r="AO133" s="2" t="str">
        <f t="shared" si="31"/>
        <v/>
      </c>
      <c r="AP133" s="2" t="str">
        <f t="shared" si="32"/>
        <v/>
      </c>
      <c r="AQ133" s="2" t="str">
        <f t="shared" si="33"/>
        <v/>
      </c>
      <c r="AR133" s="2">
        <f t="shared" si="34"/>
        <v>-237</v>
      </c>
      <c r="AS133" s="2" t="str">
        <f t="shared" si="35"/>
        <v>APC500425-3</v>
      </c>
      <c r="AT133" s="2" t="str">
        <f>IFERROR(IF(VLOOKUP(Y133,vlookup!$I$2:$J$9,1,0)=Y133,VLOOKUP(Y133,vlookup!$I$2:$J$9,2,0),PROPER(Y133)),PROPER(Y133))</f>
        <v>Labor</v>
      </c>
      <c r="AU133" s="2" t="str">
        <f>IFERROR(IF(B133=VLOOKUP(B133,vlookup!$L$2:$L$10,1,0),"Yes","No"),"No")</f>
        <v>No</v>
      </c>
    </row>
    <row r="134" spans="1:47" x14ac:dyDescent="0.25">
      <c r="A134" t="s">
        <v>741</v>
      </c>
      <c r="B134" t="s">
        <v>742</v>
      </c>
      <c r="C134">
        <v>1</v>
      </c>
      <c r="D134">
        <v>1</v>
      </c>
      <c r="E134" t="s">
        <v>382</v>
      </c>
      <c r="F134" t="s">
        <v>191</v>
      </c>
      <c r="G134" t="s">
        <v>543</v>
      </c>
      <c r="H134" s="11" t="s">
        <v>611</v>
      </c>
      <c r="I134">
        <v>41200</v>
      </c>
      <c r="J134" s="22">
        <v>44524</v>
      </c>
      <c r="K134" s="22">
        <v>44582</v>
      </c>
      <c r="L134">
        <v>202201</v>
      </c>
      <c r="M134" s="22">
        <v>44562</v>
      </c>
      <c r="N134">
        <v>77871</v>
      </c>
      <c r="O134" t="s">
        <v>699</v>
      </c>
      <c r="P134" t="s">
        <v>712</v>
      </c>
      <c r="Q134" t="s">
        <v>612</v>
      </c>
      <c r="R134">
        <v>116582</v>
      </c>
      <c r="S134" s="22">
        <v>44727</v>
      </c>
      <c r="T134">
        <v>47223</v>
      </c>
      <c r="U134" t="s">
        <v>356</v>
      </c>
      <c r="V134" s="22">
        <v>44733</v>
      </c>
      <c r="W134" t="s">
        <v>577</v>
      </c>
      <c r="X134" t="s">
        <v>578</v>
      </c>
      <c r="Y134" t="s">
        <v>94</v>
      </c>
      <c r="Z134" t="s">
        <v>576</v>
      </c>
      <c r="AA134">
        <v>-221.2</v>
      </c>
      <c r="AC134" s="2">
        <f t="shared" si="24"/>
        <v>2022</v>
      </c>
      <c r="AD134" s="2">
        <f t="shared" si="25"/>
        <v>6</v>
      </c>
      <c r="AE134" s="2">
        <f t="shared" si="26"/>
        <v>2021</v>
      </c>
      <c r="AF134" s="2">
        <f t="shared" si="27"/>
        <v>11</v>
      </c>
      <c r="AG134" s="2" t="str">
        <f>VLOOKUP(F134,vlookup!$A$2:$E$660,2,0)</f>
        <v>Retained</v>
      </c>
      <c r="AH134" s="2" t="str">
        <f>VLOOKUP(F134,vlookup!$A$2:$E$660,3,0)</f>
        <v>Service Contract</v>
      </c>
      <c r="AI134" s="2" t="str">
        <f>VLOOKUP(F134,vlookup!$A$2:$E$660,4,0)</f>
        <v>New Car Programs</v>
      </c>
      <c r="AJ134" s="2" t="str">
        <f>VLOOKUP(F134,vlookup!$A$2:$E$660,5,0)</f>
        <v>High Mileage</v>
      </c>
      <c r="AK134" s="2"/>
      <c r="AL134" s="2">
        <f t="shared" si="28"/>
        <v>57</v>
      </c>
      <c r="AM134" s="2">
        <f t="shared" si="29"/>
        <v>207</v>
      </c>
      <c r="AN134" s="2">
        <f t="shared" si="30"/>
        <v>6023</v>
      </c>
      <c r="AO134" s="2" t="str">
        <f t="shared" si="31"/>
        <v/>
      </c>
      <c r="AP134" s="2" t="str">
        <f t="shared" si="32"/>
        <v/>
      </c>
      <c r="AQ134" s="2" t="str">
        <f t="shared" si="33"/>
        <v/>
      </c>
      <c r="AR134" s="2">
        <f t="shared" si="34"/>
        <v>-221.2</v>
      </c>
      <c r="AS134" s="2" t="str">
        <f t="shared" si="35"/>
        <v>APC100463-1</v>
      </c>
      <c r="AT134" s="2" t="str">
        <f>IFERROR(IF(VLOOKUP(Y134,vlookup!$I$2:$J$9,1,0)=Y134,VLOOKUP(Y134,vlookup!$I$2:$J$9,2,0),PROPER(Y134)),PROPER(Y134))</f>
        <v>Labor</v>
      </c>
      <c r="AU134" s="2" t="str">
        <f>IFERROR(IF(B134=VLOOKUP(B134,vlookup!$L$2:$L$10,1,0),"Yes","No"),"No")</f>
        <v>No</v>
      </c>
    </row>
    <row r="135" spans="1:47" x14ac:dyDescent="0.25">
      <c r="A135" t="s">
        <v>741</v>
      </c>
      <c r="B135" t="s">
        <v>742</v>
      </c>
      <c r="C135">
        <v>1</v>
      </c>
      <c r="D135">
        <v>1</v>
      </c>
      <c r="E135" t="s">
        <v>382</v>
      </c>
      <c r="F135" t="s">
        <v>191</v>
      </c>
      <c r="G135" t="s">
        <v>543</v>
      </c>
      <c r="H135" s="11" t="s">
        <v>611</v>
      </c>
      <c r="I135">
        <v>41200</v>
      </c>
      <c r="J135" s="22">
        <v>44524</v>
      </c>
      <c r="K135" s="22">
        <v>44582</v>
      </c>
      <c r="L135">
        <v>202201</v>
      </c>
      <c r="M135" s="22">
        <v>44562</v>
      </c>
      <c r="N135">
        <v>77871</v>
      </c>
      <c r="O135" t="s">
        <v>699</v>
      </c>
      <c r="P135" t="s">
        <v>712</v>
      </c>
      <c r="Q135" t="s">
        <v>612</v>
      </c>
      <c r="R135">
        <v>116582</v>
      </c>
      <c r="S135" s="22">
        <v>44727</v>
      </c>
      <c r="T135">
        <v>47223</v>
      </c>
      <c r="U135" t="s">
        <v>356</v>
      </c>
      <c r="V135" s="22">
        <v>44733</v>
      </c>
      <c r="W135" t="s">
        <v>688</v>
      </c>
      <c r="X135" t="s">
        <v>689</v>
      </c>
      <c r="Y135" t="s">
        <v>94</v>
      </c>
      <c r="Z135" t="s">
        <v>576</v>
      </c>
      <c r="AA135">
        <v>-1864.4</v>
      </c>
      <c r="AC135" s="2">
        <f t="shared" si="24"/>
        <v>2022</v>
      </c>
      <c r="AD135" s="2">
        <f t="shared" si="25"/>
        <v>6</v>
      </c>
      <c r="AE135" s="2">
        <f t="shared" si="26"/>
        <v>2021</v>
      </c>
      <c r="AF135" s="2">
        <f t="shared" si="27"/>
        <v>11</v>
      </c>
      <c r="AG135" s="2" t="str">
        <f>VLOOKUP(F135,vlookup!$A$2:$E$660,2,0)</f>
        <v>Retained</v>
      </c>
      <c r="AH135" s="2" t="str">
        <f>VLOOKUP(F135,vlookup!$A$2:$E$660,3,0)</f>
        <v>Service Contract</v>
      </c>
      <c r="AI135" s="2" t="str">
        <f>VLOOKUP(F135,vlookup!$A$2:$E$660,4,0)</f>
        <v>New Car Programs</v>
      </c>
      <c r="AJ135" s="2" t="str">
        <f>VLOOKUP(F135,vlookup!$A$2:$E$660,5,0)</f>
        <v>High Mileage</v>
      </c>
      <c r="AK135" s="2"/>
      <c r="AL135" s="2">
        <f t="shared" si="28"/>
        <v>57</v>
      </c>
      <c r="AM135" s="2">
        <f t="shared" si="29"/>
        <v>207</v>
      </c>
      <c r="AN135" s="2">
        <f t="shared" si="30"/>
        <v>6023</v>
      </c>
      <c r="AO135" s="2" t="str">
        <f t="shared" si="31"/>
        <v/>
      </c>
      <c r="AP135" s="2" t="str">
        <f t="shared" si="32"/>
        <v/>
      </c>
      <c r="AQ135" s="2" t="str">
        <f t="shared" si="33"/>
        <v/>
      </c>
      <c r="AR135" s="2">
        <f t="shared" si="34"/>
        <v>-1864.4</v>
      </c>
      <c r="AS135" s="2" t="str">
        <f t="shared" si="35"/>
        <v>APC100463-1</v>
      </c>
      <c r="AT135" s="2" t="str">
        <f>IFERROR(IF(VLOOKUP(Y135,vlookup!$I$2:$J$9,1,0)=Y135,VLOOKUP(Y135,vlookup!$I$2:$J$9,2,0),PROPER(Y135)),PROPER(Y135))</f>
        <v>Labor</v>
      </c>
      <c r="AU135" s="2" t="str">
        <f>IFERROR(IF(B135=VLOOKUP(B135,vlookup!$L$2:$L$10,1,0),"Yes","No"),"No")</f>
        <v>No</v>
      </c>
    </row>
    <row r="136" spans="1:47" x14ac:dyDescent="0.25">
      <c r="A136" t="s">
        <v>743</v>
      </c>
      <c r="B136" t="s">
        <v>744</v>
      </c>
      <c r="C136">
        <v>1</v>
      </c>
      <c r="D136">
        <v>1</v>
      </c>
      <c r="E136" t="s">
        <v>382</v>
      </c>
      <c r="F136" t="s">
        <v>346</v>
      </c>
      <c r="G136" t="s">
        <v>683</v>
      </c>
      <c r="H136" s="11" t="s">
        <v>745</v>
      </c>
      <c r="I136">
        <v>47900</v>
      </c>
      <c r="J136" s="22">
        <v>44221</v>
      </c>
      <c r="K136" s="22">
        <v>44281</v>
      </c>
      <c r="L136">
        <v>202103</v>
      </c>
      <c r="M136" s="22">
        <v>44256</v>
      </c>
      <c r="N136">
        <v>77871</v>
      </c>
      <c r="O136" t="s">
        <v>699</v>
      </c>
      <c r="P136" t="s">
        <v>712</v>
      </c>
      <c r="Q136" t="s">
        <v>612</v>
      </c>
      <c r="R136">
        <v>907278</v>
      </c>
      <c r="S136" s="22">
        <v>44363</v>
      </c>
      <c r="T136">
        <v>53206</v>
      </c>
      <c r="U136" t="s">
        <v>356</v>
      </c>
      <c r="V136" s="22">
        <v>44363</v>
      </c>
      <c r="W136" t="s">
        <v>623</v>
      </c>
      <c r="X136" t="s">
        <v>624</v>
      </c>
      <c r="Y136" t="s">
        <v>94</v>
      </c>
      <c r="Z136" t="s">
        <v>366</v>
      </c>
      <c r="AA136">
        <v>-536.4</v>
      </c>
      <c r="AC136" s="2">
        <f t="shared" si="24"/>
        <v>2021</v>
      </c>
      <c r="AD136" s="2">
        <f t="shared" si="25"/>
        <v>6</v>
      </c>
      <c r="AE136" s="2">
        <f t="shared" si="26"/>
        <v>2021</v>
      </c>
      <c r="AF136" s="2">
        <f t="shared" si="27"/>
        <v>1</v>
      </c>
      <c r="AG136" s="2" t="str">
        <f>VLOOKUP(F136,vlookup!$A$2:$E$660,2,0)</f>
        <v>Retained</v>
      </c>
      <c r="AH136" s="2" t="str">
        <f>VLOOKUP(F136,vlookup!$A$2:$E$660,3,0)</f>
        <v>Service Contract</v>
      </c>
      <c r="AI136" s="2" t="str">
        <f>VLOOKUP(F136,vlookup!$A$2:$E$660,4,0)</f>
        <v>Used Car Programs</v>
      </c>
      <c r="AJ136" s="2" t="str">
        <f>VLOOKUP(F136,vlookup!$A$2:$E$660,5,0)</f>
        <v>High Mileage</v>
      </c>
      <c r="AK136" s="2"/>
      <c r="AL136" s="2">
        <f t="shared" si="28"/>
        <v>61</v>
      </c>
      <c r="AM136" s="2">
        <f t="shared" si="29"/>
        <v>141</v>
      </c>
      <c r="AN136" s="2">
        <f t="shared" si="30"/>
        <v>5306</v>
      </c>
      <c r="AO136" s="2" t="str">
        <f t="shared" si="31"/>
        <v/>
      </c>
      <c r="AP136" s="2" t="str">
        <f t="shared" si="32"/>
        <v/>
      </c>
      <c r="AQ136" s="2" t="str">
        <f t="shared" si="33"/>
        <v/>
      </c>
      <c r="AR136" s="2">
        <f t="shared" si="34"/>
        <v>-536.4</v>
      </c>
      <c r="AS136" s="2" t="str">
        <f t="shared" si="35"/>
        <v>SDFC9147361A21-1</v>
      </c>
      <c r="AT136" s="2" t="str">
        <f>IFERROR(IF(VLOOKUP(Y136,vlookup!$I$2:$J$9,1,0)=Y136,VLOOKUP(Y136,vlookup!$I$2:$J$9,2,0),PROPER(Y136)),PROPER(Y136))</f>
        <v>Labor</v>
      </c>
      <c r="AU136" s="2" t="str">
        <f>IFERROR(IF(B136=VLOOKUP(B136,vlookup!$L$2:$L$10,1,0),"Yes","No"),"No")</f>
        <v>No</v>
      </c>
    </row>
    <row r="137" spans="1:47" x14ac:dyDescent="0.25">
      <c r="A137" t="s">
        <v>743</v>
      </c>
      <c r="B137" t="s">
        <v>744</v>
      </c>
      <c r="C137">
        <v>1</v>
      </c>
      <c r="D137">
        <v>1</v>
      </c>
      <c r="E137" t="s">
        <v>382</v>
      </c>
      <c r="F137" t="s">
        <v>346</v>
      </c>
      <c r="G137" t="s">
        <v>683</v>
      </c>
      <c r="H137" s="11" t="s">
        <v>745</v>
      </c>
      <c r="I137">
        <v>47900</v>
      </c>
      <c r="J137" s="22">
        <v>44221</v>
      </c>
      <c r="K137" s="22">
        <v>44281</v>
      </c>
      <c r="L137">
        <v>202103</v>
      </c>
      <c r="M137" s="22">
        <v>44256</v>
      </c>
      <c r="N137">
        <v>77871</v>
      </c>
      <c r="O137" t="s">
        <v>699</v>
      </c>
      <c r="P137" t="s">
        <v>712</v>
      </c>
      <c r="Q137" t="s">
        <v>612</v>
      </c>
      <c r="R137">
        <v>907278</v>
      </c>
      <c r="S137" s="22">
        <v>44363</v>
      </c>
      <c r="T137">
        <v>53206</v>
      </c>
      <c r="U137" t="s">
        <v>356</v>
      </c>
      <c r="V137" s="22">
        <v>44363</v>
      </c>
      <c r="W137" t="s">
        <v>596</v>
      </c>
      <c r="X137" t="s">
        <v>597</v>
      </c>
      <c r="Y137" t="s">
        <v>94</v>
      </c>
      <c r="Z137" t="s">
        <v>358</v>
      </c>
      <c r="AA137">
        <v>-208.6</v>
      </c>
      <c r="AC137" s="2">
        <f t="shared" si="24"/>
        <v>2021</v>
      </c>
      <c r="AD137" s="2">
        <f t="shared" si="25"/>
        <v>6</v>
      </c>
      <c r="AE137" s="2">
        <f t="shared" si="26"/>
        <v>2021</v>
      </c>
      <c r="AF137" s="2">
        <f t="shared" si="27"/>
        <v>1</v>
      </c>
      <c r="AG137" s="2" t="str">
        <f>VLOOKUP(F137,vlookup!$A$2:$E$660,2,0)</f>
        <v>Retained</v>
      </c>
      <c r="AH137" s="2" t="str">
        <f>VLOOKUP(F137,vlookup!$A$2:$E$660,3,0)</f>
        <v>Service Contract</v>
      </c>
      <c r="AI137" s="2" t="str">
        <f>VLOOKUP(F137,vlookup!$A$2:$E$660,4,0)</f>
        <v>Used Car Programs</v>
      </c>
      <c r="AJ137" s="2" t="str">
        <f>VLOOKUP(F137,vlookup!$A$2:$E$660,5,0)</f>
        <v>High Mileage</v>
      </c>
      <c r="AK137" s="2"/>
      <c r="AL137" s="2">
        <f t="shared" si="28"/>
        <v>61</v>
      </c>
      <c r="AM137" s="2">
        <f t="shared" si="29"/>
        <v>141</v>
      </c>
      <c r="AN137" s="2">
        <f t="shared" si="30"/>
        <v>5306</v>
      </c>
      <c r="AO137" s="2" t="str">
        <f t="shared" si="31"/>
        <v/>
      </c>
      <c r="AP137" s="2" t="str">
        <f t="shared" si="32"/>
        <v/>
      </c>
      <c r="AQ137" s="2" t="str">
        <f t="shared" si="33"/>
        <v/>
      </c>
      <c r="AR137" s="2">
        <f t="shared" si="34"/>
        <v>-208.6</v>
      </c>
      <c r="AS137" s="2" t="str">
        <f t="shared" si="35"/>
        <v>SDFC9147361A21-1</v>
      </c>
      <c r="AT137" s="2" t="str">
        <f>IFERROR(IF(VLOOKUP(Y137,vlookup!$I$2:$J$9,1,0)=Y137,VLOOKUP(Y137,vlookup!$I$2:$J$9,2,0),PROPER(Y137)),PROPER(Y137))</f>
        <v>Labor</v>
      </c>
      <c r="AU137" s="2" t="str">
        <f>IFERROR(IF(B137=VLOOKUP(B137,vlookup!$L$2:$L$10,1,0),"Yes","No"),"No")</f>
        <v>No</v>
      </c>
    </row>
    <row r="138" spans="1:47" x14ac:dyDescent="0.25">
      <c r="A138" t="s">
        <v>743</v>
      </c>
      <c r="B138" t="s">
        <v>744</v>
      </c>
      <c r="C138">
        <v>3</v>
      </c>
      <c r="D138">
        <v>1</v>
      </c>
      <c r="E138" t="s">
        <v>382</v>
      </c>
      <c r="F138" t="s">
        <v>346</v>
      </c>
      <c r="G138" t="s">
        <v>683</v>
      </c>
      <c r="H138" s="11" t="s">
        <v>745</v>
      </c>
      <c r="I138">
        <v>47900</v>
      </c>
      <c r="J138" s="22">
        <v>44221</v>
      </c>
      <c r="K138" s="22">
        <v>44281</v>
      </c>
      <c r="L138">
        <v>202103</v>
      </c>
      <c r="M138" s="22">
        <v>44256</v>
      </c>
      <c r="N138">
        <v>77871</v>
      </c>
      <c r="O138" t="s">
        <v>699</v>
      </c>
      <c r="P138" t="s">
        <v>746</v>
      </c>
      <c r="Q138" t="s">
        <v>544</v>
      </c>
      <c r="R138">
        <v>122387</v>
      </c>
      <c r="S138" s="22">
        <v>44845</v>
      </c>
      <c r="T138">
        <v>58347</v>
      </c>
      <c r="U138" t="s">
        <v>356</v>
      </c>
      <c r="V138" s="22">
        <v>44846</v>
      </c>
      <c r="W138" t="s">
        <v>629</v>
      </c>
      <c r="X138" t="s">
        <v>630</v>
      </c>
      <c r="Y138" t="s">
        <v>94</v>
      </c>
      <c r="Z138" t="s">
        <v>364</v>
      </c>
      <c r="AA138">
        <v>-205.4</v>
      </c>
      <c r="AC138" s="2">
        <f t="shared" si="24"/>
        <v>2022</v>
      </c>
      <c r="AD138" s="2">
        <f t="shared" si="25"/>
        <v>10</v>
      </c>
      <c r="AE138" s="2">
        <f t="shared" si="26"/>
        <v>2021</v>
      </c>
      <c r="AF138" s="2">
        <f t="shared" si="27"/>
        <v>1</v>
      </c>
      <c r="AG138" s="2" t="str">
        <f>VLOOKUP(F138,vlookup!$A$2:$E$660,2,0)</f>
        <v>Retained</v>
      </c>
      <c r="AH138" s="2" t="str">
        <f>VLOOKUP(F138,vlookup!$A$2:$E$660,3,0)</f>
        <v>Service Contract</v>
      </c>
      <c r="AI138" s="2" t="str">
        <f>VLOOKUP(F138,vlookup!$A$2:$E$660,4,0)</f>
        <v>Used Car Programs</v>
      </c>
      <c r="AJ138" s="2" t="str">
        <f>VLOOKUP(F138,vlookup!$A$2:$E$660,5,0)</f>
        <v>High Mileage</v>
      </c>
      <c r="AK138" s="2"/>
      <c r="AL138" s="2">
        <f t="shared" si="28"/>
        <v>61</v>
      </c>
      <c r="AM138" s="2">
        <f t="shared" si="29"/>
        <v>617</v>
      </c>
      <c r="AN138" s="2">
        <f t="shared" si="30"/>
        <v>10447</v>
      </c>
      <c r="AO138" s="2" t="str">
        <f t="shared" si="31"/>
        <v/>
      </c>
      <c r="AP138" s="2" t="str">
        <f t="shared" si="32"/>
        <v/>
      </c>
      <c r="AQ138" s="2" t="str">
        <f t="shared" si="33"/>
        <v/>
      </c>
      <c r="AR138" s="2">
        <f t="shared" si="34"/>
        <v>-205.4</v>
      </c>
      <c r="AS138" s="2" t="str">
        <f t="shared" si="35"/>
        <v>SDFC9147361A21-3</v>
      </c>
      <c r="AT138" s="2" t="str">
        <f>IFERROR(IF(VLOOKUP(Y138,vlookup!$I$2:$J$9,1,0)=Y138,VLOOKUP(Y138,vlookup!$I$2:$J$9,2,0),PROPER(Y138)),PROPER(Y138))</f>
        <v>Labor</v>
      </c>
      <c r="AU138" s="2" t="str">
        <f>IFERROR(IF(B138=VLOOKUP(B138,vlookup!$L$2:$L$10,1,0),"Yes","No"),"No")</f>
        <v>No</v>
      </c>
    </row>
    <row r="139" spans="1:47" x14ac:dyDescent="0.25">
      <c r="A139" t="s">
        <v>747</v>
      </c>
      <c r="B139" t="s">
        <v>748</v>
      </c>
      <c r="C139">
        <v>1</v>
      </c>
      <c r="D139">
        <v>1</v>
      </c>
      <c r="E139" t="s">
        <v>382</v>
      </c>
      <c r="F139" t="s">
        <v>257</v>
      </c>
      <c r="G139" t="s">
        <v>543</v>
      </c>
      <c r="H139" s="11" t="s">
        <v>602</v>
      </c>
      <c r="I139">
        <v>29281</v>
      </c>
      <c r="J139" s="22">
        <v>44193</v>
      </c>
      <c r="K139" s="22">
        <v>44229</v>
      </c>
      <c r="L139">
        <v>202101</v>
      </c>
      <c r="M139" s="22">
        <v>44197</v>
      </c>
      <c r="N139">
        <v>77871</v>
      </c>
      <c r="O139" t="s">
        <v>699</v>
      </c>
      <c r="P139" t="s">
        <v>712</v>
      </c>
      <c r="Q139" t="s">
        <v>612</v>
      </c>
      <c r="R139">
        <v>124532</v>
      </c>
      <c r="S139" s="22">
        <v>44888</v>
      </c>
      <c r="T139">
        <v>60817</v>
      </c>
      <c r="U139" t="s">
        <v>356</v>
      </c>
      <c r="V139" s="22">
        <v>44888</v>
      </c>
      <c r="W139" t="s">
        <v>629</v>
      </c>
      <c r="X139" t="s">
        <v>630</v>
      </c>
      <c r="Y139" t="s">
        <v>94</v>
      </c>
      <c r="Z139" t="s">
        <v>364</v>
      </c>
      <c r="AA139">
        <v>-284.39999999999998</v>
      </c>
      <c r="AC139" s="2">
        <f t="shared" si="24"/>
        <v>2022</v>
      </c>
      <c r="AD139" s="2">
        <f t="shared" si="25"/>
        <v>11</v>
      </c>
      <c r="AE139" s="2">
        <f t="shared" si="26"/>
        <v>2020</v>
      </c>
      <c r="AF139" s="2">
        <f t="shared" si="27"/>
        <v>12</v>
      </c>
      <c r="AG139" s="2" t="str">
        <f>VLOOKUP(F139,vlookup!$A$2:$E$660,2,0)</f>
        <v>Retained</v>
      </c>
      <c r="AH139" s="2" t="str">
        <f>VLOOKUP(F139,vlookup!$A$2:$E$660,3,0)</f>
        <v>Service Contract</v>
      </c>
      <c r="AI139" s="2" t="str">
        <f>VLOOKUP(F139,vlookup!$A$2:$E$660,4,0)</f>
        <v>Used Car Programs</v>
      </c>
      <c r="AJ139" s="2" t="str">
        <f>VLOOKUP(F139,vlookup!$A$2:$E$660,5,0)</f>
        <v>High Mileage</v>
      </c>
      <c r="AK139" s="2"/>
      <c r="AL139" s="2">
        <f t="shared" si="28"/>
        <v>34</v>
      </c>
      <c r="AM139" s="2">
        <f t="shared" si="29"/>
        <v>685</v>
      </c>
      <c r="AN139" s="2">
        <f t="shared" si="30"/>
        <v>31536</v>
      </c>
      <c r="AO139" s="2" t="str">
        <f t="shared" si="31"/>
        <v/>
      </c>
      <c r="AP139" s="2" t="str">
        <f t="shared" si="32"/>
        <v/>
      </c>
      <c r="AQ139" s="2" t="str">
        <f t="shared" si="33"/>
        <v/>
      </c>
      <c r="AR139" s="2">
        <f t="shared" si="34"/>
        <v>-284.39999999999998</v>
      </c>
      <c r="AS139" s="2" t="str">
        <f t="shared" si="35"/>
        <v>SNFH1602575L20-1</v>
      </c>
      <c r="AT139" s="2" t="str">
        <f>IFERROR(IF(VLOOKUP(Y139,vlookup!$I$2:$J$9,1,0)=Y139,VLOOKUP(Y139,vlookup!$I$2:$J$9,2,0),PROPER(Y139)),PROPER(Y139))</f>
        <v>Labor</v>
      </c>
      <c r="AU139" s="2" t="str">
        <f>IFERROR(IF(B139=VLOOKUP(B139,vlookup!$L$2:$L$10,1,0),"Yes","No"),"No")</f>
        <v>No</v>
      </c>
    </row>
    <row r="140" spans="1:47" x14ac:dyDescent="0.25">
      <c r="A140" t="s">
        <v>702</v>
      </c>
      <c r="B140" t="s">
        <v>703</v>
      </c>
      <c r="C140">
        <v>2</v>
      </c>
      <c r="D140">
        <v>1</v>
      </c>
      <c r="E140" t="s">
        <v>382</v>
      </c>
      <c r="F140" t="s">
        <v>191</v>
      </c>
      <c r="G140" t="s">
        <v>697</v>
      </c>
      <c r="H140" s="11" t="s">
        <v>704</v>
      </c>
      <c r="I140">
        <v>33397</v>
      </c>
      <c r="J140" s="22">
        <v>44211</v>
      </c>
      <c r="K140" s="22">
        <v>44271</v>
      </c>
      <c r="L140">
        <v>202103</v>
      </c>
      <c r="M140" s="22">
        <v>44256</v>
      </c>
      <c r="N140">
        <v>77871</v>
      </c>
      <c r="O140" t="s">
        <v>699</v>
      </c>
      <c r="P140" t="s">
        <v>712</v>
      </c>
      <c r="Q140" t="s">
        <v>612</v>
      </c>
      <c r="R140">
        <v>119976</v>
      </c>
      <c r="S140" s="22">
        <v>44796</v>
      </c>
      <c r="T140">
        <v>39146</v>
      </c>
      <c r="U140" t="s">
        <v>356</v>
      </c>
      <c r="V140" s="22">
        <v>44799</v>
      </c>
      <c r="W140" t="s">
        <v>842</v>
      </c>
      <c r="X140" t="s">
        <v>843</v>
      </c>
      <c r="Y140" t="s">
        <v>94</v>
      </c>
      <c r="Z140" t="s">
        <v>358</v>
      </c>
      <c r="AA140">
        <v>-395</v>
      </c>
      <c r="AC140" s="2">
        <f t="shared" si="24"/>
        <v>2022</v>
      </c>
      <c r="AD140" s="2">
        <f t="shared" si="25"/>
        <v>8</v>
      </c>
      <c r="AE140" s="2">
        <f t="shared" si="26"/>
        <v>2021</v>
      </c>
      <c r="AF140" s="2">
        <f t="shared" si="27"/>
        <v>1</v>
      </c>
      <c r="AG140" s="2" t="str">
        <f>VLOOKUP(F140,vlookup!$A$2:$E$660,2,0)</f>
        <v>Retained</v>
      </c>
      <c r="AH140" s="2" t="str">
        <f>VLOOKUP(F140,vlookup!$A$2:$E$660,3,0)</f>
        <v>Service Contract</v>
      </c>
      <c r="AI140" s="2" t="str">
        <f>VLOOKUP(F140,vlookup!$A$2:$E$660,4,0)</f>
        <v>New Car Programs</v>
      </c>
      <c r="AJ140" s="2" t="str">
        <f>VLOOKUP(F140,vlookup!$A$2:$E$660,5,0)</f>
        <v>High Mileage</v>
      </c>
      <c r="AK140" s="2"/>
      <c r="AL140" s="2">
        <f t="shared" si="28"/>
        <v>61</v>
      </c>
      <c r="AM140" s="2">
        <f t="shared" si="29"/>
        <v>581</v>
      </c>
      <c r="AN140" s="2">
        <f t="shared" si="30"/>
        <v>5749</v>
      </c>
      <c r="AO140" s="2" t="str">
        <f t="shared" si="31"/>
        <v/>
      </c>
      <c r="AP140" s="2" t="str">
        <f t="shared" si="32"/>
        <v/>
      </c>
      <c r="AQ140" s="2" t="str">
        <f t="shared" si="33"/>
        <v/>
      </c>
      <c r="AR140" s="2">
        <f t="shared" si="34"/>
        <v>-395</v>
      </c>
      <c r="AS140" s="2" t="str">
        <f t="shared" si="35"/>
        <v>APC100175-2</v>
      </c>
      <c r="AT140" s="2" t="str">
        <f>IFERROR(IF(VLOOKUP(Y140,vlookup!$I$2:$J$9,1,0)=Y140,VLOOKUP(Y140,vlookup!$I$2:$J$9,2,0),PROPER(Y140)),PROPER(Y140))</f>
        <v>Labor</v>
      </c>
      <c r="AU140" s="2" t="str">
        <f>IFERROR(IF(B140=VLOOKUP(B140,vlookup!$L$2:$L$10,1,0),"Yes","No"),"No")</f>
        <v>No</v>
      </c>
    </row>
    <row r="141" spans="1:47" x14ac:dyDescent="0.25">
      <c r="A141" t="s">
        <v>749</v>
      </c>
      <c r="B141" t="s">
        <v>750</v>
      </c>
      <c r="C141">
        <v>1</v>
      </c>
      <c r="D141">
        <v>1</v>
      </c>
      <c r="E141" t="s">
        <v>382</v>
      </c>
      <c r="F141" t="s">
        <v>346</v>
      </c>
      <c r="G141" t="s">
        <v>697</v>
      </c>
      <c r="H141" s="11" t="s">
        <v>704</v>
      </c>
      <c r="I141">
        <v>102575</v>
      </c>
      <c r="J141" s="22">
        <v>44162</v>
      </c>
      <c r="K141" s="22">
        <v>44202</v>
      </c>
      <c r="L141">
        <v>202012</v>
      </c>
      <c r="M141" s="22">
        <v>44166</v>
      </c>
      <c r="N141">
        <v>77871</v>
      </c>
      <c r="O141" t="s">
        <v>699</v>
      </c>
      <c r="P141" t="s">
        <v>712</v>
      </c>
      <c r="Q141" t="s">
        <v>612</v>
      </c>
      <c r="R141">
        <v>904088</v>
      </c>
      <c r="S141" s="22">
        <v>44307</v>
      </c>
      <c r="T141">
        <v>106443</v>
      </c>
      <c r="U141" t="s">
        <v>356</v>
      </c>
      <c r="V141" s="22">
        <v>44313</v>
      </c>
      <c r="W141" t="s">
        <v>844</v>
      </c>
      <c r="X141" t="s">
        <v>845</v>
      </c>
      <c r="Y141" t="s">
        <v>94</v>
      </c>
      <c r="Z141" t="s">
        <v>583</v>
      </c>
      <c r="AA141">
        <v>-442.4</v>
      </c>
      <c r="AC141" s="2">
        <f t="shared" si="24"/>
        <v>2021</v>
      </c>
      <c r="AD141" s="2">
        <f t="shared" si="25"/>
        <v>4</v>
      </c>
      <c r="AE141" s="2">
        <f t="shared" si="26"/>
        <v>2020</v>
      </c>
      <c r="AF141" s="2">
        <f t="shared" si="27"/>
        <v>11</v>
      </c>
      <c r="AG141" s="2" t="str">
        <f>VLOOKUP(F141,vlookup!$A$2:$E$660,2,0)</f>
        <v>Retained</v>
      </c>
      <c r="AH141" s="2" t="str">
        <f>VLOOKUP(F141,vlookup!$A$2:$E$660,3,0)</f>
        <v>Service Contract</v>
      </c>
      <c r="AI141" s="2" t="str">
        <f>VLOOKUP(F141,vlookup!$A$2:$E$660,4,0)</f>
        <v>Used Car Programs</v>
      </c>
      <c r="AJ141" s="2" t="str">
        <f>VLOOKUP(F141,vlookup!$A$2:$E$660,5,0)</f>
        <v>High Mileage</v>
      </c>
      <c r="AK141" s="2"/>
      <c r="AL141" s="2">
        <f t="shared" si="28"/>
        <v>39</v>
      </c>
      <c r="AM141" s="2">
        <f t="shared" si="29"/>
        <v>150</v>
      </c>
      <c r="AN141" s="2">
        <f t="shared" si="30"/>
        <v>3868</v>
      </c>
      <c r="AO141" s="2" t="str">
        <f t="shared" si="31"/>
        <v/>
      </c>
      <c r="AP141" s="2" t="str">
        <f t="shared" si="32"/>
        <v/>
      </c>
      <c r="AQ141" s="2" t="str">
        <f t="shared" si="33"/>
        <v/>
      </c>
      <c r="AR141" s="2">
        <f t="shared" si="34"/>
        <v>-442.4</v>
      </c>
      <c r="AS141" s="2" t="str">
        <f t="shared" si="35"/>
        <v>SDFBS584439K20-1</v>
      </c>
      <c r="AT141" s="2" t="str">
        <f>IFERROR(IF(VLOOKUP(Y141,vlookup!$I$2:$J$9,1,0)=Y141,VLOOKUP(Y141,vlookup!$I$2:$J$9,2,0),PROPER(Y141)),PROPER(Y141))</f>
        <v>Labor</v>
      </c>
      <c r="AU141" s="2" t="str">
        <f>IFERROR(IF(B141=VLOOKUP(B141,vlookup!$L$2:$L$10,1,0),"Yes","No"),"No")</f>
        <v>No</v>
      </c>
    </row>
    <row r="142" spans="1:47" x14ac:dyDescent="0.25">
      <c r="A142" t="s">
        <v>749</v>
      </c>
      <c r="B142" t="s">
        <v>750</v>
      </c>
      <c r="C142">
        <v>2</v>
      </c>
      <c r="D142">
        <v>1</v>
      </c>
      <c r="E142" t="s">
        <v>382</v>
      </c>
      <c r="F142" t="s">
        <v>346</v>
      </c>
      <c r="G142" t="s">
        <v>697</v>
      </c>
      <c r="H142" s="11" t="s">
        <v>704</v>
      </c>
      <c r="I142">
        <v>102575</v>
      </c>
      <c r="J142" s="22">
        <v>44162</v>
      </c>
      <c r="K142" s="22">
        <v>44202</v>
      </c>
      <c r="L142">
        <v>202012</v>
      </c>
      <c r="M142" s="22">
        <v>44166</v>
      </c>
      <c r="N142">
        <v>77871</v>
      </c>
      <c r="O142" t="s">
        <v>699</v>
      </c>
      <c r="P142" t="s">
        <v>712</v>
      </c>
      <c r="Q142" t="s">
        <v>612</v>
      </c>
      <c r="R142">
        <v>907052</v>
      </c>
      <c r="S142" s="22">
        <v>44359</v>
      </c>
      <c r="T142">
        <v>107857</v>
      </c>
      <c r="U142" t="s">
        <v>356</v>
      </c>
      <c r="V142" s="22">
        <v>44372</v>
      </c>
      <c r="W142" t="s">
        <v>644</v>
      </c>
      <c r="X142" t="s">
        <v>645</v>
      </c>
      <c r="Y142" t="s">
        <v>94</v>
      </c>
      <c r="Z142" t="s">
        <v>579</v>
      </c>
      <c r="AA142">
        <v>-372.5</v>
      </c>
      <c r="AC142" s="2">
        <f t="shared" si="24"/>
        <v>2021</v>
      </c>
      <c r="AD142" s="2">
        <f t="shared" si="25"/>
        <v>6</v>
      </c>
      <c r="AE142" s="2">
        <f t="shared" si="26"/>
        <v>2020</v>
      </c>
      <c r="AF142" s="2">
        <f t="shared" si="27"/>
        <v>11</v>
      </c>
      <c r="AG142" s="2" t="str">
        <f>VLOOKUP(F142,vlookup!$A$2:$E$660,2,0)</f>
        <v>Retained</v>
      </c>
      <c r="AH142" s="2" t="str">
        <f>VLOOKUP(F142,vlookup!$A$2:$E$660,3,0)</f>
        <v>Service Contract</v>
      </c>
      <c r="AI142" s="2" t="str">
        <f>VLOOKUP(F142,vlookup!$A$2:$E$660,4,0)</f>
        <v>Used Car Programs</v>
      </c>
      <c r="AJ142" s="2" t="str">
        <f>VLOOKUP(F142,vlookup!$A$2:$E$660,5,0)</f>
        <v>High Mileage</v>
      </c>
      <c r="AK142" s="2"/>
      <c r="AL142" s="2">
        <f t="shared" si="28"/>
        <v>39</v>
      </c>
      <c r="AM142" s="2">
        <f t="shared" si="29"/>
        <v>208</v>
      </c>
      <c r="AN142" s="2">
        <f t="shared" si="30"/>
        <v>5282</v>
      </c>
      <c r="AO142" s="2" t="str">
        <f t="shared" si="31"/>
        <v/>
      </c>
      <c r="AP142" s="2" t="str">
        <f t="shared" si="32"/>
        <v/>
      </c>
      <c r="AQ142" s="2" t="str">
        <f t="shared" si="33"/>
        <v/>
      </c>
      <c r="AR142" s="2">
        <f t="shared" si="34"/>
        <v>-372.5</v>
      </c>
      <c r="AS142" s="2" t="str">
        <f t="shared" si="35"/>
        <v>SDFBS584439K20-2</v>
      </c>
      <c r="AT142" s="2" t="str">
        <f>IFERROR(IF(VLOOKUP(Y142,vlookup!$I$2:$J$9,1,0)=Y142,VLOOKUP(Y142,vlookup!$I$2:$J$9,2,0),PROPER(Y142)),PROPER(Y142))</f>
        <v>Labor</v>
      </c>
      <c r="AU142" s="2" t="str">
        <f>IFERROR(IF(B142=VLOOKUP(B142,vlookup!$L$2:$L$10,1,0),"Yes","No"),"No")</f>
        <v>No</v>
      </c>
    </row>
    <row r="143" spans="1:47" x14ac:dyDescent="0.25">
      <c r="A143" t="s">
        <v>749</v>
      </c>
      <c r="B143" t="s">
        <v>750</v>
      </c>
      <c r="C143">
        <v>3</v>
      </c>
      <c r="D143">
        <v>1</v>
      </c>
      <c r="E143" t="s">
        <v>382</v>
      </c>
      <c r="F143" t="s">
        <v>346</v>
      </c>
      <c r="G143" t="s">
        <v>697</v>
      </c>
      <c r="H143" s="11" t="s">
        <v>704</v>
      </c>
      <c r="I143">
        <v>102575</v>
      </c>
      <c r="J143" s="22">
        <v>44162</v>
      </c>
      <c r="K143" s="22">
        <v>44202</v>
      </c>
      <c r="L143">
        <v>202012</v>
      </c>
      <c r="M143" s="22">
        <v>44166</v>
      </c>
      <c r="N143">
        <v>77871</v>
      </c>
      <c r="O143" t="s">
        <v>699</v>
      </c>
      <c r="P143" t="s">
        <v>712</v>
      </c>
      <c r="Q143" t="s">
        <v>612</v>
      </c>
      <c r="R143">
        <v>109121</v>
      </c>
      <c r="S143" s="22">
        <v>44575</v>
      </c>
      <c r="T143">
        <v>113199</v>
      </c>
      <c r="U143" t="s">
        <v>356</v>
      </c>
      <c r="V143" s="22">
        <v>44582</v>
      </c>
      <c r="W143" t="s">
        <v>848</v>
      </c>
      <c r="X143" t="s">
        <v>849</v>
      </c>
      <c r="Y143" t="s">
        <v>94</v>
      </c>
      <c r="Z143" t="s">
        <v>662</v>
      </c>
      <c r="AA143">
        <v>-151</v>
      </c>
      <c r="AC143" s="2">
        <f t="shared" si="24"/>
        <v>2022</v>
      </c>
      <c r="AD143" s="2">
        <f t="shared" si="25"/>
        <v>1</v>
      </c>
      <c r="AE143" s="2">
        <f t="shared" si="26"/>
        <v>2020</v>
      </c>
      <c r="AF143" s="2">
        <f t="shared" si="27"/>
        <v>11</v>
      </c>
      <c r="AG143" s="2" t="str">
        <f>VLOOKUP(F143,vlookup!$A$2:$E$660,2,0)</f>
        <v>Retained</v>
      </c>
      <c r="AH143" s="2" t="str">
        <f>VLOOKUP(F143,vlookup!$A$2:$E$660,3,0)</f>
        <v>Service Contract</v>
      </c>
      <c r="AI143" s="2" t="str">
        <f>VLOOKUP(F143,vlookup!$A$2:$E$660,4,0)</f>
        <v>Used Car Programs</v>
      </c>
      <c r="AJ143" s="2" t="str">
        <f>VLOOKUP(F143,vlookup!$A$2:$E$660,5,0)</f>
        <v>High Mileage</v>
      </c>
      <c r="AK143" s="2"/>
      <c r="AL143" s="2">
        <f t="shared" si="28"/>
        <v>39</v>
      </c>
      <c r="AM143" s="2">
        <f t="shared" si="29"/>
        <v>414</v>
      </c>
      <c r="AN143" s="2">
        <f t="shared" si="30"/>
        <v>10624</v>
      </c>
      <c r="AO143" s="2" t="str">
        <f t="shared" si="31"/>
        <v/>
      </c>
      <c r="AP143" s="2" t="str">
        <f t="shared" si="32"/>
        <v/>
      </c>
      <c r="AQ143" s="2" t="str">
        <f t="shared" si="33"/>
        <v/>
      </c>
      <c r="AR143" s="2">
        <f t="shared" si="34"/>
        <v>-151</v>
      </c>
      <c r="AS143" s="2" t="str">
        <f t="shared" si="35"/>
        <v>SDFBS584439K20-3</v>
      </c>
      <c r="AT143" s="2" t="str">
        <f>IFERROR(IF(VLOOKUP(Y143,vlookup!$I$2:$J$9,1,0)=Y143,VLOOKUP(Y143,vlookup!$I$2:$J$9,2,0),PROPER(Y143)),PROPER(Y143))</f>
        <v>Labor</v>
      </c>
      <c r="AU143" s="2" t="str">
        <f>IFERROR(IF(B143=VLOOKUP(B143,vlookup!$L$2:$L$10,1,0),"Yes","No"),"No")</f>
        <v>No</v>
      </c>
    </row>
    <row r="144" spans="1:47" x14ac:dyDescent="0.25">
      <c r="A144" t="s">
        <v>751</v>
      </c>
      <c r="B144" t="s">
        <v>752</v>
      </c>
      <c r="C144">
        <v>1</v>
      </c>
      <c r="D144">
        <v>1</v>
      </c>
      <c r="E144" t="s">
        <v>382</v>
      </c>
      <c r="F144" t="s">
        <v>346</v>
      </c>
      <c r="G144" t="s">
        <v>697</v>
      </c>
      <c r="H144" s="11" t="s">
        <v>704</v>
      </c>
      <c r="I144">
        <v>51402</v>
      </c>
      <c r="J144" s="22">
        <v>44357</v>
      </c>
      <c r="K144" s="22">
        <v>44379</v>
      </c>
      <c r="L144">
        <v>202106</v>
      </c>
      <c r="M144" s="22">
        <v>44348</v>
      </c>
      <c r="N144">
        <v>77871</v>
      </c>
      <c r="O144" t="s">
        <v>699</v>
      </c>
      <c r="P144" t="s">
        <v>712</v>
      </c>
      <c r="Q144" t="s">
        <v>612</v>
      </c>
      <c r="R144">
        <v>103223</v>
      </c>
      <c r="S144" s="22">
        <v>44460</v>
      </c>
      <c r="T144">
        <v>52432</v>
      </c>
      <c r="U144" t="s">
        <v>356</v>
      </c>
      <c r="V144" s="22">
        <v>44462</v>
      </c>
      <c r="W144" t="s">
        <v>842</v>
      </c>
      <c r="X144" t="s">
        <v>843</v>
      </c>
      <c r="Y144" t="s">
        <v>94</v>
      </c>
      <c r="Z144" t="s">
        <v>358</v>
      </c>
      <c r="AA144">
        <v>-327.8</v>
      </c>
      <c r="AC144" s="2">
        <f t="shared" si="24"/>
        <v>2021</v>
      </c>
      <c r="AD144" s="2">
        <f t="shared" si="25"/>
        <v>9</v>
      </c>
      <c r="AE144" s="2">
        <f t="shared" si="26"/>
        <v>2021</v>
      </c>
      <c r="AF144" s="2">
        <f t="shared" si="27"/>
        <v>6</v>
      </c>
      <c r="AG144" s="2" t="str">
        <f>VLOOKUP(F144,vlookup!$A$2:$E$660,2,0)</f>
        <v>Retained</v>
      </c>
      <c r="AH144" s="2" t="str">
        <f>VLOOKUP(F144,vlookup!$A$2:$E$660,3,0)</f>
        <v>Service Contract</v>
      </c>
      <c r="AI144" s="2" t="str">
        <f>VLOOKUP(F144,vlookup!$A$2:$E$660,4,0)</f>
        <v>Used Car Programs</v>
      </c>
      <c r="AJ144" s="2" t="str">
        <f>VLOOKUP(F144,vlookup!$A$2:$E$660,5,0)</f>
        <v>High Mileage</v>
      </c>
      <c r="AK144" s="2"/>
      <c r="AL144" s="2">
        <f t="shared" si="28"/>
        <v>22</v>
      </c>
      <c r="AM144" s="2">
        <f t="shared" si="29"/>
        <v>103</v>
      </c>
      <c r="AN144" s="2">
        <f t="shared" si="30"/>
        <v>1030</v>
      </c>
      <c r="AO144" s="2" t="str">
        <f t="shared" si="31"/>
        <v/>
      </c>
      <c r="AP144" s="2" t="str">
        <f t="shared" si="32"/>
        <v/>
      </c>
      <c r="AQ144" s="2" t="str">
        <f t="shared" si="33"/>
        <v/>
      </c>
      <c r="AR144" s="2">
        <f t="shared" si="34"/>
        <v>-327.8</v>
      </c>
      <c r="AS144" s="2" t="str">
        <f t="shared" si="35"/>
        <v>SDFES576785F21-1</v>
      </c>
      <c r="AT144" s="2" t="str">
        <f>IFERROR(IF(VLOOKUP(Y144,vlookup!$I$2:$J$9,1,0)=Y144,VLOOKUP(Y144,vlookup!$I$2:$J$9,2,0),PROPER(Y144)),PROPER(Y144))</f>
        <v>Labor</v>
      </c>
      <c r="AU144" s="2" t="str">
        <f>IFERROR(IF(B144=VLOOKUP(B144,vlookup!$L$2:$L$10,1,0),"Yes","No"),"No")</f>
        <v>No</v>
      </c>
    </row>
    <row r="145" spans="1:47" x14ac:dyDescent="0.25">
      <c r="A145" t="s">
        <v>850</v>
      </c>
      <c r="B145" t="s">
        <v>851</v>
      </c>
      <c r="C145">
        <v>1</v>
      </c>
      <c r="D145">
        <v>1</v>
      </c>
      <c r="E145" t="s">
        <v>382</v>
      </c>
      <c r="F145" t="s">
        <v>191</v>
      </c>
      <c r="G145" t="s">
        <v>683</v>
      </c>
      <c r="H145" s="11" t="s">
        <v>852</v>
      </c>
      <c r="I145">
        <v>25001</v>
      </c>
      <c r="J145" s="22">
        <v>44340</v>
      </c>
      <c r="K145" s="22">
        <v>44399</v>
      </c>
      <c r="L145">
        <v>202107</v>
      </c>
      <c r="M145" s="22">
        <v>44378</v>
      </c>
      <c r="N145">
        <v>77871</v>
      </c>
      <c r="O145" t="s">
        <v>699</v>
      </c>
      <c r="P145" t="s">
        <v>712</v>
      </c>
      <c r="Q145" t="s">
        <v>612</v>
      </c>
      <c r="R145">
        <v>124094</v>
      </c>
      <c r="S145" s="22">
        <v>44880</v>
      </c>
      <c r="T145">
        <v>50073</v>
      </c>
      <c r="U145" t="s">
        <v>356</v>
      </c>
      <c r="V145" s="22">
        <v>44882</v>
      </c>
      <c r="W145" t="s">
        <v>853</v>
      </c>
      <c r="X145" t="s">
        <v>854</v>
      </c>
      <c r="Y145" t="s">
        <v>94</v>
      </c>
      <c r="Z145" t="s">
        <v>358</v>
      </c>
      <c r="AA145">
        <v>-158</v>
      </c>
      <c r="AC145" s="2">
        <f t="shared" si="24"/>
        <v>2022</v>
      </c>
      <c r="AD145" s="2">
        <f t="shared" si="25"/>
        <v>11</v>
      </c>
      <c r="AE145" s="2">
        <f t="shared" si="26"/>
        <v>2021</v>
      </c>
      <c r="AF145" s="2">
        <f t="shared" si="27"/>
        <v>5</v>
      </c>
      <c r="AG145" s="2" t="str">
        <f>VLOOKUP(F145,vlookup!$A$2:$E$660,2,0)</f>
        <v>Retained</v>
      </c>
      <c r="AH145" s="2" t="str">
        <f>VLOOKUP(F145,vlookup!$A$2:$E$660,3,0)</f>
        <v>Service Contract</v>
      </c>
      <c r="AI145" s="2" t="str">
        <f>VLOOKUP(F145,vlookup!$A$2:$E$660,4,0)</f>
        <v>New Car Programs</v>
      </c>
      <c r="AJ145" s="2" t="str">
        <f>VLOOKUP(F145,vlookup!$A$2:$E$660,5,0)</f>
        <v>High Mileage</v>
      </c>
      <c r="AK145" s="2"/>
      <c r="AL145" s="2">
        <f t="shared" si="28"/>
        <v>58</v>
      </c>
      <c r="AM145" s="2">
        <f t="shared" si="29"/>
        <v>533</v>
      </c>
      <c r="AN145" s="2">
        <f t="shared" si="30"/>
        <v>25072</v>
      </c>
      <c r="AO145" s="2" t="str">
        <f t="shared" si="31"/>
        <v/>
      </c>
      <c r="AP145" s="2" t="str">
        <f t="shared" si="32"/>
        <v/>
      </c>
      <c r="AQ145" s="2" t="str">
        <f t="shared" si="33"/>
        <v/>
      </c>
      <c r="AR145" s="2">
        <f t="shared" si="34"/>
        <v>-158</v>
      </c>
      <c r="AS145" s="2" t="str">
        <f t="shared" si="35"/>
        <v>APC100294-1</v>
      </c>
      <c r="AT145" s="2" t="str">
        <f>IFERROR(IF(VLOOKUP(Y145,vlookup!$I$2:$J$9,1,0)=Y145,VLOOKUP(Y145,vlookup!$I$2:$J$9,2,0),PROPER(Y145)),PROPER(Y145))</f>
        <v>Labor</v>
      </c>
      <c r="AU145" s="2" t="str">
        <f>IFERROR(IF(B145=VLOOKUP(B145,vlookup!$L$2:$L$10,1,0),"Yes","No"),"No")</f>
        <v>No</v>
      </c>
    </row>
    <row r="146" spans="1:47" x14ac:dyDescent="0.25">
      <c r="A146" t="s">
        <v>855</v>
      </c>
      <c r="B146" t="s">
        <v>856</v>
      </c>
      <c r="C146">
        <v>1</v>
      </c>
      <c r="D146">
        <v>1</v>
      </c>
      <c r="E146" t="s">
        <v>382</v>
      </c>
      <c r="F146" t="s">
        <v>207</v>
      </c>
      <c r="G146" t="s">
        <v>683</v>
      </c>
      <c r="H146" s="11" t="s">
        <v>755</v>
      </c>
      <c r="I146">
        <v>57108</v>
      </c>
      <c r="J146" s="22">
        <v>44558</v>
      </c>
      <c r="K146" s="22">
        <v>44623</v>
      </c>
      <c r="L146">
        <v>202202</v>
      </c>
      <c r="M146" s="22">
        <v>44593</v>
      </c>
      <c r="N146">
        <v>77871</v>
      </c>
      <c r="O146" t="s">
        <v>699</v>
      </c>
      <c r="P146" t="s">
        <v>712</v>
      </c>
      <c r="Q146" t="s">
        <v>612</v>
      </c>
      <c r="R146">
        <v>115210</v>
      </c>
      <c r="S146" s="22">
        <v>44698</v>
      </c>
      <c r="T146">
        <v>61724</v>
      </c>
      <c r="U146" t="s">
        <v>356</v>
      </c>
      <c r="V146" s="22">
        <v>44699</v>
      </c>
      <c r="W146" t="s">
        <v>634</v>
      </c>
      <c r="X146" t="s">
        <v>635</v>
      </c>
      <c r="Y146" t="s">
        <v>94</v>
      </c>
      <c r="Z146" t="s">
        <v>583</v>
      </c>
      <c r="AA146">
        <v>-221.2</v>
      </c>
      <c r="AC146" s="2">
        <f t="shared" si="24"/>
        <v>2022</v>
      </c>
      <c r="AD146" s="2">
        <f t="shared" si="25"/>
        <v>5</v>
      </c>
      <c r="AE146" s="2">
        <f t="shared" si="26"/>
        <v>2021</v>
      </c>
      <c r="AF146" s="2">
        <f t="shared" si="27"/>
        <v>12</v>
      </c>
      <c r="AG146" s="2" t="str">
        <f>VLOOKUP(F146,vlookup!$A$2:$E$660,2,0)</f>
        <v>Retained</v>
      </c>
      <c r="AH146" s="2" t="str">
        <f>VLOOKUP(F146,vlookup!$A$2:$E$660,3,0)</f>
        <v>Service Contract</v>
      </c>
      <c r="AI146" s="2" t="str">
        <f>VLOOKUP(F146,vlookup!$A$2:$E$660,4,0)</f>
        <v>Used Car Programs</v>
      </c>
      <c r="AJ146" s="2" t="str">
        <f>VLOOKUP(F146,vlookup!$A$2:$E$660,5,0)</f>
        <v>High Mileage</v>
      </c>
      <c r="AK146" s="2"/>
      <c r="AL146" s="2">
        <f t="shared" si="28"/>
        <v>65</v>
      </c>
      <c r="AM146" s="2">
        <f t="shared" si="29"/>
        <v>140</v>
      </c>
      <c r="AN146" s="2">
        <f t="shared" si="30"/>
        <v>4616</v>
      </c>
      <c r="AO146" s="2" t="str">
        <f t="shared" si="31"/>
        <v/>
      </c>
      <c r="AP146" s="2" t="str">
        <f t="shared" si="32"/>
        <v/>
      </c>
      <c r="AQ146" s="2" t="str">
        <f t="shared" si="33"/>
        <v/>
      </c>
      <c r="AR146" s="2">
        <f t="shared" si="34"/>
        <v>-221.2</v>
      </c>
      <c r="AS146" s="2" t="str">
        <f t="shared" si="35"/>
        <v>APC500645-1</v>
      </c>
      <c r="AT146" s="2" t="str">
        <f>IFERROR(IF(VLOOKUP(Y146,vlookup!$I$2:$J$9,1,0)=Y146,VLOOKUP(Y146,vlookup!$I$2:$J$9,2,0),PROPER(Y146)),PROPER(Y146))</f>
        <v>Labor</v>
      </c>
      <c r="AU146" s="2" t="str">
        <f>IFERROR(IF(B146=VLOOKUP(B146,vlookup!$L$2:$L$10,1,0),"Yes","No"),"No")</f>
        <v>No</v>
      </c>
    </row>
    <row r="147" spans="1:47" x14ac:dyDescent="0.25">
      <c r="A147" t="s">
        <v>855</v>
      </c>
      <c r="B147" t="s">
        <v>856</v>
      </c>
      <c r="C147">
        <v>2</v>
      </c>
      <c r="D147">
        <v>1</v>
      </c>
      <c r="E147" t="s">
        <v>382</v>
      </c>
      <c r="F147" t="s">
        <v>207</v>
      </c>
      <c r="G147" t="s">
        <v>683</v>
      </c>
      <c r="H147" s="11" t="s">
        <v>755</v>
      </c>
      <c r="I147">
        <v>57108</v>
      </c>
      <c r="J147" s="22">
        <v>44558</v>
      </c>
      <c r="K147" s="22">
        <v>44623</v>
      </c>
      <c r="L147">
        <v>202202</v>
      </c>
      <c r="M147" s="22">
        <v>44593</v>
      </c>
      <c r="N147">
        <v>77871</v>
      </c>
      <c r="O147" t="s">
        <v>699</v>
      </c>
      <c r="P147" t="s">
        <v>746</v>
      </c>
      <c r="Q147" t="s">
        <v>544</v>
      </c>
      <c r="R147">
        <v>121041</v>
      </c>
      <c r="S147" s="22">
        <v>44819</v>
      </c>
      <c r="T147">
        <v>65796</v>
      </c>
      <c r="U147" t="s">
        <v>356</v>
      </c>
      <c r="V147" s="22">
        <v>44834</v>
      </c>
      <c r="W147" t="s">
        <v>573</v>
      </c>
      <c r="X147" t="s">
        <v>574</v>
      </c>
      <c r="Y147" t="s">
        <v>94</v>
      </c>
      <c r="Z147" t="s">
        <v>575</v>
      </c>
      <c r="AA147">
        <v>-134.94999999999999</v>
      </c>
      <c r="AC147" s="2">
        <f t="shared" si="24"/>
        <v>2022</v>
      </c>
      <c r="AD147" s="2">
        <f t="shared" si="25"/>
        <v>9</v>
      </c>
      <c r="AE147" s="2">
        <f t="shared" si="26"/>
        <v>2021</v>
      </c>
      <c r="AF147" s="2">
        <f t="shared" si="27"/>
        <v>12</v>
      </c>
      <c r="AG147" s="2" t="str">
        <f>VLOOKUP(F147,vlookup!$A$2:$E$660,2,0)</f>
        <v>Retained</v>
      </c>
      <c r="AH147" s="2" t="str">
        <f>VLOOKUP(F147,vlookup!$A$2:$E$660,3,0)</f>
        <v>Service Contract</v>
      </c>
      <c r="AI147" s="2" t="str">
        <f>VLOOKUP(F147,vlookup!$A$2:$E$660,4,0)</f>
        <v>Used Car Programs</v>
      </c>
      <c r="AJ147" s="2" t="str">
        <f>VLOOKUP(F147,vlookup!$A$2:$E$660,5,0)</f>
        <v>High Mileage</v>
      </c>
      <c r="AK147" s="2"/>
      <c r="AL147" s="2">
        <f t="shared" si="28"/>
        <v>65</v>
      </c>
      <c r="AM147" s="2">
        <f t="shared" si="29"/>
        <v>272</v>
      </c>
      <c r="AN147" s="2">
        <f t="shared" si="30"/>
        <v>8688</v>
      </c>
      <c r="AO147" s="2" t="str">
        <f t="shared" si="31"/>
        <v/>
      </c>
      <c r="AP147" s="2" t="str">
        <f t="shared" si="32"/>
        <v/>
      </c>
      <c r="AQ147" s="2" t="str">
        <f t="shared" si="33"/>
        <v/>
      </c>
      <c r="AR147" s="2">
        <f t="shared" si="34"/>
        <v>-134.94999999999999</v>
      </c>
      <c r="AS147" s="2" t="str">
        <f t="shared" si="35"/>
        <v>APC500645-2</v>
      </c>
      <c r="AT147" s="2" t="str">
        <f>IFERROR(IF(VLOOKUP(Y147,vlookup!$I$2:$J$9,1,0)=Y147,VLOOKUP(Y147,vlookup!$I$2:$J$9,2,0),PROPER(Y147)),PROPER(Y147))</f>
        <v>Labor</v>
      </c>
      <c r="AU147" s="2" t="str">
        <f>IFERROR(IF(B147=VLOOKUP(B147,vlookup!$L$2:$L$10,1,0),"Yes","No"),"No")</f>
        <v>No</v>
      </c>
    </row>
    <row r="148" spans="1:47" x14ac:dyDescent="0.25">
      <c r="A148" t="s">
        <v>855</v>
      </c>
      <c r="B148" t="s">
        <v>856</v>
      </c>
      <c r="C148">
        <v>2</v>
      </c>
      <c r="D148">
        <v>1</v>
      </c>
      <c r="E148" t="s">
        <v>382</v>
      </c>
      <c r="F148" t="s">
        <v>207</v>
      </c>
      <c r="G148" t="s">
        <v>683</v>
      </c>
      <c r="H148" s="11" t="s">
        <v>755</v>
      </c>
      <c r="I148">
        <v>57108</v>
      </c>
      <c r="J148" s="22">
        <v>44558</v>
      </c>
      <c r="K148" s="22">
        <v>44623</v>
      </c>
      <c r="L148">
        <v>202202</v>
      </c>
      <c r="M148" s="22">
        <v>44593</v>
      </c>
      <c r="N148">
        <v>77871</v>
      </c>
      <c r="O148" t="s">
        <v>699</v>
      </c>
      <c r="P148" t="s">
        <v>746</v>
      </c>
      <c r="Q148" t="s">
        <v>544</v>
      </c>
      <c r="R148">
        <v>121041</v>
      </c>
      <c r="S148" s="22">
        <v>44819</v>
      </c>
      <c r="T148">
        <v>65796</v>
      </c>
      <c r="U148" t="s">
        <v>356</v>
      </c>
      <c r="V148" s="22">
        <v>44834</v>
      </c>
      <c r="W148" t="s">
        <v>654</v>
      </c>
      <c r="X148" t="s">
        <v>655</v>
      </c>
      <c r="Y148" t="s">
        <v>94</v>
      </c>
      <c r="Z148" t="s">
        <v>579</v>
      </c>
      <c r="AA148">
        <v>-426.6</v>
      </c>
      <c r="AC148" s="2">
        <f t="shared" si="24"/>
        <v>2022</v>
      </c>
      <c r="AD148" s="2">
        <f t="shared" si="25"/>
        <v>9</v>
      </c>
      <c r="AE148" s="2">
        <f t="shared" si="26"/>
        <v>2021</v>
      </c>
      <c r="AF148" s="2">
        <f t="shared" si="27"/>
        <v>12</v>
      </c>
      <c r="AG148" s="2" t="str">
        <f>VLOOKUP(F148,vlookup!$A$2:$E$660,2,0)</f>
        <v>Retained</v>
      </c>
      <c r="AH148" s="2" t="str">
        <f>VLOOKUP(F148,vlookup!$A$2:$E$660,3,0)</f>
        <v>Service Contract</v>
      </c>
      <c r="AI148" s="2" t="str">
        <f>VLOOKUP(F148,vlookup!$A$2:$E$660,4,0)</f>
        <v>Used Car Programs</v>
      </c>
      <c r="AJ148" s="2" t="str">
        <f>VLOOKUP(F148,vlookup!$A$2:$E$660,5,0)</f>
        <v>High Mileage</v>
      </c>
      <c r="AK148" s="2"/>
      <c r="AL148" s="2">
        <f t="shared" si="28"/>
        <v>65</v>
      </c>
      <c r="AM148" s="2">
        <f t="shared" si="29"/>
        <v>272</v>
      </c>
      <c r="AN148" s="2">
        <f t="shared" si="30"/>
        <v>8688</v>
      </c>
      <c r="AO148" s="2" t="str">
        <f t="shared" si="31"/>
        <v/>
      </c>
      <c r="AP148" s="2" t="str">
        <f t="shared" si="32"/>
        <v/>
      </c>
      <c r="AQ148" s="2" t="str">
        <f t="shared" si="33"/>
        <v/>
      </c>
      <c r="AR148" s="2">
        <f t="shared" si="34"/>
        <v>-426.6</v>
      </c>
      <c r="AS148" s="2" t="str">
        <f t="shared" si="35"/>
        <v>APC500645-2</v>
      </c>
      <c r="AT148" s="2" t="str">
        <f>IFERROR(IF(VLOOKUP(Y148,vlookup!$I$2:$J$9,1,0)=Y148,VLOOKUP(Y148,vlookup!$I$2:$J$9,2,0),PROPER(Y148)),PROPER(Y148))</f>
        <v>Labor</v>
      </c>
      <c r="AU148" s="2" t="str">
        <f>IFERROR(IF(B148=VLOOKUP(B148,vlookup!$L$2:$L$10,1,0),"Yes","No"),"No")</f>
        <v>No</v>
      </c>
    </row>
    <row r="149" spans="1:47" x14ac:dyDescent="0.25">
      <c r="A149" t="s">
        <v>753</v>
      </c>
      <c r="B149" t="s">
        <v>754</v>
      </c>
      <c r="C149">
        <v>1</v>
      </c>
      <c r="D149">
        <v>1</v>
      </c>
      <c r="E149" t="s">
        <v>382</v>
      </c>
      <c r="F149" t="s">
        <v>346</v>
      </c>
      <c r="G149" t="s">
        <v>683</v>
      </c>
      <c r="H149" s="11" t="s">
        <v>755</v>
      </c>
      <c r="I149">
        <v>51474</v>
      </c>
      <c r="J149" s="22">
        <v>44343</v>
      </c>
      <c r="K149" s="22">
        <v>44383</v>
      </c>
      <c r="L149">
        <v>202106</v>
      </c>
      <c r="M149" s="22">
        <v>44348</v>
      </c>
      <c r="N149">
        <v>77871</v>
      </c>
      <c r="O149" t="s">
        <v>699</v>
      </c>
      <c r="P149" t="s">
        <v>756</v>
      </c>
      <c r="Q149" t="s">
        <v>612</v>
      </c>
      <c r="R149">
        <v>25838</v>
      </c>
      <c r="S149" s="22">
        <v>44453</v>
      </c>
      <c r="T149">
        <v>56387</v>
      </c>
      <c r="U149" t="s">
        <v>357</v>
      </c>
      <c r="V149" s="22">
        <v>44496</v>
      </c>
      <c r="W149" t="s">
        <v>652</v>
      </c>
      <c r="X149" t="s">
        <v>653</v>
      </c>
      <c r="Y149" t="s">
        <v>94</v>
      </c>
      <c r="Z149" t="s">
        <v>365</v>
      </c>
      <c r="AA149">
        <v>-400</v>
      </c>
      <c r="AC149" s="2">
        <f t="shared" si="24"/>
        <v>2021</v>
      </c>
      <c r="AD149" s="2">
        <f t="shared" si="25"/>
        <v>10</v>
      </c>
      <c r="AE149" s="2">
        <f t="shared" si="26"/>
        <v>2021</v>
      </c>
      <c r="AF149" s="2">
        <f t="shared" si="27"/>
        <v>5</v>
      </c>
      <c r="AG149" s="2" t="str">
        <f>VLOOKUP(F149,vlookup!$A$2:$E$660,2,0)</f>
        <v>Retained</v>
      </c>
      <c r="AH149" s="2" t="str">
        <f>VLOOKUP(F149,vlookup!$A$2:$E$660,3,0)</f>
        <v>Service Contract</v>
      </c>
      <c r="AI149" s="2" t="str">
        <f>VLOOKUP(F149,vlookup!$A$2:$E$660,4,0)</f>
        <v>Used Car Programs</v>
      </c>
      <c r="AJ149" s="2" t="str">
        <f>VLOOKUP(F149,vlookup!$A$2:$E$660,5,0)</f>
        <v>High Mileage</v>
      </c>
      <c r="AK149" s="2"/>
      <c r="AL149" s="2">
        <f t="shared" si="28"/>
        <v>39</v>
      </c>
      <c r="AM149" s="2">
        <f t="shared" si="29"/>
        <v>150</v>
      </c>
      <c r="AN149" s="2">
        <f t="shared" si="30"/>
        <v>4913</v>
      </c>
      <c r="AO149" s="2" t="str">
        <f t="shared" si="31"/>
        <v/>
      </c>
      <c r="AP149" s="2" t="str">
        <f t="shared" si="32"/>
        <v/>
      </c>
      <c r="AQ149" s="2" t="str">
        <f t="shared" si="33"/>
        <v/>
      </c>
      <c r="AR149" s="2">
        <f t="shared" si="34"/>
        <v>-400</v>
      </c>
      <c r="AS149" s="2" t="str">
        <f t="shared" si="35"/>
        <v>SDFGB623095E21-1</v>
      </c>
      <c r="AT149" s="2" t="str">
        <f>IFERROR(IF(VLOOKUP(Y149,vlookup!$I$2:$J$9,1,0)=Y149,VLOOKUP(Y149,vlookup!$I$2:$J$9,2,0),PROPER(Y149)),PROPER(Y149))</f>
        <v>Labor</v>
      </c>
      <c r="AU149" s="2" t="str">
        <f>IFERROR(IF(B149=VLOOKUP(B149,vlookup!$L$2:$L$10,1,0),"Yes","No"),"No")</f>
        <v>No</v>
      </c>
    </row>
    <row r="150" spans="1:47" x14ac:dyDescent="0.25">
      <c r="A150" t="s">
        <v>753</v>
      </c>
      <c r="B150" t="s">
        <v>754</v>
      </c>
      <c r="C150">
        <v>3</v>
      </c>
      <c r="D150">
        <v>1</v>
      </c>
      <c r="E150" t="s">
        <v>382</v>
      </c>
      <c r="F150" t="s">
        <v>346</v>
      </c>
      <c r="G150" t="s">
        <v>683</v>
      </c>
      <c r="H150" s="11" t="s">
        <v>755</v>
      </c>
      <c r="I150">
        <v>51474</v>
      </c>
      <c r="J150" s="22">
        <v>44343</v>
      </c>
      <c r="K150" s="22">
        <v>44383</v>
      </c>
      <c r="L150">
        <v>202106</v>
      </c>
      <c r="M150" s="22">
        <v>44348</v>
      </c>
      <c r="N150">
        <v>77871</v>
      </c>
      <c r="O150" t="s">
        <v>699</v>
      </c>
      <c r="P150" t="s">
        <v>746</v>
      </c>
      <c r="Q150" t="s">
        <v>544</v>
      </c>
      <c r="R150">
        <v>121325</v>
      </c>
      <c r="S150" s="22">
        <v>44825</v>
      </c>
      <c r="T150">
        <v>71996</v>
      </c>
      <c r="U150" t="s">
        <v>356</v>
      </c>
      <c r="V150" s="22">
        <v>44833</v>
      </c>
      <c r="W150" t="s">
        <v>857</v>
      </c>
      <c r="X150" t="s">
        <v>858</v>
      </c>
      <c r="Y150" t="s">
        <v>94</v>
      </c>
      <c r="Z150" t="s">
        <v>365</v>
      </c>
      <c r="AA150">
        <v>-395</v>
      </c>
      <c r="AC150" s="2">
        <f t="shared" si="24"/>
        <v>2022</v>
      </c>
      <c r="AD150" s="2">
        <f t="shared" si="25"/>
        <v>9</v>
      </c>
      <c r="AE150" s="2">
        <f t="shared" si="26"/>
        <v>2021</v>
      </c>
      <c r="AF150" s="2">
        <f t="shared" si="27"/>
        <v>5</v>
      </c>
      <c r="AG150" s="2" t="str">
        <f>VLOOKUP(F150,vlookup!$A$2:$E$660,2,0)</f>
        <v>Retained</v>
      </c>
      <c r="AH150" s="2" t="str">
        <f>VLOOKUP(F150,vlookup!$A$2:$E$660,3,0)</f>
        <v>Service Contract</v>
      </c>
      <c r="AI150" s="2" t="str">
        <f>VLOOKUP(F150,vlookup!$A$2:$E$660,4,0)</f>
        <v>Used Car Programs</v>
      </c>
      <c r="AJ150" s="2" t="str">
        <f>VLOOKUP(F150,vlookup!$A$2:$E$660,5,0)</f>
        <v>High Mileage</v>
      </c>
      <c r="AK150" s="2"/>
      <c r="AL150" s="2">
        <f t="shared" si="28"/>
        <v>39</v>
      </c>
      <c r="AM150" s="2">
        <f t="shared" si="29"/>
        <v>482</v>
      </c>
      <c r="AN150" s="2">
        <f t="shared" si="30"/>
        <v>20522</v>
      </c>
      <c r="AO150" s="2" t="str">
        <f t="shared" si="31"/>
        <v/>
      </c>
      <c r="AP150" s="2" t="str">
        <f t="shared" si="32"/>
        <v/>
      </c>
      <c r="AQ150" s="2" t="str">
        <f t="shared" si="33"/>
        <v/>
      </c>
      <c r="AR150" s="2">
        <f t="shared" si="34"/>
        <v>-395</v>
      </c>
      <c r="AS150" s="2" t="str">
        <f t="shared" si="35"/>
        <v>SDFGB623095E21-3</v>
      </c>
      <c r="AT150" s="2" t="str">
        <f>IFERROR(IF(VLOOKUP(Y150,vlookup!$I$2:$J$9,1,0)=Y150,VLOOKUP(Y150,vlookup!$I$2:$J$9,2,0),PROPER(Y150)),PROPER(Y150))</f>
        <v>Labor</v>
      </c>
      <c r="AU150" s="2" t="str">
        <f>IFERROR(IF(B150=VLOOKUP(B150,vlookup!$L$2:$L$10,1,0),"Yes","No"),"No")</f>
        <v>No</v>
      </c>
    </row>
    <row r="151" spans="1:47" x14ac:dyDescent="0.25">
      <c r="A151" t="s">
        <v>753</v>
      </c>
      <c r="B151" t="s">
        <v>754</v>
      </c>
      <c r="C151">
        <v>3</v>
      </c>
      <c r="D151">
        <v>1</v>
      </c>
      <c r="E151" t="s">
        <v>382</v>
      </c>
      <c r="F151" t="s">
        <v>346</v>
      </c>
      <c r="G151" t="s">
        <v>683</v>
      </c>
      <c r="H151" s="11" t="s">
        <v>755</v>
      </c>
      <c r="I151">
        <v>51474</v>
      </c>
      <c r="J151" s="22">
        <v>44343</v>
      </c>
      <c r="K151" s="22">
        <v>44383</v>
      </c>
      <c r="L151">
        <v>202106</v>
      </c>
      <c r="M151" s="22">
        <v>44348</v>
      </c>
      <c r="N151">
        <v>77871</v>
      </c>
      <c r="O151" t="s">
        <v>699</v>
      </c>
      <c r="P151" t="s">
        <v>746</v>
      </c>
      <c r="Q151" t="s">
        <v>544</v>
      </c>
      <c r="R151">
        <v>121325</v>
      </c>
      <c r="S151" s="22">
        <v>44825</v>
      </c>
      <c r="T151">
        <v>71996</v>
      </c>
      <c r="U151" t="s">
        <v>356</v>
      </c>
      <c r="V151" s="22">
        <v>44833</v>
      </c>
      <c r="W151" t="s">
        <v>859</v>
      </c>
      <c r="X151" t="s">
        <v>860</v>
      </c>
      <c r="Y151" t="s">
        <v>94</v>
      </c>
      <c r="Z151" t="s">
        <v>358</v>
      </c>
      <c r="AA151">
        <v>-237</v>
      </c>
      <c r="AC151" s="2">
        <f t="shared" si="24"/>
        <v>2022</v>
      </c>
      <c r="AD151" s="2">
        <f t="shared" si="25"/>
        <v>9</v>
      </c>
      <c r="AE151" s="2">
        <f t="shared" si="26"/>
        <v>2021</v>
      </c>
      <c r="AF151" s="2">
        <f t="shared" si="27"/>
        <v>5</v>
      </c>
      <c r="AG151" s="2" t="str">
        <f>VLOOKUP(F151,vlookup!$A$2:$E$660,2,0)</f>
        <v>Retained</v>
      </c>
      <c r="AH151" s="2" t="str">
        <f>VLOOKUP(F151,vlookup!$A$2:$E$660,3,0)</f>
        <v>Service Contract</v>
      </c>
      <c r="AI151" s="2" t="str">
        <f>VLOOKUP(F151,vlookup!$A$2:$E$660,4,0)</f>
        <v>Used Car Programs</v>
      </c>
      <c r="AJ151" s="2" t="str">
        <f>VLOOKUP(F151,vlookup!$A$2:$E$660,5,0)</f>
        <v>High Mileage</v>
      </c>
      <c r="AK151" s="2"/>
      <c r="AL151" s="2">
        <f t="shared" si="28"/>
        <v>39</v>
      </c>
      <c r="AM151" s="2">
        <f t="shared" si="29"/>
        <v>482</v>
      </c>
      <c r="AN151" s="2">
        <f t="shared" si="30"/>
        <v>20522</v>
      </c>
      <c r="AO151" s="2" t="str">
        <f t="shared" si="31"/>
        <v/>
      </c>
      <c r="AP151" s="2" t="str">
        <f t="shared" si="32"/>
        <v/>
      </c>
      <c r="AQ151" s="2" t="str">
        <f t="shared" si="33"/>
        <v/>
      </c>
      <c r="AR151" s="2">
        <f t="shared" si="34"/>
        <v>-237</v>
      </c>
      <c r="AS151" s="2" t="str">
        <f t="shared" si="35"/>
        <v>SDFGB623095E21-3</v>
      </c>
      <c r="AT151" s="2" t="str">
        <f>IFERROR(IF(VLOOKUP(Y151,vlookup!$I$2:$J$9,1,0)=Y151,VLOOKUP(Y151,vlookup!$I$2:$J$9,2,0),PROPER(Y151)),PROPER(Y151))</f>
        <v>Labor</v>
      </c>
      <c r="AU151" s="2" t="str">
        <f>IFERROR(IF(B151=VLOOKUP(B151,vlookup!$L$2:$L$10,1,0),"Yes","No"),"No")</f>
        <v>No</v>
      </c>
    </row>
    <row r="152" spans="1:47" x14ac:dyDescent="0.25">
      <c r="A152" t="s">
        <v>753</v>
      </c>
      <c r="B152" t="s">
        <v>754</v>
      </c>
      <c r="C152">
        <v>4</v>
      </c>
      <c r="D152">
        <v>1</v>
      </c>
      <c r="E152" t="s">
        <v>382</v>
      </c>
      <c r="F152" t="s">
        <v>346</v>
      </c>
      <c r="G152" t="s">
        <v>683</v>
      </c>
      <c r="H152" s="11" t="s">
        <v>755</v>
      </c>
      <c r="I152">
        <v>51474</v>
      </c>
      <c r="J152" s="22">
        <v>44343</v>
      </c>
      <c r="K152" s="22">
        <v>44383</v>
      </c>
      <c r="L152">
        <v>202106</v>
      </c>
      <c r="M152" s="22">
        <v>44348</v>
      </c>
      <c r="N152">
        <v>77871</v>
      </c>
      <c r="O152" t="s">
        <v>699</v>
      </c>
      <c r="P152" t="s">
        <v>746</v>
      </c>
      <c r="Q152" t="s">
        <v>544</v>
      </c>
      <c r="R152">
        <v>121883</v>
      </c>
      <c r="S152" s="22">
        <v>44834</v>
      </c>
      <c r="T152">
        <v>72002</v>
      </c>
      <c r="U152" t="s">
        <v>356</v>
      </c>
      <c r="V152" s="22">
        <v>44843</v>
      </c>
      <c r="W152" t="s">
        <v>631</v>
      </c>
      <c r="X152" t="s">
        <v>632</v>
      </c>
      <c r="Y152" t="s">
        <v>94</v>
      </c>
      <c r="Z152" t="s">
        <v>576</v>
      </c>
      <c r="AA152">
        <v>-442.4</v>
      </c>
      <c r="AC152" s="2">
        <f t="shared" si="24"/>
        <v>2022</v>
      </c>
      <c r="AD152" s="2">
        <f t="shared" si="25"/>
        <v>10</v>
      </c>
      <c r="AE152" s="2">
        <f t="shared" si="26"/>
        <v>2021</v>
      </c>
      <c r="AF152" s="2">
        <f t="shared" si="27"/>
        <v>5</v>
      </c>
      <c r="AG152" s="2" t="str">
        <f>VLOOKUP(F152,vlookup!$A$2:$E$660,2,0)</f>
        <v>Retained</v>
      </c>
      <c r="AH152" s="2" t="str">
        <f>VLOOKUP(F152,vlookup!$A$2:$E$660,3,0)</f>
        <v>Service Contract</v>
      </c>
      <c r="AI152" s="2" t="str">
        <f>VLOOKUP(F152,vlookup!$A$2:$E$660,4,0)</f>
        <v>Used Car Programs</v>
      </c>
      <c r="AJ152" s="2" t="str">
        <f>VLOOKUP(F152,vlookup!$A$2:$E$660,5,0)</f>
        <v>High Mileage</v>
      </c>
      <c r="AK152" s="2"/>
      <c r="AL152" s="2">
        <f t="shared" si="28"/>
        <v>39</v>
      </c>
      <c r="AM152" s="2">
        <f t="shared" si="29"/>
        <v>492</v>
      </c>
      <c r="AN152" s="2">
        <f t="shared" si="30"/>
        <v>20528</v>
      </c>
      <c r="AO152" s="2" t="str">
        <f t="shared" si="31"/>
        <v/>
      </c>
      <c r="AP152" s="2" t="str">
        <f t="shared" si="32"/>
        <v/>
      </c>
      <c r="AQ152" s="2" t="str">
        <f t="shared" si="33"/>
        <v/>
      </c>
      <c r="AR152" s="2">
        <f t="shared" si="34"/>
        <v>-442.4</v>
      </c>
      <c r="AS152" s="2" t="str">
        <f t="shared" si="35"/>
        <v>SDFGB623095E21-4</v>
      </c>
      <c r="AT152" s="2" t="str">
        <f>IFERROR(IF(VLOOKUP(Y152,vlookup!$I$2:$J$9,1,0)=Y152,VLOOKUP(Y152,vlookup!$I$2:$J$9,2,0),PROPER(Y152)),PROPER(Y152))</f>
        <v>Labor</v>
      </c>
      <c r="AU152" s="2" t="str">
        <f>IFERROR(IF(B152=VLOOKUP(B152,vlookup!$L$2:$L$10,1,0),"Yes","No"),"No")</f>
        <v>No</v>
      </c>
    </row>
    <row r="153" spans="1:47" x14ac:dyDescent="0.25">
      <c r="A153" t="s">
        <v>753</v>
      </c>
      <c r="B153" t="s">
        <v>754</v>
      </c>
      <c r="C153">
        <v>4</v>
      </c>
      <c r="D153">
        <v>1</v>
      </c>
      <c r="E153" t="s">
        <v>382</v>
      </c>
      <c r="F153" t="s">
        <v>346</v>
      </c>
      <c r="G153" t="s">
        <v>683</v>
      </c>
      <c r="H153" s="11" t="s">
        <v>755</v>
      </c>
      <c r="I153">
        <v>51474</v>
      </c>
      <c r="J153" s="22">
        <v>44343</v>
      </c>
      <c r="K153" s="22">
        <v>44383</v>
      </c>
      <c r="L153">
        <v>202106</v>
      </c>
      <c r="M153" s="22">
        <v>44348</v>
      </c>
      <c r="N153">
        <v>77871</v>
      </c>
      <c r="O153" t="s">
        <v>699</v>
      </c>
      <c r="P153" t="s">
        <v>746</v>
      </c>
      <c r="Q153" t="s">
        <v>544</v>
      </c>
      <c r="R153">
        <v>121883</v>
      </c>
      <c r="S153" s="22">
        <v>44834</v>
      </c>
      <c r="T153">
        <v>72002</v>
      </c>
      <c r="U153" t="s">
        <v>356</v>
      </c>
      <c r="V153" s="22">
        <v>44843</v>
      </c>
      <c r="W153" t="s">
        <v>577</v>
      </c>
      <c r="X153" t="s">
        <v>578</v>
      </c>
      <c r="Y153" t="s">
        <v>94</v>
      </c>
      <c r="Z153" t="s">
        <v>576</v>
      </c>
      <c r="AA153">
        <v>-221.2</v>
      </c>
      <c r="AC153" s="2">
        <f t="shared" si="24"/>
        <v>2022</v>
      </c>
      <c r="AD153" s="2">
        <f t="shared" si="25"/>
        <v>10</v>
      </c>
      <c r="AE153" s="2">
        <f t="shared" si="26"/>
        <v>2021</v>
      </c>
      <c r="AF153" s="2">
        <f t="shared" si="27"/>
        <v>5</v>
      </c>
      <c r="AG153" s="2" t="str">
        <f>VLOOKUP(F153,vlookup!$A$2:$E$660,2,0)</f>
        <v>Retained</v>
      </c>
      <c r="AH153" s="2" t="str">
        <f>VLOOKUP(F153,vlookup!$A$2:$E$660,3,0)</f>
        <v>Service Contract</v>
      </c>
      <c r="AI153" s="2" t="str">
        <f>VLOOKUP(F153,vlookup!$A$2:$E$660,4,0)</f>
        <v>Used Car Programs</v>
      </c>
      <c r="AJ153" s="2" t="str">
        <f>VLOOKUP(F153,vlookup!$A$2:$E$660,5,0)</f>
        <v>High Mileage</v>
      </c>
      <c r="AK153" s="2"/>
      <c r="AL153" s="2">
        <f t="shared" si="28"/>
        <v>39</v>
      </c>
      <c r="AM153" s="2">
        <f t="shared" si="29"/>
        <v>492</v>
      </c>
      <c r="AN153" s="2">
        <f t="shared" si="30"/>
        <v>20528</v>
      </c>
      <c r="AO153" s="2" t="str">
        <f t="shared" si="31"/>
        <v/>
      </c>
      <c r="AP153" s="2" t="str">
        <f t="shared" si="32"/>
        <v/>
      </c>
      <c r="AQ153" s="2" t="str">
        <f t="shared" si="33"/>
        <v/>
      </c>
      <c r="AR153" s="2">
        <f t="shared" si="34"/>
        <v>-221.2</v>
      </c>
      <c r="AS153" s="2" t="str">
        <f t="shared" si="35"/>
        <v>SDFGB623095E21-4</v>
      </c>
      <c r="AT153" s="2" t="str">
        <f>IFERROR(IF(VLOOKUP(Y153,vlookup!$I$2:$J$9,1,0)=Y153,VLOOKUP(Y153,vlookup!$I$2:$J$9,2,0),PROPER(Y153)),PROPER(Y153))</f>
        <v>Labor</v>
      </c>
      <c r="AU153" s="2" t="str">
        <f>IFERROR(IF(B153=VLOOKUP(B153,vlookup!$L$2:$L$10,1,0),"Yes","No"),"No")</f>
        <v>No</v>
      </c>
    </row>
    <row r="154" spans="1:47" x14ac:dyDescent="0.25">
      <c r="A154" t="s">
        <v>861</v>
      </c>
      <c r="B154" t="s">
        <v>862</v>
      </c>
      <c r="C154">
        <v>1</v>
      </c>
      <c r="D154">
        <v>1</v>
      </c>
      <c r="E154" t="s">
        <v>382</v>
      </c>
      <c r="F154" t="s">
        <v>191</v>
      </c>
      <c r="G154" t="s">
        <v>683</v>
      </c>
      <c r="H154" s="11" t="s">
        <v>745</v>
      </c>
      <c r="I154">
        <v>23655</v>
      </c>
      <c r="J154" s="22">
        <v>44378</v>
      </c>
      <c r="K154" s="22">
        <v>44442</v>
      </c>
      <c r="L154">
        <v>202108</v>
      </c>
      <c r="M154" s="22">
        <v>44409</v>
      </c>
      <c r="N154">
        <v>77871</v>
      </c>
      <c r="O154" t="s">
        <v>699</v>
      </c>
      <c r="P154" t="s">
        <v>712</v>
      </c>
      <c r="Q154" t="s">
        <v>612</v>
      </c>
      <c r="R154">
        <v>198</v>
      </c>
      <c r="S154" s="22">
        <v>44692</v>
      </c>
      <c r="T154">
        <v>43263</v>
      </c>
      <c r="U154" t="s">
        <v>356</v>
      </c>
      <c r="V154" s="22">
        <v>44693</v>
      </c>
      <c r="W154" t="s">
        <v>577</v>
      </c>
      <c r="X154" t="s">
        <v>578</v>
      </c>
      <c r="Y154" t="s">
        <v>94</v>
      </c>
      <c r="Z154" t="s">
        <v>576</v>
      </c>
      <c r="AA154">
        <v>-221.2</v>
      </c>
      <c r="AC154" s="2">
        <f t="shared" ref="AC154:AC217" si="36">YEAR(V154)</f>
        <v>2022</v>
      </c>
      <c r="AD154" s="2">
        <f t="shared" ref="AD154:AD217" si="37">MONTH(V154)</f>
        <v>5</v>
      </c>
      <c r="AE154" s="2">
        <f t="shared" ref="AE154:AE217" si="38">YEAR(J154)</f>
        <v>2021</v>
      </c>
      <c r="AF154" s="2">
        <f t="shared" ref="AF154:AF217" si="39">MONTH(J154)</f>
        <v>7</v>
      </c>
      <c r="AG154" s="2" t="str">
        <f>VLOOKUP(F154,vlookup!$A$2:$E$660,2,0)</f>
        <v>Retained</v>
      </c>
      <c r="AH154" s="2" t="str">
        <f>VLOOKUP(F154,vlookup!$A$2:$E$660,3,0)</f>
        <v>Service Contract</v>
      </c>
      <c r="AI154" s="2" t="str">
        <f>VLOOKUP(F154,vlookup!$A$2:$E$660,4,0)</f>
        <v>New Car Programs</v>
      </c>
      <c r="AJ154" s="2" t="str">
        <f>VLOOKUP(F154,vlookup!$A$2:$E$660,5,0)</f>
        <v>High Mileage</v>
      </c>
      <c r="AK154" s="2"/>
      <c r="AL154" s="2">
        <f t="shared" ref="AL154:AL217" si="40">DAYS360(J154,K154)</f>
        <v>62</v>
      </c>
      <c r="AM154" s="2">
        <f t="shared" ref="AM154:AM217" si="41">DAYS360(J154,V154)</f>
        <v>311</v>
      </c>
      <c r="AN154" s="2">
        <f t="shared" ref="AN154:AN217" si="42">IF(T154-I154&lt;1,"",T154-I154)</f>
        <v>19608</v>
      </c>
      <c r="AO154" s="2" t="str">
        <f t="shared" ref="AO154:AO217" si="43">IF(AM154&lt;31,AA154,"")</f>
        <v/>
      </c>
      <c r="AP154" s="2" t="str">
        <f t="shared" ref="AP154:AP217" si="44">IF(AND(AM154&gt;30,AM154&lt;61),AA154,"")</f>
        <v/>
      </c>
      <c r="AQ154" s="2" t="str">
        <f t="shared" ref="AQ154:AQ217" si="45">IF(AND(AM154&gt;60,AM154&lt;91),AA154,"")</f>
        <v/>
      </c>
      <c r="AR154" s="2">
        <f t="shared" ref="AR154:AR217" si="46">IF(AM154&gt;90,AA154,"")</f>
        <v>-221.2</v>
      </c>
      <c r="AS154" s="2" t="str">
        <f t="shared" ref="AS154:AS217" si="47">CONCATENATE(B154,"-",C154)</f>
        <v>APC100332-1</v>
      </c>
      <c r="AT154" s="2" t="str">
        <f>IFERROR(IF(VLOOKUP(Y154,vlookup!$I$2:$J$9,1,0)=Y154,VLOOKUP(Y154,vlookup!$I$2:$J$9,2,0),PROPER(Y154)),PROPER(Y154))</f>
        <v>Labor</v>
      </c>
      <c r="AU154" s="2" t="str">
        <f>IFERROR(IF(B154=VLOOKUP(B154,vlookup!$L$2:$L$10,1,0),"Yes","No"),"No")</f>
        <v>No</v>
      </c>
    </row>
    <row r="155" spans="1:47" x14ac:dyDescent="0.25">
      <c r="A155" t="s">
        <v>861</v>
      </c>
      <c r="B155" t="s">
        <v>862</v>
      </c>
      <c r="C155">
        <v>1</v>
      </c>
      <c r="D155">
        <v>1</v>
      </c>
      <c r="E155" t="s">
        <v>382</v>
      </c>
      <c r="F155" t="s">
        <v>191</v>
      </c>
      <c r="G155" t="s">
        <v>683</v>
      </c>
      <c r="H155" s="11" t="s">
        <v>745</v>
      </c>
      <c r="I155">
        <v>23655</v>
      </c>
      <c r="J155" s="22">
        <v>44378</v>
      </c>
      <c r="K155" s="22">
        <v>44442</v>
      </c>
      <c r="L155">
        <v>202108</v>
      </c>
      <c r="M155" s="22">
        <v>44409</v>
      </c>
      <c r="N155">
        <v>77871</v>
      </c>
      <c r="O155" t="s">
        <v>699</v>
      </c>
      <c r="P155" t="s">
        <v>712</v>
      </c>
      <c r="Q155" t="s">
        <v>612</v>
      </c>
      <c r="R155">
        <v>198</v>
      </c>
      <c r="S155" s="22">
        <v>44692</v>
      </c>
      <c r="T155">
        <v>43263</v>
      </c>
      <c r="U155" t="s">
        <v>356</v>
      </c>
      <c r="V155" s="22">
        <v>44693</v>
      </c>
      <c r="W155" t="s">
        <v>586</v>
      </c>
      <c r="X155" t="s">
        <v>587</v>
      </c>
      <c r="Y155" t="s">
        <v>94</v>
      </c>
      <c r="Z155" t="s">
        <v>576</v>
      </c>
      <c r="AA155">
        <v>-711</v>
      </c>
      <c r="AC155" s="2">
        <f t="shared" si="36"/>
        <v>2022</v>
      </c>
      <c r="AD155" s="2">
        <f t="shared" si="37"/>
        <v>5</v>
      </c>
      <c r="AE155" s="2">
        <f t="shared" si="38"/>
        <v>2021</v>
      </c>
      <c r="AF155" s="2">
        <f t="shared" si="39"/>
        <v>7</v>
      </c>
      <c r="AG155" s="2" t="str">
        <f>VLOOKUP(F155,vlookup!$A$2:$E$660,2,0)</f>
        <v>Retained</v>
      </c>
      <c r="AH155" s="2" t="str">
        <f>VLOOKUP(F155,vlookup!$A$2:$E$660,3,0)</f>
        <v>Service Contract</v>
      </c>
      <c r="AI155" s="2" t="str">
        <f>VLOOKUP(F155,vlookup!$A$2:$E$660,4,0)</f>
        <v>New Car Programs</v>
      </c>
      <c r="AJ155" s="2" t="str">
        <f>VLOOKUP(F155,vlookup!$A$2:$E$660,5,0)</f>
        <v>High Mileage</v>
      </c>
      <c r="AK155" s="2"/>
      <c r="AL155" s="2">
        <f t="shared" si="40"/>
        <v>62</v>
      </c>
      <c r="AM155" s="2">
        <f t="shared" si="41"/>
        <v>311</v>
      </c>
      <c r="AN155" s="2">
        <f t="shared" si="42"/>
        <v>19608</v>
      </c>
      <c r="AO155" s="2" t="str">
        <f t="shared" si="43"/>
        <v/>
      </c>
      <c r="AP155" s="2" t="str">
        <f t="shared" si="44"/>
        <v/>
      </c>
      <c r="AQ155" s="2" t="str">
        <f t="shared" si="45"/>
        <v/>
      </c>
      <c r="AR155" s="2">
        <f t="shared" si="46"/>
        <v>-711</v>
      </c>
      <c r="AS155" s="2" t="str">
        <f t="shared" si="47"/>
        <v>APC100332-1</v>
      </c>
      <c r="AT155" s="2" t="str">
        <f>IFERROR(IF(VLOOKUP(Y155,vlookup!$I$2:$J$9,1,0)=Y155,VLOOKUP(Y155,vlookup!$I$2:$J$9,2,0),PROPER(Y155)),PROPER(Y155))</f>
        <v>Labor</v>
      </c>
      <c r="AU155" s="2" t="str">
        <f>IFERROR(IF(B155=VLOOKUP(B155,vlookup!$L$2:$L$10,1,0),"Yes","No"),"No")</f>
        <v>No</v>
      </c>
    </row>
    <row r="156" spans="1:47" x14ac:dyDescent="0.25">
      <c r="A156" t="s">
        <v>861</v>
      </c>
      <c r="B156" t="s">
        <v>862</v>
      </c>
      <c r="C156">
        <v>2</v>
      </c>
      <c r="D156">
        <v>1</v>
      </c>
      <c r="E156" t="s">
        <v>382</v>
      </c>
      <c r="F156" t="s">
        <v>191</v>
      </c>
      <c r="G156" t="s">
        <v>683</v>
      </c>
      <c r="H156" s="11" t="s">
        <v>745</v>
      </c>
      <c r="I156">
        <v>23655</v>
      </c>
      <c r="J156" s="22">
        <v>44378</v>
      </c>
      <c r="K156" s="22">
        <v>44442</v>
      </c>
      <c r="L156">
        <v>202108</v>
      </c>
      <c r="M156" s="22">
        <v>44409</v>
      </c>
      <c r="N156">
        <v>77871</v>
      </c>
      <c r="O156" t="s">
        <v>699</v>
      </c>
      <c r="P156" t="s">
        <v>712</v>
      </c>
      <c r="Q156" t="s">
        <v>612</v>
      </c>
      <c r="R156">
        <v>119373</v>
      </c>
      <c r="S156" s="22">
        <v>44784</v>
      </c>
      <c r="T156">
        <v>47664</v>
      </c>
      <c r="U156" t="s">
        <v>356</v>
      </c>
      <c r="V156" s="22">
        <v>44790</v>
      </c>
      <c r="W156" t="s">
        <v>863</v>
      </c>
      <c r="X156" t="s">
        <v>864</v>
      </c>
      <c r="Y156" t="s">
        <v>94</v>
      </c>
      <c r="Z156" t="s">
        <v>358</v>
      </c>
      <c r="AA156">
        <v>-300.2</v>
      </c>
      <c r="AC156" s="2">
        <f t="shared" si="36"/>
        <v>2022</v>
      </c>
      <c r="AD156" s="2">
        <f t="shared" si="37"/>
        <v>8</v>
      </c>
      <c r="AE156" s="2">
        <f t="shared" si="38"/>
        <v>2021</v>
      </c>
      <c r="AF156" s="2">
        <f t="shared" si="39"/>
        <v>7</v>
      </c>
      <c r="AG156" s="2" t="str">
        <f>VLOOKUP(F156,vlookup!$A$2:$E$660,2,0)</f>
        <v>Retained</v>
      </c>
      <c r="AH156" s="2" t="str">
        <f>VLOOKUP(F156,vlookup!$A$2:$E$660,3,0)</f>
        <v>Service Contract</v>
      </c>
      <c r="AI156" s="2" t="str">
        <f>VLOOKUP(F156,vlookup!$A$2:$E$660,4,0)</f>
        <v>New Car Programs</v>
      </c>
      <c r="AJ156" s="2" t="str">
        <f>VLOOKUP(F156,vlookup!$A$2:$E$660,5,0)</f>
        <v>High Mileage</v>
      </c>
      <c r="AK156" s="2"/>
      <c r="AL156" s="2">
        <f t="shared" si="40"/>
        <v>62</v>
      </c>
      <c r="AM156" s="2">
        <f t="shared" si="41"/>
        <v>406</v>
      </c>
      <c r="AN156" s="2">
        <f t="shared" si="42"/>
        <v>24009</v>
      </c>
      <c r="AO156" s="2" t="str">
        <f t="shared" si="43"/>
        <v/>
      </c>
      <c r="AP156" s="2" t="str">
        <f t="shared" si="44"/>
        <v/>
      </c>
      <c r="AQ156" s="2" t="str">
        <f t="shared" si="45"/>
        <v/>
      </c>
      <c r="AR156" s="2">
        <f t="shared" si="46"/>
        <v>-300.2</v>
      </c>
      <c r="AS156" s="2" t="str">
        <f t="shared" si="47"/>
        <v>APC100332-2</v>
      </c>
      <c r="AT156" s="2" t="str">
        <f>IFERROR(IF(VLOOKUP(Y156,vlookup!$I$2:$J$9,1,0)=Y156,VLOOKUP(Y156,vlookup!$I$2:$J$9,2,0),PROPER(Y156)),PROPER(Y156))</f>
        <v>Labor</v>
      </c>
      <c r="AU156" s="2" t="str">
        <f>IFERROR(IF(B156=VLOOKUP(B156,vlookup!$L$2:$L$10,1,0),"Yes","No"),"No")</f>
        <v>No</v>
      </c>
    </row>
    <row r="157" spans="1:47" x14ac:dyDescent="0.25">
      <c r="A157" t="s">
        <v>705</v>
      </c>
      <c r="B157" t="s">
        <v>706</v>
      </c>
      <c r="C157">
        <v>1</v>
      </c>
      <c r="D157">
        <v>1</v>
      </c>
      <c r="E157" t="s">
        <v>382</v>
      </c>
      <c r="F157" t="s">
        <v>503</v>
      </c>
      <c r="G157" t="s">
        <v>19</v>
      </c>
      <c r="H157" s="11" t="s">
        <v>707</v>
      </c>
      <c r="I157">
        <v>83193</v>
      </c>
      <c r="J157" s="22">
        <v>44657</v>
      </c>
      <c r="K157" s="22">
        <v>44707</v>
      </c>
      <c r="L157">
        <v>202205</v>
      </c>
      <c r="M157" s="22">
        <v>44682</v>
      </c>
      <c r="N157">
        <v>77871</v>
      </c>
      <c r="O157" t="s">
        <v>699</v>
      </c>
      <c r="P157" t="s">
        <v>708</v>
      </c>
      <c r="Q157" t="s">
        <v>612</v>
      </c>
      <c r="R157">
        <v>425604</v>
      </c>
      <c r="S157" s="22">
        <v>44740</v>
      </c>
      <c r="T157">
        <v>88867</v>
      </c>
      <c r="U157" t="s">
        <v>356</v>
      </c>
      <c r="V157" s="22">
        <v>44743</v>
      </c>
      <c r="W157" t="s">
        <v>648</v>
      </c>
      <c r="X157" t="s">
        <v>649</v>
      </c>
      <c r="Y157" t="s">
        <v>95</v>
      </c>
      <c r="Z157" t="s">
        <v>364</v>
      </c>
      <c r="AA157">
        <v>-1480</v>
      </c>
      <c r="AC157" s="2">
        <f t="shared" si="36"/>
        <v>2022</v>
      </c>
      <c r="AD157" s="2">
        <f t="shared" si="37"/>
        <v>7</v>
      </c>
      <c r="AE157" s="2">
        <f t="shared" si="38"/>
        <v>2022</v>
      </c>
      <c r="AF157" s="2">
        <f t="shared" si="39"/>
        <v>4</v>
      </c>
      <c r="AG157" s="2" t="str">
        <f>VLOOKUP(F157,vlookup!$A$2:$E$660,2,0)</f>
        <v>Retained</v>
      </c>
      <c r="AH157" s="2" t="str">
        <f>VLOOKUP(F157,vlookup!$A$2:$E$660,3,0)</f>
        <v>Service Contract</v>
      </c>
      <c r="AI157" s="2" t="str">
        <f>VLOOKUP(F157,vlookup!$A$2:$E$660,4,0)</f>
        <v>Used Car Programs</v>
      </c>
      <c r="AJ157" s="2" t="str">
        <f>VLOOKUP(F157,vlookup!$A$2:$E$660,5,0)</f>
        <v>High Mileage</v>
      </c>
      <c r="AK157" s="2"/>
      <c r="AL157" s="2">
        <f t="shared" si="40"/>
        <v>50</v>
      </c>
      <c r="AM157" s="2">
        <f t="shared" si="41"/>
        <v>85</v>
      </c>
      <c r="AN157" s="2">
        <f t="shared" si="42"/>
        <v>5674</v>
      </c>
      <c r="AO157" s="2" t="str">
        <f t="shared" si="43"/>
        <v/>
      </c>
      <c r="AP157" s="2" t="str">
        <f t="shared" si="44"/>
        <v/>
      </c>
      <c r="AQ157" s="2">
        <f t="shared" si="45"/>
        <v>-1480</v>
      </c>
      <c r="AR157" s="2" t="str">
        <f t="shared" si="46"/>
        <v/>
      </c>
      <c r="AS157" s="2" t="str">
        <f t="shared" si="47"/>
        <v>PTPFD311163D22-1</v>
      </c>
      <c r="AT157" s="2" t="str">
        <f>IFERROR(IF(VLOOKUP(Y157,vlookup!$I$2:$J$9,1,0)=Y157,VLOOKUP(Y157,vlookup!$I$2:$J$9,2,0),PROPER(Y157)),PROPER(Y157))</f>
        <v>Parts</v>
      </c>
      <c r="AU157" s="2" t="str">
        <f>IFERROR(IF(B157=VLOOKUP(B157,vlookup!$L$2:$L$10,1,0),"Yes","No"),"No")</f>
        <v>No</v>
      </c>
    </row>
    <row r="158" spans="1:47" x14ac:dyDescent="0.25">
      <c r="A158" t="s">
        <v>705</v>
      </c>
      <c r="B158" t="s">
        <v>706</v>
      </c>
      <c r="C158">
        <v>1</v>
      </c>
      <c r="D158">
        <v>1</v>
      </c>
      <c r="E158" t="s">
        <v>382</v>
      </c>
      <c r="F158" t="s">
        <v>503</v>
      </c>
      <c r="G158" t="s">
        <v>19</v>
      </c>
      <c r="H158" s="11" t="s">
        <v>707</v>
      </c>
      <c r="I158">
        <v>83193</v>
      </c>
      <c r="J158" s="22">
        <v>44657</v>
      </c>
      <c r="K158" s="22">
        <v>44707</v>
      </c>
      <c r="L158">
        <v>202205</v>
      </c>
      <c r="M158" s="22">
        <v>44682</v>
      </c>
      <c r="N158">
        <v>77871</v>
      </c>
      <c r="O158" t="s">
        <v>699</v>
      </c>
      <c r="P158" t="s">
        <v>708</v>
      </c>
      <c r="Q158" t="s">
        <v>612</v>
      </c>
      <c r="R158">
        <v>425604</v>
      </c>
      <c r="S158" s="22">
        <v>44740</v>
      </c>
      <c r="T158">
        <v>88867</v>
      </c>
      <c r="U158" t="s">
        <v>356</v>
      </c>
      <c r="V158" s="22">
        <v>44743</v>
      </c>
      <c r="W158" t="s">
        <v>865</v>
      </c>
      <c r="X158" t="s">
        <v>866</v>
      </c>
      <c r="Y158" t="s">
        <v>95</v>
      </c>
      <c r="Z158" t="s">
        <v>364</v>
      </c>
      <c r="AA158">
        <v>-18.3</v>
      </c>
      <c r="AC158" s="2">
        <f t="shared" si="36"/>
        <v>2022</v>
      </c>
      <c r="AD158" s="2">
        <f t="shared" si="37"/>
        <v>7</v>
      </c>
      <c r="AE158" s="2">
        <f t="shared" si="38"/>
        <v>2022</v>
      </c>
      <c r="AF158" s="2">
        <f t="shared" si="39"/>
        <v>4</v>
      </c>
      <c r="AG158" s="2" t="str">
        <f>VLOOKUP(F158,vlookup!$A$2:$E$660,2,0)</f>
        <v>Retained</v>
      </c>
      <c r="AH158" s="2" t="str">
        <f>VLOOKUP(F158,vlookup!$A$2:$E$660,3,0)</f>
        <v>Service Contract</v>
      </c>
      <c r="AI158" s="2" t="str">
        <f>VLOOKUP(F158,vlookup!$A$2:$E$660,4,0)</f>
        <v>Used Car Programs</v>
      </c>
      <c r="AJ158" s="2" t="str">
        <f>VLOOKUP(F158,vlookup!$A$2:$E$660,5,0)</f>
        <v>High Mileage</v>
      </c>
      <c r="AK158" s="2"/>
      <c r="AL158" s="2">
        <f t="shared" si="40"/>
        <v>50</v>
      </c>
      <c r="AM158" s="2">
        <f t="shared" si="41"/>
        <v>85</v>
      </c>
      <c r="AN158" s="2">
        <f t="shared" si="42"/>
        <v>5674</v>
      </c>
      <c r="AO158" s="2" t="str">
        <f t="shared" si="43"/>
        <v/>
      </c>
      <c r="AP158" s="2" t="str">
        <f t="shared" si="44"/>
        <v/>
      </c>
      <c r="AQ158" s="2">
        <f t="shared" si="45"/>
        <v>-18.3</v>
      </c>
      <c r="AR158" s="2" t="str">
        <f t="shared" si="46"/>
        <v/>
      </c>
      <c r="AS158" s="2" t="str">
        <f t="shared" si="47"/>
        <v>PTPFD311163D22-1</v>
      </c>
      <c r="AT158" s="2" t="str">
        <f>IFERROR(IF(VLOOKUP(Y158,vlookup!$I$2:$J$9,1,0)=Y158,VLOOKUP(Y158,vlookup!$I$2:$J$9,2,0),PROPER(Y158)),PROPER(Y158))</f>
        <v>Parts</v>
      </c>
      <c r="AU158" s="2" t="str">
        <f>IFERROR(IF(B158=VLOOKUP(B158,vlookup!$L$2:$L$10,1,0),"Yes","No"),"No")</f>
        <v>No</v>
      </c>
    </row>
    <row r="159" spans="1:47" x14ac:dyDescent="0.25">
      <c r="A159" t="s">
        <v>710</v>
      </c>
      <c r="B159" t="s">
        <v>711</v>
      </c>
      <c r="C159">
        <v>1</v>
      </c>
      <c r="D159">
        <v>1</v>
      </c>
      <c r="E159" t="s">
        <v>382</v>
      </c>
      <c r="F159" t="s">
        <v>346</v>
      </c>
      <c r="G159" t="s">
        <v>620</v>
      </c>
      <c r="H159" s="11">
        <v>1500</v>
      </c>
      <c r="I159">
        <v>99894</v>
      </c>
      <c r="J159" s="22">
        <v>44375</v>
      </c>
      <c r="K159" s="22">
        <v>44407</v>
      </c>
      <c r="L159">
        <v>202107</v>
      </c>
      <c r="M159" s="22">
        <v>44378</v>
      </c>
      <c r="N159">
        <v>77871</v>
      </c>
      <c r="O159" t="s">
        <v>699</v>
      </c>
      <c r="P159" t="s">
        <v>712</v>
      </c>
      <c r="Q159" t="s">
        <v>612</v>
      </c>
      <c r="R159">
        <v>115872</v>
      </c>
      <c r="S159" s="22">
        <v>44713</v>
      </c>
      <c r="T159">
        <v>119550</v>
      </c>
      <c r="U159" t="s">
        <v>356</v>
      </c>
      <c r="V159" s="22">
        <v>44713</v>
      </c>
      <c r="W159" t="s">
        <v>763</v>
      </c>
      <c r="X159" t="s">
        <v>764</v>
      </c>
      <c r="Y159" t="s">
        <v>95</v>
      </c>
      <c r="Z159" t="s">
        <v>579</v>
      </c>
      <c r="AA159">
        <v>-250</v>
      </c>
      <c r="AC159" s="2">
        <f t="shared" si="36"/>
        <v>2022</v>
      </c>
      <c r="AD159" s="2">
        <f t="shared" si="37"/>
        <v>6</v>
      </c>
      <c r="AE159" s="2">
        <f t="shared" si="38"/>
        <v>2021</v>
      </c>
      <c r="AF159" s="2">
        <f t="shared" si="39"/>
        <v>6</v>
      </c>
      <c r="AG159" s="2" t="str">
        <f>VLOOKUP(F159,vlookup!$A$2:$E$660,2,0)</f>
        <v>Retained</v>
      </c>
      <c r="AH159" s="2" t="str">
        <f>VLOOKUP(F159,vlookup!$A$2:$E$660,3,0)</f>
        <v>Service Contract</v>
      </c>
      <c r="AI159" s="2" t="str">
        <f>VLOOKUP(F159,vlookup!$A$2:$E$660,4,0)</f>
        <v>Used Car Programs</v>
      </c>
      <c r="AJ159" s="2" t="str">
        <f>VLOOKUP(F159,vlookup!$A$2:$E$660,5,0)</f>
        <v>High Mileage</v>
      </c>
      <c r="AK159" s="2"/>
      <c r="AL159" s="2">
        <f t="shared" si="40"/>
        <v>32</v>
      </c>
      <c r="AM159" s="2">
        <f t="shared" si="41"/>
        <v>333</v>
      </c>
      <c r="AN159" s="2">
        <f t="shared" si="42"/>
        <v>19656</v>
      </c>
      <c r="AO159" s="2" t="str">
        <f t="shared" si="43"/>
        <v/>
      </c>
      <c r="AP159" s="2" t="str">
        <f t="shared" si="44"/>
        <v/>
      </c>
      <c r="AQ159" s="2" t="str">
        <f t="shared" si="45"/>
        <v/>
      </c>
      <c r="AR159" s="2">
        <f t="shared" si="46"/>
        <v>-250</v>
      </c>
      <c r="AS159" s="2" t="str">
        <f t="shared" si="47"/>
        <v>SDFGS411937F21-1</v>
      </c>
      <c r="AT159" s="2" t="str">
        <f>IFERROR(IF(VLOOKUP(Y159,vlookup!$I$2:$J$9,1,0)=Y159,VLOOKUP(Y159,vlookup!$I$2:$J$9,2,0),PROPER(Y159)),PROPER(Y159))</f>
        <v>Parts</v>
      </c>
      <c r="AU159" s="2" t="str">
        <f>IFERROR(IF(B159=VLOOKUP(B159,vlookup!$L$2:$L$10,1,0),"Yes","No"),"No")</f>
        <v>No</v>
      </c>
    </row>
    <row r="160" spans="1:47" x14ac:dyDescent="0.25">
      <c r="A160" t="s">
        <v>710</v>
      </c>
      <c r="B160" t="s">
        <v>711</v>
      </c>
      <c r="C160">
        <v>1</v>
      </c>
      <c r="D160">
        <v>1</v>
      </c>
      <c r="E160" t="s">
        <v>382</v>
      </c>
      <c r="F160" t="s">
        <v>346</v>
      </c>
      <c r="G160" t="s">
        <v>620</v>
      </c>
      <c r="H160" s="11">
        <v>1500</v>
      </c>
      <c r="I160">
        <v>99894</v>
      </c>
      <c r="J160" s="22">
        <v>44375</v>
      </c>
      <c r="K160" s="22">
        <v>44407</v>
      </c>
      <c r="L160">
        <v>202107</v>
      </c>
      <c r="M160" s="22">
        <v>44378</v>
      </c>
      <c r="N160">
        <v>77871</v>
      </c>
      <c r="O160" t="s">
        <v>699</v>
      </c>
      <c r="P160" t="s">
        <v>712</v>
      </c>
      <c r="Q160" t="s">
        <v>612</v>
      </c>
      <c r="R160">
        <v>115872</v>
      </c>
      <c r="S160" s="22">
        <v>44713</v>
      </c>
      <c r="T160">
        <v>119550</v>
      </c>
      <c r="U160" t="s">
        <v>356</v>
      </c>
      <c r="V160" s="22">
        <v>44713</v>
      </c>
      <c r="W160" t="s">
        <v>690</v>
      </c>
      <c r="X160" t="s">
        <v>691</v>
      </c>
      <c r="Y160" t="s">
        <v>95</v>
      </c>
      <c r="Z160" t="s">
        <v>579</v>
      </c>
      <c r="AA160">
        <v>-486</v>
      </c>
      <c r="AC160" s="2">
        <f t="shared" si="36"/>
        <v>2022</v>
      </c>
      <c r="AD160" s="2">
        <f t="shared" si="37"/>
        <v>6</v>
      </c>
      <c r="AE160" s="2">
        <f t="shared" si="38"/>
        <v>2021</v>
      </c>
      <c r="AF160" s="2">
        <f t="shared" si="39"/>
        <v>6</v>
      </c>
      <c r="AG160" s="2" t="str">
        <f>VLOOKUP(F160,vlookup!$A$2:$E$660,2,0)</f>
        <v>Retained</v>
      </c>
      <c r="AH160" s="2" t="str">
        <f>VLOOKUP(F160,vlookup!$A$2:$E$660,3,0)</f>
        <v>Service Contract</v>
      </c>
      <c r="AI160" s="2" t="str">
        <f>VLOOKUP(F160,vlookup!$A$2:$E$660,4,0)</f>
        <v>Used Car Programs</v>
      </c>
      <c r="AJ160" s="2" t="str">
        <f>VLOOKUP(F160,vlookup!$A$2:$E$660,5,0)</f>
        <v>High Mileage</v>
      </c>
      <c r="AK160" s="2"/>
      <c r="AL160" s="2">
        <f t="shared" si="40"/>
        <v>32</v>
      </c>
      <c r="AM160" s="2">
        <f t="shared" si="41"/>
        <v>333</v>
      </c>
      <c r="AN160" s="2">
        <f t="shared" si="42"/>
        <v>19656</v>
      </c>
      <c r="AO160" s="2" t="str">
        <f t="shared" si="43"/>
        <v/>
      </c>
      <c r="AP160" s="2" t="str">
        <f t="shared" si="44"/>
        <v/>
      </c>
      <c r="AQ160" s="2" t="str">
        <f t="shared" si="45"/>
        <v/>
      </c>
      <c r="AR160" s="2">
        <f t="shared" si="46"/>
        <v>-486</v>
      </c>
      <c r="AS160" s="2" t="str">
        <f t="shared" si="47"/>
        <v>SDFGS411937F21-1</v>
      </c>
      <c r="AT160" s="2" t="str">
        <f>IFERROR(IF(VLOOKUP(Y160,vlookup!$I$2:$J$9,1,0)=Y160,VLOOKUP(Y160,vlookup!$I$2:$J$9,2,0),PROPER(Y160)),PROPER(Y160))</f>
        <v>Parts</v>
      </c>
      <c r="AU160" s="2" t="str">
        <f>IFERROR(IF(B160=VLOOKUP(B160,vlookup!$L$2:$L$10,1,0),"Yes","No"),"No")</f>
        <v>No</v>
      </c>
    </row>
    <row r="161" spans="1:47" x14ac:dyDescent="0.25">
      <c r="A161" t="s">
        <v>710</v>
      </c>
      <c r="B161" t="s">
        <v>711</v>
      </c>
      <c r="C161">
        <v>2</v>
      </c>
      <c r="D161">
        <v>1</v>
      </c>
      <c r="E161" t="s">
        <v>382</v>
      </c>
      <c r="F161" t="s">
        <v>346</v>
      </c>
      <c r="G161" t="s">
        <v>620</v>
      </c>
      <c r="H161" s="11">
        <v>1500</v>
      </c>
      <c r="I161">
        <v>99894</v>
      </c>
      <c r="J161" s="22">
        <v>44375</v>
      </c>
      <c r="K161" s="22">
        <v>44407</v>
      </c>
      <c r="L161">
        <v>202107</v>
      </c>
      <c r="M161" s="22">
        <v>44378</v>
      </c>
      <c r="N161">
        <v>77871</v>
      </c>
      <c r="O161" t="s">
        <v>699</v>
      </c>
      <c r="P161" t="s">
        <v>712</v>
      </c>
      <c r="Q161" t="s">
        <v>612</v>
      </c>
      <c r="R161">
        <v>116079</v>
      </c>
      <c r="S161" s="22">
        <v>44718</v>
      </c>
      <c r="T161">
        <v>119711</v>
      </c>
      <c r="U161" t="s">
        <v>356</v>
      </c>
      <c r="V161" s="22">
        <v>44721</v>
      </c>
      <c r="W161" t="s">
        <v>765</v>
      </c>
      <c r="X161" t="s">
        <v>766</v>
      </c>
      <c r="Y161" t="s">
        <v>95</v>
      </c>
      <c r="Z161" t="s">
        <v>365</v>
      </c>
      <c r="AA161">
        <v>-374</v>
      </c>
      <c r="AC161" s="2">
        <f t="shared" si="36"/>
        <v>2022</v>
      </c>
      <c r="AD161" s="2">
        <f t="shared" si="37"/>
        <v>6</v>
      </c>
      <c r="AE161" s="2">
        <f t="shared" si="38"/>
        <v>2021</v>
      </c>
      <c r="AF161" s="2">
        <f t="shared" si="39"/>
        <v>6</v>
      </c>
      <c r="AG161" s="2" t="str">
        <f>VLOOKUP(F161,vlookup!$A$2:$E$660,2,0)</f>
        <v>Retained</v>
      </c>
      <c r="AH161" s="2" t="str">
        <f>VLOOKUP(F161,vlookup!$A$2:$E$660,3,0)</f>
        <v>Service Contract</v>
      </c>
      <c r="AI161" s="2" t="str">
        <f>VLOOKUP(F161,vlookup!$A$2:$E$660,4,0)</f>
        <v>Used Car Programs</v>
      </c>
      <c r="AJ161" s="2" t="str">
        <f>VLOOKUP(F161,vlookup!$A$2:$E$660,5,0)</f>
        <v>High Mileage</v>
      </c>
      <c r="AK161" s="2"/>
      <c r="AL161" s="2">
        <f t="shared" si="40"/>
        <v>32</v>
      </c>
      <c r="AM161" s="2">
        <f t="shared" si="41"/>
        <v>341</v>
      </c>
      <c r="AN161" s="2">
        <f t="shared" si="42"/>
        <v>19817</v>
      </c>
      <c r="AO161" s="2" t="str">
        <f t="shared" si="43"/>
        <v/>
      </c>
      <c r="AP161" s="2" t="str">
        <f t="shared" si="44"/>
        <v/>
      </c>
      <c r="AQ161" s="2" t="str">
        <f t="shared" si="45"/>
        <v/>
      </c>
      <c r="AR161" s="2">
        <f t="shared" si="46"/>
        <v>-374</v>
      </c>
      <c r="AS161" s="2" t="str">
        <f t="shared" si="47"/>
        <v>SDFGS411937F21-2</v>
      </c>
      <c r="AT161" s="2" t="str">
        <f>IFERROR(IF(VLOOKUP(Y161,vlookup!$I$2:$J$9,1,0)=Y161,VLOOKUP(Y161,vlookup!$I$2:$J$9,2,0),PROPER(Y161)),PROPER(Y161))</f>
        <v>Parts</v>
      </c>
      <c r="AU161" s="2" t="str">
        <f>IFERROR(IF(B161=VLOOKUP(B161,vlookup!$L$2:$L$10,1,0),"Yes","No"),"No")</f>
        <v>No</v>
      </c>
    </row>
    <row r="162" spans="1:47" x14ac:dyDescent="0.25">
      <c r="A162" t="s">
        <v>710</v>
      </c>
      <c r="B162" t="s">
        <v>711</v>
      </c>
      <c r="C162">
        <v>2</v>
      </c>
      <c r="D162">
        <v>1</v>
      </c>
      <c r="E162" t="s">
        <v>382</v>
      </c>
      <c r="F162" t="s">
        <v>346</v>
      </c>
      <c r="G162" t="s">
        <v>620</v>
      </c>
      <c r="H162" s="11">
        <v>1500</v>
      </c>
      <c r="I162">
        <v>99894</v>
      </c>
      <c r="J162" s="22">
        <v>44375</v>
      </c>
      <c r="K162" s="22">
        <v>44407</v>
      </c>
      <c r="L162">
        <v>202107</v>
      </c>
      <c r="M162" s="22">
        <v>44378</v>
      </c>
      <c r="N162">
        <v>77871</v>
      </c>
      <c r="O162" t="s">
        <v>699</v>
      </c>
      <c r="P162" t="s">
        <v>712</v>
      </c>
      <c r="Q162" t="s">
        <v>612</v>
      </c>
      <c r="R162">
        <v>116079</v>
      </c>
      <c r="S162" s="22">
        <v>44718</v>
      </c>
      <c r="T162">
        <v>119711</v>
      </c>
      <c r="U162" t="s">
        <v>356</v>
      </c>
      <c r="V162" s="22">
        <v>44721</v>
      </c>
      <c r="W162" t="s">
        <v>367</v>
      </c>
      <c r="X162" t="s">
        <v>368</v>
      </c>
      <c r="Y162" t="s">
        <v>95</v>
      </c>
      <c r="Z162" t="s">
        <v>365</v>
      </c>
      <c r="AA162">
        <v>-56</v>
      </c>
      <c r="AC162" s="2">
        <f t="shared" si="36"/>
        <v>2022</v>
      </c>
      <c r="AD162" s="2">
        <f t="shared" si="37"/>
        <v>6</v>
      </c>
      <c r="AE162" s="2">
        <f t="shared" si="38"/>
        <v>2021</v>
      </c>
      <c r="AF162" s="2">
        <f t="shared" si="39"/>
        <v>6</v>
      </c>
      <c r="AG162" s="2" t="str">
        <f>VLOOKUP(F162,vlookup!$A$2:$E$660,2,0)</f>
        <v>Retained</v>
      </c>
      <c r="AH162" s="2" t="str">
        <f>VLOOKUP(F162,vlookup!$A$2:$E$660,3,0)</f>
        <v>Service Contract</v>
      </c>
      <c r="AI162" s="2" t="str">
        <f>VLOOKUP(F162,vlookup!$A$2:$E$660,4,0)</f>
        <v>Used Car Programs</v>
      </c>
      <c r="AJ162" s="2" t="str">
        <f>VLOOKUP(F162,vlookup!$A$2:$E$660,5,0)</f>
        <v>High Mileage</v>
      </c>
      <c r="AK162" s="2"/>
      <c r="AL162" s="2">
        <f t="shared" si="40"/>
        <v>32</v>
      </c>
      <c r="AM162" s="2">
        <f t="shared" si="41"/>
        <v>341</v>
      </c>
      <c r="AN162" s="2">
        <f t="shared" si="42"/>
        <v>19817</v>
      </c>
      <c r="AO162" s="2" t="str">
        <f t="shared" si="43"/>
        <v/>
      </c>
      <c r="AP162" s="2" t="str">
        <f t="shared" si="44"/>
        <v/>
      </c>
      <c r="AQ162" s="2" t="str">
        <f t="shared" si="45"/>
        <v/>
      </c>
      <c r="AR162" s="2">
        <f t="shared" si="46"/>
        <v>-56</v>
      </c>
      <c r="AS162" s="2" t="str">
        <f t="shared" si="47"/>
        <v>SDFGS411937F21-2</v>
      </c>
      <c r="AT162" s="2" t="str">
        <f>IFERROR(IF(VLOOKUP(Y162,vlookup!$I$2:$J$9,1,0)=Y162,VLOOKUP(Y162,vlookup!$I$2:$J$9,2,0),PROPER(Y162)),PROPER(Y162))</f>
        <v>Parts</v>
      </c>
      <c r="AU162" s="2" t="str">
        <f>IFERROR(IF(B162=VLOOKUP(B162,vlookup!$L$2:$L$10,1,0),"Yes","No"),"No")</f>
        <v>No</v>
      </c>
    </row>
    <row r="163" spans="1:47" x14ac:dyDescent="0.25">
      <c r="A163" t="s">
        <v>710</v>
      </c>
      <c r="B163" t="s">
        <v>711</v>
      </c>
      <c r="C163">
        <v>2</v>
      </c>
      <c r="D163">
        <v>1</v>
      </c>
      <c r="E163" t="s">
        <v>382</v>
      </c>
      <c r="F163" t="s">
        <v>346</v>
      </c>
      <c r="G163" t="s">
        <v>620</v>
      </c>
      <c r="H163" s="11">
        <v>1500</v>
      </c>
      <c r="I163">
        <v>99894</v>
      </c>
      <c r="J163" s="22">
        <v>44375</v>
      </c>
      <c r="K163" s="22">
        <v>44407</v>
      </c>
      <c r="L163">
        <v>202107</v>
      </c>
      <c r="M163" s="22">
        <v>44378</v>
      </c>
      <c r="N163">
        <v>77871</v>
      </c>
      <c r="O163" t="s">
        <v>699</v>
      </c>
      <c r="P163" t="s">
        <v>712</v>
      </c>
      <c r="Q163" t="s">
        <v>612</v>
      </c>
      <c r="R163">
        <v>116079</v>
      </c>
      <c r="S163" s="22">
        <v>44718</v>
      </c>
      <c r="T163">
        <v>119711</v>
      </c>
      <c r="U163" t="s">
        <v>356</v>
      </c>
      <c r="V163" s="22">
        <v>44721</v>
      </c>
      <c r="W163" t="s">
        <v>656</v>
      </c>
      <c r="X163" t="s">
        <v>657</v>
      </c>
      <c r="Y163" t="s">
        <v>95</v>
      </c>
      <c r="Z163" t="s">
        <v>579</v>
      </c>
      <c r="AA163">
        <v>-348</v>
      </c>
      <c r="AC163" s="2">
        <f t="shared" si="36"/>
        <v>2022</v>
      </c>
      <c r="AD163" s="2">
        <f t="shared" si="37"/>
        <v>6</v>
      </c>
      <c r="AE163" s="2">
        <f t="shared" si="38"/>
        <v>2021</v>
      </c>
      <c r="AF163" s="2">
        <f t="shared" si="39"/>
        <v>6</v>
      </c>
      <c r="AG163" s="2" t="str">
        <f>VLOOKUP(F163,vlookup!$A$2:$E$660,2,0)</f>
        <v>Retained</v>
      </c>
      <c r="AH163" s="2" t="str">
        <f>VLOOKUP(F163,vlookup!$A$2:$E$660,3,0)</f>
        <v>Service Contract</v>
      </c>
      <c r="AI163" s="2" t="str">
        <f>VLOOKUP(F163,vlookup!$A$2:$E$660,4,0)</f>
        <v>Used Car Programs</v>
      </c>
      <c r="AJ163" s="2" t="str">
        <f>VLOOKUP(F163,vlookup!$A$2:$E$660,5,0)</f>
        <v>High Mileage</v>
      </c>
      <c r="AK163" s="2"/>
      <c r="AL163" s="2">
        <f t="shared" si="40"/>
        <v>32</v>
      </c>
      <c r="AM163" s="2">
        <f t="shared" si="41"/>
        <v>341</v>
      </c>
      <c r="AN163" s="2">
        <f t="shared" si="42"/>
        <v>19817</v>
      </c>
      <c r="AO163" s="2" t="str">
        <f t="shared" si="43"/>
        <v/>
      </c>
      <c r="AP163" s="2" t="str">
        <f t="shared" si="44"/>
        <v/>
      </c>
      <c r="AQ163" s="2" t="str">
        <f t="shared" si="45"/>
        <v/>
      </c>
      <c r="AR163" s="2">
        <f t="shared" si="46"/>
        <v>-348</v>
      </c>
      <c r="AS163" s="2" t="str">
        <f t="shared" si="47"/>
        <v>SDFGS411937F21-2</v>
      </c>
      <c r="AT163" s="2" t="str">
        <f>IFERROR(IF(VLOOKUP(Y163,vlookup!$I$2:$J$9,1,0)=Y163,VLOOKUP(Y163,vlookup!$I$2:$J$9,2,0),PROPER(Y163)),PROPER(Y163))</f>
        <v>Parts</v>
      </c>
      <c r="AU163" s="2" t="str">
        <f>IFERROR(IF(B163=VLOOKUP(B163,vlookup!$L$2:$L$10,1,0),"Yes","No"),"No")</f>
        <v>No</v>
      </c>
    </row>
    <row r="164" spans="1:47" x14ac:dyDescent="0.25">
      <c r="A164" t="s">
        <v>710</v>
      </c>
      <c r="B164" t="s">
        <v>711</v>
      </c>
      <c r="C164">
        <v>3</v>
      </c>
      <c r="D164">
        <v>1</v>
      </c>
      <c r="E164" t="s">
        <v>382</v>
      </c>
      <c r="F164" t="s">
        <v>346</v>
      </c>
      <c r="G164" t="s">
        <v>620</v>
      </c>
      <c r="H164" s="11">
        <v>1500</v>
      </c>
      <c r="I164">
        <v>99894</v>
      </c>
      <c r="J164" s="22">
        <v>44375</v>
      </c>
      <c r="K164" s="22">
        <v>44407</v>
      </c>
      <c r="L164">
        <v>202107</v>
      </c>
      <c r="M164" s="22">
        <v>44378</v>
      </c>
      <c r="N164">
        <v>77871</v>
      </c>
      <c r="O164" t="s">
        <v>699</v>
      </c>
      <c r="P164" t="s">
        <v>712</v>
      </c>
      <c r="Q164" t="s">
        <v>612</v>
      </c>
      <c r="R164">
        <v>122768</v>
      </c>
      <c r="S164" s="22">
        <v>44853</v>
      </c>
      <c r="T164">
        <v>127487</v>
      </c>
      <c r="U164" t="s">
        <v>356</v>
      </c>
      <c r="V164" s="22">
        <v>44872</v>
      </c>
      <c r="W164" t="s">
        <v>631</v>
      </c>
      <c r="X164" t="s">
        <v>632</v>
      </c>
      <c r="Y164" t="s">
        <v>95</v>
      </c>
      <c r="Z164" t="s">
        <v>576</v>
      </c>
      <c r="AA164">
        <v>-844</v>
      </c>
      <c r="AC164" s="2">
        <f t="shared" si="36"/>
        <v>2022</v>
      </c>
      <c r="AD164" s="2">
        <f t="shared" si="37"/>
        <v>11</v>
      </c>
      <c r="AE164" s="2">
        <f t="shared" si="38"/>
        <v>2021</v>
      </c>
      <c r="AF164" s="2">
        <f t="shared" si="39"/>
        <v>6</v>
      </c>
      <c r="AG164" s="2" t="str">
        <f>VLOOKUP(F164,vlookup!$A$2:$E$660,2,0)</f>
        <v>Retained</v>
      </c>
      <c r="AH164" s="2" t="str">
        <f>VLOOKUP(F164,vlookup!$A$2:$E$660,3,0)</f>
        <v>Service Contract</v>
      </c>
      <c r="AI164" s="2" t="str">
        <f>VLOOKUP(F164,vlookup!$A$2:$E$660,4,0)</f>
        <v>Used Car Programs</v>
      </c>
      <c r="AJ164" s="2" t="str">
        <f>VLOOKUP(F164,vlookup!$A$2:$E$660,5,0)</f>
        <v>High Mileage</v>
      </c>
      <c r="AK164" s="2"/>
      <c r="AL164" s="2">
        <f t="shared" si="40"/>
        <v>32</v>
      </c>
      <c r="AM164" s="2">
        <f t="shared" si="41"/>
        <v>489</v>
      </c>
      <c r="AN164" s="2">
        <f t="shared" si="42"/>
        <v>27593</v>
      </c>
      <c r="AO164" s="2" t="str">
        <f t="shared" si="43"/>
        <v/>
      </c>
      <c r="AP164" s="2" t="str">
        <f t="shared" si="44"/>
        <v/>
      </c>
      <c r="AQ164" s="2" t="str">
        <f t="shared" si="45"/>
        <v/>
      </c>
      <c r="AR164" s="2">
        <f t="shared" si="46"/>
        <v>-844</v>
      </c>
      <c r="AS164" s="2" t="str">
        <f t="shared" si="47"/>
        <v>SDFGS411937F21-3</v>
      </c>
      <c r="AT164" s="2" t="str">
        <f>IFERROR(IF(VLOOKUP(Y164,vlookup!$I$2:$J$9,1,0)=Y164,VLOOKUP(Y164,vlookup!$I$2:$J$9,2,0),PROPER(Y164)),PROPER(Y164))</f>
        <v>Parts</v>
      </c>
      <c r="AU164" s="2" t="str">
        <f>IFERROR(IF(B164=VLOOKUP(B164,vlookup!$L$2:$L$10,1,0),"Yes","No"),"No")</f>
        <v>No</v>
      </c>
    </row>
    <row r="165" spans="1:47" x14ac:dyDescent="0.25">
      <c r="A165" t="s">
        <v>710</v>
      </c>
      <c r="B165" t="s">
        <v>711</v>
      </c>
      <c r="C165">
        <v>4</v>
      </c>
      <c r="D165">
        <v>1</v>
      </c>
      <c r="E165" t="s">
        <v>382</v>
      </c>
      <c r="F165" t="s">
        <v>346</v>
      </c>
      <c r="G165" t="s">
        <v>620</v>
      </c>
      <c r="H165" s="11">
        <v>1500</v>
      </c>
      <c r="I165">
        <v>99894</v>
      </c>
      <c r="J165" s="22">
        <v>44375</v>
      </c>
      <c r="K165" s="22">
        <v>44407</v>
      </c>
      <c r="L165">
        <v>202107</v>
      </c>
      <c r="M165" s="22">
        <v>44378</v>
      </c>
      <c r="N165">
        <v>77871</v>
      </c>
      <c r="O165" t="s">
        <v>699</v>
      </c>
      <c r="P165" t="s">
        <v>712</v>
      </c>
      <c r="Q165" t="s">
        <v>612</v>
      </c>
      <c r="R165">
        <v>123975</v>
      </c>
      <c r="S165" s="22">
        <v>44876</v>
      </c>
      <c r="T165">
        <v>128913</v>
      </c>
      <c r="U165" t="s">
        <v>356</v>
      </c>
      <c r="V165" s="22">
        <v>44886</v>
      </c>
      <c r="W165" t="s">
        <v>767</v>
      </c>
      <c r="X165" t="s">
        <v>768</v>
      </c>
      <c r="Y165" t="s">
        <v>95</v>
      </c>
      <c r="Z165" t="s">
        <v>579</v>
      </c>
      <c r="AA165">
        <v>-1094</v>
      </c>
      <c r="AC165" s="2">
        <f t="shared" si="36"/>
        <v>2022</v>
      </c>
      <c r="AD165" s="2">
        <f t="shared" si="37"/>
        <v>11</v>
      </c>
      <c r="AE165" s="2">
        <f t="shared" si="38"/>
        <v>2021</v>
      </c>
      <c r="AF165" s="2">
        <f t="shared" si="39"/>
        <v>6</v>
      </c>
      <c r="AG165" s="2" t="str">
        <f>VLOOKUP(F165,vlookup!$A$2:$E$660,2,0)</f>
        <v>Retained</v>
      </c>
      <c r="AH165" s="2" t="str">
        <f>VLOOKUP(F165,vlookup!$A$2:$E$660,3,0)</f>
        <v>Service Contract</v>
      </c>
      <c r="AI165" s="2" t="str">
        <f>VLOOKUP(F165,vlookup!$A$2:$E$660,4,0)</f>
        <v>Used Car Programs</v>
      </c>
      <c r="AJ165" s="2" t="str">
        <f>VLOOKUP(F165,vlookup!$A$2:$E$660,5,0)</f>
        <v>High Mileage</v>
      </c>
      <c r="AK165" s="2"/>
      <c r="AL165" s="2">
        <f t="shared" si="40"/>
        <v>32</v>
      </c>
      <c r="AM165" s="2">
        <f t="shared" si="41"/>
        <v>503</v>
      </c>
      <c r="AN165" s="2">
        <f t="shared" si="42"/>
        <v>29019</v>
      </c>
      <c r="AO165" s="2" t="str">
        <f t="shared" si="43"/>
        <v/>
      </c>
      <c r="AP165" s="2" t="str">
        <f t="shared" si="44"/>
        <v/>
      </c>
      <c r="AQ165" s="2" t="str">
        <f t="shared" si="45"/>
        <v/>
      </c>
      <c r="AR165" s="2">
        <f t="shared" si="46"/>
        <v>-1094</v>
      </c>
      <c r="AS165" s="2" t="str">
        <f t="shared" si="47"/>
        <v>SDFGS411937F21-4</v>
      </c>
      <c r="AT165" s="2" t="str">
        <f>IFERROR(IF(VLOOKUP(Y165,vlookup!$I$2:$J$9,1,0)=Y165,VLOOKUP(Y165,vlookup!$I$2:$J$9,2,0),PROPER(Y165)),PROPER(Y165))</f>
        <v>Parts</v>
      </c>
      <c r="AU165" s="2" t="str">
        <f>IFERROR(IF(B165=VLOOKUP(B165,vlookup!$L$2:$L$10,1,0),"Yes","No"),"No")</f>
        <v>No</v>
      </c>
    </row>
    <row r="166" spans="1:47" x14ac:dyDescent="0.25">
      <c r="A166" t="s">
        <v>769</v>
      </c>
      <c r="B166" t="s">
        <v>770</v>
      </c>
      <c r="C166">
        <v>1</v>
      </c>
      <c r="D166">
        <v>1</v>
      </c>
      <c r="E166" t="s">
        <v>382</v>
      </c>
      <c r="F166" t="s">
        <v>207</v>
      </c>
      <c r="G166" t="s">
        <v>388</v>
      </c>
      <c r="H166" s="11" t="s">
        <v>771</v>
      </c>
      <c r="I166">
        <v>86513</v>
      </c>
      <c r="J166" s="22">
        <v>44331</v>
      </c>
      <c r="K166" s="22">
        <v>44399</v>
      </c>
      <c r="L166">
        <v>202107</v>
      </c>
      <c r="M166" s="22">
        <v>44378</v>
      </c>
      <c r="N166">
        <v>77871</v>
      </c>
      <c r="O166" t="s">
        <v>699</v>
      </c>
      <c r="P166" t="s">
        <v>772</v>
      </c>
      <c r="Q166" t="s">
        <v>612</v>
      </c>
      <c r="R166" t="s">
        <v>773</v>
      </c>
      <c r="S166" s="22">
        <v>44819</v>
      </c>
      <c r="T166">
        <v>116051</v>
      </c>
      <c r="U166" t="s">
        <v>356</v>
      </c>
      <c r="V166" s="22">
        <v>44819</v>
      </c>
      <c r="W166" t="s">
        <v>634</v>
      </c>
      <c r="X166" t="s">
        <v>635</v>
      </c>
      <c r="Y166" t="s">
        <v>95</v>
      </c>
      <c r="Z166" t="s">
        <v>583</v>
      </c>
      <c r="AA166">
        <v>-154.72999999999999</v>
      </c>
      <c r="AC166" s="2">
        <f t="shared" si="36"/>
        <v>2022</v>
      </c>
      <c r="AD166" s="2">
        <f t="shared" si="37"/>
        <v>9</v>
      </c>
      <c r="AE166" s="2">
        <f t="shared" si="38"/>
        <v>2021</v>
      </c>
      <c r="AF166" s="2">
        <f t="shared" si="39"/>
        <v>5</v>
      </c>
      <c r="AG166" s="2" t="str">
        <f>VLOOKUP(F166,vlookup!$A$2:$E$660,2,0)</f>
        <v>Retained</v>
      </c>
      <c r="AH166" s="2" t="str">
        <f>VLOOKUP(F166,vlookup!$A$2:$E$660,3,0)</f>
        <v>Service Contract</v>
      </c>
      <c r="AI166" s="2" t="str">
        <f>VLOOKUP(F166,vlookup!$A$2:$E$660,4,0)</f>
        <v>Used Car Programs</v>
      </c>
      <c r="AJ166" s="2" t="str">
        <f>VLOOKUP(F166,vlookup!$A$2:$E$660,5,0)</f>
        <v>High Mileage</v>
      </c>
      <c r="AK166" s="2"/>
      <c r="AL166" s="2">
        <f t="shared" si="40"/>
        <v>67</v>
      </c>
      <c r="AM166" s="2">
        <f t="shared" si="41"/>
        <v>480</v>
      </c>
      <c r="AN166" s="2">
        <f t="shared" si="42"/>
        <v>29538</v>
      </c>
      <c r="AO166" s="2" t="str">
        <f t="shared" si="43"/>
        <v/>
      </c>
      <c r="AP166" s="2" t="str">
        <f t="shared" si="44"/>
        <v/>
      </c>
      <c r="AQ166" s="2" t="str">
        <f t="shared" si="45"/>
        <v/>
      </c>
      <c r="AR166" s="2">
        <f t="shared" si="46"/>
        <v>-154.72999999999999</v>
      </c>
      <c r="AS166" s="2" t="str">
        <f t="shared" si="47"/>
        <v>APC500412-1</v>
      </c>
      <c r="AT166" s="2" t="str">
        <f>IFERROR(IF(VLOOKUP(Y166,vlookup!$I$2:$J$9,1,0)=Y166,VLOOKUP(Y166,vlookup!$I$2:$J$9,2,0),PROPER(Y166)),PROPER(Y166))</f>
        <v>Parts</v>
      </c>
      <c r="AU166" s="2" t="str">
        <f>IFERROR(IF(B166=VLOOKUP(B166,vlookup!$L$2:$L$10,1,0),"Yes","No"),"No")</f>
        <v>No</v>
      </c>
    </row>
    <row r="167" spans="1:47" x14ac:dyDescent="0.25">
      <c r="A167" t="s">
        <v>774</v>
      </c>
      <c r="B167" t="s">
        <v>775</v>
      </c>
      <c r="C167">
        <v>1</v>
      </c>
      <c r="D167">
        <v>1</v>
      </c>
      <c r="E167" t="s">
        <v>382</v>
      </c>
      <c r="F167" t="s">
        <v>207</v>
      </c>
      <c r="G167" t="s">
        <v>543</v>
      </c>
      <c r="H167" s="11" t="s">
        <v>628</v>
      </c>
      <c r="I167">
        <v>66725</v>
      </c>
      <c r="J167" s="22">
        <v>44211</v>
      </c>
      <c r="K167" s="22">
        <v>44284</v>
      </c>
      <c r="L167">
        <v>202103</v>
      </c>
      <c r="M167" s="22">
        <v>44256</v>
      </c>
      <c r="N167">
        <v>77871</v>
      </c>
      <c r="O167" t="s">
        <v>699</v>
      </c>
      <c r="P167" t="s">
        <v>712</v>
      </c>
      <c r="Q167" t="s">
        <v>612</v>
      </c>
      <c r="R167">
        <v>903495</v>
      </c>
      <c r="S167" s="22">
        <v>44296</v>
      </c>
      <c r="T167">
        <v>69909</v>
      </c>
      <c r="U167" t="s">
        <v>356</v>
      </c>
      <c r="V167" s="22">
        <v>44312</v>
      </c>
      <c r="W167" t="s">
        <v>592</v>
      </c>
      <c r="X167" t="s">
        <v>593</v>
      </c>
      <c r="Y167" t="s">
        <v>95</v>
      </c>
      <c r="Z167" t="s">
        <v>364</v>
      </c>
      <c r="AA167">
        <v>-650.59</v>
      </c>
      <c r="AC167" s="2">
        <f t="shared" si="36"/>
        <v>2021</v>
      </c>
      <c r="AD167" s="2">
        <f t="shared" si="37"/>
        <v>4</v>
      </c>
      <c r="AE167" s="2">
        <f t="shared" si="38"/>
        <v>2021</v>
      </c>
      <c r="AF167" s="2">
        <f t="shared" si="39"/>
        <v>1</v>
      </c>
      <c r="AG167" s="2" t="str">
        <f>VLOOKUP(F167,vlookup!$A$2:$E$660,2,0)</f>
        <v>Retained</v>
      </c>
      <c r="AH167" s="2" t="str">
        <f>VLOOKUP(F167,vlookup!$A$2:$E$660,3,0)</f>
        <v>Service Contract</v>
      </c>
      <c r="AI167" s="2" t="str">
        <f>VLOOKUP(F167,vlookup!$A$2:$E$660,4,0)</f>
        <v>Used Car Programs</v>
      </c>
      <c r="AJ167" s="2" t="str">
        <f>VLOOKUP(F167,vlookup!$A$2:$E$660,5,0)</f>
        <v>High Mileage</v>
      </c>
      <c r="AK167" s="2"/>
      <c r="AL167" s="2">
        <f t="shared" si="40"/>
        <v>74</v>
      </c>
      <c r="AM167" s="2">
        <f t="shared" si="41"/>
        <v>101</v>
      </c>
      <c r="AN167" s="2">
        <f t="shared" si="42"/>
        <v>3184</v>
      </c>
      <c r="AO167" s="2" t="str">
        <f t="shared" si="43"/>
        <v/>
      </c>
      <c r="AP167" s="2" t="str">
        <f t="shared" si="44"/>
        <v/>
      </c>
      <c r="AQ167" s="2" t="str">
        <f t="shared" si="45"/>
        <v/>
      </c>
      <c r="AR167" s="2">
        <f t="shared" si="46"/>
        <v>-650.59</v>
      </c>
      <c r="AS167" s="2" t="str">
        <f t="shared" si="47"/>
        <v>APC500277-1</v>
      </c>
      <c r="AT167" s="2" t="str">
        <f>IFERROR(IF(VLOOKUP(Y167,vlookup!$I$2:$J$9,1,0)=Y167,VLOOKUP(Y167,vlookup!$I$2:$J$9,2,0),PROPER(Y167)),PROPER(Y167))</f>
        <v>Parts</v>
      </c>
      <c r="AU167" s="2" t="str">
        <f>IFERROR(IF(B167=VLOOKUP(B167,vlookup!$L$2:$L$10,1,0),"Yes","No"),"No")</f>
        <v>No</v>
      </c>
    </row>
    <row r="168" spans="1:47" x14ac:dyDescent="0.25">
      <c r="A168" t="s">
        <v>774</v>
      </c>
      <c r="B168" t="s">
        <v>775</v>
      </c>
      <c r="C168">
        <v>1</v>
      </c>
      <c r="D168">
        <v>1</v>
      </c>
      <c r="E168" t="s">
        <v>382</v>
      </c>
      <c r="F168" t="s">
        <v>207</v>
      </c>
      <c r="G168" t="s">
        <v>543</v>
      </c>
      <c r="H168" s="11" t="s">
        <v>628</v>
      </c>
      <c r="I168">
        <v>66725</v>
      </c>
      <c r="J168" s="22">
        <v>44211</v>
      </c>
      <c r="K168" s="22">
        <v>44284</v>
      </c>
      <c r="L168">
        <v>202103</v>
      </c>
      <c r="M168" s="22">
        <v>44256</v>
      </c>
      <c r="N168">
        <v>77871</v>
      </c>
      <c r="O168" t="s">
        <v>699</v>
      </c>
      <c r="P168" t="s">
        <v>712</v>
      </c>
      <c r="Q168" t="s">
        <v>612</v>
      </c>
      <c r="R168">
        <v>903495</v>
      </c>
      <c r="S168" s="22">
        <v>44296</v>
      </c>
      <c r="T168">
        <v>69909</v>
      </c>
      <c r="U168" t="s">
        <v>356</v>
      </c>
      <c r="V168" s="22">
        <v>44312</v>
      </c>
      <c r="W168" t="s">
        <v>776</v>
      </c>
      <c r="X168" t="s">
        <v>777</v>
      </c>
      <c r="Y168" t="s">
        <v>95</v>
      </c>
      <c r="Z168" t="s">
        <v>369</v>
      </c>
      <c r="AA168">
        <v>-46.51</v>
      </c>
      <c r="AC168" s="2">
        <f t="shared" si="36"/>
        <v>2021</v>
      </c>
      <c r="AD168" s="2">
        <f t="shared" si="37"/>
        <v>4</v>
      </c>
      <c r="AE168" s="2">
        <f t="shared" si="38"/>
        <v>2021</v>
      </c>
      <c r="AF168" s="2">
        <f t="shared" si="39"/>
        <v>1</v>
      </c>
      <c r="AG168" s="2" t="str">
        <f>VLOOKUP(F168,vlookup!$A$2:$E$660,2,0)</f>
        <v>Retained</v>
      </c>
      <c r="AH168" s="2" t="str">
        <f>VLOOKUP(F168,vlookup!$A$2:$E$660,3,0)</f>
        <v>Service Contract</v>
      </c>
      <c r="AI168" s="2" t="str">
        <f>VLOOKUP(F168,vlookup!$A$2:$E$660,4,0)</f>
        <v>Used Car Programs</v>
      </c>
      <c r="AJ168" s="2" t="str">
        <f>VLOOKUP(F168,vlookup!$A$2:$E$660,5,0)</f>
        <v>High Mileage</v>
      </c>
      <c r="AK168" s="2"/>
      <c r="AL168" s="2">
        <f t="shared" si="40"/>
        <v>74</v>
      </c>
      <c r="AM168" s="2">
        <f t="shared" si="41"/>
        <v>101</v>
      </c>
      <c r="AN168" s="2">
        <f t="shared" si="42"/>
        <v>3184</v>
      </c>
      <c r="AO168" s="2" t="str">
        <f t="shared" si="43"/>
        <v/>
      </c>
      <c r="AP168" s="2" t="str">
        <f t="shared" si="44"/>
        <v/>
      </c>
      <c r="AQ168" s="2" t="str">
        <f t="shared" si="45"/>
        <v/>
      </c>
      <c r="AR168" s="2">
        <f t="shared" si="46"/>
        <v>-46.51</v>
      </c>
      <c r="AS168" s="2" t="str">
        <f t="shared" si="47"/>
        <v>APC500277-1</v>
      </c>
      <c r="AT168" s="2" t="str">
        <f>IFERROR(IF(VLOOKUP(Y168,vlookup!$I$2:$J$9,1,0)=Y168,VLOOKUP(Y168,vlookup!$I$2:$J$9,2,0),PROPER(Y168)),PROPER(Y168))</f>
        <v>Parts</v>
      </c>
      <c r="AU168" s="2" t="str">
        <f>IFERROR(IF(B168=VLOOKUP(B168,vlookup!$L$2:$L$10,1,0),"Yes","No"),"No")</f>
        <v>No</v>
      </c>
    </row>
    <row r="169" spans="1:47" x14ac:dyDescent="0.25">
      <c r="A169" t="s">
        <v>774</v>
      </c>
      <c r="B169" t="s">
        <v>775</v>
      </c>
      <c r="C169">
        <v>2</v>
      </c>
      <c r="D169">
        <v>1</v>
      </c>
      <c r="E169" t="s">
        <v>382</v>
      </c>
      <c r="F169" t="s">
        <v>207</v>
      </c>
      <c r="G169" t="s">
        <v>543</v>
      </c>
      <c r="H169" s="11" t="s">
        <v>628</v>
      </c>
      <c r="I169">
        <v>66725</v>
      </c>
      <c r="J169" s="22">
        <v>44211</v>
      </c>
      <c r="K169" s="22">
        <v>44284</v>
      </c>
      <c r="L169">
        <v>202103</v>
      </c>
      <c r="M169" s="22">
        <v>44256</v>
      </c>
      <c r="N169">
        <v>77871</v>
      </c>
      <c r="O169" t="s">
        <v>699</v>
      </c>
      <c r="P169" t="s">
        <v>712</v>
      </c>
      <c r="Q169" t="s">
        <v>612</v>
      </c>
      <c r="R169">
        <v>102181</v>
      </c>
      <c r="S169" s="22">
        <v>44439</v>
      </c>
      <c r="T169">
        <v>74627</v>
      </c>
      <c r="U169" t="s">
        <v>356</v>
      </c>
      <c r="V169" s="22">
        <v>44442</v>
      </c>
      <c r="W169" t="s">
        <v>778</v>
      </c>
      <c r="X169" t="s">
        <v>779</v>
      </c>
      <c r="Y169" t="s">
        <v>95</v>
      </c>
      <c r="Z169" t="s">
        <v>582</v>
      </c>
      <c r="AA169">
        <v>-28.04</v>
      </c>
      <c r="AC169" s="2">
        <f t="shared" si="36"/>
        <v>2021</v>
      </c>
      <c r="AD169" s="2">
        <f t="shared" si="37"/>
        <v>9</v>
      </c>
      <c r="AE169" s="2">
        <f t="shared" si="38"/>
        <v>2021</v>
      </c>
      <c r="AF169" s="2">
        <f t="shared" si="39"/>
        <v>1</v>
      </c>
      <c r="AG169" s="2" t="str">
        <f>VLOOKUP(F169,vlookup!$A$2:$E$660,2,0)</f>
        <v>Retained</v>
      </c>
      <c r="AH169" s="2" t="str">
        <f>VLOOKUP(F169,vlookup!$A$2:$E$660,3,0)</f>
        <v>Service Contract</v>
      </c>
      <c r="AI169" s="2" t="str">
        <f>VLOOKUP(F169,vlookup!$A$2:$E$660,4,0)</f>
        <v>Used Car Programs</v>
      </c>
      <c r="AJ169" s="2" t="str">
        <f>VLOOKUP(F169,vlookup!$A$2:$E$660,5,0)</f>
        <v>High Mileage</v>
      </c>
      <c r="AK169" s="2"/>
      <c r="AL169" s="2">
        <f t="shared" si="40"/>
        <v>74</v>
      </c>
      <c r="AM169" s="2">
        <f t="shared" si="41"/>
        <v>228</v>
      </c>
      <c r="AN169" s="2">
        <f t="shared" si="42"/>
        <v>7902</v>
      </c>
      <c r="AO169" s="2" t="str">
        <f t="shared" si="43"/>
        <v/>
      </c>
      <c r="AP169" s="2" t="str">
        <f t="shared" si="44"/>
        <v/>
      </c>
      <c r="AQ169" s="2" t="str">
        <f t="shared" si="45"/>
        <v/>
      </c>
      <c r="AR169" s="2">
        <f t="shared" si="46"/>
        <v>-28.04</v>
      </c>
      <c r="AS169" s="2" t="str">
        <f t="shared" si="47"/>
        <v>APC500277-2</v>
      </c>
      <c r="AT169" s="2" t="str">
        <f>IFERROR(IF(VLOOKUP(Y169,vlookup!$I$2:$J$9,1,0)=Y169,VLOOKUP(Y169,vlookup!$I$2:$J$9,2,0),PROPER(Y169)),PROPER(Y169))</f>
        <v>Parts</v>
      </c>
      <c r="AU169" s="2" t="str">
        <f>IFERROR(IF(B169=VLOOKUP(B169,vlookup!$L$2:$L$10,1,0),"Yes","No"),"No")</f>
        <v>No</v>
      </c>
    </row>
    <row r="170" spans="1:47" x14ac:dyDescent="0.25">
      <c r="A170" t="s">
        <v>774</v>
      </c>
      <c r="B170" t="s">
        <v>775</v>
      </c>
      <c r="C170">
        <v>2</v>
      </c>
      <c r="D170">
        <v>1</v>
      </c>
      <c r="E170" t="s">
        <v>382</v>
      </c>
      <c r="F170" t="s">
        <v>207</v>
      </c>
      <c r="G170" t="s">
        <v>543</v>
      </c>
      <c r="H170" s="11" t="s">
        <v>628</v>
      </c>
      <c r="I170">
        <v>66725</v>
      </c>
      <c r="J170" s="22">
        <v>44211</v>
      </c>
      <c r="K170" s="22">
        <v>44284</v>
      </c>
      <c r="L170">
        <v>202103</v>
      </c>
      <c r="M170" s="22">
        <v>44256</v>
      </c>
      <c r="N170">
        <v>77871</v>
      </c>
      <c r="O170" t="s">
        <v>699</v>
      </c>
      <c r="P170" t="s">
        <v>712</v>
      </c>
      <c r="Q170" t="s">
        <v>612</v>
      </c>
      <c r="R170">
        <v>102181</v>
      </c>
      <c r="S170" s="22">
        <v>44439</v>
      </c>
      <c r="T170">
        <v>74627</v>
      </c>
      <c r="U170" t="s">
        <v>356</v>
      </c>
      <c r="V170" s="22">
        <v>44442</v>
      </c>
      <c r="W170" t="s">
        <v>780</v>
      </c>
      <c r="X170" t="s">
        <v>781</v>
      </c>
      <c r="Y170" t="s">
        <v>95</v>
      </c>
      <c r="Z170" t="s">
        <v>366</v>
      </c>
      <c r="AA170">
        <v>-27.22</v>
      </c>
      <c r="AC170" s="2">
        <f t="shared" si="36"/>
        <v>2021</v>
      </c>
      <c r="AD170" s="2">
        <f t="shared" si="37"/>
        <v>9</v>
      </c>
      <c r="AE170" s="2">
        <f t="shared" si="38"/>
        <v>2021</v>
      </c>
      <c r="AF170" s="2">
        <f t="shared" si="39"/>
        <v>1</v>
      </c>
      <c r="AG170" s="2" t="str">
        <f>VLOOKUP(F170,vlookup!$A$2:$E$660,2,0)</f>
        <v>Retained</v>
      </c>
      <c r="AH170" s="2" t="str">
        <f>VLOOKUP(F170,vlookup!$A$2:$E$660,3,0)</f>
        <v>Service Contract</v>
      </c>
      <c r="AI170" s="2" t="str">
        <f>VLOOKUP(F170,vlookup!$A$2:$E$660,4,0)</f>
        <v>Used Car Programs</v>
      </c>
      <c r="AJ170" s="2" t="str">
        <f>VLOOKUP(F170,vlookup!$A$2:$E$660,5,0)</f>
        <v>High Mileage</v>
      </c>
      <c r="AK170" s="2"/>
      <c r="AL170" s="2">
        <f t="shared" si="40"/>
        <v>74</v>
      </c>
      <c r="AM170" s="2">
        <f t="shared" si="41"/>
        <v>228</v>
      </c>
      <c r="AN170" s="2">
        <f t="shared" si="42"/>
        <v>7902</v>
      </c>
      <c r="AO170" s="2" t="str">
        <f t="shared" si="43"/>
        <v/>
      </c>
      <c r="AP170" s="2" t="str">
        <f t="shared" si="44"/>
        <v/>
      </c>
      <c r="AQ170" s="2" t="str">
        <f t="shared" si="45"/>
        <v/>
      </c>
      <c r="AR170" s="2">
        <f t="shared" si="46"/>
        <v>-27.22</v>
      </c>
      <c r="AS170" s="2" t="str">
        <f t="shared" si="47"/>
        <v>APC500277-2</v>
      </c>
      <c r="AT170" s="2" t="str">
        <f>IFERROR(IF(VLOOKUP(Y170,vlookup!$I$2:$J$9,1,0)=Y170,VLOOKUP(Y170,vlookup!$I$2:$J$9,2,0),PROPER(Y170)),PROPER(Y170))</f>
        <v>Parts</v>
      </c>
      <c r="AU170" s="2" t="str">
        <f>IFERROR(IF(B170=VLOOKUP(B170,vlookup!$L$2:$L$10,1,0),"Yes","No"),"No")</f>
        <v>No</v>
      </c>
    </row>
    <row r="171" spans="1:47" x14ac:dyDescent="0.25">
      <c r="A171" t="s">
        <v>774</v>
      </c>
      <c r="B171" t="s">
        <v>775</v>
      </c>
      <c r="C171">
        <v>2</v>
      </c>
      <c r="D171">
        <v>1</v>
      </c>
      <c r="E171" t="s">
        <v>382</v>
      </c>
      <c r="F171" t="s">
        <v>207</v>
      </c>
      <c r="G171" t="s">
        <v>543</v>
      </c>
      <c r="H171" s="11" t="s">
        <v>628</v>
      </c>
      <c r="I171">
        <v>66725</v>
      </c>
      <c r="J171" s="22">
        <v>44211</v>
      </c>
      <c r="K171" s="22">
        <v>44284</v>
      </c>
      <c r="L171">
        <v>202103</v>
      </c>
      <c r="M171" s="22">
        <v>44256</v>
      </c>
      <c r="N171">
        <v>77871</v>
      </c>
      <c r="O171" t="s">
        <v>699</v>
      </c>
      <c r="P171" t="s">
        <v>712</v>
      </c>
      <c r="Q171" t="s">
        <v>612</v>
      </c>
      <c r="R171">
        <v>102181</v>
      </c>
      <c r="S171" s="22">
        <v>44439</v>
      </c>
      <c r="T171">
        <v>74627</v>
      </c>
      <c r="U171" t="s">
        <v>356</v>
      </c>
      <c r="V171" s="22">
        <v>44442</v>
      </c>
      <c r="W171" t="s">
        <v>867</v>
      </c>
      <c r="X171" t="s">
        <v>868</v>
      </c>
      <c r="Y171" t="s">
        <v>95</v>
      </c>
      <c r="Z171" t="s">
        <v>366</v>
      </c>
      <c r="AA171">
        <v>-30.28</v>
      </c>
      <c r="AC171" s="2">
        <f t="shared" si="36"/>
        <v>2021</v>
      </c>
      <c r="AD171" s="2">
        <f t="shared" si="37"/>
        <v>9</v>
      </c>
      <c r="AE171" s="2">
        <f t="shared" si="38"/>
        <v>2021</v>
      </c>
      <c r="AF171" s="2">
        <f t="shared" si="39"/>
        <v>1</v>
      </c>
      <c r="AG171" s="2" t="str">
        <f>VLOOKUP(F171,vlookup!$A$2:$E$660,2,0)</f>
        <v>Retained</v>
      </c>
      <c r="AH171" s="2" t="str">
        <f>VLOOKUP(F171,vlookup!$A$2:$E$660,3,0)</f>
        <v>Service Contract</v>
      </c>
      <c r="AI171" s="2" t="str">
        <f>VLOOKUP(F171,vlookup!$A$2:$E$660,4,0)</f>
        <v>Used Car Programs</v>
      </c>
      <c r="AJ171" s="2" t="str">
        <f>VLOOKUP(F171,vlookup!$A$2:$E$660,5,0)</f>
        <v>High Mileage</v>
      </c>
      <c r="AK171" s="2"/>
      <c r="AL171" s="2">
        <f t="shared" si="40"/>
        <v>74</v>
      </c>
      <c r="AM171" s="2">
        <f t="shared" si="41"/>
        <v>228</v>
      </c>
      <c r="AN171" s="2">
        <f t="shared" si="42"/>
        <v>7902</v>
      </c>
      <c r="AO171" s="2" t="str">
        <f t="shared" si="43"/>
        <v/>
      </c>
      <c r="AP171" s="2" t="str">
        <f t="shared" si="44"/>
        <v/>
      </c>
      <c r="AQ171" s="2" t="str">
        <f t="shared" si="45"/>
        <v/>
      </c>
      <c r="AR171" s="2">
        <f t="shared" si="46"/>
        <v>-30.28</v>
      </c>
      <c r="AS171" s="2" t="str">
        <f t="shared" si="47"/>
        <v>APC500277-2</v>
      </c>
      <c r="AT171" s="2" t="str">
        <f>IFERROR(IF(VLOOKUP(Y171,vlookup!$I$2:$J$9,1,0)=Y171,VLOOKUP(Y171,vlookup!$I$2:$J$9,2,0),PROPER(Y171)),PROPER(Y171))</f>
        <v>Parts</v>
      </c>
      <c r="AU171" s="2" t="str">
        <f>IFERROR(IF(B171=VLOOKUP(B171,vlookup!$L$2:$L$10,1,0),"Yes","No"),"No")</f>
        <v>No</v>
      </c>
    </row>
    <row r="172" spans="1:47" x14ac:dyDescent="0.25">
      <c r="A172" t="s">
        <v>774</v>
      </c>
      <c r="B172" t="s">
        <v>775</v>
      </c>
      <c r="C172">
        <v>2</v>
      </c>
      <c r="D172">
        <v>1</v>
      </c>
      <c r="E172" t="s">
        <v>382</v>
      </c>
      <c r="F172" t="s">
        <v>207</v>
      </c>
      <c r="G172" t="s">
        <v>543</v>
      </c>
      <c r="H172" s="11" t="s">
        <v>628</v>
      </c>
      <c r="I172">
        <v>66725</v>
      </c>
      <c r="J172" s="22">
        <v>44211</v>
      </c>
      <c r="K172" s="22">
        <v>44284</v>
      </c>
      <c r="L172">
        <v>202103</v>
      </c>
      <c r="M172" s="22">
        <v>44256</v>
      </c>
      <c r="N172">
        <v>77871</v>
      </c>
      <c r="O172" t="s">
        <v>699</v>
      </c>
      <c r="P172" t="s">
        <v>712</v>
      </c>
      <c r="Q172" t="s">
        <v>612</v>
      </c>
      <c r="R172">
        <v>102181</v>
      </c>
      <c r="S172" s="22">
        <v>44439</v>
      </c>
      <c r="T172">
        <v>74627</v>
      </c>
      <c r="U172" t="s">
        <v>356</v>
      </c>
      <c r="V172" s="22">
        <v>44442</v>
      </c>
      <c r="W172" t="s">
        <v>658</v>
      </c>
      <c r="X172" t="s">
        <v>659</v>
      </c>
      <c r="Y172" t="s">
        <v>95</v>
      </c>
      <c r="Z172" t="s">
        <v>364</v>
      </c>
      <c r="AA172">
        <v>-327.58999999999997</v>
      </c>
      <c r="AC172" s="2">
        <f t="shared" si="36"/>
        <v>2021</v>
      </c>
      <c r="AD172" s="2">
        <f t="shared" si="37"/>
        <v>9</v>
      </c>
      <c r="AE172" s="2">
        <f t="shared" si="38"/>
        <v>2021</v>
      </c>
      <c r="AF172" s="2">
        <f t="shared" si="39"/>
        <v>1</v>
      </c>
      <c r="AG172" s="2" t="str">
        <f>VLOOKUP(F172,vlookup!$A$2:$E$660,2,0)</f>
        <v>Retained</v>
      </c>
      <c r="AH172" s="2" t="str">
        <f>VLOOKUP(F172,vlookup!$A$2:$E$660,3,0)</f>
        <v>Service Contract</v>
      </c>
      <c r="AI172" s="2" t="str">
        <f>VLOOKUP(F172,vlookup!$A$2:$E$660,4,0)</f>
        <v>Used Car Programs</v>
      </c>
      <c r="AJ172" s="2" t="str">
        <f>VLOOKUP(F172,vlookup!$A$2:$E$660,5,0)</f>
        <v>High Mileage</v>
      </c>
      <c r="AK172" s="2"/>
      <c r="AL172" s="2">
        <f t="shared" si="40"/>
        <v>74</v>
      </c>
      <c r="AM172" s="2">
        <f t="shared" si="41"/>
        <v>228</v>
      </c>
      <c r="AN172" s="2">
        <f t="shared" si="42"/>
        <v>7902</v>
      </c>
      <c r="AO172" s="2" t="str">
        <f t="shared" si="43"/>
        <v/>
      </c>
      <c r="AP172" s="2" t="str">
        <f t="shared" si="44"/>
        <v/>
      </c>
      <c r="AQ172" s="2" t="str">
        <f t="shared" si="45"/>
        <v/>
      </c>
      <c r="AR172" s="2">
        <f t="shared" si="46"/>
        <v>-327.58999999999997</v>
      </c>
      <c r="AS172" s="2" t="str">
        <f t="shared" si="47"/>
        <v>APC500277-2</v>
      </c>
      <c r="AT172" s="2" t="str">
        <f>IFERROR(IF(VLOOKUP(Y172,vlookup!$I$2:$J$9,1,0)=Y172,VLOOKUP(Y172,vlookup!$I$2:$J$9,2,0),PROPER(Y172)),PROPER(Y172))</f>
        <v>Parts</v>
      </c>
      <c r="AU172" s="2" t="str">
        <f>IFERROR(IF(B172=VLOOKUP(B172,vlookup!$L$2:$L$10,1,0),"Yes","No"),"No")</f>
        <v>No</v>
      </c>
    </row>
    <row r="173" spans="1:47" x14ac:dyDescent="0.25">
      <c r="A173" t="s">
        <v>774</v>
      </c>
      <c r="B173" t="s">
        <v>775</v>
      </c>
      <c r="C173">
        <v>2</v>
      </c>
      <c r="D173">
        <v>1</v>
      </c>
      <c r="E173" t="s">
        <v>382</v>
      </c>
      <c r="F173" t="s">
        <v>207</v>
      </c>
      <c r="G173" t="s">
        <v>543</v>
      </c>
      <c r="H173" s="11" t="s">
        <v>628</v>
      </c>
      <c r="I173">
        <v>66725</v>
      </c>
      <c r="J173" s="22">
        <v>44211</v>
      </c>
      <c r="K173" s="22">
        <v>44284</v>
      </c>
      <c r="L173">
        <v>202103</v>
      </c>
      <c r="M173" s="22">
        <v>44256</v>
      </c>
      <c r="N173">
        <v>77871</v>
      </c>
      <c r="O173" t="s">
        <v>699</v>
      </c>
      <c r="P173" t="s">
        <v>712</v>
      </c>
      <c r="Q173" t="s">
        <v>612</v>
      </c>
      <c r="R173">
        <v>102181</v>
      </c>
      <c r="S173" s="22">
        <v>44439</v>
      </c>
      <c r="T173">
        <v>74627</v>
      </c>
      <c r="U173" t="s">
        <v>356</v>
      </c>
      <c r="V173" s="22">
        <v>44442</v>
      </c>
      <c r="W173" t="s">
        <v>590</v>
      </c>
      <c r="X173" t="s">
        <v>591</v>
      </c>
      <c r="Y173" t="s">
        <v>95</v>
      </c>
      <c r="Z173" t="s">
        <v>358</v>
      </c>
      <c r="AA173">
        <v>-60.42</v>
      </c>
      <c r="AC173" s="2">
        <f t="shared" si="36"/>
        <v>2021</v>
      </c>
      <c r="AD173" s="2">
        <f t="shared" si="37"/>
        <v>9</v>
      </c>
      <c r="AE173" s="2">
        <f t="shared" si="38"/>
        <v>2021</v>
      </c>
      <c r="AF173" s="2">
        <f t="shared" si="39"/>
        <v>1</v>
      </c>
      <c r="AG173" s="2" t="str">
        <f>VLOOKUP(F173,vlookup!$A$2:$E$660,2,0)</f>
        <v>Retained</v>
      </c>
      <c r="AH173" s="2" t="str">
        <f>VLOOKUP(F173,vlookup!$A$2:$E$660,3,0)</f>
        <v>Service Contract</v>
      </c>
      <c r="AI173" s="2" t="str">
        <f>VLOOKUP(F173,vlookup!$A$2:$E$660,4,0)</f>
        <v>Used Car Programs</v>
      </c>
      <c r="AJ173" s="2" t="str">
        <f>VLOOKUP(F173,vlookup!$A$2:$E$660,5,0)</f>
        <v>High Mileage</v>
      </c>
      <c r="AK173" s="2"/>
      <c r="AL173" s="2">
        <f t="shared" si="40"/>
        <v>74</v>
      </c>
      <c r="AM173" s="2">
        <f t="shared" si="41"/>
        <v>228</v>
      </c>
      <c r="AN173" s="2">
        <f t="shared" si="42"/>
        <v>7902</v>
      </c>
      <c r="AO173" s="2" t="str">
        <f t="shared" si="43"/>
        <v/>
      </c>
      <c r="AP173" s="2" t="str">
        <f t="shared" si="44"/>
        <v/>
      </c>
      <c r="AQ173" s="2" t="str">
        <f t="shared" si="45"/>
        <v/>
      </c>
      <c r="AR173" s="2">
        <f t="shared" si="46"/>
        <v>-60.42</v>
      </c>
      <c r="AS173" s="2" t="str">
        <f t="shared" si="47"/>
        <v>APC500277-2</v>
      </c>
      <c r="AT173" s="2" t="str">
        <f>IFERROR(IF(VLOOKUP(Y173,vlookup!$I$2:$J$9,1,0)=Y173,VLOOKUP(Y173,vlookup!$I$2:$J$9,2,0),PROPER(Y173)),PROPER(Y173))</f>
        <v>Parts</v>
      </c>
      <c r="AU173" s="2" t="str">
        <f>IFERROR(IF(B173=VLOOKUP(B173,vlookup!$L$2:$L$10,1,0),"Yes","No"),"No")</f>
        <v>No</v>
      </c>
    </row>
    <row r="174" spans="1:47" x14ac:dyDescent="0.25">
      <c r="A174" t="s">
        <v>774</v>
      </c>
      <c r="B174" t="s">
        <v>775</v>
      </c>
      <c r="C174">
        <v>2</v>
      </c>
      <c r="D174">
        <v>1</v>
      </c>
      <c r="E174" t="s">
        <v>382</v>
      </c>
      <c r="F174" t="s">
        <v>207</v>
      </c>
      <c r="G174" t="s">
        <v>543</v>
      </c>
      <c r="H174" s="11" t="s">
        <v>628</v>
      </c>
      <c r="I174">
        <v>66725</v>
      </c>
      <c r="J174" s="22">
        <v>44211</v>
      </c>
      <c r="K174" s="22">
        <v>44284</v>
      </c>
      <c r="L174">
        <v>202103</v>
      </c>
      <c r="M174" s="22">
        <v>44256</v>
      </c>
      <c r="N174">
        <v>77871</v>
      </c>
      <c r="O174" t="s">
        <v>699</v>
      </c>
      <c r="P174" t="s">
        <v>712</v>
      </c>
      <c r="Q174" t="s">
        <v>612</v>
      </c>
      <c r="R174">
        <v>102181</v>
      </c>
      <c r="S174" s="22">
        <v>44439</v>
      </c>
      <c r="T174">
        <v>74627</v>
      </c>
      <c r="U174" t="s">
        <v>356</v>
      </c>
      <c r="V174" s="22">
        <v>44442</v>
      </c>
      <c r="W174" t="s">
        <v>580</v>
      </c>
      <c r="X174" t="s">
        <v>581</v>
      </c>
      <c r="Y174" t="s">
        <v>95</v>
      </c>
      <c r="Z174" t="s">
        <v>364</v>
      </c>
      <c r="AA174">
        <v>-6.36</v>
      </c>
      <c r="AC174" s="2">
        <f t="shared" si="36"/>
        <v>2021</v>
      </c>
      <c r="AD174" s="2">
        <f t="shared" si="37"/>
        <v>9</v>
      </c>
      <c r="AE174" s="2">
        <f t="shared" si="38"/>
        <v>2021</v>
      </c>
      <c r="AF174" s="2">
        <f t="shared" si="39"/>
        <v>1</v>
      </c>
      <c r="AG174" s="2" t="str">
        <f>VLOOKUP(F174,vlookup!$A$2:$E$660,2,0)</f>
        <v>Retained</v>
      </c>
      <c r="AH174" s="2" t="str">
        <f>VLOOKUP(F174,vlookup!$A$2:$E$660,3,0)</f>
        <v>Service Contract</v>
      </c>
      <c r="AI174" s="2" t="str">
        <f>VLOOKUP(F174,vlookup!$A$2:$E$660,4,0)</f>
        <v>Used Car Programs</v>
      </c>
      <c r="AJ174" s="2" t="str">
        <f>VLOOKUP(F174,vlookup!$A$2:$E$660,5,0)</f>
        <v>High Mileage</v>
      </c>
      <c r="AK174" s="2"/>
      <c r="AL174" s="2">
        <f t="shared" si="40"/>
        <v>74</v>
      </c>
      <c r="AM174" s="2">
        <f t="shared" si="41"/>
        <v>228</v>
      </c>
      <c r="AN174" s="2">
        <f t="shared" si="42"/>
        <v>7902</v>
      </c>
      <c r="AO174" s="2" t="str">
        <f t="shared" si="43"/>
        <v/>
      </c>
      <c r="AP174" s="2" t="str">
        <f t="shared" si="44"/>
        <v/>
      </c>
      <c r="AQ174" s="2" t="str">
        <f t="shared" si="45"/>
        <v/>
      </c>
      <c r="AR174" s="2">
        <f t="shared" si="46"/>
        <v>-6.36</v>
      </c>
      <c r="AS174" s="2" t="str">
        <f t="shared" si="47"/>
        <v>APC500277-2</v>
      </c>
      <c r="AT174" s="2" t="str">
        <f>IFERROR(IF(VLOOKUP(Y174,vlookup!$I$2:$J$9,1,0)=Y174,VLOOKUP(Y174,vlookup!$I$2:$J$9,2,0),PROPER(Y174)),PROPER(Y174))</f>
        <v>Parts</v>
      </c>
      <c r="AU174" s="2" t="str">
        <f>IFERROR(IF(B174=VLOOKUP(B174,vlookup!$L$2:$L$10,1,0),"Yes","No"),"No")</f>
        <v>No</v>
      </c>
    </row>
    <row r="175" spans="1:47" x14ac:dyDescent="0.25">
      <c r="A175" t="s">
        <v>774</v>
      </c>
      <c r="B175" t="s">
        <v>775</v>
      </c>
      <c r="C175">
        <v>2</v>
      </c>
      <c r="D175">
        <v>1</v>
      </c>
      <c r="E175" t="s">
        <v>382</v>
      </c>
      <c r="F175" t="s">
        <v>207</v>
      </c>
      <c r="G175" t="s">
        <v>543</v>
      </c>
      <c r="H175" s="11" t="s">
        <v>628</v>
      </c>
      <c r="I175">
        <v>66725</v>
      </c>
      <c r="J175" s="22">
        <v>44211</v>
      </c>
      <c r="K175" s="22">
        <v>44284</v>
      </c>
      <c r="L175">
        <v>202103</v>
      </c>
      <c r="M175" s="22">
        <v>44256</v>
      </c>
      <c r="N175">
        <v>77871</v>
      </c>
      <c r="O175" t="s">
        <v>699</v>
      </c>
      <c r="P175" t="s">
        <v>712</v>
      </c>
      <c r="Q175" t="s">
        <v>612</v>
      </c>
      <c r="R175">
        <v>102181</v>
      </c>
      <c r="S175" s="22">
        <v>44439</v>
      </c>
      <c r="T175">
        <v>74627</v>
      </c>
      <c r="U175" t="s">
        <v>356</v>
      </c>
      <c r="V175" s="22">
        <v>44442</v>
      </c>
      <c r="W175" t="s">
        <v>675</v>
      </c>
      <c r="X175" t="s">
        <v>676</v>
      </c>
      <c r="Y175" t="s">
        <v>95</v>
      </c>
      <c r="Z175" t="s">
        <v>364</v>
      </c>
      <c r="AA175">
        <v>-11.14</v>
      </c>
      <c r="AC175" s="2">
        <f t="shared" si="36"/>
        <v>2021</v>
      </c>
      <c r="AD175" s="2">
        <f t="shared" si="37"/>
        <v>9</v>
      </c>
      <c r="AE175" s="2">
        <f t="shared" si="38"/>
        <v>2021</v>
      </c>
      <c r="AF175" s="2">
        <f t="shared" si="39"/>
        <v>1</v>
      </c>
      <c r="AG175" s="2" t="str">
        <f>VLOOKUP(F175,vlookup!$A$2:$E$660,2,0)</f>
        <v>Retained</v>
      </c>
      <c r="AH175" s="2" t="str">
        <f>VLOOKUP(F175,vlookup!$A$2:$E$660,3,0)</f>
        <v>Service Contract</v>
      </c>
      <c r="AI175" s="2" t="str">
        <f>VLOOKUP(F175,vlookup!$A$2:$E$660,4,0)</f>
        <v>Used Car Programs</v>
      </c>
      <c r="AJ175" s="2" t="str">
        <f>VLOOKUP(F175,vlookup!$A$2:$E$660,5,0)</f>
        <v>High Mileage</v>
      </c>
      <c r="AK175" s="2"/>
      <c r="AL175" s="2">
        <f t="shared" si="40"/>
        <v>74</v>
      </c>
      <c r="AM175" s="2">
        <f t="shared" si="41"/>
        <v>228</v>
      </c>
      <c r="AN175" s="2">
        <f t="shared" si="42"/>
        <v>7902</v>
      </c>
      <c r="AO175" s="2" t="str">
        <f t="shared" si="43"/>
        <v/>
      </c>
      <c r="AP175" s="2" t="str">
        <f t="shared" si="44"/>
        <v/>
      </c>
      <c r="AQ175" s="2" t="str">
        <f t="shared" si="45"/>
        <v/>
      </c>
      <c r="AR175" s="2">
        <f t="shared" si="46"/>
        <v>-11.14</v>
      </c>
      <c r="AS175" s="2" t="str">
        <f t="shared" si="47"/>
        <v>APC500277-2</v>
      </c>
      <c r="AT175" s="2" t="str">
        <f>IFERROR(IF(VLOOKUP(Y175,vlookup!$I$2:$J$9,1,0)=Y175,VLOOKUP(Y175,vlookup!$I$2:$J$9,2,0),PROPER(Y175)),PROPER(Y175))</f>
        <v>Parts</v>
      </c>
      <c r="AU175" s="2" t="str">
        <f>IFERROR(IF(B175=VLOOKUP(B175,vlookup!$L$2:$L$10,1,0),"Yes","No"),"No")</f>
        <v>No</v>
      </c>
    </row>
    <row r="176" spans="1:47" x14ac:dyDescent="0.25">
      <c r="A176" t="s">
        <v>774</v>
      </c>
      <c r="B176" t="s">
        <v>775</v>
      </c>
      <c r="C176">
        <v>2</v>
      </c>
      <c r="D176">
        <v>1</v>
      </c>
      <c r="E176" t="s">
        <v>382</v>
      </c>
      <c r="F176" t="s">
        <v>207</v>
      </c>
      <c r="G176" t="s">
        <v>543</v>
      </c>
      <c r="H176" s="11" t="s">
        <v>628</v>
      </c>
      <c r="I176">
        <v>66725</v>
      </c>
      <c r="J176" s="22">
        <v>44211</v>
      </c>
      <c r="K176" s="22">
        <v>44284</v>
      </c>
      <c r="L176">
        <v>202103</v>
      </c>
      <c r="M176" s="22">
        <v>44256</v>
      </c>
      <c r="N176">
        <v>77871</v>
      </c>
      <c r="O176" t="s">
        <v>699</v>
      </c>
      <c r="P176" t="s">
        <v>712</v>
      </c>
      <c r="Q176" t="s">
        <v>612</v>
      </c>
      <c r="R176">
        <v>102181</v>
      </c>
      <c r="S176" s="22">
        <v>44439</v>
      </c>
      <c r="T176">
        <v>74627</v>
      </c>
      <c r="U176" t="s">
        <v>356</v>
      </c>
      <c r="V176" s="22">
        <v>44442</v>
      </c>
      <c r="W176" t="s">
        <v>638</v>
      </c>
      <c r="X176" t="s">
        <v>639</v>
      </c>
      <c r="Y176" t="s">
        <v>95</v>
      </c>
      <c r="Z176" t="s">
        <v>579</v>
      </c>
      <c r="AA176">
        <v>-38.9</v>
      </c>
      <c r="AC176" s="2">
        <f t="shared" si="36"/>
        <v>2021</v>
      </c>
      <c r="AD176" s="2">
        <f t="shared" si="37"/>
        <v>9</v>
      </c>
      <c r="AE176" s="2">
        <f t="shared" si="38"/>
        <v>2021</v>
      </c>
      <c r="AF176" s="2">
        <f t="shared" si="39"/>
        <v>1</v>
      </c>
      <c r="AG176" s="2" t="str">
        <f>VLOOKUP(F176,vlookup!$A$2:$E$660,2,0)</f>
        <v>Retained</v>
      </c>
      <c r="AH176" s="2" t="str">
        <f>VLOOKUP(F176,vlookup!$A$2:$E$660,3,0)</f>
        <v>Service Contract</v>
      </c>
      <c r="AI176" s="2" t="str">
        <f>VLOOKUP(F176,vlookup!$A$2:$E$660,4,0)</f>
        <v>Used Car Programs</v>
      </c>
      <c r="AJ176" s="2" t="str">
        <f>VLOOKUP(F176,vlookup!$A$2:$E$660,5,0)</f>
        <v>High Mileage</v>
      </c>
      <c r="AK176" s="2"/>
      <c r="AL176" s="2">
        <f t="shared" si="40"/>
        <v>74</v>
      </c>
      <c r="AM176" s="2">
        <f t="shared" si="41"/>
        <v>228</v>
      </c>
      <c r="AN176" s="2">
        <f t="shared" si="42"/>
        <v>7902</v>
      </c>
      <c r="AO176" s="2" t="str">
        <f t="shared" si="43"/>
        <v/>
      </c>
      <c r="AP176" s="2" t="str">
        <f t="shared" si="44"/>
        <v/>
      </c>
      <c r="AQ176" s="2" t="str">
        <f t="shared" si="45"/>
        <v/>
      </c>
      <c r="AR176" s="2">
        <f t="shared" si="46"/>
        <v>-38.9</v>
      </c>
      <c r="AS176" s="2" t="str">
        <f t="shared" si="47"/>
        <v>APC500277-2</v>
      </c>
      <c r="AT176" s="2" t="str">
        <f>IFERROR(IF(VLOOKUP(Y176,vlookup!$I$2:$J$9,1,0)=Y176,VLOOKUP(Y176,vlookup!$I$2:$J$9,2,0),PROPER(Y176)),PROPER(Y176))</f>
        <v>Parts</v>
      </c>
      <c r="AU176" s="2" t="str">
        <f>IFERROR(IF(B176=VLOOKUP(B176,vlookup!$L$2:$L$10,1,0),"Yes","No"),"No")</f>
        <v>No</v>
      </c>
    </row>
    <row r="177" spans="1:47" x14ac:dyDescent="0.25">
      <c r="A177" t="s">
        <v>782</v>
      </c>
      <c r="B177" t="s">
        <v>783</v>
      </c>
      <c r="C177">
        <v>2</v>
      </c>
      <c r="D177">
        <v>1</v>
      </c>
      <c r="E177" t="s">
        <v>572</v>
      </c>
      <c r="F177" t="s">
        <v>207</v>
      </c>
      <c r="G177" t="s">
        <v>683</v>
      </c>
      <c r="H177" s="11" t="s">
        <v>715</v>
      </c>
      <c r="I177">
        <v>65447</v>
      </c>
      <c r="J177" s="22">
        <v>44335</v>
      </c>
      <c r="K177" s="22">
        <v>44399</v>
      </c>
      <c r="L177">
        <v>202107</v>
      </c>
      <c r="M177" s="22">
        <v>44378</v>
      </c>
      <c r="N177">
        <v>77871</v>
      </c>
      <c r="O177" t="s">
        <v>699</v>
      </c>
      <c r="P177" t="s">
        <v>712</v>
      </c>
      <c r="Q177" t="s">
        <v>612</v>
      </c>
      <c r="R177">
        <v>108228</v>
      </c>
      <c r="S177" s="22">
        <v>44558</v>
      </c>
      <c r="T177">
        <v>79642</v>
      </c>
      <c r="U177" t="s">
        <v>356</v>
      </c>
      <c r="V177" s="22">
        <v>44560</v>
      </c>
      <c r="W177" t="s">
        <v>784</v>
      </c>
      <c r="X177" t="s">
        <v>785</v>
      </c>
      <c r="Y177" t="s">
        <v>95</v>
      </c>
      <c r="Z177" t="s">
        <v>358</v>
      </c>
      <c r="AA177">
        <v>-102.47</v>
      </c>
      <c r="AC177" s="2">
        <f t="shared" si="36"/>
        <v>2021</v>
      </c>
      <c r="AD177" s="2">
        <f t="shared" si="37"/>
        <v>12</v>
      </c>
      <c r="AE177" s="2">
        <f t="shared" si="38"/>
        <v>2021</v>
      </c>
      <c r="AF177" s="2">
        <f t="shared" si="39"/>
        <v>5</v>
      </c>
      <c r="AG177" s="2" t="str">
        <f>VLOOKUP(F177,vlookup!$A$2:$E$660,2,0)</f>
        <v>Retained</v>
      </c>
      <c r="AH177" s="2" t="str">
        <f>VLOOKUP(F177,vlookup!$A$2:$E$660,3,0)</f>
        <v>Service Contract</v>
      </c>
      <c r="AI177" s="2" t="str">
        <f>VLOOKUP(F177,vlookup!$A$2:$E$660,4,0)</f>
        <v>Used Car Programs</v>
      </c>
      <c r="AJ177" s="2" t="str">
        <f>VLOOKUP(F177,vlookup!$A$2:$E$660,5,0)</f>
        <v>High Mileage</v>
      </c>
      <c r="AK177" s="2"/>
      <c r="AL177" s="2">
        <f t="shared" si="40"/>
        <v>63</v>
      </c>
      <c r="AM177" s="2">
        <f t="shared" si="41"/>
        <v>221</v>
      </c>
      <c r="AN177" s="2">
        <f t="shared" si="42"/>
        <v>14195</v>
      </c>
      <c r="AO177" s="2" t="str">
        <f t="shared" si="43"/>
        <v/>
      </c>
      <c r="AP177" s="2" t="str">
        <f t="shared" si="44"/>
        <v/>
      </c>
      <c r="AQ177" s="2" t="str">
        <f t="shared" si="45"/>
        <v/>
      </c>
      <c r="AR177" s="2">
        <f t="shared" si="46"/>
        <v>-102.47</v>
      </c>
      <c r="AS177" s="2" t="str">
        <f t="shared" si="47"/>
        <v>APC500416-2</v>
      </c>
      <c r="AT177" s="2" t="str">
        <f>IFERROR(IF(VLOOKUP(Y177,vlookup!$I$2:$J$9,1,0)=Y177,VLOOKUP(Y177,vlookup!$I$2:$J$9,2,0),PROPER(Y177)),PROPER(Y177))</f>
        <v>Parts</v>
      </c>
      <c r="AU177" s="2" t="str">
        <f>IFERROR(IF(B177=VLOOKUP(B177,vlookup!$L$2:$L$10,1,0),"Yes","No"),"No")</f>
        <v>No</v>
      </c>
    </row>
    <row r="178" spans="1:47" x14ac:dyDescent="0.25">
      <c r="A178" t="s">
        <v>757</v>
      </c>
      <c r="B178" t="s">
        <v>758</v>
      </c>
      <c r="C178">
        <v>2</v>
      </c>
      <c r="D178">
        <v>1</v>
      </c>
      <c r="E178" t="s">
        <v>382</v>
      </c>
      <c r="F178" t="s">
        <v>207</v>
      </c>
      <c r="G178" t="s">
        <v>683</v>
      </c>
      <c r="H178" s="11" t="s">
        <v>715</v>
      </c>
      <c r="I178">
        <v>114400</v>
      </c>
      <c r="J178" s="22">
        <v>44125</v>
      </c>
      <c r="K178" s="22">
        <v>44200</v>
      </c>
      <c r="L178">
        <v>202012</v>
      </c>
      <c r="M178" s="22">
        <v>44166</v>
      </c>
      <c r="N178">
        <v>77871</v>
      </c>
      <c r="O178" t="s">
        <v>699</v>
      </c>
      <c r="P178" t="s">
        <v>712</v>
      </c>
      <c r="Q178" t="s">
        <v>612</v>
      </c>
      <c r="R178">
        <v>108521</v>
      </c>
      <c r="S178" s="22">
        <v>44564</v>
      </c>
      <c r="T178">
        <v>127914</v>
      </c>
      <c r="U178" t="s">
        <v>356</v>
      </c>
      <c r="V178" s="22">
        <v>44635</v>
      </c>
      <c r="W178" t="s">
        <v>786</v>
      </c>
      <c r="X178" t="s">
        <v>787</v>
      </c>
      <c r="Y178" t="s">
        <v>95</v>
      </c>
      <c r="Z178" t="s">
        <v>625</v>
      </c>
      <c r="AA178">
        <v>-2057.14</v>
      </c>
      <c r="AC178" s="2">
        <f t="shared" si="36"/>
        <v>2022</v>
      </c>
      <c r="AD178" s="2">
        <f t="shared" si="37"/>
        <v>3</v>
      </c>
      <c r="AE178" s="2">
        <f t="shared" si="38"/>
        <v>2020</v>
      </c>
      <c r="AF178" s="2">
        <f t="shared" si="39"/>
        <v>10</v>
      </c>
      <c r="AG178" s="2" t="str">
        <f>VLOOKUP(F178,vlookup!$A$2:$E$660,2,0)</f>
        <v>Retained</v>
      </c>
      <c r="AH178" s="2" t="str">
        <f>VLOOKUP(F178,vlookup!$A$2:$E$660,3,0)</f>
        <v>Service Contract</v>
      </c>
      <c r="AI178" s="2" t="str">
        <f>VLOOKUP(F178,vlookup!$A$2:$E$660,4,0)</f>
        <v>Used Car Programs</v>
      </c>
      <c r="AJ178" s="2" t="str">
        <f>VLOOKUP(F178,vlookup!$A$2:$E$660,5,0)</f>
        <v>High Mileage</v>
      </c>
      <c r="AK178" s="2"/>
      <c r="AL178" s="2">
        <f t="shared" si="40"/>
        <v>73</v>
      </c>
      <c r="AM178" s="2">
        <f t="shared" si="41"/>
        <v>504</v>
      </c>
      <c r="AN178" s="2">
        <f t="shared" si="42"/>
        <v>13514</v>
      </c>
      <c r="AO178" s="2" t="str">
        <f t="shared" si="43"/>
        <v/>
      </c>
      <c r="AP178" s="2" t="str">
        <f t="shared" si="44"/>
        <v/>
      </c>
      <c r="AQ178" s="2" t="str">
        <f t="shared" si="45"/>
        <v/>
      </c>
      <c r="AR178" s="2">
        <f t="shared" si="46"/>
        <v>-2057.14</v>
      </c>
      <c r="AS178" s="2" t="str">
        <f t="shared" si="47"/>
        <v>APC500213-2</v>
      </c>
      <c r="AT178" s="2" t="str">
        <f>IFERROR(IF(VLOOKUP(Y178,vlookup!$I$2:$J$9,1,0)=Y178,VLOOKUP(Y178,vlookup!$I$2:$J$9,2,0),PROPER(Y178)),PROPER(Y178))</f>
        <v>Parts</v>
      </c>
      <c r="AU178" s="2" t="str">
        <f>IFERROR(IF(B178=VLOOKUP(B178,vlookup!$L$2:$L$10,1,0),"Yes","No"),"No")</f>
        <v>No</v>
      </c>
    </row>
    <row r="179" spans="1:47" x14ac:dyDescent="0.25">
      <c r="A179" t="s">
        <v>713</v>
      </c>
      <c r="B179" t="s">
        <v>714</v>
      </c>
      <c r="C179">
        <v>1</v>
      </c>
      <c r="D179">
        <v>1</v>
      </c>
      <c r="E179" t="s">
        <v>382</v>
      </c>
      <c r="F179" t="s">
        <v>346</v>
      </c>
      <c r="G179" t="s">
        <v>683</v>
      </c>
      <c r="H179" s="11" t="s">
        <v>715</v>
      </c>
      <c r="I179">
        <v>68520</v>
      </c>
      <c r="J179" s="22">
        <v>44092</v>
      </c>
      <c r="K179" s="22">
        <v>44139</v>
      </c>
      <c r="L179">
        <v>202010</v>
      </c>
      <c r="M179" s="22">
        <v>44105</v>
      </c>
      <c r="N179">
        <v>77871</v>
      </c>
      <c r="O179" t="s">
        <v>699</v>
      </c>
      <c r="P179" t="s">
        <v>712</v>
      </c>
      <c r="Q179" t="s">
        <v>612</v>
      </c>
      <c r="R179">
        <v>905752</v>
      </c>
      <c r="S179" s="22">
        <v>44336</v>
      </c>
      <c r="T179">
        <v>73721</v>
      </c>
      <c r="U179" t="s">
        <v>356</v>
      </c>
      <c r="V179" s="22">
        <v>44350</v>
      </c>
      <c r="W179" t="s">
        <v>788</v>
      </c>
      <c r="X179" t="s">
        <v>789</v>
      </c>
      <c r="Y179" t="s">
        <v>95</v>
      </c>
      <c r="Z179" t="s">
        <v>358</v>
      </c>
      <c r="AA179">
        <v>-225.1</v>
      </c>
      <c r="AC179" s="2">
        <f t="shared" si="36"/>
        <v>2021</v>
      </c>
      <c r="AD179" s="2">
        <f t="shared" si="37"/>
        <v>6</v>
      </c>
      <c r="AE179" s="2">
        <f t="shared" si="38"/>
        <v>2020</v>
      </c>
      <c r="AF179" s="2">
        <f t="shared" si="39"/>
        <v>9</v>
      </c>
      <c r="AG179" s="2" t="str">
        <f>VLOOKUP(F179,vlookup!$A$2:$E$660,2,0)</f>
        <v>Retained</v>
      </c>
      <c r="AH179" s="2" t="str">
        <f>VLOOKUP(F179,vlookup!$A$2:$E$660,3,0)</f>
        <v>Service Contract</v>
      </c>
      <c r="AI179" s="2" t="str">
        <f>VLOOKUP(F179,vlookup!$A$2:$E$660,4,0)</f>
        <v>Used Car Programs</v>
      </c>
      <c r="AJ179" s="2" t="str">
        <f>VLOOKUP(F179,vlookup!$A$2:$E$660,5,0)</f>
        <v>High Mileage</v>
      </c>
      <c r="AK179" s="2"/>
      <c r="AL179" s="2">
        <f t="shared" si="40"/>
        <v>46</v>
      </c>
      <c r="AM179" s="2">
        <f t="shared" si="41"/>
        <v>255</v>
      </c>
      <c r="AN179" s="2">
        <f t="shared" si="42"/>
        <v>5201</v>
      </c>
      <c r="AO179" s="2" t="str">
        <f t="shared" si="43"/>
        <v/>
      </c>
      <c r="AP179" s="2" t="str">
        <f t="shared" si="44"/>
        <v/>
      </c>
      <c r="AQ179" s="2" t="str">
        <f t="shared" si="45"/>
        <v/>
      </c>
      <c r="AR179" s="2">
        <f t="shared" si="46"/>
        <v>-225.1</v>
      </c>
      <c r="AS179" s="2" t="str">
        <f t="shared" si="47"/>
        <v>SDFBF369586I20-1</v>
      </c>
      <c r="AT179" s="2" t="str">
        <f>IFERROR(IF(VLOOKUP(Y179,vlookup!$I$2:$J$9,1,0)=Y179,VLOOKUP(Y179,vlookup!$I$2:$J$9,2,0),PROPER(Y179)),PROPER(Y179))</f>
        <v>Parts</v>
      </c>
      <c r="AU179" s="2" t="str">
        <f>IFERROR(IF(B179=VLOOKUP(B179,vlookup!$L$2:$L$10,1,0),"Yes","No"),"No")</f>
        <v>No</v>
      </c>
    </row>
    <row r="180" spans="1:47" x14ac:dyDescent="0.25">
      <c r="A180" t="s">
        <v>713</v>
      </c>
      <c r="B180" t="s">
        <v>714</v>
      </c>
      <c r="C180">
        <v>2</v>
      </c>
      <c r="D180">
        <v>1</v>
      </c>
      <c r="E180" t="s">
        <v>382</v>
      </c>
      <c r="F180" t="s">
        <v>346</v>
      </c>
      <c r="G180" t="s">
        <v>683</v>
      </c>
      <c r="H180" s="11" t="s">
        <v>715</v>
      </c>
      <c r="I180">
        <v>68520</v>
      </c>
      <c r="J180" s="22">
        <v>44092</v>
      </c>
      <c r="K180" s="22">
        <v>44139</v>
      </c>
      <c r="L180">
        <v>202010</v>
      </c>
      <c r="M180" s="22">
        <v>44105</v>
      </c>
      <c r="N180">
        <v>77871</v>
      </c>
      <c r="O180" t="s">
        <v>699</v>
      </c>
      <c r="P180" t="s">
        <v>716</v>
      </c>
      <c r="Q180" t="s">
        <v>612</v>
      </c>
      <c r="R180">
        <v>711063</v>
      </c>
      <c r="S180" s="22">
        <v>44447</v>
      </c>
      <c r="T180">
        <v>76629</v>
      </c>
      <c r="U180" t="s">
        <v>356</v>
      </c>
      <c r="V180" s="22">
        <v>44448</v>
      </c>
      <c r="W180" t="s">
        <v>776</v>
      </c>
      <c r="X180" t="s">
        <v>777</v>
      </c>
      <c r="Y180" t="s">
        <v>95</v>
      </c>
      <c r="Z180" t="s">
        <v>369</v>
      </c>
      <c r="AA180">
        <v>-58.12</v>
      </c>
      <c r="AC180" s="2">
        <f t="shared" si="36"/>
        <v>2021</v>
      </c>
      <c r="AD180" s="2">
        <f t="shared" si="37"/>
        <v>9</v>
      </c>
      <c r="AE180" s="2">
        <f t="shared" si="38"/>
        <v>2020</v>
      </c>
      <c r="AF180" s="2">
        <f t="shared" si="39"/>
        <v>9</v>
      </c>
      <c r="AG180" s="2" t="str">
        <f>VLOOKUP(F180,vlookup!$A$2:$E$660,2,0)</f>
        <v>Retained</v>
      </c>
      <c r="AH180" s="2" t="str">
        <f>VLOOKUP(F180,vlookup!$A$2:$E$660,3,0)</f>
        <v>Service Contract</v>
      </c>
      <c r="AI180" s="2" t="str">
        <f>VLOOKUP(F180,vlookup!$A$2:$E$660,4,0)</f>
        <v>Used Car Programs</v>
      </c>
      <c r="AJ180" s="2" t="str">
        <f>VLOOKUP(F180,vlookup!$A$2:$E$660,5,0)</f>
        <v>High Mileage</v>
      </c>
      <c r="AK180" s="2"/>
      <c r="AL180" s="2">
        <f t="shared" si="40"/>
        <v>46</v>
      </c>
      <c r="AM180" s="2">
        <f t="shared" si="41"/>
        <v>351</v>
      </c>
      <c r="AN180" s="2">
        <f t="shared" si="42"/>
        <v>8109</v>
      </c>
      <c r="AO180" s="2" t="str">
        <f t="shared" si="43"/>
        <v/>
      </c>
      <c r="AP180" s="2" t="str">
        <f t="shared" si="44"/>
        <v/>
      </c>
      <c r="AQ180" s="2" t="str">
        <f t="shared" si="45"/>
        <v/>
      </c>
      <c r="AR180" s="2">
        <f t="shared" si="46"/>
        <v>-58.12</v>
      </c>
      <c r="AS180" s="2" t="str">
        <f t="shared" si="47"/>
        <v>SDFBF369586I20-2</v>
      </c>
      <c r="AT180" s="2" t="str">
        <f>IFERROR(IF(VLOOKUP(Y180,vlookup!$I$2:$J$9,1,0)=Y180,VLOOKUP(Y180,vlookup!$I$2:$J$9,2,0),PROPER(Y180)),PROPER(Y180))</f>
        <v>Parts</v>
      </c>
      <c r="AU180" s="2" t="str">
        <f>IFERROR(IF(B180=VLOOKUP(B180,vlookup!$L$2:$L$10,1,0),"Yes","No"),"No")</f>
        <v>No</v>
      </c>
    </row>
    <row r="181" spans="1:47" x14ac:dyDescent="0.25">
      <c r="A181" t="s">
        <v>713</v>
      </c>
      <c r="B181" t="s">
        <v>714</v>
      </c>
      <c r="C181">
        <v>3</v>
      </c>
      <c r="D181">
        <v>1</v>
      </c>
      <c r="E181" t="s">
        <v>382</v>
      </c>
      <c r="F181" t="s">
        <v>346</v>
      </c>
      <c r="G181" t="s">
        <v>683</v>
      </c>
      <c r="H181" s="11" t="s">
        <v>715</v>
      </c>
      <c r="I181">
        <v>68520</v>
      </c>
      <c r="J181" s="22">
        <v>44092</v>
      </c>
      <c r="K181" s="22">
        <v>44139</v>
      </c>
      <c r="L181">
        <v>202010</v>
      </c>
      <c r="M181" s="22">
        <v>44105</v>
      </c>
      <c r="N181">
        <v>77871</v>
      </c>
      <c r="O181" t="s">
        <v>699</v>
      </c>
      <c r="P181" t="s">
        <v>716</v>
      </c>
      <c r="Q181" t="s">
        <v>612</v>
      </c>
      <c r="R181">
        <v>731304</v>
      </c>
      <c r="S181" s="22">
        <v>44838</v>
      </c>
      <c r="T181">
        <v>89522</v>
      </c>
      <c r="U181" t="s">
        <v>356</v>
      </c>
      <c r="V181" s="22">
        <v>44841</v>
      </c>
      <c r="W181" t="s">
        <v>596</v>
      </c>
      <c r="X181" t="s">
        <v>597</v>
      </c>
      <c r="Y181" t="s">
        <v>95</v>
      </c>
      <c r="Z181" t="s">
        <v>358</v>
      </c>
      <c r="AA181">
        <v>-365.02</v>
      </c>
      <c r="AC181" s="2">
        <f t="shared" si="36"/>
        <v>2022</v>
      </c>
      <c r="AD181" s="2">
        <f t="shared" si="37"/>
        <v>10</v>
      </c>
      <c r="AE181" s="2">
        <f t="shared" si="38"/>
        <v>2020</v>
      </c>
      <c r="AF181" s="2">
        <f t="shared" si="39"/>
        <v>9</v>
      </c>
      <c r="AG181" s="2" t="str">
        <f>VLOOKUP(F181,vlookup!$A$2:$E$660,2,0)</f>
        <v>Retained</v>
      </c>
      <c r="AH181" s="2" t="str">
        <f>VLOOKUP(F181,vlookup!$A$2:$E$660,3,0)</f>
        <v>Service Contract</v>
      </c>
      <c r="AI181" s="2" t="str">
        <f>VLOOKUP(F181,vlookup!$A$2:$E$660,4,0)</f>
        <v>Used Car Programs</v>
      </c>
      <c r="AJ181" s="2" t="str">
        <f>VLOOKUP(F181,vlookup!$A$2:$E$660,5,0)</f>
        <v>High Mileage</v>
      </c>
      <c r="AK181" s="2"/>
      <c r="AL181" s="2">
        <f t="shared" si="40"/>
        <v>46</v>
      </c>
      <c r="AM181" s="2">
        <f t="shared" si="41"/>
        <v>739</v>
      </c>
      <c r="AN181" s="2">
        <f t="shared" si="42"/>
        <v>21002</v>
      </c>
      <c r="AO181" s="2" t="str">
        <f t="shared" si="43"/>
        <v/>
      </c>
      <c r="AP181" s="2" t="str">
        <f t="shared" si="44"/>
        <v/>
      </c>
      <c r="AQ181" s="2" t="str">
        <f t="shared" si="45"/>
        <v/>
      </c>
      <c r="AR181" s="2">
        <f t="shared" si="46"/>
        <v>-365.02</v>
      </c>
      <c r="AS181" s="2" t="str">
        <f t="shared" si="47"/>
        <v>SDFBF369586I20-3</v>
      </c>
      <c r="AT181" s="2" t="str">
        <f>IFERROR(IF(VLOOKUP(Y181,vlookup!$I$2:$J$9,1,0)=Y181,VLOOKUP(Y181,vlookup!$I$2:$J$9,2,0),PROPER(Y181)),PROPER(Y181))</f>
        <v>Parts</v>
      </c>
      <c r="AU181" s="2" t="str">
        <f>IFERROR(IF(B181=VLOOKUP(B181,vlookup!$L$2:$L$10,1,0),"Yes","No"),"No")</f>
        <v>No</v>
      </c>
    </row>
    <row r="182" spans="1:47" x14ac:dyDescent="0.25">
      <c r="A182" t="s">
        <v>717</v>
      </c>
      <c r="B182" t="s">
        <v>718</v>
      </c>
      <c r="C182">
        <v>1</v>
      </c>
      <c r="D182">
        <v>1</v>
      </c>
      <c r="E182" t="s">
        <v>382</v>
      </c>
      <c r="F182" t="s">
        <v>279</v>
      </c>
      <c r="G182" t="s">
        <v>683</v>
      </c>
      <c r="H182" s="11" t="s">
        <v>715</v>
      </c>
      <c r="I182">
        <v>76513</v>
      </c>
      <c r="J182" s="22">
        <v>44788</v>
      </c>
      <c r="K182" s="22">
        <v>44803</v>
      </c>
      <c r="L182">
        <v>202208</v>
      </c>
      <c r="M182" s="22">
        <v>44774</v>
      </c>
      <c r="N182">
        <v>77871</v>
      </c>
      <c r="O182" t="s">
        <v>699</v>
      </c>
      <c r="P182" t="s">
        <v>719</v>
      </c>
      <c r="Q182" t="s">
        <v>612</v>
      </c>
      <c r="R182">
        <v>6007434</v>
      </c>
      <c r="S182" s="22">
        <v>44854</v>
      </c>
      <c r="T182">
        <v>77491</v>
      </c>
      <c r="U182" t="s">
        <v>356</v>
      </c>
      <c r="V182" s="22">
        <v>44858</v>
      </c>
      <c r="W182" t="s">
        <v>362</v>
      </c>
      <c r="X182" t="s">
        <v>363</v>
      </c>
      <c r="Y182" t="s">
        <v>95</v>
      </c>
      <c r="Z182" t="s">
        <v>358</v>
      </c>
      <c r="AA182">
        <v>-418.91</v>
      </c>
      <c r="AC182" s="2">
        <f t="shared" si="36"/>
        <v>2022</v>
      </c>
      <c r="AD182" s="2">
        <f t="shared" si="37"/>
        <v>10</v>
      </c>
      <c r="AE182" s="2">
        <f t="shared" si="38"/>
        <v>2022</v>
      </c>
      <c r="AF182" s="2">
        <f t="shared" si="39"/>
        <v>8</v>
      </c>
      <c r="AG182" s="2" t="str">
        <f>VLOOKUP(F182,vlookup!$A$2:$E$660,2,0)</f>
        <v>Retained</v>
      </c>
      <c r="AH182" s="2" t="str">
        <f>VLOOKUP(F182,vlookup!$A$2:$E$660,3,0)</f>
        <v>Service Contract</v>
      </c>
      <c r="AI182" s="2" t="str">
        <f>VLOOKUP(F182,vlookup!$A$2:$E$660,4,0)</f>
        <v>New Car Programs</v>
      </c>
      <c r="AJ182" s="2" t="str">
        <f>VLOOKUP(F182,vlookup!$A$2:$E$660,5,0)</f>
        <v>Absolute</v>
      </c>
      <c r="AK182" s="2"/>
      <c r="AL182" s="2">
        <f t="shared" si="40"/>
        <v>15</v>
      </c>
      <c r="AM182" s="2">
        <f t="shared" si="41"/>
        <v>69</v>
      </c>
      <c r="AN182" s="2">
        <f t="shared" si="42"/>
        <v>978</v>
      </c>
      <c r="AO182" s="2" t="str">
        <f t="shared" si="43"/>
        <v/>
      </c>
      <c r="AP182" s="2" t="str">
        <f t="shared" si="44"/>
        <v/>
      </c>
      <c r="AQ182" s="2">
        <f t="shared" si="45"/>
        <v>-418.91</v>
      </c>
      <c r="AR182" s="2" t="str">
        <f t="shared" si="46"/>
        <v/>
      </c>
      <c r="AS182" s="2" t="str">
        <f t="shared" si="47"/>
        <v>ARCCF201739H22-1</v>
      </c>
      <c r="AT182" s="2" t="str">
        <f>IFERROR(IF(VLOOKUP(Y182,vlookup!$I$2:$J$9,1,0)=Y182,VLOOKUP(Y182,vlookup!$I$2:$J$9,2,0),PROPER(Y182)),PROPER(Y182))</f>
        <v>Parts</v>
      </c>
      <c r="AU182" s="2" t="str">
        <f>IFERROR(IF(B182=VLOOKUP(B182,vlookup!$L$2:$L$10,1,0),"Yes","No"),"No")</f>
        <v>No</v>
      </c>
    </row>
    <row r="183" spans="1:47" x14ac:dyDescent="0.25">
      <c r="A183" t="s">
        <v>717</v>
      </c>
      <c r="B183" t="s">
        <v>718</v>
      </c>
      <c r="C183">
        <v>1</v>
      </c>
      <c r="D183">
        <v>1</v>
      </c>
      <c r="E183" t="s">
        <v>382</v>
      </c>
      <c r="F183" t="s">
        <v>279</v>
      </c>
      <c r="G183" t="s">
        <v>683</v>
      </c>
      <c r="H183" s="11" t="s">
        <v>715</v>
      </c>
      <c r="I183">
        <v>76513</v>
      </c>
      <c r="J183" s="22">
        <v>44788</v>
      </c>
      <c r="K183" s="22">
        <v>44803</v>
      </c>
      <c r="L183">
        <v>202208</v>
      </c>
      <c r="M183" s="22">
        <v>44774</v>
      </c>
      <c r="N183">
        <v>77871</v>
      </c>
      <c r="O183" t="s">
        <v>699</v>
      </c>
      <c r="P183" t="s">
        <v>719</v>
      </c>
      <c r="Q183" t="s">
        <v>612</v>
      </c>
      <c r="R183">
        <v>6007434</v>
      </c>
      <c r="S183" s="22">
        <v>44854</v>
      </c>
      <c r="T183">
        <v>77491</v>
      </c>
      <c r="U183" t="s">
        <v>356</v>
      </c>
      <c r="V183" s="22">
        <v>44858</v>
      </c>
      <c r="W183" t="s">
        <v>776</v>
      </c>
      <c r="X183" t="s">
        <v>777</v>
      </c>
      <c r="Y183" t="s">
        <v>95</v>
      </c>
      <c r="Z183" t="s">
        <v>369</v>
      </c>
      <c r="AA183">
        <v>-63.15</v>
      </c>
      <c r="AC183" s="2">
        <f t="shared" si="36"/>
        <v>2022</v>
      </c>
      <c r="AD183" s="2">
        <f t="shared" si="37"/>
        <v>10</v>
      </c>
      <c r="AE183" s="2">
        <f t="shared" si="38"/>
        <v>2022</v>
      </c>
      <c r="AF183" s="2">
        <f t="shared" si="39"/>
        <v>8</v>
      </c>
      <c r="AG183" s="2" t="str">
        <f>VLOOKUP(F183,vlookup!$A$2:$E$660,2,0)</f>
        <v>Retained</v>
      </c>
      <c r="AH183" s="2" t="str">
        <f>VLOOKUP(F183,vlookup!$A$2:$E$660,3,0)</f>
        <v>Service Contract</v>
      </c>
      <c r="AI183" s="2" t="str">
        <f>VLOOKUP(F183,vlookup!$A$2:$E$660,4,0)</f>
        <v>New Car Programs</v>
      </c>
      <c r="AJ183" s="2" t="str">
        <f>VLOOKUP(F183,vlookup!$A$2:$E$660,5,0)</f>
        <v>Absolute</v>
      </c>
      <c r="AK183" s="2"/>
      <c r="AL183" s="2">
        <f t="shared" si="40"/>
        <v>15</v>
      </c>
      <c r="AM183" s="2">
        <f t="shared" si="41"/>
        <v>69</v>
      </c>
      <c r="AN183" s="2">
        <f t="shared" si="42"/>
        <v>978</v>
      </c>
      <c r="AO183" s="2" t="str">
        <f t="shared" si="43"/>
        <v/>
      </c>
      <c r="AP183" s="2" t="str">
        <f t="shared" si="44"/>
        <v/>
      </c>
      <c r="AQ183" s="2">
        <f t="shared" si="45"/>
        <v>-63.15</v>
      </c>
      <c r="AR183" s="2" t="str">
        <f t="shared" si="46"/>
        <v/>
      </c>
      <c r="AS183" s="2" t="str">
        <f t="shared" si="47"/>
        <v>ARCCF201739H22-1</v>
      </c>
      <c r="AT183" s="2" t="str">
        <f>IFERROR(IF(VLOOKUP(Y183,vlookup!$I$2:$J$9,1,0)=Y183,VLOOKUP(Y183,vlookup!$I$2:$J$9,2,0),PROPER(Y183)),PROPER(Y183))</f>
        <v>Parts</v>
      </c>
      <c r="AU183" s="2" t="str">
        <f>IFERROR(IF(B183=VLOOKUP(B183,vlookup!$L$2:$L$10,1,0),"Yes","No"),"No")</f>
        <v>No</v>
      </c>
    </row>
    <row r="184" spans="1:47" x14ac:dyDescent="0.25">
      <c r="A184" t="s">
        <v>790</v>
      </c>
      <c r="B184" t="s">
        <v>791</v>
      </c>
      <c r="C184">
        <v>1</v>
      </c>
      <c r="D184">
        <v>1</v>
      </c>
      <c r="E184" t="s">
        <v>572</v>
      </c>
      <c r="F184" t="s">
        <v>207</v>
      </c>
      <c r="G184" t="s">
        <v>683</v>
      </c>
      <c r="H184" s="11" t="s">
        <v>792</v>
      </c>
      <c r="I184">
        <v>77001</v>
      </c>
      <c r="J184" s="22">
        <v>44132</v>
      </c>
      <c r="K184" s="22">
        <v>44183</v>
      </c>
      <c r="L184">
        <v>202012</v>
      </c>
      <c r="M184" s="22">
        <v>44166</v>
      </c>
      <c r="N184">
        <v>77871</v>
      </c>
      <c r="O184" t="s">
        <v>699</v>
      </c>
      <c r="P184" t="s">
        <v>712</v>
      </c>
      <c r="Q184" t="s">
        <v>612</v>
      </c>
      <c r="R184">
        <v>89622</v>
      </c>
      <c r="S184" s="22">
        <v>44165</v>
      </c>
      <c r="T184">
        <v>78308</v>
      </c>
      <c r="U184" t="s">
        <v>356</v>
      </c>
      <c r="V184" s="22">
        <v>44186</v>
      </c>
      <c r="W184" t="s">
        <v>640</v>
      </c>
      <c r="X184" t="s">
        <v>641</v>
      </c>
      <c r="Y184" t="s">
        <v>95</v>
      </c>
      <c r="Z184" t="s">
        <v>364</v>
      </c>
      <c r="AA184">
        <v>-170.91</v>
      </c>
      <c r="AC184" s="2">
        <f t="shared" si="36"/>
        <v>2020</v>
      </c>
      <c r="AD184" s="2">
        <f t="shared" si="37"/>
        <v>12</v>
      </c>
      <c r="AE184" s="2">
        <f t="shared" si="38"/>
        <v>2020</v>
      </c>
      <c r="AF184" s="2">
        <f t="shared" si="39"/>
        <v>10</v>
      </c>
      <c r="AG184" s="2" t="str">
        <f>VLOOKUP(F184,vlookup!$A$2:$E$660,2,0)</f>
        <v>Retained</v>
      </c>
      <c r="AH184" s="2" t="str">
        <f>VLOOKUP(F184,vlookup!$A$2:$E$660,3,0)</f>
        <v>Service Contract</v>
      </c>
      <c r="AI184" s="2" t="str">
        <f>VLOOKUP(F184,vlookup!$A$2:$E$660,4,0)</f>
        <v>Used Car Programs</v>
      </c>
      <c r="AJ184" s="2" t="str">
        <f>VLOOKUP(F184,vlookup!$A$2:$E$660,5,0)</f>
        <v>High Mileage</v>
      </c>
      <c r="AK184" s="2"/>
      <c r="AL184" s="2">
        <f t="shared" si="40"/>
        <v>50</v>
      </c>
      <c r="AM184" s="2">
        <f t="shared" si="41"/>
        <v>53</v>
      </c>
      <c r="AN184" s="2">
        <f t="shared" si="42"/>
        <v>1307</v>
      </c>
      <c r="AO184" s="2" t="str">
        <f t="shared" si="43"/>
        <v/>
      </c>
      <c r="AP184" s="2">
        <f t="shared" si="44"/>
        <v>-170.91</v>
      </c>
      <c r="AQ184" s="2" t="str">
        <f t="shared" si="45"/>
        <v/>
      </c>
      <c r="AR184" s="2" t="str">
        <f t="shared" si="46"/>
        <v/>
      </c>
      <c r="AS184" s="2" t="str">
        <f t="shared" si="47"/>
        <v>APC500219-1</v>
      </c>
      <c r="AT184" s="2" t="str">
        <f>IFERROR(IF(VLOOKUP(Y184,vlookup!$I$2:$J$9,1,0)=Y184,VLOOKUP(Y184,vlookup!$I$2:$J$9,2,0),PROPER(Y184)),PROPER(Y184))</f>
        <v>Parts</v>
      </c>
      <c r="AU184" s="2" t="str">
        <f>IFERROR(IF(B184=VLOOKUP(B184,vlookup!$L$2:$L$10,1,0),"Yes","No"),"No")</f>
        <v>No</v>
      </c>
    </row>
    <row r="185" spans="1:47" x14ac:dyDescent="0.25">
      <c r="A185" t="s">
        <v>790</v>
      </c>
      <c r="B185" t="s">
        <v>791</v>
      </c>
      <c r="C185">
        <v>1</v>
      </c>
      <c r="D185">
        <v>1</v>
      </c>
      <c r="E185" t="s">
        <v>572</v>
      </c>
      <c r="F185" t="s">
        <v>207</v>
      </c>
      <c r="G185" t="s">
        <v>683</v>
      </c>
      <c r="H185" s="11" t="s">
        <v>792</v>
      </c>
      <c r="I185">
        <v>77001</v>
      </c>
      <c r="J185" s="22">
        <v>44132</v>
      </c>
      <c r="K185" s="22">
        <v>44183</v>
      </c>
      <c r="L185">
        <v>202012</v>
      </c>
      <c r="M185" s="22">
        <v>44166</v>
      </c>
      <c r="N185">
        <v>77871</v>
      </c>
      <c r="O185" t="s">
        <v>699</v>
      </c>
      <c r="P185" t="s">
        <v>712</v>
      </c>
      <c r="Q185" t="s">
        <v>612</v>
      </c>
      <c r="R185">
        <v>89622</v>
      </c>
      <c r="S185" s="22">
        <v>44165</v>
      </c>
      <c r="T185">
        <v>78308</v>
      </c>
      <c r="U185" t="s">
        <v>356</v>
      </c>
      <c r="V185" s="22">
        <v>44186</v>
      </c>
      <c r="W185" t="s">
        <v>372</v>
      </c>
      <c r="X185" t="s">
        <v>373</v>
      </c>
      <c r="Y185" t="s">
        <v>95</v>
      </c>
      <c r="Z185" t="s">
        <v>369</v>
      </c>
      <c r="AA185">
        <v>-38.5</v>
      </c>
      <c r="AC185" s="2">
        <f t="shared" si="36"/>
        <v>2020</v>
      </c>
      <c r="AD185" s="2">
        <f t="shared" si="37"/>
        <v>12</v>
      </c>
      <c r="AE185" s="2">
        <f t="shared" si="38"/>
        <v>2020</v>
      </c>
      <c r="AF185" s="2">
        <f t="shared" si="39"/>
        <v>10</v>
      </c>
      <c r="AG185" s="2" t="str">
        <f>VLOOKUP(F185,vlookup!$A$2:$E$660,2,0)</f>
        <v>Retained</v>
      </c>
      <c r="AH185" s="2" t="str">
        <f>VLOOKUP(F185,vlookup!$A$2:$E$660,3,0)</f>
        <v>Service Contract</v>
      </c>
      <c r="AI185" s="2" t="str">
        <f>VLOOKUP(F185,vlookup!$A$2:$E$660,4,0)</f>
        <v>Used Car Programs</v>
      </c>
      <c r="AJ185" s="2" t="str">
        <f>VLOOKUP(F185,vlookup!$A$2:$E$660,5,0)</f>
        <v>High Mileage</v>
      </c>
      <c r="AK185" s="2"/>
      <c r="AL185" s="2">
        <f t="shared" si="40"/>
        <v>50</v>
      </c>
      <c r="AM185" s="2">
        <f t="shared" si="41"/>
        <v>53</v>
      </c>
      <c r="AN185" s="2">
        <f t="shared" si="42"/>
        <v>1307</v>
      </c>
      <c r="AO185" s="2" t="str">
        <f t="shared" si="43"/>
        <v/>
      </c>
      <c r="AP185" s="2">
        <f t="shared" si="44"/>
        <v>-38.5</v>
      </c>
      <c r="AQ185" s="2" t="str">
        <f t="shared" si="45"/>
        <v/>
      </c>
      <c r="AR185" s="2" t="str">
        <f t="shared" si="46"/>
        <v/>
      </c>
      <c r="AS185" s="2" t="str">
        <f t="shared" si="47"/>
        <v>APC500219-1</v>
      </c>
      <c r="AT185" s="2" t="str">
        <f>IFERROR(IF(VLOOKUP(Y185,vlookup!$I$2:$J$9,1,0)=Y185,VLOOKUP(Y185,vlookup!$I$2:$J$9,2,0),PROPER(Y185)),PROPER(Y185))</f>
        <v>Parts</v>
      </c>
      <c r="AU185" s="2" t="str">
        <f>IFERROR(IF(B185=VLOOKUP(B185,vlookup!$L$2:$L$10,1,0),"Yes","No"),"No")</f>
        <v>No</v>
      </c>
    </row>
    <row r="186" spans="1:47" x14ac:dyDescent="0.25">
      <c r="A186" t="s">
        <v>790</v>
      </c>
      <c r="B186" t="s">
        <v>791</v>
      </c>
      <c r="C186">
        <v>1</v>
      </c>
      <c r="D186">
        <v>2</v>
      </c>
      <c r="E186" t="s">
        <v>572</v>
      </c>
      <c r="F186" t="s">
        <v>207</v>
      </c>
      <c r="G186" t="s">
        <v>683</v>
      </c>
      <c r="H186" s="11" t="s">
        <v>792</v>
      </c>
      <c r="I186">
        <v>77001</v>
      </c>
      <c r="J186" s="22">
        <v>44132</v>
      </c>
      <c r="K186" s="22">
        <v>44183</v>
      </c>
      <c r="L186">
        <v>202012</v>
      </c>
      <c r="M186" s="22">
        <v>44166</v>
      </c>
      <c r="N186">
        <v>77871</v>
      </c>
      <c r="O186" t="s">
        <v>699</v>
      </c>
      <c r="P186" t="s">
        <v>869</v>
      </c>
      <c r="Q186" t="s">
        <v>359</v>
      </c>
      <c r="R186">
        <v>268581</v>
      </c>
      <c r="S186" s="22">
        <v>44169</v>
      </c>
      <c r="T186">
        <v>78308</v>
      </c>
      <c r="U186" t="s">
        <v>356</v>
      </c>
      <c r="V186" s="22">
        <v>44187</v>
      </c>
      <c r="W186" t="s">
        <v>370</v>
      </c>
      <c r="X186" t="s">
        <v>371</v>
      </c>
      <c r="Y186" t="s">
        <v>95</v>
      </c>
      <c r="Z186" t="s">
        <v>369</v>
      </c>
      <c r="AA186">
        <v>-2160</v>
      </c>
      <c r="AC186" s="2">
        <f t="shared" si="36"/>
        <v>2020</v>
      </c>
      <c r="AD186" s="2">
        <f t="shared" si="37"/>
        <v>12</v>
      </c>
      <c r="AE186" s="2">
        <f t="shared" si="38"/>
        <v>2020</v>
      </c>
      <c r="AF186" s="2">
        <f t="shared" si="39"/>
        <v>10</v>
      </c>
      <c r="AG186" s="2" t="str">
        <f>VLOOKUP(F186,vlookup!$A$2:$E$660,2,0)</f>
        <v>Retained</v>
      </c>
      <c r="AH186" s="2" t="str">
        <f>VLOOKUP(F186,vlookup!$A$2:$E$660,3,0)</f>
        <v>Service Contract</v>
      </c>
      <c r="AI186" s="2" t="str">
        <f>VLOOKUP(F186,vlookup!$A$2:$E$660,4,0)</f>
        <v>Used Car Programs</v>
      </c>
      <c r="AJ186" s="2" t="str">
        <f>VLOOKUP(F186,vlookup!$A$2:$E$660,5,0)</f>
        <v>High Mileage</v>
      </c>
      <c r="AK186" s="2"/>
      <c r="AL186" s="2">
        <f t="shared" si="40"/>
        <v>50</v>
      </c>
      <c r="AM186" s="2">
        <f t="shared" si="41"/>
        <v>54</v>
      </c>
      <c r="AN186" s="2">
        <f t="shared" si="42"/>
        <v>1307</v>
      </c>
      <c r="AO186" s="2" t="str">
        <f t="shared" si="43"/>
        <v/>
      </c>
      <c r="AP186" s="2">
        <f t="shared" si="44"/>
        <v>-2160</v>
      </c>
      <c r="AQ186" s="2" t="str">
        <f t="shared" si="45"/>
        <v/>
      </c>
      <c r="AR186" s="2" t="str">
        <f t="shared" si="46"/>
        <v/>
      </c>
      <c r="AS186" s="2" t="str">
        <f t="shared" si="47"/>
        <v>APC500219-1</v>
      </c>
      <c r="AT186" s="2" t="str">
        <f>IFERROR(IF(VLOOKUP(Y186,vlookup!$I$2:$J$9,1,0)=Y186,VLOOKUP(Y186,vlookup!$I$2:$J$9,2,0),PROPER(Y186)),PROPER(Y186))</f>
        <v>Parts</v>
      </c>
      <c r="AU186" s="2" t="str">
        <f>IFERROR(IF(B186=VLOOKUP(B186,vlookup!$L$2:$L$10,1,0),"Yes","No"),"No")</f>
        <v>No</v>
      </c>
    </row>
    <row r="187" spans="1:47" x14ac:dyDescent="0.25">
      <c r="A187" t="s">
        <v>790</v>
      </c>
      <c r="B187" t="s">
        <v>791</v>
      </c>
      <c r="C187">
        <v>2</v>
      </c>
      <c r="D187">
        <v>1</v>
      </c>
      <c r="E187" t="s">
        <v>572</v>
      </c>
      <c r="F187" t="s">
        <v>207</v>
      </c>
      <c r="G187" t="s">
        <v>683</v>
      </c>
      <c r="H187" s="11" t="s">
        <v>792</v>
      </c>
      <c r="I187">
        <v>77001</v>
      </c>
      <c r="J187" s="22">
        <v>44132</v>
      </c>
      <c r="K187" s="22">
        <v>44183</v>
      </c>
      <c r="L187">
        <v>202012</v>
      </c>
      <c r="M187" s="22">
        <v>44166</v>
      </c>
      <c r="N187">
        <v>77871</v>
      </c>
      <c r="O187" t="s">
        <v>699</v>
      </c>
      <c r="P187" t="s">
        <v>712</v>
      </c>
      <c r="Q187" t="s">
        <v>612</v>
      </c>
      <c r="R187">
        <v>901349</v>
      </c>
      <c r="S187" s="22">
        <v>44259</v>
      </c>
      <c r="T187">
        <v>78934</v>
      </c>
      <c r="U187" t="s">
        <v>356</v>
      </c>
      <c r="V187" s="22">
        <v>44267</v>
      </c>
      <c r="W187" t="s">
        <v>636</v>
      </c>
      <c r="X187" t="s">
        <v>637</v>
      </c>
      <c r="Y187" t="s">
        <v>95</v>
      </c>
      <c r="Z187" t="s">
        <v>625</v>
      </c>
      <c r="AA187">
        <v>-536.16999999999996</v>
      </c>
      <c r="AC187" s="2">
        <f t="shared" si="36"/>
        <v>2021</v>
      </c>
      <c r="AD187" s="2">
        <f t="shared" si="37"/>
        <v>3</v>
      </c>
      <c r="AE187" s="2">
        <f t="shared" si="38"/>
        <v>2020</v>
      </c>
      <c r="AF187" s="2">
        <f t="shared" si="39"/>
        <v>10</v>
      </c>
      <c r="AG187" s="2" t="str">
        <f>VLOOKUP(F187,vlookup!$A$2:$E$660,2,0)</f>
        <v>Retained</v>
      </c>
      <c r="AH187" s="2" t="str">
        <f>VLOOKUP(F187,vlookup!$A$2:$E$660,3,0)</f>
        <v>Service Contract</v>
      </c>
      <c r="AI187" s="2" t="str">
        <f>VLOOKUP(F187,vlookup!$A$2:$E$660,4,0)</f>
        <v>Used Car Programs</v>
      </c>
      <c r="AJ187" s="2" t="str">
        <f>VLOOKUP(F187,vlookup!$A$2:$E$660,5,0)</f>
        <v>High Mileage</v>
      </c>
      <c r="AK187" s="2"/>
      <c r="AL187" s="2">
        <f t="shared" si="40"/>
        <v>50</v>
      </c>
      <c r="AM187" s="2">
        <f t="shared" si="41"/>
        <v>134</v>
      </c>
      <c r="AN187" s="2">
        <f t="shared" si="42"/>
        <v>1933</v>
      </c>
      <c r="AO187" s="2" t="str">
        <f t="shared" si="43"/>
        <v/>
      </c>
      <c r="AP187" s="2" t="str">
        <f t="shared" si="44"/>
        <v/>
      </c>
      <c r="AQ187" s="2" t="str">
        <f t="shared" si="45"/>
        <v/>
      </c>
      <c r="AR187" s="2">
        <f t="shared" si="46"/>
        <v>-536.16999999999996</v>
      </c>
      <c r="AS187" s="2" t="str">
        <f t="shared" si="47"/>
        <v>APC500219-2</v>
      </c>
      <c r="AT187" s="2" t="str">
        <f>IFERROR(IF(VLOOKUP(Y187,vlookup!$I$2:$J$9,1,0)=Y187,VLOOKUP(Y187,vlookup!$I$2:$J$9,2,0),PROPER(Y187)),PROPER(Y187))</f>
        <v>Parts</v>
      </c>
      <c r="AU187" s="2" t="str">
        <f>IFERROR(IF(B187=VLOOKUP(B187,vlookup!$L$2:$L$10,1,0),"Yes","No"),"No")</f>
        <v>No</v>
      </c>
    </row>
    <row r="188" spans="1:47" x14ac:dyDescent="0.25">
      <c r="A188" t="s">
        <v>793</v>
      </c>
      <c r="B188" t="s">
        <v>794</v>
      </c>
      <c r="C188">
        <v>2</v>
      </c>
      <c r="D188">
        <v>2</v>
      </c>
      <c r="E188" t="s">
        <v>382</v>
      </c>
      <c r="F188" t="s">
        <v>207</v>
      </c>
      <c r="G188" t="s">
        <v>683</v>
      </c>
      <c r="H188" s="11" t="s">
        <v>684</v>
      </c>
      <c r="I188">
        <v>86800</v>
      </c>
      <c r="J188" s="22">
        <v>44173</v>
      </c>
      <c r="K188" s="22">
        <v>44230</v>
      </c>
      <c r="L188">
        <v>202101</v>
      </c>
      <c r="M188" s="22">
        <v>44197</v>
      </c>
      <c r="N188">
        <v>77871</v>
      </c>
      <c r="O188" t="s">
        <v>699</v>
      </c>
      <c r="P188" t="s">
        <v>795</v>
      </c>
      <c r="Q188" t="s">
        <v>612</v>
      </c>
      <c r="R188">
        <v>905263</v>
      </c>
      <c r="S188" s="22">
        <v>44328</v>
      </c>
      <c r="T188">
        <v>92087</v>
      </c>
      <c r="U188" t="s">
        <v>357</v>
      </c>
      <c r="V188" s="22">
        <v>44384</v>
      </c>
      <c r="W188" t="s">
        <v>629</v>
      </c>
      <c r="X188" t="s">
        <v>630</v>
      </c>
      <c r="Y188" t="s">
        <v>95</v>
      </c>
      <c r="Z188" t="s">
        <v>364</v>
      </c>
      <c r="AA188">
        <v>-110.1</v>
      </c>
      <c r="AC188" s="2">
        <f t="shared" si="36"/>
        <v>2021</v>
      </c>
      <c r="AD188" s="2">
        <f t="shared" si="37"/>
        <v>7</v>
      </c>
      <c r="AE188" s="2">
        <f t="shared" si="38"/>
        <v>2020</v>
      </c>
      <c r="AF188" s="2">
        <f t="shared" si="39"/>
        <v>12</v>
      </c>
      <c r="AG188" s="2" t="str">
        <f>VLOOKUP(F188,vlookup!$A$2:$E$660,2,0)</f>
        <v>Retained</v>
      </c>
      <c r="AH188" s="2" t="str">
        <f>VLOOKUP(F188,vlookup!$A$2:$E$660,3,0)</f>
        <v>Service Contract</v>
      </c>
      <c r="AI188" s="2" t="str">
        <f>VLOOKUP(F188,vlookup!$A$2:$E$660,4,0)</f>
        <v>Used Car Programs</v>
      </c>
      <c r="AJ188" s="2" t="str">
        <f>VLOOKUP(F188,vlookup!$A$2:$E$660,5,0)</f>
        <v>High Mileage</v>
      </c>
      <c r="AK188" s="2"/>
      <c r="AL188" s="2">
        <f t="shared" si="40"/>
        <v>55</v>
      </c>
      <c r="AM188" s="2">
        <f t="shared" si="41"/>
        <v>209</v>
      </c>
      <c r="AN188" s="2">
        <f t="shared" si="42"/>
        <v>5287</v>
      </c>
      <c r="AO188" s="2" t="str">
        <f t="shared" si="43"/>
        <v/>
      </c>
      <c r="AP188" s="2" t="str">
        <f t="shared" si="44"/>
        <v/>
      </c>
      <c r="AQ188" s="2" t="str">
        <f t="shared" si="45"/>
        <v/>
      </c>
      <c r="AR188" s="2">
        <f t="shared" si="46"/>
        <v>-110.1</v>
      </c>
      <c r="AS188" s="2" t="str">
        <f t="shared" si="47"/>
        <v>APC500249-2</v>
      </c>
      <c r="AT188" s="2" t="str">
        <f>IFERROR(IF(VLOOKUP(Y188,vlookup!$I$2:$J$9,1,0)=Y188,VLOOKUP(Y188,vlookup!$I$2:$J$9,2,0),PROPER(Y188)),PROPER(Y188))</f>
        <v>Parts</v>
      </c>
      <c r="AU188" s="2" t="str">
        <f>IFERROR(IF(B188=VLOOKUP(B188,vlookup!$L$2:$L$10,1,0),"Yes","No"),"No")</f>
        <v>No</v>
      </c>
    </row>
    <row r="189" spans="1:47" x14ac:dyDescent="0.25">
      <c r="A189" t="s">
        <v>720</v>
      </c>
      <c r="B189" t="s">
        <v>721</v>
      </c>
      <c r="C189">
        <v>1</v>
      </c>
      <c r="D189">
        <v>1</v>
      </c>
      <c r="E189" t="s">
        <v>382</v>
      </c>
      <c r="F189" t="s">
        <v>191</v>
      </c>
      <c r="G189" t="s">
        <v>697</v>
      </c>
      <c r="H189" s="11" t="s">
        <v>722</v>
      </c>
      <c r="I189">
        <v>31702</v>
      </c>
      <c r="J189" s="22">
        <v>44119</v>
      </c>
      <c r="K189" s="22">
        <v>44194</v>
      </c>
      <c r="L189">
        <v>202012</v>
      </c>
      <c r="M189" s="22">
        <v>44166</v>
      </c>
      <c r="N189">
        <v>77871</v>
      </c>
      <c r="O189" t="s">
        <v>699</v>
      </c>
      <c r="P189" t="s">
        <v>712</v>
      </c>
      <c r="Q189" t="s">
        <v>612</v>
      </c>
      <c r="R189">
        <v>900714</v>
      </c>
      <c r="S189" s="22">
        <v>44250</v>
      </c>
      <c r="T189">
        <v>32643</v>
      </c>
      <c r="U189" t="s">
        <v>356</v>
      </c>
      <c r="V189" s="22">
        <v>44258</v>
      </c>
      <c r="W189" t="s">
        <v>796</v>
      </c>
      <c r="X189" t="s">
        <v>797</v>
      </c>
      <c r="Y189" t="s">
        <v>95</v>
      </c>
      <c r="Z189" t="s">
        <v>358</v>
      </c>
      <c r="AA189">
        <v>-155.25</v>
      </c>
      <c r="AC189" s="2">
        <f t="shared" si="36"/>
        <v>2021</v>
      </c>
      <c r="AD189" s="2">
        <f t="shared" si="37"/>
        <v>3</v>
      </c>
      <c r="AE189" s="2">
        <f t="shared" si="38"/>
        <v>2020</v>
      </c>
      <c r="AF189" s="2">
        <f t="shared" si="39"/>
        <v>10</v>
      </c>
      <c r="AG189" s="2" t="str">
        <f>VLOOKUP(F189,vlookup!$A$2:$E$660,2,0)</f>
        <v>Retained</v>
      </c>
      <c r="AH189" s="2" t="str">
        <f>VLOOKUP(F189,vlookup!$A$2:$E$660,3,0)</f>
        <v>Service Contract</v>
      </c>
      <c r="AI189" s="2" t="str">
        <f>VLOOKUP(F189,vlookup!$A$2:$E$660,4,0)</f>
        <v>New Car Programs</v>
      </c>
      <c r="AJ189" s="2" t="str">
        <f>VLOOKUP(F189,vlookup!$A$2:$E$660,5,0)</f>
        <v>High Mileage</v>
      </c>
      <c r="AK189" s="2"/>
      <c r="AL189" s="2">
        <f t="shared" si="40"/>
        <v>74</v>
      </c>
      <c r="AM189" s="2">
        <f t="shared" si="41"/>
        <v>138</v>
      </c>
      <c r="AN189" s="2">
        <f t="shared" si="42"/>
        <v>941</v>
      </c>
      <c r="AO189" s="2" t="str">
        <f t="shared" si="43"/>
        <v/>
      </c>
      <c r="AP189" s="2" t="str">
        <f t="shared" si="44"/>
        <v/>
      </c>
      <c r="AQ189" s="2" t="str">
        <f t="shared" si="45"/>
        <v/>
      </c>
      <c r="AR189" s="2">
        <f t="shared" si="46"/>
        <v>-155.25</v>
      </c>
      <c r="AS189" s="2" t="str">
        <f t="shared" si="47"/>
        <v>APC100109-1</v>
      </c>
      <c r="AT189" s="2" t="str">
        <f>IFERROR(IF(VLOOKUP(Y189,vlookup!$I$2:$J$9,1,0)=Y189,VLOOKUP(Y189,vlookup!$I$2:$J$9,2,0),PROPER(Y189)),PROPER(Y189))</f>
        <v>Parts</v>
      </c>
      <c r="AU189" s="2" t="str">
        <f>IFERROR(IF(B189=VLOOKUP(B189,vlookup!$L$2:$L$10,1,0),"Yes","No"),"No")</f>
        <v>No</v>
      </c>
    </row>
    <row r="190" spans="1:47" x14ac:dyDescent="0.25">
      <c r="A190" t="s">
        <v>723</v>
      </c>
      <c r="B190" t="s">
        <v>724</v>
      </c>
      <c r="C190">
        <v>2</v>
      </c>
      <c r="D190">
        <v>1</v>
      </c>
      <c r="E190" t="s">
        <v>382</v>
      </c>
      <c r="F190" t="s">
        <v>346</v>
      </c>
      <c r="G190" t="s">
        <v>30</v>
      </c>
      <c r="H190" s="11" t="s">
        <v>613</v>
      </c>
      <c r="I190">
        <v>125225</v>
      </c>
      <c r="J190" s="22">
        <v>44239</v>
      </c>
      <c r="K190" s="22">
        <v>44291</v>
      </c>
      <c r="L190">
        <v>202103</v>
      </c>
      <c r="M190" s="22">
        <v>44256</v>
      </c>
      <c r="N190">
        <v>77871</v>
      </c>
      <c r="O190" t="s">
        <v>699</v>
      </c>
      <c r="P190" t="s">
        <v>712</v>
      </c>
      <c r="Q190" t="s">
        <v>612</v>
      </c>
      <c r="R190">
        <v>905929</v>
      </c>
      <c r="S190" s="22">
        <v>44340</v>
      </c>
      <c r="T190">
        <v>127253</v>
      </c>
      <c r="U190" t="s">
        <v>356</v>
      </c>
      <c r="V190" s="22">
        <v>44365</v>
      </c>
      <c r="W190" t="s">
        <v>372</v>
      </c>
      <c r="X190" t="s">
        <v>373</v>
      </c>
      <c r="Y190" t="s">
        <v>95</v>
      </c>
      <c r="Z190" t="s">
        <v>369</v>
      </c>
      <c r="AA190">
        <v>-24.96</v>
      </c>
      <c r="AC190" s="2">
        <f t="shared" si="36"/>
        <v>2021</v>
      </c>
      <c r="AD190" s="2">
        <f t="shared" si="37"/>
        <v>6</v>
      </c>
      <c r="AE190" s="2">
        <f t="shared" si="38"/>
        <v>2021</v>
      </c>
      <c r="AF190" s="2">
        <f t="shared" si="39"/>
        <v>2</v>
      </c>
      <c r="AG190" s="2" t="str">
        <f>VLOOKUP(F190,vlookup!$A$2:$E$660,2,0)</f>
        <v>Retained</v>
      </c>
      <c r="AH190" s="2" t="str">
        <f>VLOOKUP(F190,vlookup!$A$2:$E$660,3,0)</f>
        <v>Service Contract</v>
      </c>
      <c r="AI190" s="2" t="str">
        <f>VLOOKUP(F190,vlookup!$A$2:$E$660,4,0)</f>
        <v>Used Car Programs</v>
      </c>
      <c r="AJ190" s="2" t="str">
        <f>VLOOKUP(F190,vlookup!$A$2:$E$660,5,0)</f>
        <v>High Mileage</v>
      </c>
      <c r="AK190" s="2"/>
      <c r="AL190" s="2">
        <f t="shared" si="40"/>
        <v>53</v>
      </c>
      <c r="AM190" s="2">
        <f t="shared" si="41"/>
        <v>126</v>
      </c>
      <c r="AN190" s="2">
        <f t="shared" si="42"/>
        <v>2028</v>
      </c>
      <c r="AO190" s="2" t="str">
        <f t="shared" si="43"/>
        <v/>
      </c>
      <c r="AP190" s="2" t="str">
        <f t="shared" si="44"/>
        <v/>
      </c>
      <c r="AQ190" s="2" t="str">
        <f t="shared" si="45"/>
        <v/>
      </c>
      <c r="AR190" s="2">
        <f t="shared" si="46"/>
        <v>-24.96</v>
      </c>
      <c r="AS190" s="2" t="str">
        <f t="shared" si="47"/>
        <v>SDF8J254834B21-2</v>
      </c>
      <c r="AT190" s="2" t="str">
        <f>IFERROR(IF(VLOOKUP(Y190,vlookup!$I$2:$J$9,1,0)=Y190,VLOOKUP(Y190,vlookup!$I$2:$J$9,2,0),PROPER(Y190)),PROPER(Y190))</f>
        <v>Parts</v>
      </c>
      <c r="AU190" s="2" t="str">
        <f>IFERROR(IF(B190=VLOOKUP(B190,vlookup!$L$2:$L$10,1,0),"Yes","No"),"No")</f>
        <v>No</v>
      </c>
    </row>
    <row r="191" spans="1:47" x14ac:dyDescent="0.25">
      <c r="A191" t="s">
        <v>723</v>
      </c>
      <c r="B191" t="s">
        <v>724</v>
      </c>
      <c r="C191">
        <v>2</v>
      </c>
      <c r="D191">
        <v>1</v>
      </c>
      <c r="E191" t="s">
        <v>382</v>
      </c>
      <c r="F191" t="s">
        <v>346</v>
      </c>
      <c r="G191" t="s">
        <v>30</v>
      </c>
      <c r="H191" s="11" t="s">
        <v>613</v>
      </c>
      <c r="I191">
        <v>125225</v>
      </c>
      <c r="J191" s="22">
        <v>44239</v>
      </c>
      <c r="K191" s="22">
        <v>44291</v>
      </c>
      <c r="L191">
        <v>202103</v>
      </c>
      <c r="M191" s="22">
        <v>44256</v>
      </c>
      <c r="N191">
        <v>77871</v>
      </c>
      <c r="O191" t="s">
        <v>699</v>
      </c>
      <c r="P191" t="s">
        <v>712</v>
      </c>
      <c r="Q191" t="s">
        <v>612</v>
      </c>
      <c r="R191">
        <v>905929</v>
      </c>
      <c r="S191" s="22">
        <v>44340</v>
      </c>
      <c r="T191">
        <v>127253</v>
      </c>
      <c r="U191" t="s">
        <v>356</v>
      </c>
      <c r="V191" s="22">
        <v>44365</v>
      </c>
      <c r="W191" t="s">
        <v>870</v>
      </c>
      <c r="X191" t="s">
        <v>871</v>
      </c>
      <c r="Y191" t="s">
        <v>95</v>
      </c>
      <c r="Z191" t="s">
        <v>369</v>
      </c>
      <c r="AA191">
        <v>-149.44999999999999</v>
      </c>
      <c r="AC191" s="2">
        <f t="shared" si="36"/>
        <v>2021</v>
      </c>
      <c r="AD191" s="2">
        <f t="shared" si="37"/>
        <v>6</v>
      </c>
      <c r="AE191" s="2">
        <f t="shared" si="38"/>
        <v>2021</v>
      </c>
      <c r="AF191" s="2">
        <f t="shared" si="39"/>
        <v>2</v>
      </c>
      <c r="AG191" s="2" t="str">
        <f>VLOOKUP(F191,vlookup!$A$2:$E$660,2,0)</f>
        <v>Retained</v>
      </c>
      <c r="AH191" s="2" t="str">
        <f>VLOOKUP(F191,vlookup!$A$2:$E$660,3,0)</f>
        <v>Service Contract</v>
      </c>
      <c r="AI191" s="2" t="str">
        <f>VLOOKUP(F191,vlookup!$A$2:$E$660,4,0)</f>
        <v>Used Car Programs</v>
      </c>
      <c r="AJ191" s="2" t="str">
        <f>VLOOKUP(F191,vlookup!$A$2:$E$660,5,0)</f>
        <v>High Mileage</v>
      </c>
      <c r="AK191" s="2"/>
      <c r="AL191" s="2">
        <f t="shared" si="40"/>
        <v>53</v>
      </c>
      <c r="AM191" s="2">
        <f t="shared" si="41"/>
        <v>126</v>
      </c>
      <c r="AN191" s="2">
        <f t="shared" si="42"/>
        <v>2028</v>
      </c>
      <c r="AO191" s="2" t="str">
        <f t="shared" si="43"/>
        <v/>
      </c>
      <c r="AP191" s="2" t="str">
        <f t="shared" si="44"/>
        <v/>
      </c>
      <c r="AQ191" s="2" t="str">
        <f t="shared" si="45"/>
        <v/>
      </c>
      <c r="AR191" s="2">
        <f t="shared" si="46"/>
        <v>-149.44999999999999</v>
      </c>
      <c r="AS191" s="2" t="str">
        <f t="shared" si="47"/>
        <v>SDF8J254834B21-2</v>
      </c>
      <c r="AT191" s="2" t="str">
        <f>IFERROR(IF(VLOOKUP(Y191,vlookup!$I$2:$J$9,1,0)=Y191,VLOOKUP(Y191,vlookup!$I$2:$J$9,2,0),PROPER(Y191)),PROPER(Y191))</f>
        <v>Parts</v>
      </c>
      <c r="AU191" s="2" t="str">
        <f>IFERROR(IF(B191=VLOOKUP(B191,vlookup!$L$2:$L$10,1,0),"Yes","No"),"No")</f>
        <v>No</v>
      </c>
    </row>
    <row r="192" spans="1:47" x14ac:dyDescent="0.25">
      <c r="A192" t="s">
        <v>723</v>
      </c>
      <c r="B192" t="s">
        <v>724</v>
      </c>
      <c r="C192">
        <v>2</v>
      </c>
      <c r="D192">
        <v>1</v>
      </c>
      <c r="E192" t="s">
        <v>382</v>
      </c>
      <c r="F192" t="s">
        <v>346</v>
      </c>
      <c r="G192" t="s">
        <v>30</v>
      </c>
      <c r="H192" s="11" t="s">
        <v>613</v>
      </c>
      <c r="I192">
        <v>125225</v>
      </c>
      <c r="J192" s="22">
        <v>44239</v>
      </c>
      <c r="K192" s="22">
        <v>44291</v>
      </c>
      <c r="L192">
        <v>202103</v>
      </c>
      <c r="M192" s="22">
        <v>44256</v>
      </c>
      <c r="N192">
        <v>77871</v>
      </c>
      <c r="O192" t="s">
        <v>699</v>
      </c>
      <c r="P192" t="s">
        <v>712</v>
      </c>
      <c r="Q192" t="s">
        <v>612</v>
      </c>
      <c r="R192">
        <v>905929</v>
      </c>
      <c r="S192" s="22">
        <v>44340</v>
      </c>
      <c r="T192">
        <v>127253</v>
      </c>
      <c r="U192" t="s">
        <v>356</v>
      </c>
      <c r="V192" s="22">
        <v>44365</v>
      </c>
      <c r="W192" t="s">
        <v>660</v>
      </c>
      <c r="X192" t="s">
        <v>661</v>
      </c>
      <c r="Y192" t="s">
        <v>95</v>
      </c>
      <c r="Z192" t="s">
        <v>369</v>
      </c>
      <c r="AA192">
        <v>-1514.8</v>
      </c>
      <c r="AC192" s="2">
        <f t="shared" si="36"/>
        <v>2021</v>
      </c>
      <c r="AD192" s="2">
        <f t="shared" si="37"/>
        <v>6</v>
      </c>
      <c r="AE192" s="2">
        <f t="shared" si="38"/>
        <v>2021</v>
      </c>
      <c r="AF192" s="2">
        <f t="shared" si="39"/>
        <v>2</v>
      </c>
      <c r="AG192" s="2" t="str">
        <f>VLOOKUP(F192,vlookup!$A$2:$E$660,2,0)</f>
        <v>Retained</v>
      </c>
      <c r="AH192" s="2" t="str">
        <f>VLOOKUP(F192,vlookup!$A$2:$E$660,3,0)</f>
        <v>Service Contract</v>
      </c>
      <c r="AI192" s="2" t="str">
        <f>VLOOKUP(F192,vlookup!$A$2:$E$660,4,0)</f>
        <v>Used Car Programs</v>
      </c>
      <c r="AJ192" s="2" t="str">
        <f>VLOOKUP(F192,vlookup!$A$2:$E$660,5,0)</f>
        <v>High Mileage</v>
      </c>
      <c r="AK192" s="2"/>
      <c r="AL192" s="2">
        <f t="shared" si="40"/>
        <v>53</v>
      </c>
      <c r="AM192" s="2">
        <f t="shared" si="41"/>
        <v>126</v>
      </c>
      <c r="AN192" s="2">
        <f t="shared" si="42"/>
        <v>2028</v>
      </c>
      <c r="AO192" s="2" t="str">
        <f t="shared" si="43"/>
        <v/>
      </c>
      <c r="AP192" s="2" t="str">
        <f t="shared" si="44"/>
        <v/>
      </c>
      <c r="AQ192" s="2" t="str">
        <f t="shared" si="45"/>
        <v/>
      </c>
      <c r="AR192" s="2">
        <f t="shared" si="46"/>
        <v>-1514.8</v>
      </c>
      <c r="AS192" s="2" t="str">
        <f t="shared" si="47"/>
        <v>SDF8J254834B21-2</v>
      </c>
      <c r="AT192" s="2" t="str">
        <f>IFERROR(IF(VLOOKUP(Y192,vlookup!$I$2:$J$9,1,0)=Y192,VLOOKUP(Y192,vlookup!$I$2:$J$9,2,0),PROPER(Y192)),PROPER(Y192))</f>
        <v>Parts</v>
      </c>
      <c r="AU192" s="2" t="str">
        <f>IFERROR(IF(B192=VLOOKUP(B192,vlookup!$L$2:$L$10,1,0),"Yes","No"),"No")</f>
        <v>No</v>
      </c>
    </row>
    <row r="193" spans="1:47" x14ac:dyDescent="0.25">
      <c r="A193" t="s">
        <v>723</v>
      </c>
      <c r="B193" t="s">
        <v>724</v>
      </c>
      <c r="C193">
        <v>2</v>
      </c>
      <c r="D193">
        <v>1</v>
      </c>
      <c r="E193" t="s">
        <v>382</v>
      </c>
      <c r="F193" t="s">
        <v>346</v>
      </c>
      <c r="G193" t="s">
        <v>30</v>
      </c>
      <c r="H193" s="11" t="s">
        <v>613</v>
      </c>
      <c r="I193">
        <v>125225</v>
      </c>
      <c r="J193" s="22">
        <v>44239</v>
      </c>
      <c r="K193" s="22">
        <v>44291</v>
      </c>
      <c r="L193">
        <v>202103</v>
      </c>
      <c r="M193" s="22">
        <v>44256</v>
      </c>
      <c r="N193">
        <v>77871</v>
      </c>
      <c r="O193" t="s">
        <v>699</v>
      </c>
      <c r="P193" t="s">
        <v>712</v>
      </c>
      <c r="Q193" t="s">
        <v>612</v>
      </c>
      <c r="R193">
        <v>905929</v>
      </c>
      <c r="S193" s="22">
        <v>44340</v>
      </c>
      <c r="T193">
        <v>127253</v>
      </c>
      <c r="U193" t="s">
        <v>356</v>
      </c>
      <c r="V193" s="22">
        <v>44365</v>
      </c>
      <c r="W193" t="s">
        <v>872</v>
      </c>
      <c r="X193" t="s">
        <v>873</v>
      </c>
      <c r="Y193" t="s">
        <v>95</v>
      </c>
      <c r="Z193" t="s">
        <v>369</v>
      </c>
      <c r="AA193">
        <v>-8.15</v>
      </c>
      <c r="AC193" s="2">
        <f t="shared" si="36"/>
        <v>2021</v>
      </c>
      <c r="AD193" s="2">
        <f t="shared" si="37"/>
        <v>6</v>
      </c>
      <c r="AE193" s="2">
        <f t="shared" si="38"/>
        <v>2021</v>
      </c>
      <c r="AF193" s="2">
        <f t="shared" si="39"/>
        <v>2</v>
      </c>
      <c r="AG193" s="2" t="str">
        <f>VLOOKUP(F193,vlookup!$A$2:$E$660,2,0)</f>
        <v>Retained</v>
      </c>
      <c r="AH193" s="2" t="str">
        <f>VLOOKUP(F193,vlookup!$A$2:$E$660,3,0)</f>
        <v>Service Contract</v>
      </c>
      <c r="AI193" s="2" t="str">
        <f>VLOOKUP(F193,vlookup!$A$2:$E$660,4,0)</f>
        <v>Used Car Programs</v>
      </c>
      <c r="AJ193" s="2" t="str">
        <f>VLOOKUP(F193,vlookup!$A$2:$E$660,5,0)</f>
        <v>High Mileage</v>
      </c>
      <c r="AK193" s="2"/>
      <c r="AL193" s="2">
        <f t="shared" si="40"/>
        <v>53</v>
      </c>
      <c r="AM193" s="2">
        <f t="shared" si="41"/>
        <v>126</v>
      </c>
      <c r="AN193" s="2">
        <f t="shared" si="42"/>
        <v>2028</v>
      </c>
      <c r="AO193" s="2" t="str">
        <f t="shared" si="43"/>
        <v/>
      </c>
      <c r="AP193" s="2" t="str">
        <f t="shared" si="44"/>
        <v/>
      </c>
      <c r="AQ193" s="2" t="str">
        <f t="shared" si="45"/>
        <v/>
      </c>
      <c r="AR193" s="2">
        <f t="shared" si="46"/>
        <v>-8.15</v>
      </c>
      <c r="AS193" s="2" t="str">
        <f t="shared" si="47"/>
        <v>SDF8J254834B21-2</v>
      </c>
      <c r="AT193" s="2" t="str">
        <f>IFERROR(IF(VLOOKUP(Y193,vlookup!$I$2:$J$9,1,0)=Y193,VLOOKUP(Y193,vlookup!$I$2:$J$9,2,0),PROPER(Y193)),PROPER(Y193))</f>
        <v>Parts</v>
      </c>
      <c r="AU193" s="2" t="str">
        <f>IFERROR(IF(B193=VLOOKUP(B193,vlookup!$L$2:$L$10,1,0),"Yes","No"),"No")</f>
        <v>No</v>
      </c>
    </row>
    <row r="194" spans="1:47" x14ac:dyDescent="0.25">
      <c r="A194" t="s">
        <v>723</v>
      </c>
      <c r="B194" t="s">
        <v>724</v>
      </c>
      <c r="C194">
        <v>4</v>
      </c>
      <c r="D194">
        <v>1</v>
      </c>
      <c r="E194" t="s">
        <v>382</v>
      </c>
      <c r="F194" t="s">
        <v>346</v>
      </c>
      <c r="G194" t="s">
        <v>30</v>
      </c>
      <c r="H194" s="11" t="s">
        <v>613</v>
      </c>
      <c r="I194">
        <v>125225</v>
      </c>
      <c r="J194" s="22">
        <v>44239</v>
      </c>
      <c r="K194" s="22">
        <v>44291</v>
      </c>
      <c r="L194">
        <v>202103</v>
      </c>
      <c r="M194" s="22">
        <v>44256</v>
      </c>
      <c r="N194">
        <v>77871</v>
      </c>
      <c r="O194" t="s">
        <v>699</v>
      </c>
      <c r="P194" t="s">
        <v>712</v>
      </c>
      <c r="Q194" t="s">
        <v>612</v>
      </c>
      <c r="R194">
        <v>120414</v>
      </c>
      <c r="S194" s="22">
        <v>44805</v>
      </c>
      <c r="T194">
        <v>139234</v>
      </c>
      <c r="U194" t="s">
        <v>356</v>
      </c>
      <c r="V194" s="22">
        <v>44812</v>
      </c>
      <c r="W194" t="s">
        <v>798</v>
      </c>
      <c r="X194" t="s">
        <v>799</v>
      </c>
      <c r="Y194" t="s">
        <v>95</v>
      </c>
      <c r="Z194" t="s">
        <v>358</v>
      </c>
      <c r="AA194">
        <v>-202.52</v>
      </c>
      <c r="AC194" s="2">
        <f t="shared" si="36"/>
        <v>2022</v>
      </c>
      <c r="AD194" s="2">
        <f t="shared" si="37"/>
        <v>9</v>
      </c>
      <c r="AE194" s="2">
        <f t="shared" si="38"/>
        <v>2021</v>
      </c>
      <c r="AF194" s="2">
        <f t="shared" si="39"/>
        <v>2</v>
      </c>
      <c r="AG194" s="2" t="str">
        <f>VLOOKUP(F194,vlookup!$A$2:$E$660,2,0)</f>
        <v>Retained</v>
      </c>
      <c r="AH194" s="2" t="str">
        <f>VLOOKUP(F194,vlookup!$A$2:$E$660,3,0)</f>
        <v>Service Contract</v>
      </c>
      <c r="AI194" s="2" t="str">
        <f>VLOOKUP(F194,vlookup!$A$2:$E$660,4,0)</f>
        <v>Used Car Programs</v>
      </c>
      <c r="AJ194" s="2" t="str">
        <f>VLOOKUP(F194,vlookup!$A$2:$E$660,5,0)</f>
        <v>High Mileage</v>
      </c>
      <c r="AK194" s="2"/>
      <c r="AL194" s="2">
        <f t="shared" si="40"/>
        <v>53</v>
      </c>
      <c r="AM194" s="2">
        <f t="shared" si="41"/>
        <v>566</v>
      </c>
      <c r="AN194" s="2">
        <f t="shared" si="42"/>
        <v>14009</v>
      </c>
      <c r="AO194" s="2" t="str">
        <f t="shared" si="43"/>
        <v/>
      </c>
      <c r="AP194" s="2" t="str">
        <f t="shared" si="44"/>
        <v/>
      </c>
      <c r="AQ194" s="2" t="str">
        <f t="shared" si="45"/>
        <v/>
      </c>
      <c r="AR194" s="2">
        <f t="shared" si="46"/>
        <v>-202.52</v>
      </c>
      <c r="AS194" s="2" t="str">
        <f t="shared" si="47"/>
        <v>SDF8J254834B21-4</v>
      </c>
      <c r="AT194" s="2" t="str">
        <f>IFERROR(IF(VLOOKUP(Y194,vlookup!$I$2:$J$9,1,0)=Y194,VLOOKUP(Y194,vlookup!$I$2:$J$9,2,0),PROPER(Y194)),PROPER(Y194))</f>
        <v>Parts</v>
      </c>
      <c r="AU194" s="2" t="str">
        <f>IFERROR(IF(B194=VLOOKUP(B194,vlookup!$L$2:$L$10,1,0),"Yes","No"),"No")</f>
        <v>No</v>
      </c>
    </row>
    <row r="195" spans="1:47" x14ac:dyDescent="0.25">
      <c r="A195" t="s">
        <v>800</v>
      </c>
      <c r="B195" t="s">
        <v>801</v>
      </c>
      <c r="C195">
        <v>1</v>
      </c>
      <c r="D195">
        <v>1</v>
      </c>
      <c r="E195" t="s">
        <v>382</v>
      </c>
      <c r="F195" t="s">
        <v>346</v>
      </c>
      <c r="G195" t="s">
        <v>30</v>
      </c>
      <c r="H195" s="11" t="s">
        <v>613</v>
      </c>
      <c r="I195">
        <v>75025</v>
      </c>
      <c r="J195" s="22">
        <v>44357</v>
      </c>
      <c r="K195" s="22">
        <v>44383</v>
      </c>
      <c r="L195">
        <v>202106</v>
      </c>
      <c r="M195" s="22">
        <v>44348</v>
      </c>
      <c r="N195">
        <v>77871</v>
      </c>
      <c r="O195" t="s">
        <v>699</v>
      </c>
      <c r="P195" t="s">
        <v>712</v>
      </c>
      <c r="Q195" t="s">
        <v>612</v>
      </c>
      <c r="R195">
        <v>117036</v>
      </c>
      <c r="S195" s="22">
        <v>44736</v>
      </c>
      <c r="T195">
        <v>82720</v>
      </c>
      <c r="U195" t="s">
        <v>356</v>
      </c>
      <c r="V195" s="22">
        <v>44925</v>
      </c>
      <c r="W195" t="s">
        <v>663</v>
      </c>
      <c r="X195" t="s">
        <v>664</v>
      </c>
      <c r="Y195" t="s">
        <v>95</v>
      </c>
      <c r="Z195" t="s">
        <v>366</v>
      </c>
      <c r="AA195">
        <v>-9.4700000000000006</v>
      </c>
      <c r="AC195" s="2">
        <f t="shared" si="36"/>
        <v>2022</v>
      </c>
      <c r="AD195" s="2">
        <f t="shared" si="37"/>
        <v>12</v>
      </c>
      <c r="AE195" s="2">
        <f t="shared" si="38"/>
        <v>2021</v>
      </c>
      <c r="AF195" s="2">
        <f t="shared" si="39"/>
        <v>6</v>
      </c>
      <c r="AG195" s="2" t="str">
        <f>VLOOKUP(F195,vlookup!$A$2:$E$660,2,0)</f>
        <v>Retained</v>
      </c>
      <c r="AH195" s="2" t="str">
        <f>VLOOKUP(F195,vlookup!$A$2:$E$660,3,0)</f>
        <v>Service Contract</v>
      </c>
      <c r="AI195" s="2" t="str">
        <f>VLOOKUP(F195,vlookup!$A$2:$E$660,4,0)</f>
        <v>Used Car Programs</v>
      </c>
      <c r="AJ195" s="2" t="str">
        <f>VLOOKUP(F195,vlookup!$A$2:$E$660,5,0)</f>
        <v>High Mileage</v>
      </c>
      <c r="AK195" s="2"/>
      <c r="AL195" s="2">
        <f t="shared" si="40"/>
        <v>26</v>
      </c>
      <c r="AM195" s="2">
        <f t="shared" si="41"/>
        <v>560</v>
      </c>
      <c r="AN195" s="2">
        <f t="shared" si="42"/>
        <v>7695</v>
      </c>
      <c r="AO195" s="2" t="str">
        <f t="shared" si="43"/>
        <v/>
      </c>
      <c r="AP195" s="2" t="str">
        <f t="shared" si="44"/>
        <v/>
      </c>
      <c r="AQ195" s="2" t="str">
        <f t="shared" si="45"/>
        <v/>
      </c>
      <c r="AR195" s="2">
        <f t="shared" si="46"/>
        <v>-9.4700000000000006</v>
      </c>
      <c r="AS195" s="2" t="str">
        <f t="shared" si="47"/>
        <v>SDFFJ249196F21-1</v>
      </c>
      <c r="AT195" s="2" t="str">
        <f>IFERROR(IF(VLOOKUP(Y195,vlookup!$I$2:$J$9,1,0)=Y195,VLOOKUP(Y195,vlookup!$I$2:$J$9,2,0),PROPER(Y195)),PROPER(Y195))</f>
        <v>Parts</v>
      </c>
      <c r="AU195" s="2" t="str">
        <f>IFERROR(IF(B195=VLOOKUP(B195,vlookup!$L$2:$L$10,1,0),"Yes","No"),"No")</f>
        <v>No</v>
      </c>
    </row>
    <row r="196" spans="1:47" x14ac:dyDescent="0.25">
      <c r="A196" t="s">
        <v>800</v>
      </c>
      <c r="B196" t="s">
        <v>801</v>
      </c>
      <c r="C196">
        <v>1</v>
      </c>
      <c r="D196">
        <v>1</v>
      </c>
      <c r="E196" t="s">
        <v>382</v>
      </c>
      <c r="F196" t="s">
        <v>346</v>
      </c>
      <c r="G196" t="s">
        <v>30</v>
      </c>
      <c r="H196" s="11" t="s">
        <v>613</v>
      </c>
      <c r="I196">
        <v>75025</v>
      </c>
      <c r="J196" s="22">
        <v>44357</v>
      </c>
      <c r="K196" s="22">
        <v>44383</v>
      </c>
      <c r="L196">
        <v>202106</v>
      </c>
      <c r="M196" s="22">
        <v>44348</v>
      </c>
      <c r="N196">
        <v>77871</v>
      </c>
      <c r="O196" t="s">
        <v>699</v>
      </c>
      <c r="P196" t="s">
        <v>712</v>
      </c>
      <c r="Q196" t="s">
        <v>612</v>
      </c>
      <c r="R196">
        <v>117036</v>
      </c>
      <c r="S196" s="22">
        <v>44736</v>
      </c>
      <c r="T196">
        <v>82720</v>
      </c>
      <c r="U196" t="s">
        <v>356</v>
      </c>
      <c r="V196" s="22">
        <v>44925</v>
      </c>
      <c r="W196" t="s">
        <v>802</v>
      </c>
      <c r="X196" t="s">
        <v>803</v>
      </c>
      <c r="Y196" t="s">
        <v>95</v>
      </c>
      <c r="Z196" t="s">
        <v>366</v>
      </c>
      <c r="AA196">
        <v>-836.92</v>
      </c>
      <c r="AC196" s="2">
        <f t="shared" si="36"/>
        <v>2022</v>
      </c>
      <c r="AD196" s="2">
        <f t="shared" si="37"/>
        <v>12</v>
      </c>
      <c r="AE196" s="2">
        <f t="shared" si="38"/>
        <v>2021</v>
      </c>
      <c r="AF196" s="2">
        <f t="shared" si="39"/>
        <v>6</v>
      </c>
      <c r="AG196" s="2" t="str">
        <f>VLOOKUP(F196,vlookup!$A$2:$E$660,2,0)</f>
        <v>Retained</v>
      </c>
      <c r="AH196" s="2" t="str">
        <f>VLOOKUP(F196,vlookup!$A$2:$E$660,3,0)</f>
        <v>Service Contract</v>
      </c>
      <c r="AI196" s="2" t="str">
        <f>VLOOKUP(F196,vlookup!$A$2:$E$660,4,0)</f>
        <v>Used Car Programs</v>
      </c>
      <c r="AJ196" s="2" t="str">
        <f>VLOOKUP(F196,vlookup!$A$2:$E$660,5,0)</f>
        <v>High Mileage</v>
      </c>
      <c r="AK196" s="2"/>
      <c r="AL196" s="2">
        <f t="shared" si="40"/>
        <v>26</v>
      </c>
      <c r="AM196" s="2">
        <f t="shared" si="41"/>
        <v>560</v>
      </c>
      <c r="AN196" s="2">
        <f t="shared" si="42"/>
        <v>7695</v>
      </c>
      <c r="AO196" s="2" t="str">
        <f t="shared" si="43"/>
        <v/>
      </c>
      <c r="AP196" s="2" t="str">
        <f t="shared" si="44"/>
        <v/>
      </c>
      <c r="AQ196" s="2" t="str">
        <f t="shared" si="45"/>
        <v/>
      </c>
      <c r="AR196" s="2">
        <f t="shared" si="46"/>
        <v>-836.92</v>
      </c>
      <c r="AS196" s="2" t="str">
        <f t="shared" si="47"/>
        <v>SDFFJ249196F21-1</v>
      </c>
      <c r="AT196" s="2" t="str">
        <f>IFERROR(IF(VLOOKUP(Y196,vlookup!$I$2:$J$9,1,0)=Y196,VLOOKUP(Y196,vlookup!$I$2:$J$9,2,0),PROPER(Y196)),PROPER(Y196))</f>
        <v>Parts</v>
      </c>
      <c r="AU196" s="2" t="str">
        <f>IFERROR(IF(B196=VLOOKUP(B196,vlookup!$L$2:$L$10,1,0),"Yes","No"),"No")</f>
        <v>No</v>
      </c>
    </row>
    <row r="197" spans="1:47" x14ac:dyDescent="0.25">
      <c r="A197" t="s">
        <v>800</v>
      </c>
      <c r="B197" t="s">
        <v>801</v>
      </c>
      <c r="C197">
        <v>1</v>
      </c>
      <c r="D197">
        <v>1</v>
      </c>
      <c r="E197" t="s">
        <v>382</v>
      </c>
      <c r="F197" t="s">
        <v>346</v>
      </c>
      <c r="G197" t="s">
        <v>30</v>
      </c>
      <c r="H197" s="11" t="s">
        <v>613</v>
      </c>
      <c r="I197">
        <v>75025</v>
      </c>
      <c r="J197" s="22">
        <v>44357</v>
      </c>
      <c r="K197" s="22">
        <v>44383</v>
      </c>
      <c r="L197">
        <v>202106</v>
      </c>
      <c r="M197" s="22">
        <v>44348</v>
      </c>
      <c r="N197">
        <v>77871</v>
      </c>
      <c r="O197" t="s">
        <v>699</v>
      </c>
      <c r="P197" t="s">
        <v>712</v>
      </c>
      <c r="Q197" t="s">
        <v>612</v>
      </c>
      <c r="R197">
        <v>117036</v>
      </c>
      <c r="S197" s="22">
        <v>44736</v>
      </c>
      <c r="T197">
        <v>82720</v>
      </c>
      <c r="U197" t="s">
        <v>356</v>
      </c>
      <c r="V197" s="22">
        <v>44925</v>
      </c>
      <c r="W197" t="s">
        <v>874</v>
      </c>
      <c r="X197" t="s">
        <v>875</v>
      </c>
      <c r="Y197" t="s">
        <v>95</v>
      </c>
      <c r="Z197" t="s">
        <v>369</v>
      </c>
      <c r="AA197">
        <v>-16.510000000000002</v>
      </c>
      <c r="AC197" s="2">
        <f t="shared" si="36"/>
        <v>2022</v>
      </c>
      <c r="AD197" s="2">
        <f t="shared" si="37"/>
        <v>12</v>
      </c>
      <c r="AE197" s="2">
        <f t="shared" si="38"/>
        <v>2021</v>
      </c>
      <c r="AF197" s="2">
        <f t="shared" si="39"/>
        <v>6</v>
      </c>
      <c r="AG197" s="2" t="str">
        <f>VLOOKUP(F197,vlookup!$A$2:$E$660,2,0)</f>
        <v>Retained</v>
      </c>
      <c r="AH197" s="2" t="str">
        <f>VLOOKUP(F197,vlookup!$A$2:$E$660,3,0)</f>
        <v>Service Contract</v>
      </c>
      <c r="AI197" s="2" t="str">
        <f>VLOOKUP(F197,vlookup!$A$2:$E$660,4,0)</f>
        <v>Used Car Programs</v>
      </c>
      <c r="AJ197" s="2" t="str">
        <f>VLOOKUP(F197,vlookup!$A$2:$E$660,5,0)</f>
        <v>High Mileage</v>
      </c>
      <c r="AK197" s="2"/>
      <c r="AL197" s="2">
        <f t="shared" si="40"/>
        <v>26</v>
      </c>
      <c r="AM197" s="2">
        <f t="shared" si="41"/>
        <v>560</v>
      </c>
      <c r="AN197" s="2">
        <f t="shared" si="42"/>
        <v>7695</v>
      </c>
      <c r="AO197" s="2" t="str">
        <f t="shared" si="43"/>
        <v/>
      </c>
      <c r="AP197" s="2" t="str">
        <f t="shared" si="44"/>
        <v/>
      </c>
      <c r="AQ197" s="2" t="str">
        <f t="shared" si="45"/>
        <v/>
      </c>
      <c r="AR197" s="2">
        <f t="shared" si="46"/>
        <v>-16.510000000000002</v>
      </c>
      <c r="AS197" s="2" t="str">
        <f t="shared" si="47"/>
        <v>SDFFJ249196F21-1</v>
      </c>
      <c r="AT197" s="2" t="str">
        <f>IFERROR(IF(VLOOKUP(Y197,vlookup!$I$2:$J$9,1,0)=Y197,VLOOKUP(Y197,vlookup!$I$2:$J$9,2,0),PROPER(Y197)),PROPER(Y197))</f>
        <v>Parts</v>
      </c>
      <c r="AU197" s="2" t="str">
        <f>IFERROR(IF(B197=VLOOKUP(B197,vlookup!$L$2:$L$10,1,0),"Yes","No"),"No")</f>
        <v>No</v>
      </c>
    </row>
    <row r="198" spans="1:47" x14ac:dyDescent="0.25">
      <c r="A198" t="s">
        <v>800</v>
      </c>
      <c r="B198" t="s">
        <v>801</v>
      </c>
      <c r="C198">
        <v>1</v>
      </c>
      <c r="D198">
        <v>1</v>
      </c>
      <c r="E198" t="s">
        <v>382</v>
      </c>
      <c r="F198" t="s">
        <v>346</v>
      </c>
      <c r="G198" t="s">
        <v>30</v>
      </c>
      <c r="H198" s="11" t="s">
        <v>613</v>
      </c>
      <c r="I198">
        <v>75025</v>
      </c>
      <c r="J198" s="22">
        <v>44357</v>
      </c>
      <c r="K198" s="22">
        <v>44383</v>
      </c>
      <c r="L198">
        <v>202106</v>
      </c>
      <c r="M198" s="22">
        <v>44348</v>
      </c>
      <c r="N198">
        <v>77871</v>
      </c>
      <c r="O198" t="s">
        <v>699</v>
      </c>
      <c r="P198" t="s">
        <v>712</v>
      </c>
      <c r="Q198" t="s">
        <v>612</v>
      </c>
      <c r="R198">
        <v>117036</v>
      </c>
      <c r="S198" s="22">
        <v>44736</v>
      </c>
      <c r="T198">
        <v>82720</v>
      </c>
      <c r="U198" t="s">
        <v>356</v>
      </c>
      <c r="V198" s="22">
        <v>44925</v>
      </c>
      <c r="W198" t="s">
        <v>665</v>
      </c>
      <c r="X198" t="s">
        <v>666</v>
      </c>
      <c r="Y198" t="s">
        <v>95</v>
      </c>
      <c r="Z198" t="s">
        <v>366</v>
      </c>
      <c r="AA198">
        <v>-90.66</v>
      </c>
      <c r="AC198" s="2">
        <f t="shared" si="36"/>
        <v>2022</v>
      </c>
      <c r="AD198" s="2">
        <f t="shared" si="37"/>
        <v>12</v>
      </c>
      <c r="AE198" s="2">
        <f t="shared" si="38"/>
        <v>2021</v>
      </c>
      <c r="AF198" s="2">
        <f t="shared" si="39"/>
        <v>6</v>
      </c>
      <c r="AG198" s="2" t="str">
        <f>VLOOKUP(F198,vlookup!$A$2:$E$660,2,0)</f>
        <v>Retained</v>
      </c>
      <c r="AH198" s="2" t="str">
        <f>VLOOKUP(F198,vlookup!$A$2:$E$660,3,0)</f>
        <v>Service Contract</v>
      </c>
      <c r="AI198" s="2" t="str">
        <f>VLOOKUP(F198,vlookup!$A$2:$E$660,4,0)</f>
        <v>Used Car Programs</v>
      </c>
      <c r="AJ198" s="2" t="str">
        <f>VLOOKUP(F198,vlookup!$A$2:$E$660,5,0)</f>
        <v>High Mileage</v>
      </c>
      <c r="AK198" s="2"/>
      <c r="AL198" s="2">
        <f t="shared" si="40"/>
        <v>26</v>
      </c>
      <c r="AM198" s="2">
        <f t="shared" si="41"/>
        <v>560</v>
      </c>
      <c r="AN198" s="2">
        <f t="shared" si="42"/>
        <v>7695</v>
      </c>
      <c r="AO198" s="2" t="str">
        <f t="shared" si="43"/>
        <v/>
      </c>
      <c r="AP198" s="2" t="str">
        <f t="shared" si="44"/>
        <v/>
      </c>
      <c r="AQ198" s="2" t="str">
        <f t="shared" si="45"/>
        <v/>
      </c>
      <c r="AR198" s="2">
        <f t="shared" si="46"/>
        <v>-90.66</v>
      </c>
      <c r="AS198" s="2" t="str">
        <f t="shared" si="47"/>
        <v>SDFFJ249196F21-1</v>
      </c>
      <c r="AT198" s="2" t="str">
        <f>IFERROR(IF(VLOOKUP(Y198,vlookup!$I$2:$J$9,1,0)=Y198,VLOOKUP(Y198,vlookup!$I$2:$J$9,2,0),PROPER(Y198)),PROPER(Y198))</f>
        <v>Parts</v>
      </c>
      <c r="AU198" s="2" t="str">
        <f>IFERROR(IF(B198=VLOOKUP(B198,vlookup!$L$2:$L$10,1,0),"Yes","No"),"No")</f>
        <v>No</v>
      </c>
    </row>
    <row r="199" spans="1:47" x14ac:dyDescent="0.25">
      <c r="A199" t="s">
        <v>800</v>
      </c>
      <c r="B199" t="s">
        <v>801</v>
      </c>
      <c r="C199">
        <v>1</v>
      </c>
      <c r="D199">
        <v>1</v>
      </c>
      <c r="E199" t="s">
        <v>382</v>
      </c>
      <c r="F199" t="s">
        <v>346</v>
      </c>
      <c r="G199" t="s">
        <v>30</v>
      </c>
      <c r="H199" s="11" t="s">
        <v>613</v>
      </c>
      <c r="I199">
        <v>75025</v>
      </c>
      <c r="J199" s="22">
        <v>44357</v>
      </c>
      <c r="K199" s="22">
        <v>44383</v>
      </c>
      <c r="L199">
        <v>202106</v>
      </c>
      <c r="M199" s="22">
        <v>44348</v>
      </c>
      <c r="N199">
        <v>77871</v>
      </c>
      <c r="O199" t="s">
        <v>699</v>
      </c>
      <c r="P199" t="s">
        <v>712</v>
      </c>
      <c r="Q199" t="s">
        <v>612</v>
      </c>
      <c r="R199">
        <v>117036</v>
      </c>
      <c r="S199" s="22">
        <v>44736</v>
      </c>
      <c r="T199">
        <v>82720</v>
      </c>
      <c r="U199" t="s">
        <v>356</v>
      </c>
      <c r="V199" s="22">
        <v>44925</v>
      </c>
      <c r="W199" t="s">
        <v>804</v>
      </c>
      <c r="X199" t="s">
        <v>805</v>
      </c>
      <c r="Y199" t="s">
        <v>95</v>
      </c>
      <c r="Z199" t="s">
        <v>366</v>
      </c>
      <c r="AA199">
        <v>-1400</v>
      </c>
      <c r="AC199" s="2">
        <f t="shared" si="36"/>
        <v>2022</v>
      </c>
      <c r="AD199" s="2">
        <f t="shared" si="37"/>
        <v>12</v>
      </c>
      <c r="AE199" s="2">
        <f t="shared" si="38"/>
        <v>2021</v>
      </c>
      <c r="AF199" s="2">
        <f t="shared" si="39"/>
        <v>6</v>
      </c>
      <c r="AG199" s="2" t="str">
        <f>VLOOKUP(F199,vlookup!$A$2:$E$660,2,0)</f>
        <v>Retained</v>
      </c>
      <c r="AH199" s="2" t="str">
        <f>VLOOKUP(F199,vlookup!$A$2:$E$660,3,0)</f>
        <v>Service Contract</v>
      </c>
      <c r="AI199" s="2" t="str">
        <f>VLOOKUP(F199,vlookup!$A$2:$E$660,4,0)</f>
        <v>Used Car Programs</v>
      </c>
      <c r="AJ199" s="2" t="str">
        <f>VLOOKUP(F199,vlookup!$A$2:$E$660,5,0)</f>
        <v>High Mileage</v>
      </c>
      <c r="AK199" s="2"/>
      <c r="AL199" s="2">
        <f t="shared" si="40"/>
        <v>26</v>
      </c>
      <c r="AM199" s="2">
        <f t="shared" si="41"/>
        <v>560</v>
      </c>
      <c r="AN199" s="2">
        <f t="shared" si="42"/>
        <v>7695</v>
      </c>
      <c r="AO199" s="2" t="str">
        <f t="shared" si="43"/>
        <v/>
      </c>
      <c r="AP199" s="2" t="str">
        <f t="shared" si="44"/>
        <v/>
      </c>
      <c r="AQ199" s="2" t="str">
        <f t="shared" si="45"/>
        <v/>
      </c>
      <c r="AR199" s="2">
        <f t="shared" si="46"/>
        <v>-1400</v>
      </c>
      <c r="AS199" s="2" t="str">
        <f t="shared" si="47"/>
        <v>SDFFJ249196F21-1</v>
      </c>
      <c r="AT199" s="2" t="str">
        <f>IFERROR(IF(VLOOKUP(Y199,vlookup!$I$2:$J$9,1,0)=Y199,VLOOKUP(Y199,vlookup!$I$2:$J$9,2,0),PROPER(Y199)),PROPER(Y199))</f>
        <v>Parts</v>
      </c>
      <c r="AU199" s="2" t="str">
        <f>IFERROR(IF(B199=VLOOKUP(B199,vlookup!$L$2:$L$10,1,0),"Yes","No"),"No")</f>
        <v>No</v>
      </c>
    </row>
    <row r="200" spans="1:47" x14ac:dyDescent="0.25">
      <c r="A200" t="s">
        <v>725</v>
      </c>
      <c r="B200" t="s">
        <v>726</v>
      </c>
      <c r="C200">
        <v>1</v>
      </c>
      <c r="D200">
        <v>1</v>
      </c>
      <c r="E200" t="s">
        <v>382</v>
      </c>
      <c r="F200" t="s">
        <v>346</v>
      </c>
      <c r="G200" t="s">
        <v>610</v>
      </c>
      <c r="H200" s="11" t="s">
        <v>613</v>
      </c>
      <c r="I200">
        <v>74358</v>
      </c>
      <c r="J200" s="22">
        <v>44147</v>
      </c>
      <c r="K200" s="22">
        <v>44168</v>
      </c>
      <c r="L200">
        <v>202011</v>
      </c>
      <c r="M200" s="22">
        <v>44136</v>
      </c>
      <c r="N200">
        <v>77871</v>
      </c>
      <c r="O200" t="s">
        <v>699</v>
      </c>
      <c r="P200" t="s">
        <v>712</v>
      </c>
      <c r="Q200" t="s">
        <v>612</v>
      </c>
      <c r="R200">
        <v>104791</v>
      </c>
      <c r="S200" s="22">
        <v>44489</v>
      </c>
      <c r="T200">
        <v>84307</v>
      </c>
      <c r="U200" t="s">
        <v>356</v>
      </c>
      <c r="V200" s="22">
        <v>44490</v>
      </c>
      <c r="W200" t="s">
        <v>806</v>
      </c>
      <c r="X200" t="s">
        <v>807</v>
      </c>
      <c r="Y200" t="s">
        <v>95</v>
      </c>
      <c r="Z200" t="s">
        <v>365</v>
      </c>
      <c r="AA200">
        <v>-95.9</v>
      </c>
      <c r="AC200" s="2">
        <f t="shared" si="36"/>
        <v>2021</v>
      </c>
      <c r="AD200" s="2">
        <f t="shared" si="37"/>
        <v>10</v>
      </c>
      <c r="AE200" s="2">
        <f t="shared" si="38"/>
        <v>2020</v>
      </c>
      <c r="AF200" s="2">
        <f t="shared" si="39"/>
        <v>11</v>
      </c>
      <c r="AG200" s="2" t="str">
        <f>VLOOKUP(F200,vlookup!$A$2:$E$660,2,0)</f>
        <v>Retained</v>
      </c>
      <c r="AH200" s="2" t="str">
        <f>VLOOKUP(F200,vlookup!$A$2:$E$660,3,0)</f>
        <v>Service Contract</v>
      </c>
      <c r="AI200" s="2" t="str">
        <f>VLOOKUP(F200,vlookup!$A$2:$E$660,4,0)</f>
        <v>Used Car Programs</v>
      </c>
      <c r="AJ200" s="2" t="str">
        <f>VLOOKUP(F200,vlookup!$A$2:$E$660,5,0)</f>
        <v>High Mileage</v>
      </c>
      <c r="AK200" s="2"/>
      <c r="AL200" s="2">
        <f t="shared" si="40"/>
        <v>21</v>
      </c>
      <c r="AM200" s="2">
        <f t="shared" si="41"/>
        <v>339</v>
      </c>
      <c r="AN200" s="2">
        <f t="shared" si="42"/>
        <v>9949</v>
      </c>
      <c r="AO200" s="2" t="str">
        <f t="shared" si="43"/>
        <v/>
      </c>
      <c r="AP200" s="2" t="str">
        <f t="shared" si="44"/>
        <v/>
      </c>
      <c r="AQ200" s="2" t="str">
        <f t="shared" si="45"/>
        <v/>
      </c>
      <c r="AR200" s="2">
        <f t="shared" si="46"/>
        <v>-95.9</v>
      </c>
      <c r="AS200" s="2" t="str">
        <f t="shared" si="47"/>
        <v>SDFHJ139894K20-1</v>
      </c>
      <c r="AT200" s="2" t="str">
        <f>IFERROR(IF(VLOOKUP(Y200,vlookup!$I$2:$J$9,1,0)=Y200,VLOOKUP(Y200,vlookup!$I$2:$J$9,2,0),PROPER(Y200)),PROPER(Y200))</f>
        <v>Parts</v>
      </c>
      <c r="AU200" s="2" t="str">
        <f>IFERROR(IF(B200=VLOOKUP(B200,vlookup!$L$2:$L$10,1,0),"Yes","No"),"No")</f>
        <v>No</v>
      </c>
    </row>
    <row r="201" spans="1:47" x14ac:dyDescent="0.25">
      <c r="A201" t="s">
        <v>725</v>
      </c>
      <c r="B201" t="s">
        <v>726</v>
      </c>
      <c r="C201">
        <v>1</v>
      </c>
      <c r="D201">
        <v>1</v>
      </c>
      <c r="E201" t="s">
        <v>382</v>
      </c>
      <c r="F201" t="s">
        <v>346</v>
      </c>
      <c r="G201" t="s">
        <v>610</v>
      </c>
      <c r="H201" s="11" t="s">
        <v>613</v>
      </c>
      <c r="I201">
        <v>74358</v>
      </c>
      <c r="J201" s="22">
        <v>44147</v>
      </c>
      <c r="K201" s="22">
        <v>44168</v>
      </c>
      <c r="L201">
        <v>202011</v>
      </c>
      <c r="M201" s="22">
        <v>44136</v>
      </c>
      <c r="N201">
        <v>77871</v>
      </c>
      <c r="O201" t="s">
        <v>699</v>
      </c>
      <c r="P201" t="s">
        <v>712</v>
      </c>
      <c r="Q201" t="s">
        <v>612</v>
      </c>
      <c r="R201">
        <v>104791</v>
      </c>
      <c r="S201" s="22">
        <v>44489</v>
      </c>
      <c r="T201">
        <v>84307</v>
      </c>
      <c r="U201" t="s">
        <v>356</v>
      </c>
      <c r="V201" s="22">
        <v>44490</v>
      </c>
      <c r="W201" t="s">
        <v>808</v>
      </c>
      <c r="X201" t="s">
        <v>809</v>
      </c>
      <c r="Y201" t="s">
        <v>95</v>
      </c>
      <c r="Z201" t="s">
        <v>364</v>
      </c>
      <c r="AA201">
        <v>-35.56</v>
      </c>
      <c r="AC201" s="2">
        <f t="shared" si="36"/>
        <v>2021</v>
      </c>
      <c r="AD201" s="2">
        <f t="shared" si="37"/>
        <v>10</v>
      </c>
      <c r="AE201" s="2">
        <f t="shared" si="38"/>
        <v>2020</v>
      </c>
      <c r="AF201" s="2">
        <f t="shared" si="39"/>
        <v>11</v>
      </c>
      <c r="AG201" s="2" t="str">
        <f>VLOOKUP(F201,vlookup!$A$2:$E$660,2,0)</f>
        <v>Retained</v>
      </c>
      <c r="AH201" s="2" t="str">
        <f>VLOOKUP(F201,vlookup!$A$2:$E$660,3,0)</f>
        <v>Service Contract</v>
      </c>
      <c r="AI201" s="2" t="str">
        <f>VLOOKUP(F201,vlookup!$A$2:$E$660,4,0)</f>
        <v>Used Car Programs</v>
      </c>
      <c r="AJ201" s="2" t="str">
        <f>VLOOKUP(F201,vlookup!$A$2:$E$660,5,0)</f>
        <v>High Mileage</v>
      </c>
      <c r="AK201" s="2"/>
      <c r="AL201" s="2">
        <f t="shared" si="40"/>
        <v>21</v>
      </c>
      <c r="AM201" s="2">
        <f t="shared" si="41"/>
        <v>339</v>
      </c>
      <c r="AN201" s="2">
        <f t="shared" si="42"/>
        <v>9949</v>
      </c>
      <c r="AO201" s="2" t="str">
        <f t="shared" si="43"/>
        <v/>
      </c>
      <c r="AP201" s="2" t="str">
        <f t="shared" si="44"/>
        <v/>
      </c>
      <c r="AQ201" s="2" t="str">
        <f t="shared" si="45"/>
        <v/>
      </c>
      <c r="AR201" s="2">
        <f t="shared" si="46"/>
        <v>-35.56</v>
      </c>
      <c r="AS201" s="2" t="str">
        <f t="shared" si="47"/>
        <v>SDFHJ139894K20-1</v>
      </c>
      <c r="AT201" s="2" t="str">
        <f>IFERROR(IF(VLOOKUP(Y201,vlookup!$I$2:$J$9,1,0)=Y201,VLOOKUP(Y201,vlookup!$I$2:$J$9,2,0),PROPER(Y201)),PROPER(Y201))</f>
        <v>Parts</v>
      </c>
      <c r="AU201" s="2" t="str">
        <f>IFERROR(IF(B201=VLOOKUP(B201,vlookup!$L$2:$L$10,1,0),"Yes","No"),"No")</f>
        <v>No</v>
      </c>
    </row>
    <row r="202" spans="1:47" x14ac:dyDescent="0.25">
      <c r="A202" t="s">
        <v>725</v>
      </c>
      <c r="B202" t="s">
        <v>726</v>
      </c>
      <c r="C202">
        <v>1</v>
      </c>
      <c r="D202">
        <v>1</v>
      </c>
      <c r="E202" t="s">
        <v>382</v>
      </c>
      <c r="F202" t="s">
        <v>346</v>
      </c>
      <c r="G202" t="s">
        <v>610</v>
      </c>
      <c r="H202" s="11" t="s">
        <v>613</v>
      </c>
      <c r="I202">
        <v>74358</v>
      </c>
      <c r="J202" s="22">
        <v>44147</v>
      </c>
      <c r="K202" s="22">
        <v>44168</v>
      </c>
      <c r="L202">
        <v>202011</v>
      </c>
      <c r="M202" s="22">
        <v>44136</v>
      </c>
      <c r="N202">
        <v>77871</v>
      </c>
      <c r="O202" t="s">
        <v>699</v>
      </c>
      <c r="P202" t="s">
        <v>712</v>
      </c>
      <c r="Q202" t="s">
        <v>612</v>
      </c>
      <c r="R202">
        <v>104791</v>
      </c>
      <c r="S202" s="22">
        <v>44489</v>
      </c>
      <c r="T202">
        <v>84307</v>
      </c>
      <c r="U202" t="s">
        <v>356</v>
      </c>
      <c r="V202" s="22">
        <v>44490</v>
      </c>
      <c r="W202" t="s">
        <v>367</v>
      </c>
      <c r="X202" t="s">
        <v>368</v>
      </c>
      <c r="Y202" t="s">
        <v>95</v>
      </c>
      <c r="Z202" t="s">
        <v>365</v>
      </c>
      <c r="AA202">
        <v>-14.52</v>
      </c>
      <c r="AC202" s="2">
        <f t="shared" si="36"/>
        <v>2021</v>
      </c>
      <c r="AD202" s="2">
        <f t="shared" si="37"/>
        <v>10</v>
      </c>
      <c r="AE202" s="2">
        <f t="shared" si="38"/>
        <v>2020</v>
      </c>
      <c r="AF202" s="2">
        <f t="shared" si="39"/>
        <v>11</v>
      </c>
      <c r="AG202" s="2" t="str">
        <f>VLOOKUP(F202,vlookup!$A$2:$E$660,2,0)</f>
        <v>Retained</v>
      </c>
      <c r="AH202" s="2" t="str">
        <f>VLOOKUP(F202,vlookup!$A$2:$E$660,3,0)</f>
        <v>Service Contract</v>
      </c>
      <c r="AI202" s="2" t="str">
        <f>VLOOKUP(F202,vlookup!$A$2:$E$660,4,0)</f>
        <v>Used Car Programs</v>
      </c>
      <c r="AJ202" s="2" t="str">
        <f>VLOOKUP(F202,vlookup!$A$2:$E$660,5,0)</f>
        <v>High Mileage</v>
      </c>
      <c r="AK202" s="2"/>
      <c r="AL202" s="2">
        <f t="shared" si="40"/>
        <v>21</v>
      </c>
      <c r="AM202" s="2">
        <f t="shared" si="41"/>
        <v>339</v>
      </c>
      <c r="AN202" s="2">
        <f t="shared" si="42"/>
        <v>9949</v>
      </c>
      <c r="AO202" s="2" t="str">
        <f t="shared" si="43"/>
        <v/>
      </c>
      <c r="AP202" s="2" t="str">
        <f t="shared" si="44"/>
        <v/>
      </c>
      <c r="AQ202" s="2" t="str">
        <f t="shared" si="45"/>
        <v/>
      </c>
      <c r="AR202" s="2">
        <f t="shared" si="46"/>
        <v>-14.52</v>
      </c>
      <c r="AS202" s="2" t="str">
        <f t="shared" si="47"/>
        <v>SDFHJ139894K20-1</v>
      </c>
      <c r="AT202" s="2" t="str">
        <f>IFERROR(IF(VLOOKUP(Y202,vlookup!$I$2:$J$9,1,0)=Y202,VLOOKUP(Y202,vlookup!$I$2:$J$9,2,0),PROPER(Y202)),PROPER(Y202))</f>
        <v>Parts</v>
      </c>
      <c r="AU202" s="2" t="str">
        <f>IFERROR(IF(B202=VLOOKUP(B202,vlookup!$L$2:$L$10,1,0),"Yes","No"),"No")</f>
        <v>No</v>
      </c>
    </row>
    <row r="203" spans="1:47" x14ac:dyDescent="0.25">
      <c r="A203" t="s">
        <v>725</v>
      </c>
      <c r="B203" t="s">
        <v>726</v>
      </c>
      <c r="C203">
        <v>2</v>
      </c>
      <c r="D203">
        <v>1</v>
      </c>
      <c r="E203" t="s">
        <v>382</v>
      </c>
      <c r="F203" t="s">
        <v>346</v>
      </c>
      <c r="G203" t="s">
        <v>610</v>
      </c>
      <c r="H203" s="11" t="s">
        <v>613</v>
      </c>
      <c r="I203">
        <v>74358</v>
      </c>
      <c r="J203" s="22">
        <v>44147</v>
      </c>
      <c r="K203" s="22">
        <v>44168</v>
      </c>
      <c r="L203">
        <v>202011</v>
      </c>
      <c r="M203" s="22">
        <v>44136</v>
      </c>
      <c r="N203">
        <v>77871</v>
      </c>
      <c r="O203" t="s">
        <v>699</v>
      </c>
      <c r="P203" t="s">
        <v>712</v>
      </c>
      <c r="Q203" t="s">
        <v>612</v>
      </c>
      <c r="R203">
        <v>110714</v>
      </c>
      <c r="S203" s="22">
        <v>44608</v>
      </c>
      <c r="T203">
        <v>87608</v>
      </c>
      <c r="U203" t="s">
        <v>356</v>
      </c>
      <c r="V203" s="22">
        <v>44608</v>
      </c>
      <c r="W203" t="s">
        <v>626</v>
      </c>
      <c r="X203" t="s">
        <v>627</v>
      </c>
      <c r="Y203" t="s">
        <v>95</v>
      </c>
      <c r="Z203" t="s">
        <v>358</v>
      </c>
      <c r="AA203">
        <v>-458.29</v>
      </c>
      <c r="AC203" s="2">
        <f t="shared" si="36"/>
        <v>2022</v>
      </c>
      <c r="AD203" s="2">
        <f t="shared" si="37"/>
        <v>2</v>
      </c>
      <c r="AE203" s="2">
        <f t="shared" si="38"/>
        <v>2020</v>
      </c>
      <c r="AF203" s="2">
        <f t="shared" si="39"/>
        <v>11</v>
      </c>
      <c r="AG203" s="2" t="str">
        <f>VLOOKUP(F203,vlookup!$A$2:$E$660,2,0)</f>
        <v>Retained</v>
      </c>
      <c r="AH203" s="2" t="str">
        <f>VLOOKUP(F203,vlookup!$A$2:$E$660,3,0)</f>
        <v>Service Contract</v>
      </c>
      <c r="AI203" s="2" t="str">
        <f>VLOOKUP(F203,vlookup!$A$2:$E$660,4,0)</f>
        <v>Used Car Programs</v>
      </c>
      <c r="AJ203" s="2" t="str">
        <f>VLOOKUP(F203,vlookup!$A$2:$E$660,5,0)</f>
        <v>High Mileage</v>
      </c>
      <c r="AK203" s="2"/>
      <c r="AL203" s="2">
        <f t="shared" si="40"/>
        <v>21</v>
      </c>
      <c r="AM203" s="2">
        <f t="shared" si="41"/>
        <v>454</v>
      </c>
      <c r="AN203" s="2">
        <f t="shared" si="42"/>
        <v>13250</v>
      </c>
      <c r="AO203" s="2" t="str">
        <f t="shared" si="43"/>
        <v/>
      </c>
      <c r="AP203" s="2" t="str">
        <f t="shared" si="44"/>
        <v/>
      </c>
      <c r="AQ203" s="2" t="str">
        <f t="shared" si="45"/>
        <v/>
      </c>
      <c r="AR203" s="2">
        <f t="shared" si="46"/>
        <v>-458.29</v>
      </c>
      <c r="AS203" s="2" t="str">
        <f t="shared" si="47"/>
        <v>SDFHJ139894K20-2</v>
      </c>
      <c r="AT203" s="2" t="str">
        <f>IFERROR(IF(VLOOKUP(Y203,vlookup!$I$2:$J$9,1,0)=Y203,VLOOKUP(Y203,vlookup!$I$2:$J$9,2,0),PROPER(Y203)),PROPER(Y203))</f>
        <v>Parts</v>
      </c>
      <c r="AU203" s="2" t="str">
        <f>IFERROR(IF(B203=VLOOKUP(B203,vlookup!$L$2:$L$10,1,0),"Yes","No"),"No")</f>
        <v>No</v>
      </c>
    </row>
    <row r="204" spans="1:47" x14ac:dyDescent="0.25">
      <c r="A204" t="s">
        <v>727</v>
      </c>
      <c r="B204" t="s">
        <v>728</v>
      </c>
      <c r="C204">
        <v>1</v>
      </c>
      <c r="D204">
        <v>1</v>
      </c>
      <c r="E204" t="s">
        <v>382</v>
      </c>
      <c r="F204" t="s">
        <v>346</v>
      </c>
      <c r="G204" t="s">
        <v>30</v>
      </c>
      <c r="H204" s="11" t="s">
        <v>633</v>
      </c>
      <c r="I204">
        <v>98795</v>
      </c>
      <c r="J204" s="22">
        <v>44313</v>
      </c>
      <c r="K204" s="22">
        <v>44350</v>
      </c>
      <c r="L204">
        <v>202105</v>
      </c>
      <c r="M204" s="22">
        <v>44317</v>
      </c>
      <c r="N204">
        <v>77871</v>
      </c>
      <c r="O204" t="s">
        <v>699</v>
      </c>
      <c r="P204" t="s">
        <v>712</v>
      </c>
      <c r="Q204" t="s">
        <v>612</v>
      </c>
      <c r="R204">
        <v>100719</v>
      </c>
      <c r="S204" s="22">
        <v>44411</v>
      </c>
      <c r="T204">
        <v>103095</v>
      </c>
      <c r="U204" t="s">
        <v>356</v>
      </c>
      <c r="V204" s="22">
        <v>44420</v>
      </c>
      <c r="W204" t="s">
        <v>810</v>
      </c>
      <c r="X204" t="s">
        <v>811</v>
      </c>
      <c r="Y204" t="s">
        <v>95</v>
      </c>
      <c r="Z204" t="s">
        <v>579</v>
      </c>
      <c r="AA204">
        <v>-420.13</v>
      </c>
      <c r="AC204" s="2">
        <f t="shared" si="36"/>
        <v>2021</v>
      </c>
      <c r="AD204" s="2">
        <f t="shared" si="37"/>
        <v>8</v>
      </c>
      <c r="AE204" s="2">
        <f t="shared" si="38"/>
        <v>2021</v>
      </c>
      <c r="AF204" s="2">
        <f t="shared" si="39"/>
        <v>4</v>
      </c>
      <c r="AG204" s="2" t="str">
        <f>VLOOKUP(F204,vlookup!$A$2:$E$660,2,0)</f>
        <v>Retained</v>
      </c>
      <c r="AH204" s="2" t="str">
        <f>VLOOKUP(F204,vlookup!$A$2:$E$660,3,0)</f>
        <v>Service Contract</v>
      </c>
      <c r="AI204" s="2" t="str">
        <f>VLOOKUP(F204,vlookup!$A$2:$E$660,4,0)</f>
        <v>Used Car Programs</v>
      </c>
      <c r="AJ204" s="2" t="str">
        <f>VLOOKUP(F204,vlookup!$A$2:$E$660,5,0)</f>
        <v>High Mileage</v>
      </c>
      <c r="AK204" s="2"/>
      <c r="AL204" s="2">
        <f t="shared" si="40"/>
        <v>36</v>
      </c>
      <c r="AM204" s="2">
        <f t="shared" si="41"/>
        <v>105</v>
      </c>
      <c r="AN204" s="2">
        <f t="shared" si="42"/>
        <v>4300</v>
      </c>
      <c r="AO204" s="2" t="str">
        <f t="shared" si="43"/>
        <v/>
      </c>
      <c r="AP204" s="2" t="str">
        <f t="shared" si="44"/>
        <v/>
      </c>
      <c r="AQ204" s="2" t="str">
        <f t="shared" si="45"/>
        <v/>
      </c>
      <c r="AR204" s="2">
        <f t="shared" si="46"/>
        <v>-420.13</v>
      </c>
      <c r="AS204" s="2" t="str">
        <f t="shared" si="47"/>
        <v>SDFFR144088D21-1</v>
      </c>
      <c r="AT204" s="2" t="str">
        <f>IFERROR(IF(VLOOKUP(Y204,vlookup!$I$2:$J$9,1,0)=Y204,VLOOKUP(Y204,vlookup!$I$2:$J$9,2,0),PROPER(Y204)),PROPER(Y204))</f>
        <v>Parts</v>
      </c>
      <c r="AU204" s="2" t="str">
        <f>IFERROR(IF(B204=VLOOKUP(B204,vlookup!$L$2:$L$10,1,0),"Yes","No"),"No")</f>
        <v>No</v>
      </c>
    </row>
    <row r="205" spans="1:47" x14ac:dyDescent="0.25">
      <c r="A205" t="s">
        <v>727</v>
      </c>
      <c r="B205" t="s">
        <v>728</v>
      </c>
      <c r="C205">
        <v>1</v>
      </c>
      <c r="D205">
        <v>1</v>
      </c>
      <c r="E205" t="s">
        <v>382</v>
      </c>
      <c r="F205" t="s">
        <v>346</v>
      </c>
      <c r="G205" t="s">
        <v>30</v>
      </c>
      <c r="H205" s="11" t="s">
        <v>633</v>
      </c>
      <c r="I205">
        <v>98795</v>
      </c>
      <c r="J205" s="22">
        <v>44313</v>
      </c>
      <c r="K205" s="22">
        <v>44350</v>
      </c>
      <c r="L205">
        <v>202105</v>
      </c>
      <c r="M205" s="22">
        <v>44317</v>
      </c>
      <c r="N205">
        <v>77871</v>
      </c>
      <c r="O205" t="s">
        <v>699</v>
      </c>
      <c r="P205" t="s">
        <v>712</v>
      </c>
      <c r="Q205" t="s">
        <v>612</v>
      </c>
      <c r="R205">
        <v>100719</v>
      </c>
      <c r="S205" s="22">
        <v>44411</v>
      </c>
      <c r="T205">
        <v>103095</v>
      </c>
      <c r="U205" t="s">
        <v>356</v>
      </c>
      <c r="V205" s="22">
        <v>44420</v>
      </c>
      <c r="W205" t="s">
        <v>618</v>
      </c>
      <c r="X205" t="s">
        <v>619</v>
      </c>
      <c r="Y205" t="s">
        <v>95</v>
      </c>
      <c r="Z205" t="s">
        <v>579</v>
      </c>
      <c r="AA205">
        <v>-277.08999999999997</v>
      </c>
      <c r="AC205" s="2">
        <f t="shared" si="36"/>
        <v>2021</v>
      </c>
      <c r="AD205" s="2">
        <f t="shared" si="37"/>
        <v>8</v>
      </c>
      <c r="AE205" s="2">
        <f t="shared" si="38"/>
        <v>2021</v>
      </c>
      <c r="AF205" s="2">
        <f t="shared" si="39"/>
        <v>4</v>
      </c>
      <c r="AG205" s="2" t="str">
        <f>VLOOKUP(F205,vlookup!$A$2:$E$660,2,0)</f>
        <v>Retained</v>
      </c>
      <c r="AH205" s="2" t="str">
        <f>VLOOKUP(F205,vlookup!$A$2:$E$660,3,0)</f>
        <v>Service Contract</v>
      </c>
      <c r="AI205" s="2" t="str">
        <f>VLOOKUP(F205,vlookup!$A$2:$E$660,4,0)</f>
        <v>Used Car Programs</v>
      </c>
      <c r="AJ205" s="2" t="str">
        <f>VLOOKUP(F205,vlookup!$A$2:$E$660,5,0)</f>
        <v>High Mileage</v>
      </c>
      <c r="AK205" s="2"/>
      <c r="AL205" s="2">
        <f t="shared" si="40"/>
        <v>36</v>
      </c>
      <c r="AM205" s="2">
        <f t="shared" si="41"/>
        <v>105</v>
      </c>
      <c r="AN205" s="2">
        <f t="shared" si="42"/>
        <v>4300</v>
      </c>
      <c r="AO205" s="2" t="str">
        <f t="shared" si="43"/>
        <v/>
      </c>
      <c r="AP205" s="2" t="str">
        <f t="shared" si="44"/>
        <v/>
      </c>
      <c r="AQ205" s="2" t="str">
        <f t="shared" si="45"/>
        <v/>
      </c>
      <c r="AR205" s="2">
        <f t="shared" si="46"/>
        <v>-277.08999999999997</v>
      </c>
      <c r="AS205" s="2" t="str">
        <f t="shared" si="47"/>
        <v>SDFFR144088D21-1</v>
      </c>
      <c r="AT205" s="2" t="str">
        <f>IFERROR(IF(VLOOKUP(Y205,vlookup!$I$2:$J$9,1,0)=Y205,VLOOKUP(Y205,vlookup!$I$2:$J$9,2,0),PROPER(Y205)),PROPER(Y205))</f>
        <v>Parts</v>
      </c>
      <c r="AU205" s="2" t="str">
        <f>IFERROR(IF(B205=VLOOKUP(B205,vlookup!$L$2:$L$10,1,0),"Yes","No"),"No")</f>
        <v>No</v>
      </c>
    </row>
    <row r="206" spans="1:47" x14ac:dyDescent="0.25">
      <c r="A206" t="s">
        <v>727</v>
      </c>
      <c r="B206" t="s">
        <v>728</v>
      </c>
      <c r="C206">
        <v>2</v>
      </c>
      <c r="D206">
        <v>1</v>
      </c>
      <c r="E206" t="s">
        <v>382</v>
      </c>
      <c r="F206" t="s">
        <v>346</v>
      </c>
      <c r="G206" t="s">
        <v>30</v>
      </c>
      <c r="H206" s="11" t="s">
        <v>633</v>
      </c>
      <c r="I206">
        <v>98795</v>
      </c>
      <c r="J206" s="22">
        <v>44313</v>
      </c>
      <c r="K206" s="22">
        <v>44350</v>
      </c>
      <c r="L206">
        <v>202105</v>
      </c>
      <c r="M206" s="22">
        <v>44317</v>
      </c>
      <c r="N206">
        <v>77871</v>
      </c>
      <c r="O206" t="s">
        <v>699</v>
      </c>
      <c r="P206" t="s">
        <v>712</v>
      </c>
      <c r="Q206" t="s">
        <v>612</v>
      </c>
      <c r="R206">
        <v>115162</v>
      </c>
      <c r="S206" s="22">
        <v>44698</v>
      </c>
      <c r="T206">
        <v>115155</v>
      </c>
      <c r="U206" t="s">
        <v>356</v>
      </c>
      <c r="V206" s="22">
        <v>44700</v>
      </c>
      <c r="W206" t="s">
        <v>650</v>
      </c>
      <c r="X206" t="s">
        <v>651</v>
      </c>
      <c r="Y206" t="s">
        <v>95</v>
      </c>
      <c r="Z206" t="s">
        <v>579</v>
      </c>
      <c r="AA206">
        <v>-74.599999999999994</v>
      </c>
      <c r="AC206" s="2">
        <f t="shared" si="36"/>
        <v>2022</v>
      </c>
      <c r="AD206" s="2">
        <f t="shared" si="37"/>
        <v>5</v>
      </c>
      <c r="AE206" s="2">
        <f t="shared" si="38"/>
        <v>2021</v>
      </c>
      <c r="AF206" s="2">
        <f t="shared" si="39"/>
        <v>4</v>
      </c>
      <c r="AG206" s="2" t="str">
        <f>VLOOKUP(F206,vlookup!$A$2:$E$660,2,0)</f>
        <v>Retained</v>
      </c>
      <c r="AH206" s="2" t="str">
        <f>VLOOKUP(F206,vlookup!$A$2:$E$660,3,0)</f>
        <v>Service Contract</v>
      </c>
      <c r="AI206" s="2" t="str">
        <f>VLOOKUP(F206,vlookup!$A$2:$E$660,4,0)</f>
        <v>Used Car Programs</v>
      </c>
      <c r="AJ206" s="2" t="str">
        <f>VLOOKUP(F206,vlookup!$A$2:$E$660,5,0)</f>
        <v>High Mileage</v>
      </c>
      <c r="AK206" s="2"/>
      <c r="AL206" s="2">
        <f t="shared" si="40"/>
        <v>36</v>
      </c>
      <c r="AM206" s="2">
        <f t="shared" si="41"/>
        <v>382</v>
      </c>
      <c r="AN206" s="2">
        <f t="shared" si="42"/>
        <v>16360</v>
      </c>
      <c r="AO206" s="2" t="str">
        <f t="shared" si="43"/>
        <v/>
      </c>
      <c r="AP206" s="2" t="str">
        <f t="shared" si="44"/>
        <v/>
      </c>
      <c r="AQ206" s="2" t="str">
        <f t="shared" si="45"/>
        <v/>
      </c>
      <c r="AR206" s="2">
        <f t="shared" si="46"/>
        <v>-74.599999999999994</v>
      </c>
      <c r="AS206" s="2" t="str">
        <f t="shared" si="47"/>
        <v>SDFFR144088D21-2</v>
      </c>
      <c r="AT206" s="2" t="str">
        <f>IFERROR(IF(VLOOKUP(Y206,vlookup!$I$2:$J$9,1,0)=Y206,VLOOKUP(Y206,vlookup!$I$2:$J$9,2,0),PROPER(Y206)),PROPER(Y206))</f>
        <v>Parts</v>
      </c>
      <c r="AU206" s="2" t="str">
        <f>IFERROR(IF(B206=VLOOKUP(B206,vlookup!$L$2:$L$10,1,0),"Yes","No"),"No")</f>
        <v>No</v>
      </c>
    </row>
    <row r="207" spans="1:47" x14ac:dyDescent="0.25">
      <c r="A207" t="s">
        <v>729</v>
      </c>
      <c r="B207" t="s">
        <v>730</v>
      </c>
      <c r="C207">
        <v>1</v>
      </c>
      <c r="D207">
        <v>2</v>
      </c>
      <c r="E207" t="s">
        <v>382</v>
      </c>
      <c r="F207" t="s">
        <v>503</v>
      </c>
      <c r="G207" t="s">
        <v>30</v>
      </c>
      <c r="H207" s="11" t="s">
        <v>731</v>
      </c>
      <c r="I207">
        <v>74246</v>
      </c>
      <c r="J207" s="22">
        <v>44665</v>
      </c>
      <c r="K207" s="22">
        <v>44707</v>
      </c>
      <c r="L207">
        <v>202205</v>
      </c>
      <c r="M207" s="22">
        <v>44682</v>
      </c>
      <c r="N207">
        <v>77871</v>
      </c>
      <c r="O207" t="s">
        <v>699</v>
      </c>
      <c r="P207" t="s">
        <v>712</v>
      </c>
      <c r="Q207" t="s">
        <v>612</v>
      </c>
      <c r="R207">
        <v>120205</v>
      </c>
      <c r="S207" s="22">
        <v>44804</v>
      </c>
      <c r="T207">
        <v>79600</v>
      </c>
      <c r="U207" t="s">
        <v>356</v>
      </c>
      <c r="V207" s="22">
        <v>44812</v>
      </c>
      <c r="W207" t="s">
        <v>367</v>
      </c>
      <c r="X207" t="s">
        <v>368</v>
      </c>
      <c r="Y207" t="s">
        <v>95</v>
      </c>
      <c r="Z207" t="s">
        <v>365</v>
      </c>
      <c r="AA207">
        <v>-27.9</v>
      </c>
      <c r="AC207" s="2">
        <f t="shared" si="36"/>
        <v>2022</v>
      </c>
      <c r="AD207" s="2">
        <f t="shared" si="37"/>
        <v>9</v>
      </c>
      <c r="AE207" s="2">
        <f t="shared" si="38"/>
        <v>2022</v>
      </c>
      <c r="AF207" s="2">
        <f t="shared" si="39"/>
        <v>4</v>
      </c>
      <c r="AG207" s="2" t="str">
        <f>VLOOKUP(F207,vlookup!$A$2:$E$660,2,0)</f>
        <v>Retained</v>
      </c>
      <c r="AH207" s="2" t="str">
        <f>VLOOKUP(F207,vlookup!$A$2:$E$660,3,0)</f>
        <v>Service Contract</v>
      </c>
      <c r="AI207" s="2" t="str">
        <f>VLOOKUP(F207,vlookup!$A$2:$E$660,4,0)</f>
        <v>Used Car Programs</v>
      </c>
      <c r="AJ207" s="2" t="str">
        <f>VLOOKUP(F207,vlookup!$A$2:$E$660,5,0)</f>
        <v>High Mileage</v>
      </c>
      <c r="AK207" s="2"/>
      <c r="AL207" s="2">
        <f t="shared" si="40"/>
        <v>42</v>
      </c>
      <c r="AM207" s="2">
        <f t="shared" si="41"/>
        <v>144</v>
      </c>
      <c r="AN207" s="2">
        <f t="shared" si="42"/>
        <v>5354</v>
      </c>
      <c r="AO207" s="2" t="str">
        <f t="shared" si="43"/>
        <v/>
      </c>
      <c r="AP207" s="2" t="str">
        <f t="shared" si="44"/>
        <v/>
      </c>
      <c r="AQ207" s="2" t="str">
        <f t="shared" si="45"/>
        <v/>
      </c>
      <c r="AR207" s="2">
        <f t="shared" si="46"/>
        <v>-27.9</v>
      </c>
      <c r="AS207" s="2" t="str">
        <f t="shared" si="47"/>
        <v>PTPGR159369D22-1</v>
      </c>
      <c r="AT207" s="2" t="str">
        <f>IFERROR(IF(VLOOKUP(Y207,vlookup!$I$2:$J$9,1,0)=Y207,VLOOKUP(Y207,vlookup!$I$2:$J$9,2,0),PROPER(Y207)),PROPER(Y207))</f>
        <v>Parts</v>
      </c>
      <c r="AU207" s="2" t="str">
        <f>IFERROR(IF(B207=VLOOKUP(B207,vlookup!$L$2:$L$10,1,0),"Yes","No"),"No")</f>
        <v>No</v>
      </c>
    </row>
    <row r="208" spans="1:47" x14ac:dyDescent="0.25">
      <c r="A208" t="s">
        <v>729</v>
      </c>
      <c r="B208" t="s">
        <v>730</v>
      </c>
      <c r="C208">
        <v>1</v>
      </c>
      <c r="D208">
        <v>2</v>
      </c>
      <c r="E208" t="s">
        <v>382</v>
      </c>
      <c r="F208" t="s">
        <v>503</v>
      </c>
      <c r="G208" t="s">
        <v>30</v>
      </c>
      <c r="H208" s="11" t="s">
        <v>731</v>
      </c>
      <c r="I208">
        <v>74246</v>
      </c>
      <c r="J208" s="22">
        <v>44665</v>
      </c>
      <c r="K208" s="22">
        <v>44707</v>
      </c>
      <c r="L208">
        <v>202205</v>
      </c>
      <c r="M208" s="22">
        <v>44682</v>
      </c>
      <c r="N208">
        <v>77871</v>
      </c>
      <c r="O208" t="s">
        <v>699</v>
      </c>
      <c r="P208" t="s">
        <v>712</v>
      </c>
      <c r="Q208" t="s">
        <v>612</v>
      </c>
      <c r="R208">
        <v>120205</v>
      </c>
      <c r="S208" s="22">
        <v>44804</v>
      </c>
      <c r="T208">
        <v>79600</v>
      </c>
      <c r="U208" t="s">
        <v>356</v>
      </c>
      <c r="V208" s="22">
        <v>44812</v>
      </c>
      <c r="W208" t="s">
        <v>876</v>
      </c>
      <c r="X208" t="s">
        <v>877</v>
      </c>
      <c r="Y208" t="s">
        <v>95</v>
      </c>
      <c r="Z208" t="s">
        <v>364</v>
      </c>
      <c r="AA208">
        <v>-68.27</v>
      </c>
      <c r="AC208" s="2">
        <f t="shared" si="36"/>
        <v>2022</v>
      </c>
      <c r="AD208" s="2">
        <f t="shared" si="37"/>
        <v>9</v>
      </c>
      <c r="AE208" s="2">
        <f t="shared" si="38"/>
        <v>2022</v>
      </c>
      <c r="AF208" s="2">
        <f t="shared" si="39"/>
        <v>4</v>
      </c>
      <c r="AG208" s="2" t="str">
        <f>VLOOKUP(F208,vlookup!$A$2:$E$660,2,0)</f>
        <v>Retained</v>
      </c>
      <c r="AH208" s="2" t="str">
        <f>VLOOKUP(F208,vlookup!$A$2:$E$660,3,0)</f>
        <v>Service Contract</v>
      </c>
      <c r="AI208" s="2" t="str">
        <f>VLOOKUP(F208,vlookup!$A$2:$E$660,4,0)</f>
        <v>Used Car Programs</v>
      </c>
      <c r="AJ208" s="2" t="str">
        <f>VLOOKUP(F208,vlookup!$A$2:$E$660,5,0)</f>
        <v>High Mileage</v>
      </c>
      <c r="AK208" s="2"/>
      <c r="AL208" s="2">
        <f t="shared" si="40"/>
        <v>42</v>
      </c>
      <c r="AM208" s="2">
        <f t="shared" si="41"/>
        <v>144</v>
      </c>
      <c r="AN208" s="2">
        <f t="shared" si="42"/>
        <v>5354</v>
      </c>
      <c r="AO208" s="2" t="str">
        <f t="shared" si="43"/>
        <v/>
      </c>
      <c r="AP208" s="2" t="str">
        <f t="shared" si="44"/>
        <v/>
      </c>
      <c r="AQ208" s="2" t="str">
        <f t="shared" si="45"/>
        <v/>
      </c>
      <c r="AR208" s="2">
        <f t="shared" si="46"/>
        <v>-68.27</v>
      </c>
      <c r="AS208" s="2" t="str">
        <f t="shared" si="47"/>
        <v>PTPGR159369D22-1</v>
      </c>
      <c r="AT208" s="2" t="str">
        <f>IFERROR(IF(VLOOKUP(Y208,vlookup!$I$2:$J$9,1,0)=Y208,VLOOKUP(Y208,vlookup!$I$2:$J$9,2,0),PROPER(Y208)),PROPER(Y208))</f>
        <v>Parts</v>
      </c>
      <c r="AU208" s="2" t="str">
        <f>IFERROR(IF(B208=VLOOKUP(B208,vlookup!$L$2:$L$10,1,0),"Yes","No"),"No")</f>
        <v>No</v>
      </c>
    </row>
    <row r="209" spans="1:47" x14ac:dyDescent="0.25">
      <c r="A209" t="s">
        <v>729</v>
      </c>
      <c r="B209" t="s">
        <v>730</v>
      </c>
      <c r="C209">
        <v>1</v>
      </c>
      <c r="D209">
        <v>2</v>
      </c>
      <c r="E209" t="s">
        <v>382</v>
      </c>
      <c r="F209" t="s">
        <v>503</v>
      </c>
      <c r="G209" t="s">
        <v>30</v>
      </c>
      <c r="H209" s="11" t="s">
        <v>731</v>
      </c>
      <c r="I209">
        <v>74246</v>
      </c>
      <c r="J209" s="22">
        <v>44665</v>
      </c>
      <c r="K209" s="22">
        <v>44707</v>
      </c>
      <c r="L209">
        <v>202205</v>
      </c>
      <c r="M209" s="22">
        <v>44682</v>
      </c>
      <c r="N209">
        <v>77871</v>
      </c>
      <c r="O209" t="s">
        <v>699</v>
      </c>
      <c r="P209" t="s">
        <v>712</v>
      </c>
      <c r="Q209" t="s">
        <v>612</v>
      </c>
      <c r="R209">
        <v>120205</v>
      </c>
      <c r="S209" s="22">
        <v>44804</v>
      </c>
      <c r="T209">
        <v>79600</v>
      </c>
      <c r="U209" t="s">
        <v>356</v>
      </c>
      <c r="V209" s="22">
        <v>44812</v>
      </c>
      <c r="W209" t="s">
        <v>677</v>
      </c>
      <c r="X209" t="s">
        <v>678</v>
      </c>
      <c r="Y209" t="s">
        <v>95</v>
      </c>
      <c r="Z209" t="s">
        <v>364</v>
      </c>
      <c r="AA209">
        <v>-19.52</v>
      </c>
      <c r="AC209" s="2">
        <f t="shared" si="36"/>
        <v>2022</v>
      </c>
      <c r="AD209" s="2">
        <f t="shared" si="37"/>
        <v>9</v>
      </c>
      <c r="AE209" s="2">
        <f t="shared" si="38"/>
        <v>2022</v>
      </c>
      <c r="AF209" s="2">
        <f t="shared" si="39"/>
        <v>4</v>
      </c>
      <c r="AG209" s="2" t="str">
        <f>VLOOKUP(F209,vlookup!$A$2:$E$660,2,0)</f>
        <v>Retained</v>
      </c>
      <c r="AH209" s="2" t="str">
        <f>VLOOKUP(F209,vlookup!$A$2:$E$660,3,0)</f>
        <v>Service Contract</v>
      </c>
      <c r="AI209" s="2" t="str">
        <f>VLOOKUP(F209,vlookup!$A$2:$E$660,4,0)</f>
        <v>Used Car Programs</v>
      </c>
      <c r="AJ209" s="2" t="str">
        <f>VLOOKUP(F209,vlookup!$A$2:$E$660,5,0)</f>
        <v>High Mileage</v>
      </c>
      <c r="AK209" s="2"/>
      <c r="AL209" s="2">
        <f t="shared" si="40"/>
        <v>42</v>
      </c>
      <c r="AM209" s="2">
        <f t="shared" si="41"/>
        <v>144</v>
      </c>
      <c r="AN209" s="2">
        <f t="shared" si="42"/>
        <v>5354</v>
      </c>
      <c r="AO209" s="2" t="str">
        <f t="shared" si="43"/>
        <v/>
      </c>
      <c r="AP209" s="2" t="str">
        <f t="shared" si="44"/>
        <v/>
      </c>
      <c r="AQ209" s="2" t="str">
        <f t="shared" si="45"/>
        <v/>
      </c>
      <c r="AR209" s="2">
        <f t="shared" si="46"/>
        <v>-19.52</v>
      </c>
      <c r="AS209" s="2" t="str">
        <f t="shared" si="47"/>
        <v>PTPGR159369D22-1</v>
      </c>
      <c r="AT209" s="2" t="str">
        <f>IFERROR(IF(VLOOKUP(Y209,vlookup!$I$2:$J$9,1,0)=Y209,VLOOKUP(Y209,vlookup!$I$2:$J$9,2,0),PROPER(Y209)),PROPER(Y209))</f>
        <v>Parts</v>
      </c>
      <c r="AU209" s="2" t="str">
        <f>IFERROR(IF(B209=VLOOKUP(B209,vlookup!$L$2:$L$10,1,0),"Yes","No"),"No")</f>
        <v>No</v>
      </c>
    </row>
    <row r="210" spans="1:47" x14ac:dyDescent="0.25">
      <c r="A210" t="s">
        <v>729</v>
      </c>
      <c r="B210" t="s">
        <v>730</v>
      </c>
      <c r="C210">
        <v>1</v>
      </c>
      <c r="D210">
        <v>2</v>
      </c>
      <c r="E210" t="s">
        <v>382</v>
      </c>
      <c r="F210" t="s">
        <v>503</v>
      </c>
      <c r="G210" t="s">
        <v>30</v>
      </c>
      <c r="H210" s="11" t="s">
        <v>731</v>
      </c>
      <c r="I210">
        <v>74246</v>
      </c>
      <c r="J210" s="22">
        <v>44665</v>
      </c>
      <c r="K210" s="22">
        <v>44707</v>
      </c>
      <c r="L210">
        <v>202205</v>
      </c>
      <c r="M210" s="22">
        <v>44682</v>
      </c>
      <c r="N210">
        <v>77871</v>
      </c>
      <c r="O210" t="s">
        <v>699</v>
      </c>
      <c r="P210" t="s">
        <v>712</v>
      </c>
      <c r="Q210" t="s">
        <v>612</v>
      </c>
      <c r="R210">
        <v>120205</v>
      </c>
      <c r="S210" s="22">
        <v>44804</v>
      </c>
      <c r="T210">
        <v>79600</v>
      </c>
      <c r="U210" t="s">
        <v>356</v>
      </c>
      <c r="V210" s="22">
        <v>44812</v>
      </c>
      <c r="W210" t="s">
        <v>616</v>
      </c>
      <c r="X210" t="s">
        <v>617</v>
      </c>
      <c r="Y210" t="s">
        <v>95</v>
      </c>
      <c r="Z210" t="s">
        <v>364</v>
      </c>
      <c r="AA210">
        <v>-28.24</v>
      </c>
      <c r="AC210" s="2">
        <f t="shared" si="36"/>
        <v>2022</v>
      </c>
      <c r="AD210" s="2">
        <f t="shared" si="37"/>
        <v>9</v>
      </c>
      <c r="AE210" s="2">
        <f t="shared" si="38"/>
        <v>2022</v>
      </c>
      <c r="AF210" s="2">
        <f t="shared" si="39"/>
        <v>4</v>
      </c>
      <c r="AG210" s="2" t="str">
        <f>VLOOKUP(F210,vlookup!$A$2:$E$660,2,0)</f>
        <v>Retained</v>
      </c>
      <c r="AH210" s="2" t="str">
        <f>VLOOKUP(F210,vlookup!$A$2:$E$660,3,0)</f>
        <v>Service Contract</v>
      </c>
      <c r="AI210" s="2" t="str">
        <f>VLOOKUP(F210,vlookup!$A$2:$E$660,4,0)</f>
        <v>Used Car Programs</v>
      </c>
      <c r="AJ210" s="2" t="str">
        <f>VLOOKUP(F210,vlookup!$A$2:$E$660,5,0)</f>
        <v>High Mileage</v>
      </c>
      <c r="AK210" s="2"/>
      <c r="AL210" s="2">
        <f t="shared" si="40"/>
        <v>42</v>
      </c>
      <c r="AM210" s="2">
        <f t="shared" si="41"/>
        <v>144</v>
      </c>
      <c r="AN210" s="2">
        <f t="shared" si="42"/>
        <v>5354</v>
      </c>
      <c r="AO210" s="2" t="str">
        <f t="shared" si="43"/>
        <v/>
      </c>
      <c r="AP210" s="2" t="str">
        <f t="shared" si="44"/>
        <v/>
      </c>
      <c r="AQ210" s="2" t="str">
        <f t="shared" si="45"/>
        <v/>
      </c>
      <c r="AR210" s="2">
        <f t="shared" si="46"/>
        <v>-28.24</v>
      </c>
      <c r="AS210" s="2" t="str">
        <f t="shared" si="47"/>
        <v>PTPGR159369D22-1</v>
      </c>
      <c r="AT210" s="2" t="str">
        <f>IFERROR(IF(VLOOKUP(Y210,vlookup!$I$2:$J$9,1,0)=Y210,VLOOKUP(Y210,vlookup!$I$2:$J$9,2,0),PROPER(Y210)),PROPER(Y210))</f>
        <v>Parts</v>
      </c>
      <c r="AU210" s="2" t="str">
        <f>IFERROR(IF(B210=VLOOKUP(B210,vlookup!$L$2:$L$10,1,0),"Yes","No"),"No")</f>
        <v>No</v>
      </c>
    </row>
    <row r="211" spans="1:47" x14ac:dyDescent="0.25">
      <c r="A211" t="s">
        <v>729</v>
      </c>
      <c r="B211" t="s">
        <v>730</v>
      </c>
      <c r="C211">
        <v>1</v>
      </c>
      <c r="D211">
        <v>2</v>
      </c>
      <c r="E211" t="s">
        <v>382</v>
      </c>
      <c r="F211" t="s">
        <v>503</v>
      </c>
      <c r="G211" t="s">
        <v>30</v>
      </c>
      <c r="H211" s="11" t="s">
        <v>731</v>
      </c>
      <c r="I211">
        <v>74246</v>
      </c>
      <c r="J211" s="22">
        <v>44665</v>
      </c>
      <c r="K211" s="22">
        <v>44707</v>
      </c>
      <c r="L211">
        <v>202205</v>
      </c>
      <c r="M211" s="22">
        <v>44682</v>
      </c>
      <c r="N211">
        <v>77871</v>
      </c>
      <c r="O211" t="s">
        <v>699</v>
      </c>
      <c r="P211" t="s">
        <v>712</v>
      </c>
      <c r="Q211" t="s">
        <v>612</v>
      </c>
      <c r="R211">
        <v>120205</v>
      </c>
      <c r="S211" s="22">
        <v>44804</v>
      </c>
      <c r="T211">
        <v>79600</v>
      </c>
      <c r="U211" t="s">
        <v>356</v>
      </c>
      <c r="V211" s="22">
        <v>44812</v>
      </c>
      <c r="W211" t="s">
        <v>600</v>
      </c>
      <c r="X211" t="s">
        <v>601</v>
      </c>
      <c r="Y211" t="s">
        <v>95</v>
      </c>
      <c r="Z211" t="s">
        <v>364</v>
      </c>
      <c r="AA211">
        <v>-233.68</v>
      </c>
      <c r="AC211" s="2">
        <f t="shared" si="36"/>
        <v>2022</v>
      </c>
      <c r="AD211" s="2">
        <f t="shared" si="37"/>
        <v>9</v>
      </c>
      <c r="AE211" s="2">
        <f t="shared" si="38"/>
        <v>2022</v>
      </c>
      <c r="AF211" s="2">
        <f t="shared" si="39"/>
        <v>4</v>
      </c>
      <c r="AG211" s="2" t="str">
        <f>VLOOKUP(F211,vlookup!$A$2:$E$660,2,0)</f>
        <v>Retained</v>
      </c>
      <c r="AH211" s="2" t="str">
        <f>VLOOKUP(F211,vlookup!$A$2:$E$660,3,0)</f>
        <v>Service Contract</v>
      </c>
      <c r="AI211" s="2" t="str">
        <f>VLOOKUP(F211,vlookup!$A$2:$E$660,4,0)</f>
        <v>Used Car Programs</v>
      </c>
      <c r="AJ211" s="2" t="str">
        <f>VLOOKUP(F211,vlookup!$A$2:$E$660,5,0)</f>
        <v>High Mileage</v>
      </c>
      <c r="AK211" s="2"/>
      <c r="AL211" s="2">
        <f t="shared" si="40"/>
        <v>42</v>
      </c>
      <c r="AM211" s="2">
        <f t="shared" si="41"/>
        <v>144</v>
      </c>
      <c r="AN211" s="2">
        <f t="shared" si="42"/>
        <v>5354</v>
      </c>
      <c r="AO211" s="2" t="str">
        <f t="shared" si="43"/>
        <v/>
      </c>
      <c r="AP211" s="2" t="str">
        <f t="shared" si="44"/>
        <v/>
      </c>
      <c r="AQ211" s="2" t="str">
        <f t="shared" si="45"/>
        <v/>
      </c>
      <c r="AR211" s="2">
        <f t="shared" si="46"/>
        <v>-233.68</v>
      </c>
      <c r="AS211" s="2" t="str">
        <f t="shared" si="47"/>
        <v>PTPGR159369D22-1</v>
      </c>
      <c r="AT211" s="2" t="str">
        <f>IFERROR(IF(VLOOKUP(Y211,vlookup!$I$2:$J$9,1,0)=Y211,VLOOKUP(Y211,vlookup!$I$2:$J$9,2,0),PROPER(Y211)),PROPER(Y211))</f>
        <v>Parts</v>
      </c>
      <c r="AU211" s="2" t="str">
        <f>IFERROR(IF(B211=VLOOKUP(B211,vlookup!$L$2:$L$10,1,0),"Yes","No"),"No")</f>
        <v>No</v>
      </c>
    </row>
    <row r="212" spans="1:47" x14ac:dyDescent="0.25">
      <c r="A212" t="s">
        <v>729</v>
      </c>
      <c r="B212" t="s">
        <v>730</v>
      </c>
      <c r="C212">
        <v>1</v>
      </c>
      <c r="D212">
        <v>2</v>
      </c>
      <c r="E212" t="s">
        <v>382</v>
      </c>
      <c r="F212" t="s">
        <v>503</v>
      </c>
      <c r="G212" t="s">
        <v>30</v>
      </c>
      <c r="H212" s="11" t="s">
        <v>731</v>
      </c>
      <c r="I212">
        <v>74246</v>
      </c>
      <c r="J212" s="22">
        <v>44665</v>
      </c>
      <c r="K212" s="22">
        <v>44707</v>
      </c>
      <c r="L212">
        <v>202205</v>
      </c>
      <c r="M212" s="22">
        <v>44682</v>
      </c>
      <c r="N212">
        <v>77871</v>
      </c>
      <c r="O212" t="s">
        <v>699</v>
      </c>
      <c r="P212" t="s">
        <v>712</v>
      </c>
      <c r="Q212" t="s">
        <v>612</v>
      </c>
      <c r="R212">
        <v>120205</v>
      </c>
      <c r="S212" s="22">
        <v>44804</v>
      </c>
      <c r="T212">
        <v>79600</v>
      </c>
      <c r="U212" t="s">
        <v>356</v>
      </c>
      <c r="V212" s="22">
        <v>44812</v>
      </c>
      <c r="W212" t="s">
        <v>878</v>
      </c>
      <c r="X212" t="s">
        <v>879</v>
      </c>
      <c r="Y212" t="s">
        <v>95</v>
      </c>
      <c r="Z212" t="s">
        <v>364</v>
      </c>
      <c r="AA212">
        <v>-324.64</v>
      </c>
      <c r="AC212" s="2">
        <f t="shared" si="36"/>
        <v>2022</v>
      </c>
      <c r="AD212" s="2">
        <f t="shared" si="37"/>
        <v>9</v>
      </c>
      <c r="AE212" s="2">
        <f t="shared" si="38"/>
        <v>2022</v>
      </c>
      <c r="AF212" s="2">
        <f t="shared" si="39"/>
        <v>4</v>
      </c>
      <c r="AG212" s="2" t="str">
        <f>VLOOKUP(F212,vlookup!$A$2:$E$660,2,0)</f>
        <v>Retained</v>
      </c>
      <c r="AH212" s="2" t="str">
        <f>VLOOKUP(F212,vlookup!$A$2:$E$660,3,0)</f>
        <v>Service Contract</v>
      </c>
      <c r="AI212" s="2" t="str">
        <f>VLOOKUP(F212,vlookup!$A$2:$E$660,4,0)</f>
        <v>Used Car Programs</v>
      </c>
      <c r="AJ212" s="2" t="str">
        <f>VLOOKUP(F212,vlookup!$A$2:$E$660,5,0)</f>
        <v>High Mileage</v>
      </c>
      <c r="AK212" s="2"/>
      <c r="AL212" s="2">
        <f t="shared" si="40"/>
        <v>42</v>
      </c>
      <c r="AM212" s="2">
        <f t="shared" si="41"/>
        <v>144</v>
      </c>
      <c r="AN212" s="2">
        <f t="shared" si="42"/>
        <v>5354</v>
      </c>
      <c r="AO212" s="2" t="str">
        <f t="shared" si="43"/>
        <v/>
      </c>
      <c r="AP212" s="2" t="str">
        <f t="shared" si="44"/>
        <v/>
      </c>
      <c r="AQ212" s="2" t="str">
        <f t="shared" si="45"/>
        <v/>
      </c>
      <c r="AR212" s="2">
        <f t="shared" si="46"/>
        <v>-324.64</v>
      </c>
      <c r="AS212" s="2" t="str">
        <f t="shared" si="47"/>
        <v>PTPGR159369D22-1</v>
      </c>
      <c r="AT212" s="2" t="str">
        <f>IFERROR(IF(VLOOKUP(Y212,vlookup!$I$2:$J$9,1,0)=Y212,VLOOKUP(Y212,vlookup!$I$2:$J$9,2,0),PROPER(Y212)),PROPER(Y212))</f>
        <v>Parts</v>
      </c>
      <c r="AU212" s="2" t="str">
        <f>IFERROR(IF(B212=VLOOKUP(B212,vlookup!$L$2:$L$10,1,0),"Yes","No"),"No")</f>
        <v>No</v>
      </c>
    </row>
    <row r="213" spans="1:47" x14ac:dyDescent="0.25">
      <c r="A213" t="s">
        <v>729</v>
      </c>
      <c r="B213" t="s">
        <v>730</v>
      </c>
      <c r="C213">
        <v>1</v>
      </c>
      <c r="D213">
        <v>2</v>
      </c>
      <c r="E213" t="s">
        <v>382</v>
      </c>
      <c r="F213" t="s">
        <v>503</v>
      </c>
      <c r="G213" t="s">
        <v>30</v>
      </c>
      <c r="H213" s="11" t="s">
        <v>731</v>
      </c>
      <c r="I213">
        <v>74246</v>
      </c>
      <c r="J213" s="22">
        <v>44665</v>
      </c>
      <c r="K213" s="22">
        <v>44707</v>
      </c>
      <c r="L213">
        <v>202205</v>
      </c>
      <c r="M213" s="22">
        <v>44682</v>
      </c>
      <c r="N213">
        <v>77871</v>
      </c>
      <c r="O213" t="s">
        <v>699</v>
      </c>
      <c r="P213" t="s">
        <v>712</v>
      </c>
      <c r="Q213" t="s">
        <v>612</v>
      </c>
      <c r="R213">
        <v>120205</v>
      </c>
      <c r="S213" s="22">
        <v>44804</v>
      </c>
      <c r="T213">
        <v>79600</v>
      </c>
      <c r="U213" t="s">
        <v>356</v>
      </c>
      <c r="V213" s="22">
        <v>44812</v>
      </c>
      <c r="W213" t="s">
        <v>588</v>
      </c>
      <c r="X213" t="s">
        <v>589</v>
      </c>
      <c r="Y213" t="s">
        <v>95</v>
      </c>
      <c r="Z213" t="s">
        <v>364</v>
      </c>
      <c r="AA213">
        <v>-11.38</v>
      </c>
      <c r="AC213" s="2">
        <f t="shared" si="36"/>
        <v>2022</v>
      </c>
      <c r="AD213" s="2">
        <f t="shared" si="37"/>
        <v>9</v>
      </c>
      <c r="AE213" s="2">
        <f t="shared" si="38"/>
        <v>2022</v>
      </c>
      <c r="AF213" s="2">
        <f t="shared" si="39"/>
        <v>4</v>
      </c>
      <c r="AG213" s="2" t="str">
        <f>VLOOKUP(F213,vlookup!$A$2:$E$660,2,0)</f>
        <v>Retained</v>
      </c>
      <c r="AH213" s="2" t="str">
        <f>VLOOKUP(F213,vlookup!$A$2:$E$660,3,0)</f>
        <v>Service Contract</v>
      </c>
      <c r="AI213" s="2" t="str">
        <f>VLOOKUP(F213,vlookup!$A$2:$E$660,4,0)</f>
        <v>Used Car Programs</v>
      </c>
      <c r="AJ213" s="2" t="str">
        <f>VLOOKUP(F213,vlookup!$A$2:$E$660,5,0)</f>
        <v>High Mileage</v>
      </c>
      <c r="AK213" s="2"/>
      <c r="AL213" s="2">
        <f t="shared" si="40"/>
        <v>42</v>
      </c>
      <c r="AM213" s="2">
        <f t="shared" si="41"/>
        <v>144</v>
      </c>
      <c r="AN213" s="2">
        <f t="shared" si="42"/>
        <v>5354</v>
      </c>
      <c r="AO213" s="2" t="str">
        <f t="shared" si="43"/>
        <v/>
      </c>
      <c r="AP213" s="2" t="str">
        <f t="shared" si="44"/>
        <v/>
      </c>
      <c r="AQ213" s="2" t="str">
        <f t="shared" si="45"/>
        <v/>
      </c>
      <c r="AR213" s="2">
        <f t="shared" si="46"/>
        <v>-11.38</v>
      </c>
      <c r="AS213" s="2" t="str">
        <f t="shared" si="47"/>
        <v>PTPGR159369D22-1</v>
      </c>
      <c r="AT213" s="2" t="str">
        <f>IFERROR(IF(VLOOKUP(Y213,vlookup!$I$2:$J$9,1,0)=Y213,VLOOKUP(Y213,vlookup!$I$2:$J$9,2,0),PROPER(Y213)),PROPER(Y213))</f>
        <v>Parts</v>
      </c>
      <c r="AU213" s="2" t="str">
        <f>IFERROR(IF(B213=VLOOKUP(B213,vlookup!$L$2:$L$10,1,0),"Yes","No"),"No")</f>
        <v>No</v>
      </c>
    </row>
    <row r="214" spans="1:47" x14ac:dyDescent="0.25">
      <c r="A214" t="s">
        <v>729</v>
      </c>
      <c r="B214" t="s">
        <v>730</v>
      </c>
      <c r="C214">
        <v>1</v>
      </c>
      <c r="D214">
        <v>2</v>
      </c>
      <c r="E214" t="s">
        <v>382</v>
      </c>
      <c r="F214" t="s">
        <v>503</v>
      </c>
      <c r="G214" t="s">
        <v>30</v>
      </c>
      <c r="H214" s="11" t="s">
        <v>731</v>
      </c>
      <c r="I214">
        <v>74246</v>
      </c>
      <c r="J214" s="22">
        <v>44665</v>
      </c>
      <c r="K214" s="22">
        <v>44707</v>
      </c>
      <c r="L214">
        <v>202205</v>
      </c>
      <c r="M214" s="22">
        <v>44682</v>
      </c>
      <c r="N214">
        <v>77871</v>
      </c>
      <c r="O214" t="s">
        <v>699</v>
      </c>
      <c r="P214" t="s">
        <v>712</v>
      </c>
      <c r="Q214" t="s">
        <v>612</v>
      </c>
      <c r="R214">
        <v>120205</v>
      </c>
      <c r="S214" s="22">
        <v>44804</v>
      </c>
      <c r="T214">
        <v>79600</v>
      </c>
      <c r="U214" t="s">
        <v>356</v>
      </c>
      <c r="V214" s="22">
        <v>44812</v>
      </c>
      <c r="W214" t="s">
        <v>642</v>
      </c>
      <c r="X214" t="s">
        <v>643</v>
      </c>
      <c r="Y214" t="s">
        <v>95</v>
      </c>
      <c r="Z214" t="s">
        <v>364</v>
      </c>
      <c r="AA214">
        <v>-604.08000000000004</v>
      </c>
      <c r="AC214" s="2">
        <f t="shared" si="36"/>
        <v>2022</v>
      </c>
      <c r="AD214" s="2">
        <f t="shared" si="37"/>
        <v>9</v>
      </c>
      <c r="AE214" s="2">
        <f t="shared" si="38"/>
        <v>2022</v>
      </c>
      <c r="AF214" s="2">
        <f t="shared" si="39"/>
        <v>4</v>
      </c>
      <c r="AG214" s="2" t="str">
        <f>VLOOKUP(F214,vlookup!$A$2:$E$660,2,0)</f>
        <v>Retained</v>
      </c>
      <c r="AH214" s="2" t="str">
        <f>VLOOKUP(F214,vlookup!$A$2:$E$660,3,0)</f>
        <v>Service Contract</v>
      </c>
      <c r="AI214" s="2" t="str">
        <f>VLOOKUP(F214,vlookup!$A$2:$E$660,4,0)</f>
        <v>Used Car Programs</v>
      </c>
      <c r="AJ214" s="2" t="str">
        <f>VLOOKUP(F214,vlookup!$A$2:$E$660,5,0)</f>
        <v>High Mileage</v>
      </c>
      <c r="AK214" s="2"/>
      <c r="AL214" s="2">
        <f t="shared" si="40"/>
        <v>42</v>
      </c>
      <c r="AM214" s="2">
        <f t="shared" si="41"/>
        <v>144</v>
      </c>
      <c r="AN214" s="2">
        <f t="shared" si="42"/>
        <v>5354</v>
      </c>
      <c r="AO214" s="2" t="str">
        <f t="shared" si="43"/>
        <v/>
      </c>
      <c r="AP214" s="2" t="str">
        <f t="shared" si="44"/>
        <v/>
      </c>
      <c r="AQ214" s="2" t="str">
        <f t="shared" si="45"/>
        <v/>
      </c>
      <c r="AR214" s="2">
        <f t="shared" si="46"/>
        <v>-604.08000000000004</v>
      </c>
      <c r="AS214" s="2" t="str">
        <f t="shared" si="47"/>
        <v>PTPGR159369D22-1</v>
      </c>
      <c r="AT214" s="2" t="str">
        <f>IFERROR(IF(VLOOKUP(Y214,vlookup!$I$2:$J$9,1,0)=Y214,VLOOKUP(Y214,vlookup!$I$2:$J$9,2,0),PROPER(Y214)),PROPER(Y214))</f>
        <v>Parts</v>
      </c>
      <c r="AU214" s="2" t="str">
        <f>IFERROR(IF(B214=VLOOKUP(B214,vlookup!$L$2:$L$10,1,0),"Yes","No"),"No")</f>
        <v>No</v>
      </c>
    </row>
    <row r="215" spans="1:47" x14ac:dyDescent="0.25">
      <c r="A215" t="s">
        <v>729</v>
      </c>
      <c r="B215" t="s">
        <v>730</v>
      </c>
      <c r="C215">
        <v>1</v>
      </c>
      <c r="D215">
        <v>2</v>
      </c>
      <c r="E215" t="s">
        <v>382</v>
      </c>
      <c r="F215" t="s">
        <v>503</v>
      </c>
      <c r="G215" t="s">
        <v>30</v>
      </c>
      <c r="H215" s="11" t="s">
        <v>731</v>
      </c>
      <c r="I215">
        <v>74246</v>
      </c>
      <c r="J215" s="22">
        <v>44665</v>
      </c>
      <c r="K215" s="22">
        <v>44707</v>
      </c>
      <c r="L215">
        <v>202205</v>
      </c>
      <c r="M215" s="22">
        <v>44682</v>
      </c>
      <c r="N215">
        <v>77871</v>
      </c>
      <c r="O215" t="s">
        <v>699</v>
      </c>
      <c r="P215" t="s">
        <v>712</v>
      </c>
      <c r="Q215" t="s">
        <v>612</v>
      </c>
      <c r="R215">
        <v>120205</v>
      </c>
      <c r="S215" s="22">
        <v>44804</v>
      </c>
      <c r="T215">
        <v>79600</v>
      </c>
      <c r="U215" t="s">
        <v>356</v>
      </c>
      <c r="V215" s="22">
        <v>44812</v>
      </c>
      <c r="W215" t="s">
        <v>880</v>
      </c>
      <c r="X215" t="s">
        <v>881</v>
      </c>
      <c r="Y215" t="s">
        <v>95</v>
      </c>
      <c r="Z215" t="s">
        <v>364</v>
      </c>
      <c r="AA215">
        <v>-68.27</v>
      </c>
      <c r="AC215" s="2">
        <f t="shared" si="36"/>
        <v>2022</v>
      </c>
      <c r="AD215" s="2">
        <f t="shared" si="37"/>
        <v>9</v>
      </c>
      <c r="AE215" s="2">
        <f t="shared" si="38"/>
        <v>2022</v>
      </c>
      <c r="AF215" s="2">
        <f t="shared" si="39"/>
        <v>4</v>
      </c>
      <c r="AG215" s="2" t="str">
        <f>VLOOKUP(F215,vlookup!$A$2:$E$660,2,0)</f>
        <v>Retained</v>
      </c>
      <c r="AH215" s="2" t="str">
        <f>VLOOKUP(F215,vlookup!$A$2:$E$660,3,0)</f>
        <v>Service Contract</v>
      </c>
      <c r="AI215" s="2" t="str">
        <f>VLOOKUP(F215,vlookup!$A$2:$E$660,4,0)</f>
        <v>Used Car Programs</v>
      </c>
      <c r="AJ215" s="2" t="str">
        <f>VLOOKUP(F215,vlookup!$A$2:$E$660,5,0)</f>
        <v>High Mileage</v>
      </c>
      <c r="AK215" s="2"/>
      <c r="AL215" s="2">
        <f t="shared" si="40"/>
        <v>42</v>
      </c>
      <c r="AM215" s="2">
        <f t="shared" si="41"/>
        <v>144</v>
      </c>
      <c r="AN215" s="2">
        <f t="shared" si="42"/>
        <v>5354</v>
      </c>
      <c r="AO215" s="2" t="str">
        <f t="shared" si="43"/>
        <v/>
      </c>
      <c r="AP215" s="2" t="str">
        <f t="shared" si="44"/>
        <v/>
      </c>
      <c r="AQ215" s="2" t="str">
        <f t="shared" si="45"/>
        <v/>
      </c>
      <c r="AR215" s="2">
        <f t="shared" si="46"/>
        <v>-68.27</v>
      </c>
      <c r="AS215" s="2" t="str">
        <f t="shared" si="47"/>
        <v>PTPGR159369D22-1</v>
      </c>
      <c r="AT215" s="2" t="str">
        <f>IFERROR(IF(VLOOKUP(Y215,vlookup!$I$2:$J$9,1,0)=Y215,VLOOKUP(Y215,vlookup!$I$2:$J$9,2,0),PROPER(Y215)),PROPER(Y215))</f>
        <v>Parts</v>
      </c>
      <c r="AU215" s="2" t="str">
        <f>IFERROR(IF(B215=VLOOKUP(B215,vlookup!$L$2:$L$10,1,0),"Yes","No"),"No")</f>
        <v>No</v>
      </c>
    </row>
    <row r="216" spans="1:47" x14ac:dyDescent="0.25">
      <c r="A216" t="s">
        <v>729</v>
      </c>
      <c r="B216" t="s">
        <v>730</v>
      </c>
      <c r="C216">
        <v>1</v>
      </c>
      <c r="D216">
        <v>2</v>
      </c>
      <c r="E216" t="s">
        <v>382</v>
      </c>
      <c r="F216" t="s">
        <v>503</v>
      </c>
      <c r="G216" t="s">
        <v>30</v>
      </c>
      <c r="H216" s="11" t="s">
        <v>731</v>
      </c>
      <c r="I216">
        <v>74246</v>
      </c>
      <c r="J216" s="22">
        <v>44665</v>
      </c>
      <c r="K216" s="22">
        <v>44707</v>
      </c>
      <c r="L216">
        <v>202205</v>
      </c>
      <c r="M216" s="22">
        <v>44682</v>
      </c>
      <c r="N216">
        <v>77871</v>
      </c>
      <c r="O216" t="s">
        <v>699</v>
      </c>
      <c r="P216" t="s">
        <v>712</v>
      </c>
      <c r="Q216" t="s">
        <v>612</v>
      </c>
      <c r="R216">
        <v>120205</v>
      </c>
      <c r="S216" s="22">
        <v>44804</v>
      </c>
      <c r="T216">
        <v>79600</v>
      </c>
      <c r="U216" t="s">
        <v>356</v>
      </c>
      <c r="V216" s="22">
        <v>44812</v>
      </c>
      <c r="W216" t="s">
        <v>673</v>
      </c>
      <c r="X216" t="s">
        <v>674</v>
      </c>
      <c r="Y216" t="s">
        <v>95</v>
      </c>
      <c r="Z216" t="s">
        <v>364</v>
      </c>
      <c r="AA216">
        <v>-699.35</v>
      </c>
      <c r="AC216" s="2">
        <f t="shared" si="36"/>
        <v>2022</v>
      </c>
      <c r="AD216" s="2">
        <f t="shared" si="37"/>
        <v>9</v>
      </c>
      <c r="AE216" s="2">
        <f t="shared" si="38"/>
        <v>2022</v>
      </c>
      <c r="AF216" s="2">
        <f t="shared" si="39"/>
        <v>4</v>
      </c>
      <c r="AG216" s="2" t="str">
        <f>VLOOKUP(F216,vlookup!$A$2:$E$660,2,0)</f>
        <v>Retained</v>
      </c>
      <c r="AH216" s="2" t="str">
        <f>VLOOKUP(F216,vlookup!$A$2:$E$660,3,0)</f>
        <v>Service Contract</v>
      </c>
      <c r="AI216" s="2" t="str">
        <f>VLOOKUP(F216,vlookup!$A$2:$E$660,4,0)</f>
        <v>Used Car Programs</v>
      </c>
      <c r="AJ216" s="2" t="str">
        <f>VLOOKUP(F216,vlookup!$A$2:$E$660,5,0)</f>
        <v>High Mileage</v>
      </c>
      <c r="AK216" s="2"/>
      <c r="AL216" s="2">
        <f t="shared" si="40"/>
        <v>42</v>
      </c>
      <c r="AM216" s="2">
        <f t="shared" si="41"/>
        <v>144</v>
      </c>
      <c r="AN216" s="2">
        <f t="shared" si="42"/>
        <v>5354</v>
      </c>
      <c r="AO216" s="2" t="str">
        <f t="shared" si="43"/>
        <v/>
      </c>
      <c r="AP216" s="2" t="str">
        <f t="shared" si="44"/>
        <v/>
      </c>
      <c r="AQ216" s="2" t="str">
        <f t="shared" si="45"/>
        <v/>
      </c>
      <c r="AR216" s="2">
        <f t="shared" si="46"/>
        <v>-699.35</v>
      </c>
      <c r="AS216" s="2" t="str">
        <f t="shared" si="47"/>
        <v>PTPGR159369D22-1</v>
      </c>
      <c r="AT216" s="2" t="str">
        <f>IFERROR(IF(VLOOKUP(Y216,vlookup!$I$2:$J$9,1,0)=Y216,VLOOKUP(Y216,vlookup!$I$2:$J$9,2,0),PROPER(Y216)),PROPER(Y216))</f>
        <v>Parts</v>
      </c>
      <c r="AU216" s="2" t="str">
        <f>IFERROR(IF(B216=VLOOKUP(B216,vlookup!$L$2:$L$10,1,0),"Yes","No"),"No")</f>
        <v>No</v>
      </c>
    </row>
    <row r="217" spans="1:47" x14ac:dyDescent="0.25">
      <c r="A217" t="s">
        <v>729</v>
      </c>
      <c r="B217" t="s">
        <v>730</v>
      </c>
      <c r="C217">
        <v>1</v>
      </c>
      <c r="D217">
        <v>2</v>
      </c>
      <c r="E217" t="s">
        <v>382</v>
      </c>
      <c r="F217" t="s">
        <v>503</v>
      </c>
      <c r="G217" t="s">
        <v>30</v>
      </c>
      <c r="H217" s="11" t="s">
        <v>731</v>
      </c>
      <c r="I217">
        <v>74246</v>
      </c>
      <c r="J217" s="22">
        <v>44665</v>
      </c>
      <c r="K217" s="22">
        <v>44707</v>
      </c>
      <c r="L217">
        <v>202205</v>
      </c>
      <c r="M217" s="22">
        <v>44682</v>
      </c>
      <c r="N217">
        <v>77871</v>
      </c>
      <c r="O217" t="s">
        <v>699</v>
      </c>
      <c r="P217" t="s">
        <v>712</v>
      </c>
      <c r="Q217" t="s">
        <v>612</v>
      </c>
      <c r="R217">
        <v>120205</v>
      </c>
      <c r="S217" s="22">
        <v>44804</v>
      </c>
      <c r="T217">
        <v>79600</v>
      </c>
      <c r="U217" t="s">
        <v>356</v>
      </c>
      <c r="V217" s="22">
        <v>44812</v>
      </c>
      <c r="W217" t="s">
        <v>882</v>
      </c>
      <c r="X217" t="s">
        <v>883</v>
      </c>
      <c r="Y217" t="s">
        <v>95</v>
      </c>
      <c r="Z217" t="s">
        <v>364</v>
      </c>
      <c r="AA217">
        <v>-75.239999999999995</v>
      </c>
      <c r="AC217" s="2">
        <f t="shared" si="36"/>
        <v>2022</v>
      </c>
      <c r="AD217" s="2">
        <f t="shared" si="37"/>
        <v>9</v>
      </c>
      <c r="AE217" s="2">
        <f t="shared" si="38"/>
        <v>2022</v>
      </c>
      <c r="AF217" s="2">
        <f t="shared" si="39"/>
        <v>4</v>
      </c>
      <c r="AG217" s="2" t="str">
        <f>VLOOKUP(F217,vlookup!$A$2:$E$660,2,0)</f>
        <v>Retained</v>
      </c>
      <c r="AH217" s="2" t="str">
        <f>VLOOKUP(F217,vlookup!$A$2:$E$660,3,0)</f>
        <v>Service Contract</v>
      </c>
      <c r="AI217" s="2" t="str">
        <f>VLOOKUP(F217,vlookup!$A$2:$E$660,4,0)</f>
        <v>Used Car Programs</v>
      </c>
      <c r="AJ217" s="2" t="str">
        <f>VLOOKUP(F217,vlookup!$A$2:$E$660,5,0)</f>
        <v>High Mileage</v>
      </c>
      <c r="AK217" s="2"/>
      <c r="AL217" s="2">
        <f t="shared" si="40"/>
        <v>42</v>
      </c>
      <c r="AM217" s="2">
        <f t="shared" si="41"/>
        <v>144</v>
      </c>
      <c r="AN217" s="2">
        <f t="shared" si="42"/>
        <v>5354</v>
      </c>
      <c r="AO217" s="2" t="str">
        <f t="shared" si="43"/>
        <v/>
      </c>
      <c r="AP217" s="2" t="str">
        <f t="shared" si="44"/>
        <v/>
      </c>
      <c r="AQ217" s="2" t="str">
        <f t="shared" si="45"/>
        <v/>
      </c>
      <c r="AR217" s="2">
        <f t="shared" si="46"/>
        <v>-75.239999999999995</v>
      </c>
      <c r="AS217" s="2" t="str">
        <f t="shared" si="47"/>
        <v>PTPGR159369D22-1</v>
      </c>
      <c r="AT217" s="2" t="str">
        <f>IFERROR(IF(VLOOKUP(Y217,vlookup!$I$2:$J$9,1,0)=Y217,VLOOKUP(Y217,vlookup!$I$2:$J$9,2,0),PROPER(Y217)),PROPER(Y217))</f>
        <v>Parts</v>
      </c>
      <c r="AU217" s="2" t="str">
        <f>IFERROR(IF(B217=VLOOKUP(B217,vlookup!$L$2:$L$10,1,0),"Yes","No"),"No")</f>
        <v>No</v>
      </c>
    </row>
    <row r="218" spans="1:47" x14ac:dyDescent="0.25">
      <c r="A218" t="s">
        <v>812</v>
      </c>
      <c r="B218" t="s">
        <v>813</v>
      </c>
      <c r="C218">
        <v>2</v>
      </c>
      <c r="D218">
        <v>1</v>
      </c>
      <c r="E218" t="s">
        <v>382</v>
      </c>
      <c r="F218" t="s">
        <v>346</v>
      </c>
      <c r="G218" t="s">
        <v>30</v>
      </c>
      <c r="H218" s="11" t="s">
        <v>633</v>
      </c>
      <c r="I218">
        <v>89241</v>
      </c>
      <c r="J218" s="22">
        <v>44398</v>
      </c>
      <c r="K218" s="22">
        <v>44412</v>
      </c>
      <c r="L218">
        <v>202107</v>
      </c>
      <c r="M218" s="22">
        <v>44378</v>
      </c>
      <c r="N218">
        <v>77871</v>
      </c>
      <c r="O218" t="s">
        <v>699</v>
      </c>
      <c r="P218" t="s">
        <v>712</v>
      </c>
      <c r="Q218" t="s">
        <v>612</v>
      </c>
      <c r="R218">
        <v>124540</v>
      </c>
      <c r="S218" s="22">
        <v>44888</v>
      </c>
      <c r="T218">
        <v>104824</v>
      </c>
      <c r="U218" t="s">
        <v>356</v>
      </c>
      <c r="V218" s="22">
        <v>44896</v>
      </c>
      <c r="W218" t="s">
        <v>814</v>
      </c>
      <c r="X218" t="s">
        <v>815</v>
      </c>
      <c r="Y218" t="s">
        <v>95</v>
      </c>
      <c r="Z218" t="s">
        <v>358</v>
      </c>
      <c r="AA218">
        <v>-154.16999999999999</v>
      </c>
      <c r="AC218" s="2">
        <f t="shared" ref="AC218:AC281" si="48">YEAR(V218)</f>
        <v>2022</v>
      </c>
      <c r="AD218" s="2">
        <f t="shared" ref="AD218:AD281" si="49">MONTH(V218)</f>
        <v>12</v>
      </c>
      <c r="AE218" s="2">
        <f t="shared" ref="AE218:AE281" si="50">YEAR(J218)</f>
        <v>2021</v>
      </c>
      <c r="AF218" s="2">
        <f t="shared" ref="AF218:AF281" si="51">MONTH(J218)</f>
        <v>7</v>
      </c>
      <c r="AG218" s="2" t="str">
        <f>VLOOKUP(F218,vlookup!$A$2:$E$660,2,0)</f>
        <v>Retained</v>
      </c>
      <c r="AH218" s="2" t="str">
        <f>VLOOKUP(F218,vlookup!$A$2:$E$660,3,0)</f>
        <v>Service Contract</v>
      </c>
      <c r="AI218" s="2" t="str">
        <f>VLOOKUP(F218,vlookup!$A$2:$E$660,4,0)</f>
        <v>Used Car Programs</v>
      </c>
      <c r="AJ218" s="2" t="str">
        <f>VLOOKUP(F218,vlookup!$A$2:$E$660,5,0)</f>
        <v>High Mileage</v>
      </c>
      <c r="AK218" s="2"/>
      <c r="AL218" s="2">
        <f t="shared" ref="AL218:AL281" si="52">DAYS360(J218,K218)</f>
        <v>13</v>
      </c>
      <c r="AM218" s="2">
        <f t="shared" ref="AM218:AM281" si="53">DAYS360(J218,V218)</f>
        <v>490</v>
      </c>
      <c r="AN218" s="2">
        <f t="shared" ref="AN218:AN281" si="54">IF(T218-I218&lt;1,"",T218-I218)</f>
        <v>15583</v>
      </c>
      <c r="AO218" s="2" t="str">
        <f t="shared" ref="AO218:AO281" si="55">IF(AM218&lt;31,AA218,"")</f>
        <v/>
      </c>
      <c r="AP218" s="2" t="str">
        <f t="shared" ref="AP218:AP281" si="56">IF(AND(AM218&gt;30,AM218&lt;61),AA218,"")</f>
        <v/>
      </c>
      <c r="AQ218" s="2" t="str">
        <f t="shared" ref="AQ218:AQ281" si="57">IF(AND(AM218&gt;60,AM218&lt;91),AA218,"")</f>
        <v/>
      </c>
      <c r="AR218" s="2">
        <f t="shared" ref="AR218:AR281" si="58">IF(AM218&gt;90,AA218,"")</f>
        <v>-154.16999999999999</v>
      </c>
      <c r="AS218" s="2" t="str">
        <f t="shared" ref="AS218:AS281" si="59">CONCATENATE(B218,"-",C218)</f>
        <v>SDFFR140328G21-2</v>
      </c>
      <c r="AT218" s="2" t="str">
        <f>IFERROR(IF(VLOOKUP(Y218,vlookup!$I$2:$J$9,1,0)=Y218,VLOOKUP(Y218,vlookup!$I$2:$J$9,2,0),PROPER(Y218)),PROPER(Y218))</f>
        <v>Parts</v>
      </c>
      <c r="AU218" s="2" t="str">
        <f>IFERROR(IF(B218=VLOOKUP(B218,vlookup!$L$2:$L$10,1,0),"Yes","No"),"No")</f>
        <v>No</v>
      </c>
    </row>
    <row r="219" spans="1:47" x14ac:dyDescent="0.25">
      <c r="A219" t="s">
        <v>816</v>
      </c>
      <c r="B219" t="s">
        <v>817</v>
      </c>
      <c r="C219">
        <v>1</v>
      </c>
      <c r="D219">
        <v>1</v>
      </c>
      <c r="E219" t="s">
        <v>382</v>
      </c>
      <c r="F219" t="s">
        <v>207</v>
      </c>
      <c r="G219" t="s">
        <v>30</v>
      </c>
      <c r="H219" s="11" t="s">
        <v>633</v>
      </c>
      <c r="I219">
        <v>102020</v>
      </c>
      <c r="J219" s="22">
        <v>44203</v>
      </c>
      <c r="K219" s="22">
        <v>44258</v>
      </c>
      <c r="L219">
        <v>202102</v>
      </c>
      <c r="M219" s="22">
        <v>44228</v>
      </c>
      <c r="N219">
        <v>77871</v>
      </c>
      <c r="O219" t="s">
        <v>699</v>
      </c>
      <c r="P219" t="s">
        <v>712</v>
      </c>
      <c r="Q219" t="s">
        <v>612</v>
      </c>
      <c r="R219">
        <v>905492</v>
      </c>
      <c r="S219" s="22">
        <v>44333</v>
      </c>
      <c r="T219">
        <v>107921</v>
      </c>
      <c r="U219" t="s">
        <v>356</v>
      </c>
      <c r="V219" s="22">
        <v>44333</v>
      </c>
      <c r="W219" t="s">
        <v>584</v>
      </c>
      <c r="X219" t="s">
        <v>585</v>
      </c>
      <c r="Y219" t="s">
        <v>95</v>
      </c>
      <c r="Z219" t="s">
        <v>576</v>
      </c>
      <c r="AA219">
        <v>-36.75</v>
      </c>
      <c r="AC219" s="2">
        <f t="shared" si="48"/>
        <v>2021</v>
      </c>
      <c r="AD219" s="2">
        <f t="shared" si="49"/>
        <v>5</v>
      </c>
      <c r="AE219" s="2">
        <f t="shared" si="50"/>
        <v>2021</v>
      </c>
      <c r="AF219" s="2">
        <f t="shared" si="51"/>
        <v>1</v>
      </c>
      <c r="AG219" s="2" t="str">
        <f>VLOOKUP(F219,vlookup!$A$2:$E$660,2,0)</f>
        <v>Retained</v>
      </c>
      <c r="AH219" s="2" t="str">
        <f>VLOOKUP(F219,vlookup!$A$2:$E$660,3,0)</f>
        <v>Service Contract</v>
      </c>
      <c r="AI219" s="2" t="str">
        <f>VLOOKUP(F219,vlookup!$A$2:$E$660,4,0)</f>
        <v>Used Car Programs</v>
      </c>
      <c r="AJ219" s="2" t="str">
        <f>VLOOKUP(F219,vlookup!$A$2:$E$660,5,0)</f>
        <v>High Mileage</v>
      </c>
      <c r="AK219" s="2"/>
      <c r="AL219" s="2">
        <f t="shared" si="52"/>
        <v>56</v>
      </c>
      <c r="AM219" s="2">
        <f t="shared" si="53"/>
        <v>130</v>
      </c>
      <c r="AN219" s="2">
        <f t="shared" si="54"/>
        <v>5901</v>
      </c>
      <c r="AO219" s="2" t="str">
        <f t="shared" si="55"/>
        <v/>
      </c>
      <c r="AP219" s="2" t="str">
        <f t="shared" si="56"/>
        <v/>
      </c>
      <c r="AQ219" s="2" t="str">
        <f t="shared" si="57"/>
        <v/>
      </c>
      <c r="AR219" s="2">
        <f t="shared" si="58"/>
        <v>-36.75</v>
      </c>
      <c r="AS219" s="2" t="str">
        <f t="shared" si="59"/>
        <v>APC500272-1</v>
      </c>
      <c r="AT219" s="2" t="str">
        <f>IFERROR(IF(VLOOKUP(Y219,vlookup!$I$2:$J$9,1,0)=Y219,VLOOKUP(Y219,vlookup!$I$2:$J$9,2,0),PROPER(Y219)),PROPER(Y219))</f>
        <v>Parts</v>
      </c>
      <c r="AU219" s="2" t="str">
        <f>IFERROR(IF(B219=VLOOKUP(B219,vlookup!$L$2:$L$10,1,0),"Yes","No"),"No")</f>
        <v>No</v>
      </c>
    </row>
    <row r="220" spans="1:47" x14ac:dyDescent="0.25">
      <c r="A220" t="s">
        <v>816</v>
      </c>
      <c r="B220" t="s">
        <v>817</v>
      </c>
      <c r="C220">
        <v>1</v>
      </c>
      <c r="D220">
        <v>1</v>
      </c>
      <c r="E220" t="s">
        <v>382</v>
      </c>
      <c r="F220" t="s">
        <v>207</v>
      </c>
      <c r="G220" t="s">
        <v>30</v>
      </c>
      <c r="H220" s="11" t="s">
        <v>633</v>
      </c>
      <c r="I220">
        <v>102020</v>
      </c>
      <c r="J220" s="22">
        <v>44203</v>
      </c>
      <c r="K220" s="22">
        <v>44258</v>
      </c>
      <c r="L220">
        <v>202102</v>
      </c>
      <c r="M220" s="22">
        <v>44228</v>
      </c>
      <c r="N220">
        <v>77871</v>
      </c>
      <c r="O220" t="s">
        <v>699</v>
      </c>
      <c r="P220" t="s">
        <v>712</v>
      </c>
      <c r="Q220" t="s">
        <v>612</v>
      </c>
      <c r="R220">
        <v>905492</v>
      </c>
      <c r="S220" s="22">
        <v>44333</v>
      </c>
      <c r="T220">
        <v>107921</v>
      </c>
      <c r="U220" t="s">
        <v>356</v>
      </c>
      <c r="V220" s="22">
        <v>44333</v>
      </c>
      <c r="W220" t="s">
        <v>586</v>
      </c>
      <c r="X220" t="s">
        <v>587</v>
      </c>
      <c r="Y220" t="s">
        <v>95</v>
      </c>
      <c r="Z220" t="s">
        <v>576</v>
      </c>
      <c r="AA220">
        <v>-289.22000000000003</v>
      </c>
      <c r="AC220" s="2">
        <f t="shared" si="48"/>
        <v>2021</v>
      </c>
      <c r="AD220" s="2">
        <f t="shared" si="49"/>
        <v>5</v>
      </c>
      <c r="AE220" s="2">
        <f t="shared" si="50"/>
        <v>2021</v>
      </c>
      <c r="AF220" s="2">
        <f t="shared" si="51"/>
        <v>1</v>
      </c>
      <c r="AG220" s="2" t="str">
        <f>VLOOKUP(F220,vlookup!$A$2:$E$660,2,0)</f>
        <v>Retained</v>
      </c>
      <c r="AH220" s="2" t="str">
        <f>VLOOKUP(F220,vlookup!$A$2:$E$660,3,0)</f>
        <v>Service Contract</v>
      </c>
      <c r="AI220" s="2" t="str">
        <f>VLOOKUP(F220,vlookup!$A$2:$E$660,4,0)</f>
        <v>Used Car Programs</v>
      </c>
      <c r="AJ220" s="2" t="str">
        <f>VLOOKUP(F220,vlookup!$A$2:$E$660,5,0)</f>
        <v>High Mileage</v>
      </c>
      <c r="AK220" s="2"/>
      <c r="AL220" s="2">
        <f t="shared" si="52"/>
        <v>56</v>
      </c>
      <c r="AM220" s="2">
        <f t="shared" si="53"/>
        <v>130</v>
      </c>
      <c r="AN220" s="2">
        <f t="shared" si="54"/>
        <v>5901</v>
      </c>
      <c r="AO220" s="2" t="str">
        <f t="shared" si="55"/>
        <v/>
      </c>
      <c r="AP220" s="2" t="str">
        <f t="shared" si="56"/>
        <v/>
      </c>
      <c r="AQ220" s="2" t="str">
        <f t="shared" si="57"/>
        <v/>
      </c>
      <c r="AR220" s="2">
        <f t="shared" si="58"/>
        <v>-289.22000000000003</v>
      </c>
      <c r="AS220" s="2" t="str">
        <f t="shared" si="59"/>
        <v>APC500272-1</v>
      </c>
      <c r="AT220" s="2" t="str">
        <f>IFERROR(IF(VLOOKUP(Y220,vlookup!$I$2:$J$9,1,0)=Y220,VLOOKUP(Y220,vlookup!$I$2:$J$9,2,0),PROPER(Y220)),PROPER(Y220))</f>
        <v>Parts</v>
      </c>
      <c r="AU220" s="2" t="str">
        <f>IFERROR(IF(B220=VLOOKUP(B220,vlookup!$L$2:$L$10,1,0),"Yes","No"),"No")</f>
        <v>No</v>
      </c>
    </row>
    <row r="221" spans="1:47" x14ac:dyDescent="0.25">
      <c r="A221" t="s">
        <v>816</v>
      </c>
      <c r="B221" t="s">
        <v>817</v>
      </c>
      <c r="C221">
        <v>1</v>
      </c>
      <c r="D221">
        <v>1</v>
      </c>
      <c r="E221" t="s">
        <v>382</v>
      </c>
      <c r="F221" t="s">
        <v>207</v>
      </c>
      <c r="G221" t="s">
        <v>30</v>
      </c>
      <c r="H221" s="11" t="s">
        <v>633</v>
      </c>
      <c r="I221">
        <v>102020</v>
      </c>
      <c r="J221" s="22">
        <v>44203</v>
      </c>
      <c r="K221" s="22">
        <v>44258</v>
      </c>
      <c r="L221">
        <v>202102</v>
      </c>
      <c r="M221" s="22">
        <v>44228</v>
      </c>
      <c r="N221">
        <v>77871</v>
      </c>
      <c r="O221" t="s">
        <v>699</v>
      </c>
      <c r="P221" t="s">
        <v>712</v>
      </c>
      <c r="Q221" t="s">
        <v>612</v>
      </c>
      <c r="R221">
        <v>905492</v>
      </c>
      <c r="S221" s="22">
        <v>44333</v>
      </c>
      <c r="T221">
        <v>107921</v>
      </c>
      <c r="U221" t="s">
        <v>356</v>
      </c>
      <c r="V221" s="22">
        <v>44333</v>
      </c>
      <c r="W221" t="s">
        <v>667</v>
      </c>
      <c r="X221" t="s">
        <v>668</v>
      </c>
      <c r="Y221" t="s">
        <v>95</v>
      </c>
      <c r="Z221" t="s">
        <v>576</v>
      </c>
      <c r="AA221">
        <v>-19.12</v>
      </c>
      <c r="AC221" s="2">
        <f t="shared" si="48"/>
        <v>2021</v>
      </c>
      <c r="AD221" s="2">
        <f t="shared" si="49"/>
        <v>5</v>
      </c>
      <c r="AE221" s="2">
        <f t="shared" si="50"/>
        <v>2021</v>
      </c>
      <c r="AF221" s="2">
        <f t="shared" si="51"/>
        <v>1</v>
      </c>
      <c r="AG221" s="2" t="str">
        <f>VLOOKUP(F221,vlookup!$A$2:$E$660,2,0)</f>
        <v>Retained</v>
      </c>
      <c r="AH221" s="2" t="str">
        <f>VLOOKUP(F221,vlookup!$A$2:$E$660,3,0)</f>
        <v>Service Contract</v>
      </c>
      <c r="AI221" s="2" t="str">
        <f>VLOOKUP(F221,vlookup!$A$2:$E$660,4,0)</f>
        <v>Used Car Programs</v>
      </c>
      <c r="AJ221" s="2" t="str">
        <f>VLOOKUP(F221,vlookup!$A$2:$E$660,5,0)</f>
        <v>High Mileage</v>
      </c>
      <c r="AK221" s="2"/>
      <c r="AL221" s="2">
        <f t="shared" si="52"/>
        <v>56</v>
      </c>
      <c r="AM221" s="2">
        <f t="shared" si="53"/>
        <v>130</v>
      </c>
      <c r="AN221" s="2">
        <f t="shared" si="54"/>
        <v>5901</v>
      </c>
      <c r="AO221" s="2" t="str">
        <f t="shared" si="55"/>
        <v/>
      </c>
      <c r="AP221" s="2" t="str">
        <f t="shared" si="56"/>
        <v/>
      </c>
      <c r="AQ221" s="2" t="str">
        <f t="shared" si="57"/>
        <v/>
      </c>
      <c r="AR221" s="2">
        <f t="shared" si="58"/>
        <v>-19.12</v>
      </c>
      <c r="AS221" s="2" t="str">
        <f t="shared" si="59"/>
        <v>APC500272-1</v>
      </c>
      <c r="AT221" s="2" t="str">
        <f>IFERROR(IF(VLOOKUP(Y221,vlookup!$I$2:$J$9,1,0)=Y221,VLOOKUP(Y221,vlookup!$I$2:$J$9,2,0),PROPER(Y221)),PROPER(Y221))</f>
        <v>Parts</v>
      </c>
      <c r="AU221" s="2" t="str">
        <f>IFERROR(IF(B221=VLOOKUP(B221,vlookup!$L$2:$L$10,1,0),"Yes","No"),"No")</f>
        <v>No</v>
      </c>
    </row>
    <row r="222" spans="1:47" x14ac:dyDescent="0.25">
      <c r="A222" t="s">
        <v>816</v>
      </c>
      <c r="B222" t="s">
        <v>817</v>
      </c>
      <c r="C222">
        <v>1</v>
      </c>
      <c r="D222">
        <v>1</v>
      </c>
      <c r="E222" t="s">
        <v>382</v>
      </c>
      <c r="F222" t="s">
        <v>207</v>
      </c>
      <c r="G222" t="s">
        <v>30</v>
      </c>
      <c r="H222" s="11" t="s">
        <v>633</v>
      </c>
      <c r="I222">
        <v>102020</v>
      </c>
      <c r="J222" s="22">
        <v>44203</v>
      </c>
      <c r="K222" s="22">
        <v>44258</v>
      </c>
      <c r="L222">
        <v>202102</v>
      </c>
      <c r="M222" s="22">
        <v>44228</v>
      </c>
      <c r="N222">
        <v>77871</v>
      </c>
      <c r="O222" t="s">
        <v>699</v>
      </c>
      <c r="P222" t="s">
        <v>712</v>
      </c>
      <c r="Q222" t="s">
        <v>612</v>
      </c>
      <c r="R222">
        <v>905492</v>
      </c>
      <c r="S222" s="22">
        <v>44333</v>
      </c>
      <c r="T222">
        <v>107921</v>
      </c>
      <c r="U222" t="s">
        <v>356</v>
      </c>
      <c r="V222" s="22">
        <v>44333</v>
      </c>
      <c r="W222" t="s">
        <v>669</v>
      </c>
      <c r="X222" t="s">
        <v>670</v>
      </c>
      <c r="Y222" t="s">
        <v>95</v>
      </c>
      <c r="Z222" t="s">
        <v>576</v>
      </c>
      <c r="AA222">
        <v>-18.12</v>
      </c>
      <c r="AC222" s="2">
        <f t="shared" si="48"/>
        <v>2021</v>
      </c>
      <c r="AD222" s="2">
        <f t="shared" si="49"/>
        <v>5</v>
      </c>
      <c r="AE222" s="2">
        <f t="shared" si="50"/>
        <v>2021</v>
      </c>
      <c r="AF222" s="2">
        <f t="shared" si="51"/>
        <v>1</v>
      </c>
      <c r="AG222" s="2" t="str">
        <f>VLOOKUP(F222,vlookup!$A$2:$E$660,2,0)</f>
        <v>Retained</v>
      </c>
      <c r="AH222" s="2" t="str">
        <f>VLOOKUP(F222,vlookup!$A$2:$E$660,3,0)</f>
        <v>Service Contract</v>
      </c>
      <c r="AI222" s="2" t="str">
        <f>VLOOKUP(F222,vlookup!$A$2:$E$660,4,0)</f>
        <v>Used Car Programs</v>
      </c>
      <c r="AJ222" s="2" t="str">
        <f>VLOOKUP(F222,vlookup!$A$2:$E$660,5,0)</f>
        <v>High Mileage</v>
      </c>
      <c r="AK222" s="2"/>
      <c r="AL222" s="2">
        <f t="shared" si="52"/>
        <v>56</v>
      </c>
      <c r="AM222" s="2">
        <f t="shared" si="53"/>
        <v>130</v>
      </c>
      <c r="AN222" s="2">
        <f t="shared" si="54"/>
        <v>5901</v>
      </c>
      <c r="AO222" s="2" t="str">
        <f t="shared" si="55"/>
        <v/>
      </c>
      <c r="AP222" s="2" t="str">
        <f t="shared" si="56"/>
        <v/>
      </c>
      <c r="AQ222" s="2" t="str">
        <f t="shared" si="57"/>
        <v/>
      </c>
      <c r="AR222" s="2">
        <f t="shared" si="58"/>
        <v>-18.12</v>
      </c>
      <c r="AS222" s="2" t="str">
        <f t="shared" si="59"/>
        <v>APC500272-1</v>
      </c>
      <c r="AT222" s="2" t="str">
        <f>IFERROR(IF(VLOOKUP(Y222,vlookup!$I$2:$J$9,1,0)=Y222,VLOOKUP(Y222,vlookup!$I$2:$J$9,2,0),PROPER(Y222)),PROPER(Y222))</f>
        <v>Parts</v>
      </c>
      <c r="AU222" s="2" t="str">
        <f>IFERROR(IF(B222=VLOOKUP(B222,vlookup!$L$2:$L$10,1,0),"Yes","No"),"No")</f>
        <v>No</v>
      </c>
    </row>
    <row r="223" spans="1:47" x14ac:dyDescent="0.25">
      <c r="A223" t="s">
        <v>816</v>
      </c>
      <c r="B223" t="s">
        <v>817</v>
      </c>
      <c r="C223">
        <v>2</v>
      </c>
      <c r="D223">
        <v>1</v>
      </c>
      <c r="E223" t="s">
        <v>382</v>
      </c>
      <c r="F223" t="s">
        <v>207</v>
      </c>
      <c r="G223" t="s">
        <v>30</v>
      </c>
      <c r="H223" s="11" t="s">
        <v>633</v>
      </c>
      <c r="I223">
        <v>102020</v>
      </c>
      <c r="J223" s="22">
        <v>44203</v>
      </c>
      <c r="K223" s="22">
        <v>44258</v>
      </c>
      <c r="L223">
        <v>202102</v>
      </c>
      <c r="M223" s="22">
        <v>44228</v>
      </c>
      <c r="N223">
        <v>77871</v>
      </c>
      <c r="O223" t="s">
        <v>699</v>
      </c>
      <c r="P223" t="s">
        <v>818</v>
      </c>
      <c r="Q223" t="s">
        <v>819</v>
      </c>
      <c r="R223">
        <v>28015</v>
      </c>
      <c r="S223" s="22">
        <v>44482</v>
      </c>
      <c r="T223">
        <v>115042</v>
      </c>
      <c r="U223" t="s">
        <v>356</v>
      </c>
      <c r="V223" s="22">
        <v>44482</v>
      </c>
      <c r="W223" t="s">
        <v>820</v>
      </c>
      <c r="X223" t="s">
        <v>821</v>
      </c>
      <c r="Y223" t="s">
        <v>95</v>
      </c>
      <c r="Z223" t="s">
        <v>364</v>
      </c>
      <c r="AA223">
        <v>-30.48</v>
      </c>
      <c r="AC223" s="2">
        <f t="shared" si="48"/>
        <v>2021</v>
      </c>
      <c r="AD223" s="2">
        <f t="shared" si="49"/>
        <v>10</v>
      </c>
      <c r="AE223" s="2">
        <f t="shared" si="50"/>
        <v>2021</v>
      </c>
      <c r="AF223" s="2">
        <f t="shared" si="51"/>
        <v>1</v>
      </c>
      <c r="AG223" s="2" t="str">
        <f>VLOOKUP(F223,vlookup!$A$2:$E$660,2,0)</f>
        <v>Retained</v>
      </c>
      <c r="AH223" s="2" t="str">
        <f>VLOOKUP(F223,vlookup!$A$2:$E$660,3,0)</f>
        <v>Service Contract</v>
      </c>
      <c r="AI223" s="2" t="str">
        <f>VLOOKUP(F223,vlookup!$A$2:$E$660,4,0)</f>
        <v>Used Car Programs</v>
      </c>
      <c r="AJ223" s="2" t="str">
        <f>VLOOKUP(F223,vlookup!$A$2:$E$660,5,0)</f>
        <v>High Mileage</v>
      </c>
      <c r="AK223" s="2"/>
      <c r="AL223" s="2">
        <f t="shared" si="52"/>
        <v>56</v>
      </c>
      <c r="AM223" s="2">
        <f t="shared" si="53"/>
        <v>276</v>
      </c>
      <c r="AN223" s="2">
        <f t="shared" si="54"/>
        <v>13022</v>
      </c>
      <c r="AO223" s="2" t="str">
        <f t="shared" si="55"/>
        <v/>
      </c>
      <c r="AP223" s="2" t="str">
        <f t="shared" si="56"/>
        <v/>
      </c>
      <c r="AQ223" s="2" t="str">
        <f t="shared" si="57"/>
        <v/>
      </c>
      <c r="AR223" s="2">
        <f t="shared" si="58"/>
        <v>-30.48</v>
      </c>
      <c r="AS223" s="2" t="str">
        <f t="shared" si="59"/>
        <v>APC500272-2</v>
      </c>
      <c r="AT223" s="2" t="str">
        <f>IFERROR(IF(VLOOKUP(Y223,vlookup!$I$2:$J$9,1,0)=Y223,VLOOKUP(Y223,vlookup!$I$2:$J$9,2,0),PROPER(Y223)),PROPER(Y223))</f>
        <v>Parts</v>
      </c>
      <c r="AU223" s="2" t="str">
        <f>IFERROR(IF(B223=VLOOKUP(B223,vlookup!$L$2:$L$10,1,0),"Yes","No"),"No")</f>
        <v>No</v>
      </c>
    </row>
    <row r="224" spans="1:47" x14ac:dyDescent="0.25">
      <c r="A224" t="s">
        <v>816</v>
      </c>
      <c r="B224" t="s">
        <v>817</v>
      </c>
      <c r="C224">
        <v>3</v>
      </c>
      <c r="D224">
        <v>1</v>
      </c>
      <c r="E224" t="s">
        <v>382</v>
      </c>
      <c r="F224" t="s">
        <v>207</v>
      </c>
      <c r="G224" t="s">
        <v>30</v>
      </c>
      <c r="H224" s="11" t="s">
        <v>633</v>
      </c>
      <c r="I224">
        <v>102020</v>
      </c>
      <c r="J224" s="22">
        <v>44203</v>
      </c>
      <c r="K224" s="22">
        <v>44258</v>
      </c>
      <c r="L224">
        <v>202102</v>
      </c>
      <c r="M224" s="22">
        <v>44228</v>
      </c>
      <c r="N224">
        <v>77871</v>
      </c>
      <c r="O224" t="s">
        <v>699</v>
      </c>
      <c r="P224" t="s">
        <v>818</v>
      </c>
      <c r="Q224" t="s">
        <v>819</v>
      </c>
      <c r="R224">
        <v>5363</v>
      </c>
      <c r="S224" s="22">
        <v>44578</v>
      </c>
      <c r="T224">
        <v>118885</v>
      </c>
      <c r="U224" t="s">
        <v>356</v>
      </c>
      <c r="V224" s="22">
        <v>44579</v>
      </c>
      <c r="W224" t="s">
        <v>646</v>
      </c>
      <c r="X224" t="s">
        <v>647</v>
      </c>
      <c r="Y224" t="s">
        <v>95</v>
      </c>
      <c r="Z224" t="s">
        <v>579</v>
      </c>
      <c r="AA224">
        <v>-1394.28</v>
      </c>
      <c r="AC224" s="2">
        <f t="shared" si="48"/>
        <v>2022</v>
      </c>
      <c r="AD224" s="2">
        <f t="shared" si="49"/>
        <v>1</v>
      </c>
      <c r="AE224" s="2">
        <f t="shared" si="50"/>
        <v>2021</v>
      </c>
      <c r="AF224" s="2">
        <f t="shared" si="51"/>
        <v>1</v>
      </c>
      <c r="AG224" s="2" t="str">
        <f>VLOOKUP(F224,vlookup!$A$2:$E$660,2,0)</f>
        <v>Retained</v>
      </c>
      <c r="AH224" s="2" t="str">
        <f>VLOOKUP(F224,vlookup!$A$2:$E$660,3,0)</f>
        <v>Service Contract</v>
      </c>
      <c r="AI224" s="2" t="str">
        <f>VLOOKUP(F224,vlookup!$A$2:$E$660,4,0)</f>
        <v>Used Car Programs</v>
      </c>
      <c r="AJ224" s="2" t="str">
        <f>VLOOKUP(F224,vlookup!$A$2:$E$660,5,0)</f>
        <v>High Mileage</v>
      </c>
      <c r="AK224" s="2"/>
      <c r="AL224" s="2">
        <f t="shared" si="52"/>
        <v>56</v>
      </c>
      <c r="AM224" s="2">
        <f t="shared" si="53"/>
        <v>371</v>
      </c>
      <c r="AN224" s="2">
        <f t="shared" si="54"/>
        <v>16865</v>
      </c>
      <c r="AO224" s="2" t="str">
        <f t="shared" si="55"/>
        <v/>
      </c>
      <c r="AP224" s="2" t="str">
        <f t="shared" si="56"/>
        <v/>
      </c>
      <c r="AQ224" s="2" t="str">
        <f t="shared" si="57"/>
        <v/>
      </c>
      <c r="AR224" s="2">
        <f t="shared" si="58"/>
        <v>-1394.28</v>
      </c>
      <c r="AS224" s="2" t="str">
        <f t="shared" si="59"/>
        <v>APC500272-3</v>
      </c>
      <c r="AT224" s="2" t="str">
        <f>IFERROR(IF(VLOOKUP(Y224,vlookup!$I$2:$J$9,1,0)=Y224,VLOOKUP(Y224,vlookup!$I$2:$J$9,2,0),PROPER(Y224)),PROPER(Y224))</f>
        <v>Parts</v>
      </c>
      <c r="AU224" s="2" t="str">
        <f>IFERROR(IF(B224=VLOOKUP(B224,vlookup!$L$2:$L$10,1,0),"Yes","No"),"No")</f>
        <v>No</v>
      </c>
    </row>
    <row r="225" spans="1:47" x14ac:dyDescent="0.25">
      <c r="A225" t="s">
        <v>816</v>
      </c>
      <c r="B225" t="s">
        <v>817</v>
      </c>
      <c r="C225">
        <v>3</v>
      </c>
      <c r="D225">
        <v>1</v>
      </c>
      <c r="E225" t="s">
        <v>382</v>
      </c>
      <c r="F225" t="s">
        <v>207</v>
      </c>
      <c r="G225" t="s">
        <v>30</v>
      </c>
      <c r="H225" s="11" t="s">
        <v>633</v>
      </c>
      <c r="I225">
        <v>102020</v>
      </c>
      <c r="J225" s="22">
        <v>44203</v>
      </c>
      <c r="K225" s="22">
        <v>44258</v>
      </c>
      <c r="L225">
        <v>202102</v>
      </c>
      <c r="M225" s="22">
        <v>44228</v>
      </c>
      <c r="N225">
        <v>77871</v>
      </c>
      <c r="O225" t="s">
        <v>699</v>
      </c>
      <c r="P225" t="s">
        <v>818</v>
      </c>
      <c r="Q225" t="s">
        <v>819</v>
      </c>
      <c r="R225">
        <v>5363</v>
      </c>
      <c r="S225" s="22">
        <v>44578</v>
      </c>
      <c r="T225">
        <v>118885</v>
      </c>
      <c r="U225" t="s">
        <v>356</v>
      </c>
      <c r="V225" s="22">
        <v>44579</v>
      </c>
      <c r="W225" t="s">
        <v>822</v>
      </c>
      <c r="X225" t="s">
        <v>823</v>
      </c>
      <c r="Y225" t="s">
        <v>95</v>
      </c>
      <c r="Z225" t="s">
        <v>579</v>
      </c>
      <c r="AA225">
        <v>-719.81</v>
      </c>
      <c r="AC225" s="2">
        <f t="shared" si="48"/>
        <v>2022</v>
      </c>
      <c r="AD225" s="2">
        <f t="shared" si="49"/>
        <v>1</v>
      </c>
      <c r="AE225" s="2">
        <f t="shared" si="50"/>
        <v>2021</v>
      </c>
      <c r="AF225" s="2">
        <f t="shared" si="51"/>
        <v>1</v>
      </c>
      <c r="AG225" s="2" t="str">
        <f>VLOOKUP(F225,vlookup!$A$2:$E$660,2,0)</f>
        <v>Retained</v>
      </c>
      <c r="AH225" s="2" t="str">
        <f>VLOOKUP(F225,vlookup!$A$2:$E$660,3,0)</f>
        <v>Service Contract</v>
      </c>
      <c r="AI225" s="2" t="str">
        <f>VLOOKUP(F225,vlookup!$A$2:$E$660,4,0)</f>
        <v>Used Car Programs</v>
      </c>
      <c r="AJ225" s="2" t="str">
        <f>VLOOKUP(F225,vlookup!$A$2:$E$660,5,0)</f>
        <v>High Mileage</v>
      </c>
      <c r="AK225" s="2"/>
      <c r="AL225" s="2">
        <f t="shared" si="52"/>
        <v>56</v>
      </c>
      <c r="AM225" s="2">
        <f t="shared" si="53"/>
        <v>371</v>
      </c>
      <c r="AN225" s="2">
        <f t="shared" si="54"/>
        <v>16865</v>
      </c>
      <c r="AO225" s="2" t="str">
        <f t="shared" si="55"/>
        <v/>
      </c>
      <c r="AP225" s="2" t="str">
        <f t="shared" si="56"/>
        <v/>
      </c>
      <c r="AQ225" s="2" t="str">
        <f t="shared" si="57"/>
        <v/>
      </c>
      <c r="AR225" s="2">
        <f t="shared" si="58"/>
        <v>-719.81</v>
      </c>
      <c r="AS225" s="2" t="str">
        <f t="shared" si="59"/>
        <v>APC500272-3</v>
      </c>
      <c r="AT225" s="2" t="str">
        <f>IFERROR(IF(VLOOKUP(Y225,vlookup!$I$2:$J$9,1,0)=Y225,VLOOKUP(Y225,vlookup!$I$2:$J$9,2,0),PROPER(Y225)),PROPER(Y225))</f>
        <v>Parts</v>
      </c>
      <c r="AU225" s="2" t="str">
        <f>IFERROR(IF(B225=VLOOKUP(B225,vlookup!$L$2:$L$10,1,0),"Yes","No"),"No")</f>
        <v>No</v>
      </c>
    </row>
    <row r="226" spans="1:47" x14ac:dyDescent="0.25">
      <c r="A226" t="s">
        <v>732</v>
      </c>
      <c r="B226" t="s">
        <v>733</v>
      </c>
      <c r="C226">
        <v>1</v>
      </c>
      <c r="D226">
        <v>1</v>
      </c>
      <c r="E226" t="s">
        <v>382</v>
      </c>
      <c r="F226" t="s">
        <v>257</v>
      </c>
      <c r="G226" t="s">
        <v>610</v>
      </c>
      <c r="H226" s="11" t="s">
        <v>633</v>
      </c>
      <c r="I226">
        <v>43130</v>
      </c>
      <c r="J226" s="22">
        <v>44147</v>
      </c>
      <c r="K226" s="22">
        <v>44229</v>
      </c>
      <c r="L226">
        <v>202101</v>
      </c>
      <c r="M226" s="22">
        <v>44197</v>
      </c>
      <c r="N226">
        <v>77871</v>
      </c>
      <c r="O226" t="s">
        <v>699</v>
      </c>
      <c r="P226" t="s">
        <v>712</v>
      </c>
      <c r="Q226" t="s">
        <v>612</v>
      </c>
      <c r="R226">
        <v>101389</v>
      </c>
      <c r="S226" s="22">
        <v>44424</v>
      </c>
      <c r="T226">
        <v>43753</v>
      </c>
      <c r="U226" t="s">
        <v>356</v>
      </c>
      <c r="V226" s="22">
        <v>44426</v>
      </c>
      <c r="W226" t="s">
        <v>824</v>
      </c>
      <c r="X226" t="s">
        <v>825</v>
      </c>
      <c r="Y226" t="s">
        <v>95</v>
      </c>
      <c r="Z226" t="s">
        <v>358</v>
      </c>
      <c r="AA226">
        <v>-629.95000000000005</v>
      </c>
      <c r="AC226" s="2">
        <f t="shared" si="48"/>
        <v>2021</v>
      </c>
      <c r="AD226" s="2">
        <f t="shared" si="49"/>
        <v>8</v>
      </c>
      <c r="AE226" s="2">
        <f t="shared" si="50"/>
        <v>2020</v>
      </c>
      <c r="AF226" s="2">
        <f t="shared" si="51"/>
        <v>11</v>
      </c>
      <c r="AG226" s="2" t="str">
        <f>VLOOKUP(F226,vlookup!$A$2:$E$660,2,0)</f>
        <v>Retained</v>
      </c>
      <c r="AH226" s="2" t="str">
        <f>VLOOKUP(F226,vlookup!$A$2:$E$660,3,0)</f>
        <v>Service Contract</v>
      </c>
      <c r="AI226" s="2" t="str">
        <f>VLOOKUP(F226,vlookup!$A$2:$E$660,4,0)</f>
        <v>Used Car Programs</v>
      </c>
      <c r="AJ226" s="2" t="str">
        <f>VLOOKUP(F226,vlookup!$A$2:$E$660,5,0)</f>
        <v>High Mileage</v>
      </c>
      <c r="AK226" s="2"/>
      <c r="AL226" s="2">
        <f t="shared" si="52"/>
        <v>80</v>
      </c>
      <c r="AM226" s="2">
        <f t="shared" si="53"/>
        <v>276</v>
      </c>
      <c r="AN226" s="2">
        <f t="shared" si="54"/>
        <v>623</v>
      </c>
      <c r="AO226" s="2" t="str">
        <f t="shared" si="55"/>
        <v/>
      </c>
      <c r="AP226" s="2" t="str">
        <f t="shared" si="56"/>
        <v/>
      </c>
      <c r="AQ226" s="2" t="str">
        <f t="shared" si="57"/>
        <v/>
      </c>
      <c r="AR226" s="2">
        <f t="shared" si="58"/>
        <v>-629.95000000000005</v>
      </c>
      <c r="AS226" s="2" t="str">
        <f t="shared" si="59"/>
        <v>SNFJR295989K20-1</v>
      </c>
      <c r="AT226" s="2" t="str">
        <f>IFERROR(IF(VLOOKUP(Y226,vlookup!$I$2:$J$9,1,0)=Y226,VLOOKUP(Y226,vlookup!$I$2:$J$9,2,0),PROPER(Y226)),PROPER(Y226))</f>
        <v>Parts</v>
      </c>
      <c r="AU226" s="2" t="str">
        <f>IFERROR(IF(B226=VLOOKUP(B226,vlookup!$L$2:$L$10,1,0),"Yes","No"),"No")</f>
        <v>No</v>
      </c>
    </row>
    <row r="227" spans="1:47" x14ac:dyDescent="0.25">
      <c r="A227" t="s">
        <v>759</v>
      </c>
      <c r="B227" t="s">
        <v>760</v>
      </c>
      <c r="C227">
        <v>1</v>
      </c>
      <c r="D227">
        <v>1</v>
      </c>
      <c r="E227" t="s">
        <v>572</v>
      </c>
      <c r="F227" t="s">
        <v>207</v>
      </c>
      <c r="G227" t="s">
        <v>543</v>
      </c>
      <c r="H227" s="11" t="s">
        <v>609</v>
      </c>
      <c r="I227">
        <v>100055</v>
      </c>
      <c r="J227" s="22">
        <v>44275</v>
      </c>
      <c r="K227" s="22">
        <v>44342</v>
      </c>
      <c r="L227">
        <v>202105</v>
      </c>
      <c r="M227" s="22">
        <v>44317</v>
      </c>
      <c r="N227">
        <v>77871</v>
      </c>
      <c r="O227" t="s">
        <v>699</v>
      </c>
      <c r="P227" t="s">
        <v>712</v>
      </c>
      <c r="Q227" t="s">
        <v>612</v>
      </c>
      <c r="R227">
        <v>907991</v>
      </c>
      <c r="S227" s="22">
        <v>44375</v>
      </c>
      <c r="T227">
        <v>104913</v>
      </c>
      <c r="U227" t="s">
        <v>356</v>
      </c>
      <c r="V227" s="22">
        <v>44375</v>
      </c>
      <c r="W227" t="s">
        <v>810</v>
      </c>
      <c r="X227" t="s">
        <v>811</v>
      </c>
      <c r="Y227" t="s">
        <v>95</v>
      </c>
      <c r="Z227" t="s">
        <v>579</v>
      </c>
      <c r="AA227">
        <v>-420.13</v>
      </c>
      <c r="AC227" s="2">
        <f t="shared" si="48"/>
        <v>2021</v>
      </c>
      <c r="AD227" s="2">
        <f t="shared" si="49"/>
        <v>6</v>
      </c>
      <c r="AE227" s="2">
        <f t="shared" si="50"/>
        <v>2021</v>
      </c>
      <c r="AF227" s="2">
        <f t="shared" si="51"/>
        <v>3</v>
      </c>
      <c r="AG227" s="2" t="str">
        <f>VLOOKUP(F227,vlookup!$A$2:$E$660,2,0)</f>
        <v>Retained</v>
      </c>
      <c r="AH227" s="2" t="str">
        <f>VLOOKUP(F227,vlookup!$A$2:$E$660,3,0)</f>
        <v>Service Contract</v>
      </c>
      <c r="AI227" s="2" t="str">
        <f>VLOOKUP(F227,vlookup!$A$2:$E$660,4,0)</f>
        <v>Used Car Programs</v>
      </c>
      <c r="AJ227" s="2" t="str">
        <f>VLOOKUP(F227,vlookup!$A$2:$E$660,5,0)</f>
        <v>High Mileage</v>
      </c>
      <c r="AK227" s="2"/>
      <c r="AL227" s="2">
        <f t="shared" si="52"/>
        <v>66</v>
      </c>
      <c r="AM227" s="2">
        <f t="shared" si="53"/>
        <v>98</v>
      </c>
      <c r="AN227" s="2">
        <f t="shared" si="54"/>
        <v>4858</v>
      </c>
      <c r="AO227" s="2" t="str">
        <f t="shared" si="55"/>
        <v/>
      </c>
      <c r="AP227" s="2" t="str">
        <f t="shared" si="56"/>
        <v/>
      </c>
      <c r="AQ227" s="2" t="str">
        <f t="shared" si="57"/>
        <v/>
      </c>
      <c r="AR227" s="2">
        <f t="shared" si="58"/>
        <v>-420.13</v>
      </c>
      <c r="AS227" s="2" t="str">
        <f t="shared" si="59"/>
        <v>APC500369-1</v>
      </c>
      <c r="AT227" s="2" t="str">
        <f>IFERROR(IF(VLOOKUP(Y227,vlookup!$I$2:$J$9,1,0)=Y227,VLOOKUP(Y227,vlookup!$I$2:$J$9,2,0),PROPER(Y227)),PROPER(Y227))</f>
        <v>Parts</v>
      </c>
      <c r="AU227" s="2" t="str">
        <f>IFERROR(IF(B227=VLOOKUP(B227,vlookup!$L$2:$L$10,1,0),"Yes","No"),"No")</f>
        <v>No</v>
      </c>
    </row>
    <row r="228" spans="1:47" x14ac:dyDescent="0.25">
      <c r="A228" t="s">
        <v>759</v>
      </c>
      <c r="B228" t="s">
        <v>760</v>
      </c>
      <c r="C228">
        <v>2</v>
      </c>
      <c r="D228">
        <v>1</v>
      </c>
      <c r="E228" t="s">
        <v>572</v>
      </c>
      <c r="F228" t="s">
        <v>207</v>
      </c>
      <c r="G228" t="s">
        <v>543</v>
      </c>
      <c r="H228" s="11" t="s">
        <v>609</v>
      </c>
      <c r="I228">
        <v>100055</v>
      </c>
      <c r="J228" s="22">
        <v>44275</v>
      </c>
      <c r="K228" s="22">
        <v>44342</v>
      </c>
      <c r="L228">
        <v>202105</v>
      </c>
      <c r="M228" s="22">
        <v>44317</v>
      </c>
      <c r="N228">
        <v>77871</v>
      </c>
      <c r="O228" t="s">
        <v>699</v>
      </c>
      <c r="P228" t="s">
        <v>712</v>
      </c>
      <c r="Q228" t="s">
        <v>612</v>
      </c>
      <c r="R228">
        <v>101341</v>
      </c>
      <c r="S228" s="22">
        <v>44422</v>
      </c>
      <c r="T228">
        <v>106194</v>
      </c>
      <c r="U228" t="s">
        <v>356</v>
      </c>
      <c r="V228" s="22">
        <v>44426</v>
      </c>
      <c r="W228" t="s">
        <v>596</v>
      </c>
      <c r="X228" t="s">
        <v>597</v>
      </c>
      <c r="Y228" t="s">
        <v>95</v>
      </c>
      <c r="Z228" t="s">
        <v>358</v>
      </c>
      <c r="AA228">
        <v>-183.52</v>
      </c>
      <c r="AC228" s="2">
        <f t="shared" si="48"/>
        <v>2021</v>
      </c>
      <c r="AD228" s="2">
        <f t="shared" si="49"/>
        <v>8</v>
      </c>
      <c r="AE228" s="2">
        <f t="shared" si="50"/>
        <v>2021</v>
      </c>
      <c r="AF228" s="2">
        <f t="shared" si="51"/>
        <v>3</v>
      </c>
      <c r="AG228" s="2" t="str">
        <f>VLOOKUP(F228,vlookup!$A$2:$E$660,2,0)</f>
        <v>Retained</v>
      </c>
      <c r="AH228" s="2" t="str">
        <f>VLOOKUP(F228,vlookup!$A$2:$E$660,3,0)</f>
        <v>Service Contract</v>
      </c>
      <c r="AI228" s="2" t="str">
        <f>VLOOKUP(F228,vlookup!$A$2:$E$660,4,0)</f>
        <v>Used Car Programs</v>
      </c>
      <c r="AJ228" s="2" t="str">
        <f>VLOOKUP(F228,vlookup!$A$2:$E$660,5,0)</f>
        <v>High Mileage</v>
      </c>
      <c r="AK228" s="2"/>
      <c r="AL228" s="2">
        <f t="shared" si="52"/>
        <v>66</v>
      </c>
      <c r="AM228" s="2">
        <f t="shared" si="53"/>
        <v>148</v>
      </c>
      <c r="AN228" s="2">
        <f t="shared" si="54"/>
        <v>6139</v>
      </c>
      <c r="AO228" s="2" t="str">
        <f t="shared" si="55"/>
        <v/>
      </c>
      <c r="AP228" s="2" t="str">
        <f t="shared" si="56"/>
        <v/>
      </c>
      <c r="AQ228" s="2" t="str">
        <f t="shared" si="57"/>
        <v/>
      </c>
      <c r="AR228" s="2">
        <f t="shared" si="58"/>
        <v>-183.52</v>
      </c>
      <c r="AS228" s="2" t="str">
        <f t="shared" si="59"/>
        <v>APC500369-2</v>
      </c>
      <c r="AT228" s="2" t="str">
        <f>IFERROR(IF(VLOOKUP(Y228,vlookup!$I$2:$J$9,1,0)=Y228,VLOOKUP(Y228,vlookup!$I$2:$J$9,2,0),PROPER(Y228)),PROPER(Y228))</f>
        <v>Parts</v>
      </c>
      <c r="AU228" s="2" t="str">
        <f>IFERROR(IF(B228=VLOOKUP(B228,vlookup!$L$2:$L$10,1,0),"Yes","No"),"No")</f>
        <v>No</v>
      </c>
    </row>
    <row r="229" spans="1:47" x14ac:dyDescent="0.25">
      <c r="A229" t="s">
        <v>759</v>
      </c>
      <c r="B229" t="s">
        <v>760</v>
      </c>
      <c r="C229">
        <v>2</v>
      </c>
      <c r="D229">
        <v>1</v>
      </c>
      <c r="E229" t="s">
        <v>572</v>
      </c>
      <c r="F229" t="s">
        <v>207</v>
      </c>
      <c r="G229" t="s">
        <v>543</v>
      </c>
      <c r="H229" s="11" t="s">
        <v>609</v>
      </c>
      <c r="I229">
        <v>100055</v>
      </c>
      <c r="J229" s="22">
        <v>44275</v>
      </c>
      <c r="K229" s="22">
        <v>44342</v>
      </c>
      <c r="L229">
        <v>202105</v>
      </c>
      <c r="M229" s="22">
        <v>44317</v>
      </c>
      <c r="N229">
        <v>77871</v>
      </c>
      <c r="O229" t="s">
        <v>699</v>
      </c>
      <c r="P229" t="s">
        <v>712</v>
      </c>
      <c r="Q229" t="s">
        <v>612</v>
      </c>
      <c r="R229">
        <v>101341</v>
      </c>
      <c r="S229" s="22">
        <v>44422</v>
      </c>
      <c r="T229">
        <v>106194</v>
      </c>
      <c r="U229" t="s">
        <v>356</v>
      </c>
      <c r="V229" s="22">
        <v>44426</v>
      </c>
      <c r="W229" t="s">
        <v>692</v>
      </c>
      <c r="X229" t="s">
        <v>693</v>
      </c>
      <c r="Y229" t="s">
        <v>95</v>
      </c>
      <c r="Z229" t="s">
        <v>579</v>
      </c>
      <c r="AA229">
        <v>-283.81</v>
      </c>
      <c r="AC229" s="2">
        <f t="shared" si="48"/>
        <v>2021</v>
      </c>
      <c r="AD229" s="2">
        <f t="shared" si="49"/>
        <v>8</v>
      </c>
      <c r="AE229" s="2">
        <f t="shared" si="50"/>
        <v>2021</v>
      </c>
      <c r="AF229" s="2">
        <f t="shared" si="51"/>
        <v>3</v>
      </c>
      <c r="AG229" s="2" t="str">
        <f>VLOOKUP(F229,vlookup!$A$2:$E$660,2,0)</f>
        <v>Retained</v>
      </c>
      <c r="AH229" s="2" t="str">
        <f>VLOOKUP(F229,vlookup!$A$2:$E$660,3,0)</f>
        <v>Service Contract</v>
      </c>
      <c r="AI229" s="2" t="str">
        <f>VLOOKUP(F229,vlookup!$A$2:$E$660,4,0)</f>
        <v>Used Car Programs</v>
      </c>
      <c r="AJ229" s="2" t="str">
        <f>VLOOKUP(F229,vlookup!$A$2:$E$660,5,0)</f>
        <v>High Mileage</v>
      </c>
      <c r="AK229" s="2"/>
      <c r="AL229" s="2">
        <f t="shared" si="52"/>
        <v>66</v>
      </c>
      <c r="AM229" s="2">
        <f t="shared" si="53"/>
        <v>148</v>
      </c>
      <c r="AN229" s="2">
        <f t="shared" si="54"/>
        <v>6139</v>
      </c>
      <c r="AO229" s="2" t="str">
        <f t="shared" si="55"/>
        <v/>
      </c>
      <c r="AP229" s="2" t="str">
        <f t="shared" si="56"/>
        <v/>
      </c>
      <c r="AQ229" s="2" t="str">
        <f t="shared" si="57"/>
        <v/>
      </c>
      <c r="AR229" s="2">
        <f t="shared" si="58"/>
        <v>-283.81</v>
      </c>
      <c r="AS229" s="2" t="str">
        <f t="shared" si="59"/>
        <v>APC500369-2</v>
      </c>
      <c r="AT229" s="2" t="str">
        <f>IFERROR(IF(VLOOKUP(Y229,vlookup!$I$2:$J$9,1,0)=Y229,VLOOKUP(Y229,vlookup!$I$2:$J$9,2,0),PROPER(Y229)),PROPER(Y229))</f>
        <v>Parts</v>
      </c>
      <c r="AU229" s="2" t="str">
        <f>IFERROR(IF(B229=VLOOKUP(B229,vlookup!$L$2:$L$10,1,0),"Yes","No"),"No")</f>
        <v>No</v>
      </c>
    </row>
    <row r="230" spans="1:47" x14ac:dyDescent="0.25">
      <c r="A230" t="s">
        <v>759</v>
      </c>
      <c r="B230" t="s">
        <v>760</v>
      </c>
      <c r="C230">
        <v>2</v>
      </c>
      <c r="D230">
        <v>1</v>
      </c>
      <c r="E230" t="s">
        <v>572</v>
      </c>
      <c r="F230" t="s">
        <v>207</v>
      </c>
      <c r="G230" t="s">
        <v>543</v>
      </c>
      <c r="H230" s="11" t="s">
        <v>609</v>
      </c>
      <c r="I230">
        <v>100055</v>
      </c>
      <c r="J230" s="22">
        <v>44275</v>
      </c>
      <c r="K230" s="22">
        <v>44342</v>
      </c>
      <c r="L230">
        <v>202105</v>
      </c>
      <c r="M230" s="22">
        <v>44317</v>
      </c>
      <c r="N230">
        <v>77871</v>
      </c>
      <c r="O230" t="s">
        <v>699</v>
      </c>
      <c r="P230" t="s">
        <v>712</v>
      </c>
      <c r="Q230" t="s">
        <v>612</v>
      </c>
      <c r="R230">
        <v>101341</v>
      </c>
      <c r="S230" s="22">
        <v>44422</v>
      </c>
      <c r="T230">
        <v>106194</v>
      </c>
      <c r="U230" t="s">
        <v>356</v>
      </c>
      <c r="V230" s="22">
        <v>44426</v>
      </c>
      <c r="W230" t="s">
        <v>638</v>
      </c>
      <c r="X230" t="s">
        <v>639</v>
      </c>
      <c r="Y230" t="s">
        <v>95</v>
      </c>
      <c r="Z230" t="s">
        <v>579</v>
      </c>
      <c r="AA230">
        <v>-45.35</v>
      </c>
      <c r="AC230" s="2">
        <f t="shared" si="48"/>
        <v>2021</v>
      </c>
      <c r="AD230" s="2">
        <f t="shared" si="49"/>
        <v>8</v>
      </c>
      <c r="AE230" s="2">
        <f t="shared" si="50"/>
        <v>2021</v>
      </c>
      <c r="AF230" s="2">
        <f t="shared" si="51"/>
        <v>3</v>
      </c>
      <c r="AG230" s="2" t="str">
        <f>VLOOKUP(F230,vlookup!$A$2:$E$660,2,0)</f>
        <v>Retained</v>
      </c>
      <c r="AH230" s="2" t="str">
        <f>VLOOKUP(F230,vlookup!$A$2:$E$660,3,0)</f>
        <v>Service Contract</v>
      </c>
      <c r="AI230" s="2" t="str">
        <f>VLOOKUP(F230,vlookup!$A$2:$E$660,4,0)</f>
        <v>Used Car Programs</v>
      </c>
      <c r="AJ230" s="2" t="str">
        <f>VLOOKUP(F230,vlookup!$A$2:$E$660,5,0)</f>
        <v>High Mileage</v>
      </c>
      <c r="AK230" s="2"/>
      <c r="AL230" s="2">
        <f t="shared" si="52"/>
        <v>66</v>
      </c>
      <c r="AM230" s="2">
        <f t="shared" si="53"/>
        <v>148</v>
      </c>
      <c r="AN230" s="2">
        <f t="shared" si="54"/>
        <v>6139</v>
      </c>
      <c r="AO230" s="2" t="str">
        <f t="shared" si="55"/>
        <v/>
      </c>
      <c r="AP230" s="2" t="str">
        <f t="shared" si="56"/>
        <v/>
      </c>
      <c r="AQ230" s="2" t="str">
        <f t="shared" si="57"/>
        <v/>
      </c>
      <c r="AR230" s="2">
        <f t="shared" si="58"/>
        <v>-45.35</v>
      </c>
      <c r="AS230" s="2" t="str">
        <f t="shared" si="59"/>
        <v>APC500369-2</v>
      </c>
      <c r="AT230" s="2" t="str">
        <f>IFERROR(IF(VLOOKUP(Y230,vlookup!$I$2:$J$9,1,0)=Y230,VLOOKUP(Y230,vlookup!$I$2:$J$9,2,0),PROPER(Y230)),PROPER(Y230))</f>
        <v>Parts</v>
      </c>
      <c r="AU230" s="2" t="str">
        <f>IFERROR(IF(B230=VLOOKUP(B230,vlookup!$L$2:$L$10,1,0),"Yes","No"),"No")</f>
        <v>No</v>
      </c>
    </row>
    <row r="231" spans="1:47" x14ac:dyDescent="0.25">
      <c r="A231" t="s">
        <v>734</v>
      </c>
      <c r="B231" t="s">
        <v>735</v>
      </c>
      <c r="C231">
        <v>1</v>
      </c>
      <c r="D231">
        <v>1</v>
      </c>
      <c r="E231" t="s">
        <v>382</v>
      </c>
      <c r="F231" t="s">
        <v>257</v>
      </c>
      <c r="G231" t="s">
        <v>543</v>
      </c>
      <c r="H231" s="11" t="s">
        <v>687</v>
      </c>
      <c r="I231">
        <v>67203</v>
      </c>
      <c r="J231" s="22">
        <v>44175</v>
      </c>
      <c r="K231" s="22">
        <v>44229</v>
      </c>
      <c r="L231">
        <v>202101</v>
      </c>
      <c r="M231" s="22">
        <v>44197</v>
      </c>
      <c r="N231">
        <v>77871</v>
      </c>
      <c r="O231" t="s">
        <v>699</v>
      </c>
      <c r="P231" t="s">
        <v>712</v>
      </c>
      <c r="Q231" t="s">
        <v>612</v>
      </c>
      <c r="R231">
        <v>904658</v>
      </c>
      <c r="S231" s="22">
        <v>44317</v>
      </c>
      <c r="T231">
        <v>71300</v>
      </c>
      <c r="U231" t="s">
        <v>356</v>
      </c>
      <c r="V231" s="22">
        <v>44336</v>
      </c>
      <c r="W231" t="s">
        <v>826</v>
      </c>
      <c r="X231" t="s">
        <v>827</v>
      </c>
      <c r="Y231" t="s">
        <v>95</v>
      </c>
      <c r="Z231" t="s">
        <v>358</v>
      </c>
      <c r="AA231">
        <v>-280.32</v>
      </c>
      <c r="AC231" s="2">
        <f t="shared" si="48"/>
        <v>2021</v>
      </c>
      <c r="AD231" s="2">
        <f t="shared" si="49"/>
        <v>5</v>
      </c>
      <c r="AE231" s="2">
        <f t="shared" si="50"/>
        <v>2020</v>
      </c>
      <c r="AF231" s="2">
        <f t="shared" si="51"/>
        <v>12</v>
      </c>
      <c r="AG231" s="2" t="str">
        <f>VLOOKUP(F231,vlookup!$A$2:$E$660,2,0)</f>
        <v>Retained</v>
      </c>
      <c r="AH231" s="2" t="str">
        <f>VLOOKUP(F231,vlookup!$A$2:$E$660,3,0)</f>
        <v>Service Contract</v>
      </c>
      <c r="AI231" s="2" t="str">
        <f>VLOOKUP(F231,vlookup!$A$2:$E$660,4,0)</f>
        <v>Used Car Programs</v>
      </c>
      <c r="AJ231" s="2" t="str">
        <f>VLOOKUP(F231,vlookup!$A$2:$E$660,5,0)</f>
        <v>High Mileage</v>
      </c>
      <c r="AK231" s="2"/>
      <c r="AL231" s="2">
        <f t="shared" si="52"/>
        <v>52</v>
      </c>
      <c r="AM231" s="2">
        <f t="shared" si="53"/>
        <v>160</v>
      </c>
      <c r="AN231" s="2">
        <f t="shared" si="54"/>
        <v>4097</v>
      </c>
      <c r="AO231" s="2" t="str">
        <f t="shared" si="55"/>
        <v/>
      </c>
      <c r="AP231" s="2" t="str">
        <f t="shared" si="56"/>
        <v/>
      </c>
      <c r="AQ231" s="2" t="str">
        <f t="shared" si="57"/>
        <v/>
      </c>
      <c r="AR231" s="2">
        <f t="shared" si="58"/>
        <v>-280.32</v>
      </c>
      <c r="AS231" s="2" t="str">
        <f t="shared" si="59"/>
        <v>SNFJR174307L20-1</v>
      </c>
      <c r="AT231" s="2" t="str">
        <f>IFERROR(IF(VLOOKUP(Y231,vlookup!$I$2:$J$9,1,0)=Y231,VLOOKUP(Y231,vlookup!$I$2:$J$9,2,0),PROPER(Y231)),PROPER(Y231))</f>
        <v>Parts</v>
      </c>
      <c r="AU231" s="2" t="str">
        <f>IFERROR(IF(B231=VLOOKUP(B231,vlookup!$L$2:$L$10,1,0),"Yes","No"),"No")</f>
        <v>No</v>
      </c>
    </row>
    <row r="232" spans="1:47" x14ac:dyDescent="0.25">
      <c r="A232" t="s">
        <v>734</v>
      </c>
      <c r="B232" t="s">
        <v>735</v>
      </c>
      <c r="C232">
        <v>2</v>
      </c>
      <c r="D232">
        <v>1</v>
      </c>
      <c r="E232" t="s">
        <v>382</v>
      </c>
      <c r="F232" t="s">
        <v>257</v>
      </c>
      <c r="G232" t="s">
        <v>543</v>
      </c>
      <c r="H232" s="11" t="s">
        <v>687</v>
      </c>
      <c r="I232">
        <v>67203</v>
      </c>
      <c r="J232" s="22">
        <v>44175</v>
      </c>
      <c r="K232" s="22">
        <v>44229</v>
      </c>
      <c r="L232">
        <v>202101</v>
      </c>
      <c r="M232" s="22">
        <v>44197</v>
      </c>
      <c r="N232">
        <v>77871</v>
      </c>
      <c r="O232" t="s">
        <v>699</v>
      </c>
      <c r="P232" t="s">
        <v>712</v>
      </c>
      <c r="Q232" t="s">
        <v>612</v>
      </c>
      <c r="R232">
        <v>102365</v>
      </c>
      <c r="S232" s="22">
        <v>44442</v>
      </c>
      <c r="T232">
        <v>74639</v>
      </c>
      <c r="U232" t="s">
        <v>356</v>
      </c>
      <c r="V232" s="22">
        <v>44449</v>
      </c>
      <c r="W232" t="s">
        <v>584</v>
      </c>
      <c r="X232" t="s">
        <v>585</v>
      </c>
      <c r="Y232" t="s">
        <v>95</v>
      </c>
      <c r="Z232" t="s">
        <v>576</v>
      </c>
      <c r="AA232">
        <v>-180.4</v>
      </c>
      <c r="AC232" s="2">
        <f t="shared" si="48"/>
        <v>2021</v>
      </c>
      <c r="AD232" s="2">
        <f t="shared" si="49"/>
        <v>9</v>
      </c>
      <c r="AE232" s="2">
        <f t="shared" si="50"/>
        <v>2020</v>
      </c>
      <c r="AF232" s="2">
        <f t="shared" si="51"/>
        <v>12</v>
      </c>
      <c r="AG232" s="2" t="str">
        <f>VLOOKUP(F232,vlookup!$A$2:$E$660,2,0)</f>
        <v>Retained</v>
      </c>
      <c r="AH232" s="2" t="str">
        <f>VLOOKUP(F232,vlookup!$A$2:$E$660,3,0)</f>
        <v>Service Contract</v>
      </c>
      <c r="AI232" s="2" t="str">
        <f>VLOOKUP(F232,vlookup!$A$2:$E$660,4,0)</f>
        <v>Used Car Programs</v>
      </c>
      <c r="AJ232" s="2" t="str">
        <f>VLOOKUP(F232,vlookup!$A$2:$E$660,5,0)</f>
        <v>High Mileage</v>
      </c>
      <c r="AK232" s="2"/>
      <c r="AL232" s="2">
        <f t="shared" si="52"/>
        <v>52</v>
      </c>
      <c r="AM232" s="2">
        <f t="shared" si="53"/>
        <v>270</v>
      </c>
      <c r="AN232" s="2">
        <f t="shared" si="54"/>
        <v>7436</v>
      </c>
      <c r="AO232" s="2" t="str">
        <f t="shared" si="55"/>
        <v/>
      </c>
      <c r="AP232" s="2" t="str">
        <f t="shared" si="56"/>
        <v/>
      </c>
      <c r="AQ232" s="2" t="str">
        <f t="shared" si="57"/>
        <v/>
      </c>
      <c r="AR232" s="2">
        <f t="shared" si="58"/>
        <v>-180.4</v>
      </c>
      <c r="AS232" s="2" t="str">
        <f t="shared" si="59"/>
        <v>SNFJR174307L20-2</v>
      </c>
      <c r="AT232" s="2" t="str">
        <f>IFERROR(IF(VLOOKUP(Y232,vlookup!$I$2:$J$9,1,0)=Y232,VLOOKUP(Y232,vlookup!$I$2:$J$9,2,0),PROPER(Y232)),PROPER(Y232))</f>
        <v>Parts</v>
      </c>
      <c r="AU232" s="2" t="str">
        <f>IFERROR(IF(B232=VLOOKUP(B232,vlookup!$L$2:$L$10,1,0),"Yes","No"),"No")</f>
        <v>No</v>
      </c>
    </row>
    <row r="233" spans="1:47" x14ac:dyDescent="0.25">
      <c r="A233" t="s">
        <v>734</v>
      </c>
      <c r="B233" t="s">
        <v>735</v>
      </c>
      <c r="C233">
        <v>2</v>
      </c>
      <c r="D233">
        <v>1</v>
      </c>
      <c r="E233" t="s">
        <v>382</v>
      </c>
      <c r="F233" t="s">
        <v>257</v>
      </c>
      <c r="G233" t="s">
        <v>543</v>
      </c>
      <c r="H233" s="11" t="s">
        <v>687</v>
      </c>
      <c r="I233">
        <v>67203</v>
      </c>
      <c r="J233" s="22">
        <v>44175</v>
      </c>
      <c r="K233" s="22">
        <v>44229</v>
      </c>
      <c r="L233">
        <v>202101</v>
      </c>
      <c r="M233" s="22">
        <v>44197</v>
      </c>
      <c r="N233">
        <v>77871</v>
      </c>
      <c r="O233" t="s">
        <v>699</v>
      </c>
      <c r="P233" t="s">
        <v>712</v>
      </c>
      <c r="Q233" t="s">
        <v>612</v>
      </c>
      <c r="R233">
        <v>102365</v>
      </c>
      <c r="S233" s="22">
        <v>44442</v>
      </c>
      <c r="T233">
        <v>74639</v>
      </c>
      <c r="U233" t="s">
        <v>356</v>
      </c>
      <c r="V233" s="22">
        <v>44449</v>
      </c>
      <c r="W233" t="s">
        <v>586</v>
      </c>
      <c r="X233" t="s">
        <v>587</v>
      </c>
      <c r="Y233" t="s">
        <v>95</v>
      </c>
      <c r="Z233" t="s">
        <v>576</v>
      </c>
      <c r="AA233">
        <v>-289.22000000000003</v>
      </c>
      <c r="AC233" s="2">
        <f t="shared" si="48"/>
        <v>2021</v>
      </c>
      <c r="AD233" s="2">
        <f t="shared" si="49"/>
        <v>9</v>
      </c>
      <c r="AE233" s="2">
        <f t="shared" si="50"/>
        <v>2020</v>
      </c>
      <c r="AF233" s="2">
        <f t="shared" si="51"/>
        <v>12</v>
      </c>
      <c r="AG233" s="2" t="str">
        <f>VLOOKUP(F233,vlookup!$A$2:$E$660,2,0)</f>
        <v>Retained</v>
      </c>
      <c r="AH233" s="2" t="str">
        <f>VLOOKUP(F233,vlookup!$A$2:$E$660,3,0)</f>
        <v>Service Contract</v>
      </c>
      <c r="AI233" s="2" t="str">
        <f>VLOOKUP(F233,vlookup!$A$2:$E$660,4,0)</f>
        <v>Used Car Programs</v>
      </c>
      <c r="AJ233" s="2" t="str">
        <f>VLOOKUP(F233,vlookup!$A$2:$E$660,5,0)</f>
        <v>High Mileage</v>
      </c>
      <c r="AK233" s="2"/>
      <c r="AL233" s="2">
        <f t="shared" si="52"/>
        <v>52</v>
      </c>
      <c r="AM233" s="2">
        <f t="shared" si="53"/>
        <v>270</v>
      </c>
      <c r="AN233" s="2">
        <f t="shared" si="54"/>
        <v>7436</v>
      </c>
      <c r="AO233" s="2" t="str">
        <f t="shared" si="55"/>
        <v/>
      </c>
      <c r="AP233" s="2" t="str">
        <f t="shared" si="56"/>
        <v/>
      </c>
      <c r="AQ233" s="2" t="str">
        <f t="shared" si="57"/>
        <v/>
      </c>
      <c r="AR233" s="2">
        <f t="shared" si="58"/>
        <v>-289.22000000000003</v>
      </c>
      <c r="AS233" s="2" t="str">
        <f t="shared" si="59"/>
        <v>SNFJR174307L20-2</v>
      </c>
      <c r="AT233" s="2" t="str">
        <f>IFERROR(IF(VLOOKUP(Y233,vlookup!$I$2:$J$9,1,0)=Y233,VLOOKUP(Y233,vlookup!$I$2:$J$9,2,0),PROPER(Y233)),PROPER(Y233))</f>
        <v>Parts</v>
      </c>
      <c r="AU233" s="2" t="str">
        <f>IFERROR(IF(B233=VLOOKUP(B233,vlookup!$L$2:$L$10,1,0),"Yes","No"),"No")</f>
        <v>No</v>
      </c>
    </row>
    <row r="234" spans="1:47" x14ac:dyDescent="0.25">
      <c r="A234" t="s">
        <v>734</v>
      </c>
      <c r="B234" t="s">
        <v>735</v>
      </c>
      <c r="C234">
        <v>2</v>
      </c>
      <c r="D234">
        <v>1</v>
      </c>
      <c r="E234" t="s">
        <v>382</v>
      </c>
      <c r="F234" t="s">
        <v>257</v>
      </c>
      <c r="G234" t="s">
        <v>543</v>
      </c>
      <c r="H234" s="11" t="s">
        <v>687</v>
      </c>
      <c r="I234">
        <v>67203</v>
      </c>
      <c r="J234" s="22">
        <v>44175</v>
      </c>
      <c r="K234" s="22">
        <v>44229</v>
      </c>
      <c r="L234">
        <v>202101</v>
      </c>
      <c r="M234" s="22">
        <v>44197</v>
      </c>
      <c r="N234">
        <v>77871</v>
      </c>
      <c r="O234" t="s">
        <v>699</v>
      </c>
      <c r="P234" t="s">
        <v>712</v>
      </c>
      <c r="Q234" t="s">
        <v>612</v>
      </c>
      <c r="R234">
        <v>102365</v>
      </c>
      <c r="S234" s="22">
        <v>44442</v>
      </c>
      <c r="T234">
        <v>74639</v>
      </c>
      <c r="U234" t="s">
        <v>356</v>
      </c>
      <c r="V234" s="22">
        <v>44449</v>
      </c>
      <c r="W234" t="s">
        <v>669</v>
      </c>
      <c r="X234" t="s">
        <v>670</v>
      </c>
      <c r="Y234" t="s">
        <v>95</v>
      </c>
      <c r="Z234" t="s">
        <v>576</v>
      </c>
      <c r="AA234">
        <v>-23.53</v>
      </c>
      <c r="AC234" s="2">
        <f t="shared" si="48"/>
        <v>2021</v>
      </c>
      <c r="AD234" s="2">
        <f t="shared" si="49"/>
        <v>9</v>
      </c>
      <c r="AE234" s="2">
        <f t="shared" si="50"/>
        <v>2020</v>
      </c>
      <c r="AF234" s="2">
        <f t="shared" si="51"/>
        <v>12</v>
      </c>
      <c r="AG234" s="2" t="str">
        <f>VLOOKUP(F234,vlookup!$A$2:$E$660,2,0)</f>
        <v>Retained</v>
      </c>
      <c r="AH234" s="2" t="str">
        <f>VLOOKUP(F234,vlookup!$A$2:$E$660,3,0)</f>
        <v>Service Contract</v>
      </c>
      <c r="AI234" s="2" t="str">
        <f>VLOOKUP(F234,vlookup!$A$2:$E$660,4,0)</f>
        <v>Used Car Programs</v>
      </c>
      <c r="AJ234" s="2" t="str">
        <f>VLOOKUP(F234,vlookup!$A$2:$E$660,5,0)</f>
        <v>High Mileage</v>
      </c>
      <c r="AK234" s="2"/>
      <c r="AL234" s="2">
        <f t="shared" si="52"/>
        <v>52</v>
      </c>
      <c r="AM234" s="2">
        <f t="shared" si="53"/>
        <v>270</v>
      </c>
      <c r="AN234" s="2">
        <f t="shared" si="54"/>
        <v>7436</v>
      </c>
      <c r="AO234" s="2" t="str">
        <f t="shared" si="55"/>
        <v/>
      </c>
      <c r="AP234" s="2" t="str">
        <f t="shared" si="56"/>
        <v/>
      </c>
      <c r="AQ234" s="2" t="str">
        <f t="shared" si="57"/>
        <v/>
      </c>
      <c r="AR234" s="2">
        <f t="shared" si="58"/>
        <v>-23.53</v>
      </c>
      <c r="AS234" s="2" t="str">
        <f t="shared" si="59"/>
        <v>SNFJR174307L20-2</v>
      </c>
      <c r="AT234" s="2" t="str">
        <f>IFERROR(IF(VLOOKUP(Y234,vlookup!$I$2:$J$9,1,0)=Y234,VLOOKUP(Y234,vlookup!$I$2:$J$9,2,0),PROPER(Y234)),PROPER(Y234))</f>
        <v>Parts</v>
      </c>
      <c r="AU234" s="2" t="str">
        <f>IFERROR(IF(B234=VLOOKUP(B234,vlookup!$L$2:$L$10,1,0),"Yes","No"),"No")</f>
        <v>No</v>
      </c>
    </row>
    <row r="235" spans="1:47" x14ac:dyDescent="0.25">
      <c r="A235" t="s">
        <v>734</v>
      </c>
      <c r="B235" t="s">
        <v>735</v>
      </c>
      <c r="C235">
        <v>3</v>
      </c>
      <c r="D235">
        <v>1</v>
      </c>
      <c r="E235" t="s">
        <v>382</v>
      </c>
      <c r="F235" t="s">
        <v>257</v>
      </c>
      <c r="G235" t="s">
        <v>543</v>
      </c>
      <c r="H235" s="11" t="s">
        <v>687</v>
      </c>
      <c r="I235">
        <v>67203</v>
      </c>
      <c r="J235" s="22">
        <v>44175</v>
      </c>
      <c r="K235" s="22">
        <v>44229</v>
      </c>
      <c r="L235">
        <v>202101</v>
      </c>
      <c r="M235" s="22">
        <v>44197</v>
      </c>
      <c r="N235">
        <v>77871</v>
      </c>
      <c r="O235" t="s">
        <v>699</v>
      </c>
      <c r="P235" t="s">
        <v>712</v>
      </c>
      <c r="Q235" t="s">
        <v>612</v>
      </c>
      <c r="R235">
        <v>118193</v>
      </c>
      <c r="S235" s="22">
        <v>44760</v>
      </c>
      <c r="T235">
        <v>85310</v>
      </c>
      <c r="U235" t="s">
        <v>356</v>
      </c>
      <c r="V235" s="22">
        <v>44763</v>
      </c>
      <c r="W235" t="s">
        <v>621</v>
      </c>
      <c r="X235" t="s">
        <v>622</v>
      </c>
      <c r="Y235" t="s">
        <v>95</v>
      </c>
      <c r="Z235" t="s">
        <v>579</v>
      </c>
      <c r="AA235">
        <v>-1250</v>
      </c>
      <c r="AC235" s="2">
        <f t="shared" si="48"/>
        <v>2022</v>
      </c>
      <c r="AD235" s="2">
        <f t="shared" si="49"/>
        <v>7</v>
      </c>
      <c r="AE235" s="2">
        <f t="shared" si="50"/>
        <v>2020</v>
      </c>
      <c r="AF235" s="2">
        <f t="shared" si="51"/>
        <v>12</v>
      </c>
      <c r="AG235" s="2" t="str">
        <f>VLOOKUP(F235,vlookup!$A$2:$E$660,2,0)</f>
        <v>Retained</v>
      </c>
      <c r="AH235" s="2" t="str">
        <f>VLOOKUP(F235,vlookup!$A$2:$E$660,3,0)</f>
        <v>Service Contract</v>
      </c>
      <c r="AI235" s="2" t="str">
        <f>VLOOKUP(F235,vlookup!$A$2:$E$660,4,0)</f>
        <v>Used Car Programs</v>
      </c>
      <c r="AJ235" s="2" t="str">
        <f>VLOOKUP(F235,vlookup!$A$2:$E$660,5,0)</f>
        <v>High Mileage</v>
      </c>
      <c r="AK235" s="2"/>
      <c r="AL235" s="2">
        <f t="shared" si="52"/>
        <v>52</v>
      </c>
      <c r="AM235" s="2">
        <f t="shared" si="53"/>
        <v>581</v>
      </c>
      <c r="AN235" s="2">
        <f t="shared" si="54"/>
        <v>18107</v>
      </c>
      <c r="AO235" s="2" t="str">
        <f t="shared" si="55"/>
        <v/>
      </c>
      <c r="AP235" s="2" t="str">
        <f t="shared" si="56"/>
        <v/>
      </c>
      <c r="AQ235" s="2" t="str">
        <f t="shared" si="57"/>
        <v/>
      </c>
      <c r="AR235" s="2">
        <f t="shared" si="58"/>
        <v>-1250</v>
      </c>
      <c r="AS235" s="2" t="str">
        <f t="shared" si="59"/>
        <v>SNFJR174307L20-3</v>
      </c>
      <c r="AT235" s="2" t="str">
        <f>IFERROR(IF(VLOOKUP(Y235,vlookup!$I$2:$J$9,1,0)=Y235,VLOOKUP(Y235,vlookup!$I$2:$J$9,2,0),PROPER(Y235)),PROPER(Y235))</f>
        <v>Parts</v>
      </c>
      <c r="AU235" s="2" t="str">
        <f>IFERROR(IF(B235=VLOOKUP(B235,vlookup!$L$2:$L$10,1,0),"Yes","No"),"No")</f>
        <v>No</v>
      </c>
    </row>
    <row r="236" spans="1:47" x14ac:dyDescent="0.25">
      <c r="A236" t="s">
        <v>828</v>
      </c>
      <c r="B236" t="s">
        <v>829</v>
      </c>
      <c r="C236">
        <v>1</v>
      </c>
      <c r="D236">
        <v>1</v>
      </c>
      <c r="E236" t="s">
        <v>382</v>
      </c>
      <c r="F236" t="s">
        <v>207</v>
      </c>
      <c r="G236" t="s">
        <v>30</v>
      </c>
      <c r="H236" s="11" t="s">
        <v>830</v>
      </c>
      <c r="I236">
        <v>17403</v>
      </c>
      <c r="J236" s="22">
        <v>44642</v>
      </c>
      <c r="K236" s="22">
        <v>44712</v>
      </c>
      <c r="L236">
        <v>202205</v>
      </c>
      <c r="M236" s="22">
        <v>44682</v>
      </c>
      <c r="N236">
        <v>77871</v>
      </c>
      <c r="O236" t="s">
        <v>699</v>
      </c>
      <c r="P236" t="s">
        <v>831</v>
      </c>
      <c r="Q236" t="s">
        <v>612</v>
      </c>
      <c r="R236">
        <v>3050724</v>
      </c>
      <c r="S236" s="22">
        <v>44865</v>
      </c>
      <c r="T236">
        <v>24170</v>
      </c>
      <c r="U236" t="s">
        <v>356</v>
      </c>
      <c r="V236" s="22">
        <v>44876</v>
      </c>
      <c r="W236" t="s">
        <v>832</v>
      </c>
      <c r="X236" t="s">
        <v>833</v>
      </c>
      <c r="Y236" t="s">
        <v>95</v>
      </c>
      <c r="Z236" t="s">
        <v>583</v>
      </c>
      <c r="AA236">
        <v>-64.42</v>
      </c>
      <c r="AC236" s="2">
        <f t="shared" si="48"/>
        <v>2022</v>
      </c>
      <c r="AD236" s="2">
        <f t="shared" si="49"/>
        <v>11</v>
      </c>
      <c r="AE236" s="2">
        <f t="shared" si="50"/>
        <v>2022</v>
      </c>
      <c r="AF236" s="2">
        <f t="shared" si="51"/>
        <v>3</v>
      </c>
      <c r="AG236" s="2" t="str">
        <f>VLOOKUP(F236,vlookup!$A$2:$E$660,2,0)</f>
        <v>Retained</v>
      </c>
      <c r="AH236" s="2" t="str">
        <f>VLOOKUP(F236,vlookup!$A$2:$E$660,3,0)</f>
        <v>Service Contract</v>
      </c>
      <c r="AI236" s="2" t="str">
        <f>VLOOKUP(F236,vlookup!$A$2:$E$660,4,0)</f>
        <v>Used Car Programs</v>
      </c>
      <c r="AJ236" s="2" t="str">
        <f>VLOOKUP(F236,vlookup!$A$2:$E$660,5,0)</f>
        <v>High Mileage</v>
      </c>
      <c r="AK236" s="2"/>
      <c r="AL236" s="2">
        <f t="shared" si="52"/>
        <v>69</v>
      </c>
      <c r="AM236" s="2">
        <f t="shared" si="53"/>
        <v>229</v>
      </c>
      <c r="AN236" s="2">
        <f t="shared" si="54"/>
        <v>6767</v>
      </c>
      <c r="AO236" s="2" t="str">
        <f t="shared" si="55"/>
        <v/>
      </c>
      <c r="AP236" s="2" t="str">
        <f t="shared" si="56"/>
        <v/>
      </c>
      <c r="AQ236" s="2" t="str">
        <f t="shared" si="57"/>
        <v/>
      </c>
      <c r="AR236" s="2">
        <f t="shared" si="58"/>
        <v>-64.42</v>
      </c>
      <c r="AS236" s="2" t="str">
        <f t="shared" si="59"/>
        <v>APC500709-1</v>
      </c>
      <c r="AT236" s="2" t="str">
        <f>IFERROR(IF(VLOOKUP(Y236,vlookup!$I$2:$J$9,1,0)=Y236,VLOOKUP(Y236,vlookup!$I$2:$J$9,2,0),PROPER(Y236)),PROPER(Y236))</f>
        <v>Parts</v>
      </c>
      <c r="AU236" s="2" t="str">
        <f>IFERROR(IF(B236=VLOOKUP(B236,vlookup!$L$2:$L$10,1,0),"Yes","No"),"No")</f>
        <v>No</v>
      </c>
    </row>
    <row r="237" spans="1:47" x14ac:dyDescent="0.25">
      <c r="A237" t="s">
        <v>828</v>
      </c>
      <c r="B237" t="s">
        <v>829</v>
      </c>
      <c r="C237">
        <v>1</v>
      </c>
      <c r="D237">
        <v>1</v>
      </c>
      <c r="E237" t="s">
        <v>382</v>
      </c>
      <c r="F237" t="s">
        <v>207</v>
      </c>
      <c r="G237" t="s">
        <v>30</v>
      </c>
      <c r="H237" s="11" t="s">
        <v>830</v>
      </c>
      <c r="I237">
        <v>17403</v>
      </c>
      <c r="J237" s="22">
        <v>44642</v>
      </c>
      <c r="K237" s="22">
        <v>44712</v>
      </c>
      <c r="L237">
        <v>202205</v>
      </c>
      <c r="M237" s="22">
        <v>44682</v>
      </c>
      <c r="N237">
        <v>77871</v>
      </c>
      <c r="O237" t="s">
        <v>699</v>
      </c>
      <c r="P237" t="s">
        <v>831</v>
      </c>
      <c r="Q237" t="s">
        <v>612</v>
      </c>
      <c r="R237">
        <v>3050724</v>
      </c>
      <c r="S237" s="22">
        <v>44865</v>
      </c>
      <c r="T237">
        <v>24170</v>
      </c>
      <c r="U237" t="s">
        <v>356</v>
      </c>
      <c r="V237" s="22">
        <v>44876</v>
      </c>
      <c r="W237" t="s">
        <v>834</v>
      </c>
      <c r="X237" t="s">
        <v>835</v>
      </c>
      <c r="Y237" t="s">
        <v>95</v>
      </c>
      <c r="Z237" t="s">
        <v>358</v>
      </c>
      <c r="AA237">
        <v>-342.66</v>
      </c>
      <c r="AC237" s="2">
        <f t="shared" si="48"/>
        <v>2022</v>
      </c>
      <c r="AD237" s="2">
        <f t="shared" si="49"/>
        <v>11</v>
      </c>
      <c r="AE237" s="2">
        <f t="shared" si="50"/>
        <v>2022</v>
      </c>
      <c r="AF237" s="2">
        <f t="shared" si="51"/>
        <v>3</v>
      </c>
      <c r="AG237" s="2" t="str">
        <f>VLOOKUP(F237,vlookup!$A$2:$E$660,2,0)</f>
        <v>Retained</v>
      </c>
      <c r="AH237" s="2" t="str">
        <f>VLOOKUP(F237,vlookup!$A$2:$E$660,3,0)</f>
        <v>Service Contract</v>
      </c>
      <c r="AI237" s="2" t="str">
        <f>VLOOKUP(F237,vlookup!$A$2:$E$660,4,0)</f>
        <v>Used Car Programs</v>
      </c>
      <c r="AJ237" s="2" t="str">
        <f>VLOOKUP(F237,vlookup!$A$2:$E$660,5,0)</f>
        <v>High Mileage</v>
      </c>
      <c r="AK237" s="2"/>
      <c r="AL237" s="2">
        <f t="shared" si="52"/>
        <v>69</v>
      </c>
      <c r="AM237" s="2">
        <f t="shared" si="53"/>
        <v>229</v>
      </c>
      <c r="AN237" s="2">
        <f t="shared" si="54"/>
        <v>6767</v>
      </c>
      <c r="AO237" s="2" t="str">
        <f t="shared" si="55"/>
        <v/>
      </c>
      <c r="AP237" s="2" t="str">
        <f t="shared" si="56"/>
        <v/>
      </c>
      <c r="AQ237" s="2" t="str">
        <f t="shared" si="57"/>
        <v/>
      </c>
      <c r="AR237" s="2">
        <f t="shared" si="58"/>
        <v>-342.66</v>
      </c>
      <c r="AS237" s="2" t="str">
        <f t="shared" si="59"/>
        <v>APC500709-1</v>
      </c>
      <c r="AT237" s="2" t="str">
        <f>IFERROR(IF(VLOOKUP(Y237,vlookup!$I$2:$J$9,1,0)=Y237,VLOOKUP(Y237,vlookup!$I$2:$J$9,2,0),PROPER(Y237)),PROPER(Y237))</f>
        <v>Parts</v>
      </c>
      <c r="AU237" s="2" t="str">
        <f>IFERROR(IF(B237=VLOOKUP(B237,vlookup!$L$2:$L$10,1,0),"Yes","No"),"No")</f>
        <v>No</v>
      </c>
    </row>
    <row r="238" spans="1:47" x14ac:dyDescent="0.25">
      <c r="A238" t="s">
        <v>828</v>
      </c>
      <c r="B238" t="s">
        <v>829</v>
      </c>
      <c r="C238">
        <v>1</v>
      </c>
      <c r="D238">
        <v>1</v>
      </c>
      <c r="E238" t="s">
        <v>382</v>
      </c>
      <c r="F238" t="s">
        <v>207</v>
      </c>
      <c r="G238" t="s">
        <v>30</v>
      </c>
      <c r="H238" s="11" t="s">
        <v>830</v>
      </c>
      <c r="I238">
        <v>17403</v>
      </c>
      <c r="J238" s="22">
        <v>44642</v>
      </c>
      <c r="K238" s="22">
        <v>44712</v>
      </c>
      <c r="L238">
        <v>202205</v>
      </c>
      <c r="M238" s="22">
        <v>44682</v>
      </c>
      <c r="N238">
        <v>77871</v>
      </c>
      <c r="O238" t="s">
        <v>699</v>
      </c>
      <c r="P238" t="s">
        <v>831</v>
      </c>
      <c r="Q238" t="s">
        <v>612</v>
      </c>
      <c r="R238">
        <v>3050724</v>
      </c>
      <c r="S238" s="22">
        <v>44865</v>
      </c>
      <c r="T238">
        <v>24170</v>
      </c>
      <c r="U238" t="s">
        <v>356</v>
      </c>
      <c r="V238" s="22">
        <v>44876</v>
      </c>
      <c r="W238" t="s">
        <v>884</v>
      </c>
      <c r="X238" t="s">
        <v>885</v>
      </c>
      <c r="Y238" t="s">
        <v>95</v>
      </c>
      <c r="Z238" t="s">
        <v>14</v>
      </c>
      <c r="AA238">
        <v>100</v>
      </c>
      <c r="AC238" s="2">
        <f t="shared" si="48"/>
        <v>2022</v>
      </c>
      <c r="AD238" s="2">
        <f t="shared" si="49"/>
        <v>11</v>
      </c>
      <c r="AE238" s="2">
        <f t="shared" si="50"/>
        <v>2022</v>
      </c>
      <c r="AF238" s="2">
        <f t="shared" si="51"/>
        <v>3</v>
      </c>
      <c r="AG238" s="2" t="str">
        <f>VLOOKUP(F238,vlookup!$A$2:$E$660,2,0)</f>
        <v>Retained</v>
      </c>
      <c r="AH238" s="2" t="str">
        <f>VLOOKUP(F238,vlookup!$A$2:$E$660,3,0)</f>
        <v>Service Contract</v>
      </c>
      <c r="AI238" s="2" t="str">
        <f>VLOOKUP(F238,vlookup!$A$2:$E$660,4,0)</f>
        <v>Used Car Programs</v>
      </c>
      <c r="AJ238" s="2" t="str">
        <f>VLOOKUP(F238,vlookup!$A$2:$E$660,5,0)</f>
        <v>High Mileage</v>
      </c>
      <c r="AK238" s="2"/>
      <c r="AL238" s="2">
        <f t="shared" si="52"/>
        <v>69</v>
      </c>
      <c r="AM238" s="2">
        <f t="shared" si="53"/>
        <v>229</v>
      </c>
      <c r="AN238" s="2">
        <f t="shared" si="54"/>
        <v>6767</v>
      </c>
      <c r="AO238" s="2" t="str">
        <f t="shared" si="55"/>
        <v/>
      </c>
      <c r="AP238" s="2" t="str">
        <f t="shared" si="56"/>
        <v/>
      </c>
      <c r="AQ238" s="2" t="str">
        <f t="shared" si="57"/>
        <v/>
      </c>
      <c r="AR238" s="2">
        <f t="shared" si="58"/>
        <v>100</v>
      </c>
      <c r="AS238" s="2" t="str">
        <f t="shared" si="59"/>
        <v>APC500709-1</v>
      </c>
      <c r="AT238" s="2" t="str">
        <f>IFERROR(IF(VLOOKUP(Y238,vlookup!$I$2:$J$9,1,0)=Y238,VLOOKUP(Y238,vlookup!$I$2:$J$9,2,0),PROPER(Y238)),PROPER(Y238))</f>
        <v>Parts</v>
      </c>
      <c r="AU238" s="2" t="str">
        <f>IFERROR(IF(B238=VLOOKUP(B238,vlookup!$L$2:$L$10,1,0),"Yes","No"),"No")</f>
        <v>No</v>
      </c>
    </row>
    <row r="239" spans="1:47" x14ac:dyDescent="0.25">
      <c r="A239" t="s">
        <v>828</v>
      </c>
      <c r="B239" t="s">
        <v>829</v>
      </c>
      <c r="C239">
        <v>2</v>
      </c>
      <c r="D239">
        <v>1</v>
      </c>
      <c r="E239" t="s">
        <v>382</v>
      </c>
      <c r="F239" t="s">
        <v>207</v>
      </c>
      <c r="G239" t="s">
        <v>30</v>
      </c>
      <c r="H239" s="11" t="s">
        <v>830</v>
      </c>
      <c r="I239">
        <v>17403</v>
      </c>
      <c r="J239" s="22">
        <v>44642</v>
      </c>
      <c r="K239" s="22">
        <v>44712</v>
      </c>
      <c r="L239">
        <v>202205</v>
      </c>
      <c r="M239" s="22">
        <v>44682</v>
      </c>
      <c r="N239">
        <v>77871</v>
      </c>
      <c r="O239" t="s">
        <v>699</v>
      </c>
      <c r="P239" t="s">
        <v>831</v>
      </c>
      <c r="Q239" t="s">
        <v>612</v>
      </c>
      <c r="R239">
        <v>3051356</v>
      </c>
      <c r="S239" s="22">
        <v>44915</v>
      </c>
      <c r="T239">
        <v>24941</v>
      </c>
      <c r="U239" t="s">
        <v>356</v>
      </c>
      <c r="V239" s="22">
        <v>44923</v>
      </c>
      <c r="W239" t="s">
        <v>836</v>
      </c>
      <c r="X239" t="s">
        <v>837</v>
      </c>
      <c r="Y239" t="s">
        <v>95</v>
      </c>
      <c r="Z239" t="s">
        <v>583</v>
      </c>
      <c r="AA239">
        <v>-55.79</v>
      </c>
      <c r="AC239" s="2">
        <f t="shared" si="48"/>
        <v>2022</v>
      </c>
      <c r="AD239" s="2">
        <f t="shared" si="49"/>
        <v>12</v>
      </c>
      <c r="AE239" s="2">
        <f t="shared" si="50"/>
        <v>2022</v>
      </c>
      <c r="AF239" s="2">
        <f t="shared" si="51"/>
        <v>3</v>
      </c>
      <c r="AG239" s="2" t="str">
        <f>VLOOKUP(F239,vlookup!$A$2:$E$660,2,0)</f>
        <v>Retained</v>
      </c>
      <c r="AH239" s="2" t="str">
        <f>VLOOKUP(F239,vlookup!$A$2:$E$660,3,0)</f>
        <v>Service Contract</v>
      </c>
      <c r="AI239" s="2" t="str">
        <f>VLOOKUP(F239,vlookup!$A$2:$E$660,4,0)</f>
        <v>Used Car Programs</v>
      </c>
      <c r="AJ239" s="2" t="str">
        <f>VLOOKUP(F239,vlookup!$A$2:$E$660,5,0)</f>
        <v>High Mileage</v>
      </c>
      <c r="AK239" s="2"/>
      <c r="AL239" s="2">
        <f t="shared" si="52"/>
        <v>69</v>
      </c>
      <c r="AM239" s="2">
        <f t="shared" si="53"/>
        <v>276</v>
      </c>
      <c r="AN239" s="2">
        <f t="shared" si="54"/>
        <v>7538</v>
      </c>
      <c r="AO239" s="2" t="str">
        <f t="shared" si="55"/>
        <v/>
      </c>
      <c r="AP239" s="2" t="str">
        <f t="shared" si="56"/>
        <v/>
      </c>
      <c r="AQ239" s="2" t="str">
        <f t="shared" si="57"/>
        <v/>
      </c>
      <c r="AR239" s="2">
        <f t="shared" si="58"/>
        <v>-55.79</v>
      </c>
      <c r="AS239" s="2" t="str">
        <f t="shared" si="59"/>
        <v>APC500709-2</v>
      </c>
      <c r="AT239" s="2" t="str">
        <f>IFERROR(IF(VLOOKUP(Y239,vlookup!$I$2:$J$9,1,0)=Y239,VLOOKUP(Y239,vlookup!$I$2:$J$9,2,0),PROPER(Y239)),PROPER(Y239))</f>
        <v>Parts</v>
      </c>
      <c r="AU239" s="2" t="str">
        <f>IFERROR(IF(B239=VLOOKUP(B239,vlookup!$L$2:$L$10,1,0),"Yes","No"),"No")</f>
        <v>No</v>
      </c>
    </row>
    <row r="240" spans="1:47" x14ac:dyDescent="0.25">
      <c r="A240" t="s">
        <v>736</v>
      </c>
      <c r="B240" t="s">
        <v>737</v>
      </c>
      <c r="C240">
        <v>1</v>
      </c>
      <c r="D240">
        <v>1</v>
      </c>
      <c r="E240" t="s">
        <v>382</v>
      </c>
      <c r="F240" t="s">
        <v>257</v>
      </c>
      <c r="G240" t="s">
        <v>697</v>
      </c>
      <c r="H240" s="11" t="s">
        <v>738</v>
      </c>
      <c r="I240">
        <v>78148</v>
      </c>
      <c r="J240" s="22">
        <v>44158</v>
      </c>
      <c r="K240" s="22">
        <v>44229</v>
      </c>
      <c r="L240">
        <v>202101</v>
      </c>
      <c r="M240" s="22">
        <v>44197</v>
      </c>
      <c r="N240">
        <v>77871</v>
      </c>
      <c r="O240" t="s">
        <v>699</v>
      </c>
      <c r="P240" t="s">
        <v>712</v>
      </c>
      <c r="Q240" t="s">
        <v>612</v>
      </c>
      <c r="R240">
        <v>106331</v>
      </c>
      <c r="S240" s="22">
        <v>44518</v>
      </c>
      <c r="T240">
        <v>89464</v>
      </c>
      <c r="U240" t="s">
        <v>356</v>
      </c>
      <c r="V240" s="22">
        <v>44524</v>
      </c>
      <c r="W240" t="s">
        <v>838</v>
      </c>
      <c r="X240" t="s">
        <v>839</v>
      </c>
      <c r="Y240" t="s">
        <v>95</v>
      </c>
      <c r="Z240" t="s">
        <v>358</v>
      </c>
      <c r="AA240">
        <v>-177.65</v>
      </c>
      <c r="AC240" s="2">
        <f t="shared" si="48"/>
        <v>2021</v>
      </c>
      <c r="AD240" s="2">
        <f t="shared" si="49"/>
        <v>11</v>
      </c>
      <c r="AE240" s="2">
        <f t="shared" si="50"/>
        <v>2020</v>
      </c>
      <c r="AF240" s="2">
        <f t="shared" si="51"/>
        <v>11</v>
      </c>
      <c r="AG240" s="2" t="str">
        <f>VLOOKUP(F240,vlookup!$A$2:$E$660,2,0)</f>
        <v>Retained</v>
      </c>
      <c r="AH240" s="2" t="str">
        <f>VLOOKUP(F240,vlookup!$A$2:$E$660,3,0)</f>
        <v>Service Contract</v>
      </c>
      <c r="AI240" s="2" t="str">
        <f>VLOOKUP(F240,vlookup!$A$2:$E$660,4,0)</f>
        <v>Used Car Programs</v>
      </c>
      <c r="AJ240" s="2" t="str">
        <f>VLOOKUP(F240,vlookup!$A$2:$E$660,5,0)</f>
        <v>High Mileage</v>
      </c>
      <c r="AK240" s="2"/>
      <c r="AL240" s="2">
        <f t="shared" si="52"/>
        <v>69</v>
      </c>
      <c r="AM240" s="2">
        <f t="shared" si="53"/>
        <v>361</v>
      </c>
      <c r="AN240" s="2">
        <f t="shared" si="54"/>
        <v>11316</v>
      </c>
      <c r="AO240" s="2" t="str">
        <f t="shared" si="55"/>
        <v/>
      </c>
      <c r="AP240" s="2" t="str">
        <f t="shared" si="56"/>
        <v/>
      </c>
      <c r="AQ240" s="2" t="str">
        <f t="shared" si="57"/>
        <v/>
      </c>
      <c r="AR240" s="2">
        <f t="shared" si="58"/>
        <v>-177.65</v>
      </c>
      <c r="AS240" s="2" t="str">
        <f t="shared" si="59"/>
        <v>SNFFR299688K20-1</v>
      </c>
      <c r="AT240" s="2" t="str">
        <f>IFERROR(IF(VLOOKUP(Y240,vlookup!$I$2:$J$9,1,0)=Y240,VLOOKUP(Y240,vlookup!$I$2:$J$9,2,0),PROPER(Y240)),PROPER(Y240))</f>
        <v>Parts</v>
      </c>
      <c r="AU240" s="2" t="str">
        <f>IFERROR(IF(B240=VLOOKUP(B240,vlookup!$L$2:$L$10,1,0),"Yes","No"),"No")</f>
        <v>No</v>
      </c>
    </row>
    <row r="241" spans="1:47" x14ac:dyDescent="0.25">
      <c r="A241" t="s">
        <v>736</v>
      </c>
      <c r="B241" t="s">
        <v>737</v>
      </c>
      <c r="C241">
        <v>2</v>
      </c>
      <c r="D241">
        <v>1</v>
      </c>
      <c r="E241" t="s">
        <v>382</v>
      </c>
      <c r="F241" t="s">
        <v>257</v>
      </c>
      <c r="G241" t="s">
        <v>697</v>
      </c>
      <c r="H241" s="11" t="s">
        <v>738</v>
      </c>
      <c r="I241">
        <v>78148</v>
      </c>
      <c r="J241" s="22">
        <v>44158</v>
      </c>
      <c r="K241" s="22">
        <v>44229</v>
      </c>
      <c r="L241">
        <v>202101</v>
      </c>
      <c r="M241" s="22">
        <v>44197</v>
      </c>
      <c r="N241">
        <v>77871</v>
      </c>
      <c r="O241" t="s">
        <v>699</v>
      </c>
      <c r="P241" t="s">
        <v>712</v>
      </c>
      <c r="Q241" t="s">
        <v>612</v>
      </c>
      <c r="R241">
        <v>110766</v>
      </c>
      <c r="S241" s="22">
        <v>44609</v>
      </c>
      <c r="T241">
        <v>92331</v>
      </c>
      <c r="U241" t="s">
        <v>356</v>
      </c>
      <c r="V241" s="22">
        <v>44620</v>
      </c>
      <c r="W241" t="s">
        <v>840</v>
      </c>
      <c r="X241" t="s">
        <v>841</v>
      </c>
      <c r="Y241" t="s">
        <v>95</v>
      </c>
      <c r="Z241" t="s">
        <v>358</v>
      </c>
      <c r="AA241">
        <v>-163.63</v>
      </c>
      <c r="AC241" s="2">
        <f t="shared" si="48"/>
        <v>2022</v>
      </c>
      <c r="AD241" s="2">
        <f t="shared" si="49"/>
        <v>2</v>
      </c>
      <c r="AE241" s="2">
        <f t="shared" si="50"/>
        <v>2020</v>
      </c>
      <c r="AF241" s="2">
        <f t="shared" si="51"/>
        <v>11</v>
      </c>
      <c r="AG241" s="2" t="str">
        <f>VLOOKUP(F241,vlookup!$A$2:$E$660,2,0)</f>
        <v>Retained</v>
      </c>
      <c r="AH241" s="2" t="str">
        <f>VLOOKUP(F241,vlookup!$A$2:$E$660,3,0)</f>
        <v>Service Contract</v>
      </c>
      <c r="AI241" s="2" t="str">
        <f>VLOOKUP(F241,vlookup!$A$2:$E$660,4,0)</f>
        <v>Used Car Programs</v>
      </c>
      <c r="AJ241" s="2" t="str">
        <f>VLOOKUP(F241,vlookup!$A$2:$E$660,5,0)</f>
        <v>High Mileage</v>
      </c>
      <c r="AK241" s="2"/>
      <c r="AL241" s="2">
        <f t="shared" si="52"/>
        <v>69</v>
      </c>
      <c r="AM241" s="2">
        <f t="shared" si="53"/>
        <v>455</v>
      </c>
      <c r="AN241" s="2">
        <f t="shared" si="54"/>
        <v>14183</v>
      </c>
      <c r="AO241" s="2" t="str">
        <f t="shared" si="55"/>
        <v/>
      </c>
      <c r="AP241" s="2" t="str">
        <f t="shared" si="56"/>
        <v/>
      </c>
      <c r="AQ241" s="2" t="str">
        <f t="shared" si="57"/>
        <v/>
      </c>
      <c r="AR241" s="2">
        <f t="shared" si="58"/>
        <v>-163.63</v>
      </c>
      <c r="AS241" s="2" t="str">
        <f t="shared" si="59"/>
        <v>SNFFR299688K20-2</v>
      </c>
      <c r="AT241" s="2" t="str">
        <f>IFERROR(IF(VLOOKUP(Y241,vlookup!$I$2:$J$9,1,0)=Y241,VLOOKUP(Y241,vlookup!$I$2:$J$9,2,0),PROPER(Y241)),PROPER(Y241))</f>
        <v>Parts</v>
      </c>
      <c r="AU241" s="2" t="str">
        <f>IFERROR(IF(B241=VLOOKUP(B241,vlookup!$L$2:$L$10,1,0),"Yes","No"),"No")</f>
        <v>No</v>
      </c>
    </row>
    <row r="242" spans="1:47" x14ac:dyDescent="0.25">
      <c r="A242" t="s">
        <v>736</v>
      </c>
      <c r="B242" t="s">
        <v>737</v>
      </c>
      <c r="C242">
        <v>2</v>
      </c>
      <c r="D242">
        <v>1</v>
      </c>
      <c r="E242" t="s">
        <v>382</v>
      </c>
      <c r="F242" t="s">
        <v>257</v>
      </c>
      <c r="G242" t="s">
        <v>697</v>
      </c>
      <c r="H242" s="11" t="s">
        <v>738</v>
      </c>
      <c r="I242">
        <v>78148</v>
      </c>
      <c r="J242" s="22">
        <v>44158</v>
      </c>
      <c r="K242" s="22">
        <v>44229</v>
      </c>
      <c r="L242">
        <v>202101</v>
      </c>
      <c r="M242" s="22">
        <v>44197</v>
      </c>
      <c r="N242">
        <v>77871</v>
      </c>
      <c r="O242" t="s">
        <v>699</v>
      </c>
      <c r="P242" t="s">
        <v>712</v>
      </c>
      <c r="Q242" t="s">
        <v>612</v>
      </c>
      <c r="R242">
        <v>110766</v>
      </c>
      <c r="S242" s="22">
        <v>44609</v>
      </c>
      <c r="T242">
        <v>92331</v>
      </c>
      <c r="U242" t="s">
        <v>356</v>
      </c>
      <c r="V242" s="22">
        <v>44620</v>
      </c>
      <c r="W242" t="s">
        <v>842</v>
      </c>
      <c r="X242" t="s">
        <v>843</v>
      </c>
      <c r="Y242" t="s">
        <v>95</v>
      </c>
      <c r="Z242" t="s">
        <v>358</v>
      </c>
      <c r="AA242">
        <v>-966.3</v>
      </c>
      <c r="AC242" s="2">
        <f t="shared" si="48"/>
        <v>2022</v>
      </c>
      <c r="AD242" s="2">
        <f t="shared" si="49"/>
        <v>2</v>
      </c>
      <c r="AE242" s="2">
        <f t="shared" si="50"/>
        <v>2020</v>
      </c>
      <c r="AF242" s="2">
        <f t="shared" si="51"/>
        <v>11</v>
      </c>
      <c r="AG242" s="2" t="str">
        <f>VLOOKUP(F242,vlookup!$A$2:$E$660,2,0)</f>
        <v>Retained</v>
      </c>
      <c r="AH242" s="2" t="str">
        <f>VLOOKUP(F242,vlookup!$A$2:$E$660,3,0)</f>
        <v>Service Contract</v>
      </c>
      <c r="AI242" s="2" t="str">
        <f>VLOOKUP(F242,vlookup!$A$2:$E$660,4,0)</f>
        <v>Used Car Programs</v>
      </c>
      <c r="AJ242" s="2" t="str">
        <f>VLOOKUP(F242,vlookup!$A$2:$E$660,5,0)</f>
        <v>High Mileage</v>
      </c>
      <c r="AK242" s="2"/>
      <c r="AL242" s="2">
        <f t="shared" si="52"/>
        <v>69</v>
      </c>
      <c r="AM242" s="2">
        <f t="shared" si="53"/>
        <v>455</v>
      </c>
      <c r="AN242" s="2">
        <f t="shared" si="54"/>
        <v>14183</v>
      </c>
      <c r="AO242" s="2" t="str">
        <f t="shared" si="55"/>
        <v/>
      </c>
      <c r="AP242" s="2" t="str">
        <f t="shared" si="56"/>
        <v/>
      </c>
      <c r="AQ242" s="2" t="str">
        <f t="shared" si="57"/>
        <v/>
      </c>
      <c r="AR242" s="2">
        <f t="shared" si="58"/>
        <v>-966.3</v>
      </c>
      <c r="AS242" s="2" t="str">
        <f t="shared" si="59"/>
        <v>SNFFR299688K20-2</v>
      </c>
      <c r="AT242" s="2" t="str">
        <f>IFERROR(IF(VLOOKUP(Y242,vlookup!$I$2:$J$9,1,0)=Y242,VLOOKUP(Y242,vlookup!$I$2:$J$9,2,0),PROPER(Y242)),PROPER(Y242))</f>
        <v>Parts</v>
      </c>
      <c r="AU242" s="2" t="str">
        <f>IFERROR(IF(B242=VLOOKUP(B242,vlookup!$L$2:$L$10,1,0),"Yes","No"),"No")</f>
        <v>No</v>
      </c>
    </row>
    <row r="243" spans="1:47" x14ac:dyDescent="0.25">
      <c r="A243" t="s">
        <v>736</v>
      </c>
      <c r="B243" t="s">
        <v>737</v>
      </c>
      <c r="C243">
        <v>3</v>
      </c>
      <c r="D243">
        <v>1</v>
      </c>
      <c r="E243" t="s">
        <v>382</v>
      </c>
      <c r="F243" t="s">
        <v>257</v>
      </c>
      <c r="G243" t="s">
        <v>697</v>
      </c>
      <c r="H243" s="11" t="s">
        <v>738</v>
      </c>
      <c r="I243">
        <v>78148</v>
      </c>
      <c r="J243" s="22">
        <v>44158</v>
      </c>
      <c r="K243" s="22">
        <v>44229</v>
      </c>
      <c r="L243">
        <v>202101</v>
      </c>
      <c r="M243" s="22">
        <v>44197</v>
      </c>
      <c r="N243">
        <v>77871</v>
      </c>
      <c r="O243" t="s">
        <v>699</v>
      </c>
      <c r="P243" t="s">
        <v>712</v>
      </c>
      <c r="Q243" t="s">
        <v>612</v>
      </c>
      <c r="R243">
        <v>111677</v>
      </c>
      <c r="S243" s="22">
        <v>44628</v>
      </c>
      <c r="T243">
        <v>92746</v>
      </c>
      <c r="U243" t="s">
        <v>356</v>
      </c>
      <c r="V243" s="22">
        <v>44629</v>
      </c>
      <c r="W243" t="s">
        <v>844</v>
      </c>
      <c r="X243" t="s">
        <v>845</v>
      </c>
      <c r="Y243" t="s">
        <v>95</v>
      </c>
      <c r="Z243" t="s">
        <v>583</v>
      </c>
      <c r="AA243">
        <v>-353</v>
      </c>
      <c r="AC243" s="2">
        <f t="shared" si="48"/>
        <v>2022</v>
      </c>
      <c r="AD243" s="2">
        <f t="shared" si="49"/>
        <v>3</v>
      </c>
      <c r="AE243" s="2">
        <f t="shared" si="50"/>
        <v>2020</v>
      </c>
      <c r="AF243" s="2">
        <f t="shared" si="51"/>
        <v>11</v>
      </c>
      <c r="AG243" s="2" t="str">
        <f>VLOOKUP(F243,vlookup!$A$2:$E$660,2,0)</f>
        <v>Retained</v>
      </c>
      <c r="AH243" s="2" t="str">
        <f>VLOOKUP(F243,vlookup!$A$2:$E$660,3,0)</f>
        <v>Service Contract</v>
      </c>
      <c r="AI243" s="2" t="str">
        <f>VLOOKUP(F243,vlookup!$A$2:$E$660,4,0)</f>
        <v>Used Car Programs</v>
      </c>
      <c r="AJ243" s="2" t="str">
        <f>VLOOKUP(F243,vlookup!$A$2:$E$660,5,0)</f>
        <v>High Mileage</v>
      </c>
      <c r="AK243" s="2"/>
      <c r="AL243" s="2">
        <f t="shared" si="52"/>
        <v>69</v>
      </c>
      <c r="AM243" s="2">
        <f t="shared" si="53"/>
        <v>466</v>
      </c>
      <c r="AN243" s="2">
        <f t="shared" si="54"/>
        <v>14598</v>
      </c>
      <c r="AO243" s="2" t="str">
        <f t="shared" si="55"/>
        <v/>
      </c>
      <c r="AP243" s="2" t="str">
        <f t="shared" si="56"/>
        <v/>
      </c>
      <c r="AQ243" s="2" t="str">
        <f t="shared" si="57"/>
        <v/>
      </c>
      <c r="AR243" s="2">
        <f t="shared" si="58"/>
        <v>-353</v>
      </c>
      <c r="AS243" s="2" t="str">
        <f t="shared" si="59"/>
        <v>SNFFR299688K20-3</v>
      </c>
      <c r="AT243" s="2" t="str">
        <f>IFERROR(IF(VLOOKUP(Y243,vlookup!$I$2:$J$9,1,0)=Y243,VLOOKUP(Y243,vlookup!$I$2:$J$9,2,0),PROPER(Y243)),PROPER(Y243))</f>
        <v>Parts</v>
      </c>
      <c r="AU243" s="2" t="str">
        <f>IFERROR(IF(B243=VLOOKUP(B243,vlookup!$L$2:$L$10,1,0),"Yes","No"),"No")</f>
        <v>No</v>
      </c>
    </row>
    <row r="244" spans="1:47" x14ac:dyDescent="0.25">
      <c r="A244" t="s">
        <v>736</v>
      </c>
      <c r="B244" t="s">
        <v>737</v>
      </c>
      <c r="C244">
        <v>3</v>
      </c>
      <c r="D244">
        <v>1</v>
      </c>
      <c r="E244" t="s">
        <v>382</v>
      </c>
      <c r="F244" t="s">
        <v>257</v>
      </c>
      <c r="G244" t="s">
        <v>697</v>
      </c>
      <c r="H244" s="11" t="s">
        <v>738</v>
      </c>
      <c r="I244">
        <v>78148</v>
      </c>
      <c r="J244" s="22">
        <v>44158</v>
      </c>
      <c r="K244" s="22">
        <v>44229</v>
      </c>
      <c r="L244">
        <v>202101</v>
      </c>
      <c r="M244" s="22">
        <v>44197</v>
      </c>
      <c r="N244">
        <v>77871</v>
      </c>
      <c r="O244" t="s">
        <v>699</v>
      </c>
      <c r="P244" t="s">
        <v>712</v>
      </c>
      <c r="Q244" t="s">
        <v>612</v>
      </c>
      <c r="R244">
        <v>111677</v>
      </c>
      <c r="S244" s="22">
        <v>44628</v>
      </c>
      <c r="T244">
        <v>92746</v>
      </c>
      <c r="U244" t="s">
        <v>356</v>
      </c>
      <c r="V244" s="22">
        <v>44629</v>
      </c>
      <c r="W244" t="s">
        <v>616</v>
      </c>
      <c r="X244" t="s">
        <v>617</v>
      </c>
      <c r="Y244" t="s">
        <v>95</v>
      </c>
      <c r="Z244" t="s">
        <v>364</v>
      </c>
      <c r="AA244">
        <v>-28.24</v>
      </c>
      <c r="AC244" s="2">
        <f t="shared" si="48"/>
        <v>2022</v>
      </c>
      <c r="AD244" s="2">
        <f t="shared" si="49"/>
        <v>3</v>
      </c>
      <c r="AE244" s="2">
        <f t="shared" si="50"/>
        <v>2020</v>
      </c>
      <c r="AF244" s="2">
        <f t="shared" si="51"/>
        <v>11</v>
      </c>
      <c r="AG244" s="2" t="str">
        <f>VLOOKUP(F244,vlookup!$A$2:$E$660,2,0)</f>
        <v>Retained</v>
      </c>
      <c r="AH244" s="2" t="str">
        <f>VLOOKUP(F244,vlookup!$A$2:$E$660,3,0)</f>
        <v>Service Contract</v>
      </c>
      <c r="AI244" s="2" t="str">
        <f>VLOOKUP(F244,vlookup!$A$2:$E$660,4,0)</f>
        <v>Used Car Programs</v>
      </c>
      <c r="AJ244" s="2" t="str">
        <f>VLOOKUP(F244,vlookup!$A$2:$E$660,5,0)</f>
        <v>High Mileage</v>
      </c>
      <c r="AK244" s="2"/>
      <c r="AL244" s="2">
        <f t="shared" si="52"/>
        <v>69</v>
      </c>
      <c r="AM244" s="2">
        <f t="shared" si="53"/>
        <v>466</v>
      </c>
      <c r="AN244" s="2">
        <f t="shared" si="54"/>
        <v>14598</v>
      </c>
      <c r="AO244" s="2" t="str">
        <f t="shared" si="55"/>
        <v/>
      </c>
      <c r="AP244" s="2" t="str">
        <f t="shared" si="56"/>
        <v/>
      </c>
      <c r="AQ244" s="2" t="str">
        <f t="shared" si="57"/>
        <v/>
      </c>
      <c r="AR244" s="2">
        <f t="shared" si="58"/>
        <v>-28.24</v>
      </c>
      <c r="AS244" s="2" t="str">
        <f t="shared" si="59"/>
        <v>SNFFR299688K20-3</v>
      </c>
      <c r="AT244" s="2" t="str">
        <f>IFERROR(IF(VLOOKUP(Y244,vlookup!$I$2:$J$9,1,0)=Y244,VLOOKUP(Y244,vlookup!$I$2:$J$9,2,0),PROPER(Y244)),PROPER(Y244))</f>
        <v>Parts</v>
      </c>
      <c r="AU244" s="2" t="str">
        <f>IFERROR(IF(B244=VLOOKUP(B244,vlookup!$L$2:$L$10,1,0),"Yes","No"),"No")</f>
        <v>No</v>
      </c>
    </row>
    <row r="245" spans="1:47" x14ac:dyDescent="0.25">
      <c r="A245" t="s">
        <v>736</v>
      </c>
      <c r="B245" t="s">
        <v>737</v>
      </c>
      <c r="C245">
        <v>3</v>
      </c>
      <c r="D245">
        <v>1</v>
      </c>
      <c r="E245" t="s">
        <v>382</v>
      </c>
      <c r="F245" t="s">
        <v>257</v>
      </c>
      <c r="G245" t="s">
        <v>697</v>
      </c>
      <c r="H245" s="11" t="s">
        <v>738</v>
      </c>
      <c r="I245">
        <v>78148</v>
      </c>
      <c r="J245" s="22">
        <v>44158</v>
      </c>
      <c r="K245" s="22">
        <v>44229</v>
      </c>
      <c r="L245">
        <v>202101</v>
      </c>
      <c r="M245" s="22">
        <v>44197</v>
      </c>
      <c r="N245">
        <v>77871</v>
      </c>
      <c r="O245" t="s">
        <v>699</v>
      </c>
      <c r="P245" t="s">
        <v>712</v>
      </c>
      <c r="Q245" t="s">
        <v>612</v>
      </c>
      <c r="R245">
        <v>111677</v>
      </c>
      <c r="S245" s="22">
        <v>44628</v>
      </c>
      <c r="T245">
        <v>92746</v>
      </c>
      <c r="U245" t="s">
        <v>356</v>
      </c>
      <c r="V245" s="22">
        <v>44629</v>
      </c>
      <c r="W245" t="s">
        <v>600</v>
      </c>
      <c r="X245" t="s">
        <v>601</v>
      </c>
      <c r="Y245" t="s">
        <v>95</v>
      </c>
      <c r="Z245" t="s">
        <v>364</v>
      </c>
      <c r="AA245">
        <v>-37.76</v>
      </c>
      <c r="AC245" s="2">
        <f t="shared" si="48"/>
        <v>2022</v>
      </c>
      <c r="AD245" s="2">
        <f t="shared" si="49"/>
        <v>3</v>
      </c>
      <c r="AE245" s="2">
        <f t="shared" si="50"/>
        <v>2020</v>
      </c>
      <c r="AF245" s="2">
        <f t="shared" si="51"/>
        <v>11</v>
      </c>
      <c r="AG245" s="2" t="str">
        <f>VLOOKUP(F245,vlookup!$A$2:$E$660,2,0)</f>
        <v>Retained</v>
      </c>
      <c r="AH245" s="2" t="str">
        <f>VLOOKUP(F245,vlookup!$A$2:$E$660,3,0)</f>
        <v>Service Contract</v>
      </c>
      <c r="AI245" s="2" t="str">
        <f>VLOOKUP(F245,vlookup!$A$2:$E$660,4,0)</f>
        <v>Used Car Programs</v>
      </c>
      <c r="AJ245" s="2" t="str">
        <f>VLOOKUP(F245,vlookup!$A$2:$E$660,5,0)</f>
        <v>High Mileage</v>
      </c>
      <c r="AK245" s="2"/>
      <c r="AL245" s="2">
        <f t="shared" si="52"/>
        <v>69</v>
      </c>
      <c r="AM245" s="2">
        <f t="shared" si="53"/>
        <v>466</v>
      </c>
      <c r="AN245" s="2">
        <f t="shared" si="54"/>
        <v>14598</v>
      </c>
      <c r="AO245" s="2" t="str">
        <f t="shared" si="55"/>
        <v/>
      </c>
      <c r="AP245" s="2" t="str">
        <f t="shared" si="56"/>
        <v/>
      </c>
      <c r="AQ245" s="2" t="str">
        <f t="shared" si="57"/>
        <v/>
      </c>
      <c r="AR245" s="2">
        <f t="shared" si="58"/>
        <v>-37.76</v>
      </c>
      <c r="AS245" s="2" t="str">
        <f t="shared" si="59"/>
        <v>SNFFR299688K20-3</v>
      </c>
      <c r="AT245" s="2" t="str">
        <f>IFERROR(IF(VLOOKUP(Y245,vlookup!$I$2:$J$9,1,0)=Y245,VLOOKUP(Y245,vlookup!$I$2:$J$9,2,0),PROPER(Y245)),PROPER(Y245))</f>
        <v>Parts</v>
      </c>
      <c r="AU245" s="2" t="str">
        <f>IFERROR(IF(B245=VLOOKUP(B245,vlookup!$L$2:$L$10,1,0),"Yes","No"),"No")</f>
        <v>No</v>
      </c>
    </row>
    <row r="246" spans="1:47" x14ac:dyDescent="0.25">
      <c r="A246" t="s">
        <v>736</v>
      </c>
      <c r="B246" t="s">
        <v>737</v>
      </c>
      <c r="C246">
        <v>4</v>
      </c>
      <c r="D246">
        <v>1</v>
      </c>
      <c r="E246" t="s">
        <v>382</v>
      </c>
      <c r="F246" t="s">
        <v>257</v>
      </c>
      <c r="G246" t="s">
        <v>697</v>
      </c>
      <c r="H246" s="11" t="s">
        <v>738</v>
      </c>
      <c r="I246">
        <v>78148</v>
      </c>
      <c r="J246" s="22">
        <v>44158</v>
      </c>
      <c r="K246" s="22">
        <v>44229</v>
      </c>
      <c r="L246">
        <v>202101</v>
      </c>
      <c r="M246" s="22">
        <v>44197</v>
      </c>
      <c r="N246">
        <v>77871</v>
      </c>
      <c r="O246" t="s">
        <v>699</v>
      </c>
      <c r="P246" t="s">
        <v>712</v>
      </c>
      <c r="Q246" t="s">
        <v>612</v>
      </c>
      <c r="R246">
        <v>112392</v>
      </c>
      <c r="S246" s="22">
        <v>44642</v>
      </c>
      <c r="T246">
        <v>93176</v>
      </c>
      <c r="U246" t="s">
        <v>356</v>
      </c>
      <c r="V246" s="22">
        <v>44643</v>
      </c>
      <c r="W246" t="s">
        <v>584</v>
      </c>
      <c r="X246" t="s">
        <v>585</v>
      </c>
      <c r="Y246" t="s">
        <v>95</v>
      </c>
      <c r="Z246" t="s">
        <v>576</v>
      </c>
      <c r="AA246">
        <v>-49</v>
      </c>
      <c r="AC246" s="2">
        <f t="shared" si="48"/>
        <v>2022</v>
      </c>
      <c r="AD246" s="2">
        <f t="shared" si="49"/>
        <v>3</v>
      </c>
      <c r="AE246" s="2">
        <f t="shared" si="50"/>
        <v>2020</v>
      </c>
      <c r="AF246" s="2">
        <f t="shared" si="51"/>
        <v>11</v>
      </c>
      <c r="AG246" s="2" t="str">
        <f>VLOOKUP(F246,vlookup!$A$2:$E$660,2,0)</f>
        <v>Retained</v>
      </c>
      <c r="AH246" s="2" t="str">
        <f>VLOOKUP(F246,vlookup!$A$2:$E$660,3,0)</f>
        <v>Service Contract</v>
      </c>
      <c r="AI246" s="2" t="str">
        <f>VLOOKUP(F246,vlookup!$A$2:$E$660,4,0)</f>
        <v>Used Car Programs</v>
      </c>
      <c r="AJ246" s="2" t="str">
        <f>VLOOKUP(F246,vlookup!$A$2:$E$660,5,0)</f>
        <v>High Mileage</v>
      </c>
      <c r="AK246" s="2"/>
      <c r="AL246" s="2">
        <f t="shared" si="52"/>
        <v>69</v>
      </c>
      <c r="AM246" s="2">
        <f t="shared" si="53"/>
        <v>480</v>
      </c>
      <c r="AN246" s="2">
        <f t="shared" si="54"/>
        <v>15028</v>
      </c>
      <c r="AO246" s="2" t="str">
        <f t="shared" si="55"/>
        <v/>
      </c>
      <c r="AP246" s="2" t="str">
        <f t="shared" si="56"/>
        <v/>
      </c>
      <c r="AQ246" s="2" t="str">
        <f t="shared" si="57"/>
        <v/>
      </c>
      <c r="AR246" s="2">
        <f t="shared" si="58"/>
        <v>-49</v>
      </c>
      <c r="AS246" s="2" t="str">
        <f t="shared" si="59"/>
        <v>SNFFR299688K20-4</v>
      </c>
      <c r="AT246" s="2" t="str">
        <f>IFERROR(IF(VLOOKUP(Y246,vlookup!$I$2:$J$9,1,0)=Y246,VLOOKUP(Y246,vlookup!$I$2:$J$9,2,0),PROPER(Y246)),PROPER(Y246))</f>
        <v>Parts</v>
      </c>
      <c r="AU246" s="2" t="str">
        <f>IFERROR(IF(B246=VLOOKUP(B246,vlookup!$L$2:$L$10,1,0),"Yes","No"),"No")</f>
        <v>No</v>
      </c>
    </row>
    <row r="247" spans="1:47" x14ac:dyDescent="0.25">
      <c r="A247" t="s">
        <v>736</v>
      </c>
      <c r="B247" t="s">
        <v>737</v>
      </c>
      <c r="C247">
        <v>4</v>
      </c>
      <c r="D247">
        <v>1</v>
      </c>
      <c r="E247" t="s">
        <v>382</v>
      </c>
      <c r="F247" t="s">
        <v>257</v>
      </c>
      <c r="G247" t="s">
        <v>697</v>
      </c>
      <c r="H247" s="11" t="s">
        <v>738</v>
      </c>
      <c r="I247">
        <v>78148</v>
      </c>
      <c r="J247" s="22">
        <v>44158</v>
      </c>
      <c r="K247" s="22">
        <v>44229</v>
      </c>
      <c r="L247">
        <v>202101</v>
      </c>
      <c r="M247" s="22">
        <v>44197</v>
      </c>
      <c r="N247">
        <v>77871</v>
      </c>
      <c r="O247" t="s">
        <v>699</v>
      </c>
      <c r="P247" t="s">
        <v>712</v>
      </c>
      <c r="Q247" t="s">
        <v>612</v>
      </c>
      <c r="R247">
        <v>112392</v>
      </c>
      <c r="S247" s="22">
        <v>44642</v>
      </c>
      <c r="T247">
        <v>93176</v>
      </c>
      <c r="U247" t="s">
        <v>356</v>
      </c>
      <c r="V247" s="22">
        <v>44643</v>
      </c>
      <c r="W247" t="s">
        <v>586</v>
      </c>
      <c r="X247" t="s">
        <v>587</v>
      </c>
      <c r="Y247" t="s">
        <v>95</v>
      </c>
      <c r="Z247" t="s">
        <v>576</v>
      </c>
      <c r="AA247">
        <v>-195.03</v>
      </c>
      <c r="AC247" s="2">
        <f t="shared" si="48"/>
        <v>2022</v>
      </c>
      <c r="AD247" s="2">
        <f t="shared" si="49"/>
        <v>3</v>
      </c>
      <c r="AE247" s="2">
        <f t="shared" si="50"/>
        <v>2020</v>
      </c>
      <c r="AF247" s="2">
        <f t="shared" si="51"/>
        <v>11</v>
      </c>
      <c r="AG247" s="2" t="str">
        <f>VLOOKUP(F247,vlookup!$A$2:$E$660,2,0)</f>
        <v>Retained</v>
      </c>
      <c r="AH247" s="2" t="str">
        <f>VLOOKUP(F247,vlookup!$A$2:$E$660,3,0)</f>
        <v>Service Contract</v>
      </c>
      <c r="AI247" s="2" t="str">
        <f>VLOOKUP(F247,vlookup!$A$2:$E$660,4,0)</f>
        <v>Used Car Programs</v>
      </c>
      <c r="AJ247" s="2" t="str">
        <f>VLOOKUP(F247,vlookup!$A$2:$E$660,5,0)</f>
        <v>High Mileage</v>
      </c>
      <c r="AK247" s="2"/>
      <c r="AL247" s="2">
        <f t="shared" si="52"/>
        <v>69</v>
      </c>
      <c r="AM247" s="2">
        <f t="shared" si="53"/>
        <v>480</v>
      </c>
      <c r="AN247" s="2">
        <f t="shared" si="54"/>
        <v>15028</v>
      </c>
      <c r="AO247" s="2" t="str">
        <f t="shared" si="55"/>
        <v/>
      </c>
      <c r="AP247" s="2" t="str">
        <f t="shared" si="56"/>
        <v/>
      </c>
      <c r="AQ247" s="2" t="str">
        <f t="shared" si="57"/>
        <v/>
      </c>
      <c r="AR247" s="2">
        <f t="shared" si="58"/>
        <v>-195.03</v>
      </c>
      <c r="AS247" s="2" t="str">
        <f t="shared" si="59"/>
        <v>SNFFR299688K20-4</v>
      </c>
      <c r="AT247" s="2" t="str">
        <f>IFERROR(IF(VLOOKUP(Y247,vlookup!$I$2:$J$9,1,0)=Y247,VLOOKUP(Y247,vlookup!$I$2:$J$9,2,0),PROPER(Y247)),PROPER(Y247))</f>
        <v>Parts</v>
      </c>
      <c r="AU247" s="2" t="str">
        <f>IFERROR(IF(B247=VLOOKUP(B247,vlookup!$L$2:$L$10,1,0),"Yes","No"),"No")</f>
        <v>No</v>
      </c>
    </row>
    <row r="248" spans="1:47" x14ac:dyDescent="0.25">
      <c r="A248" t="s">
        <v>736</v>
      </c>
      <c r="B248" t="s">
        <v>737</v>
      </c>
      <c r="C248">
        <v>5</v>
      </c>
      <c r="D248">
        <v>1</v>
      </c>
      <c r="E248" t="s">
        <v>382</v>
      </c>
      <c r="F248" t="s">
        <v>257</v>
      </c>
      <c r="G248" t="s">
        <v>697</v>
      </c>
      <c r="H248" s="11" t="s">
        <v>738</v>
      </c>
      <c r="I248">
        <v>78148</v>
      </c>
      <c r="J248" s="22">
        <v>44158</v>
      </c>
      <c r="K248" s="22">
        <v>44229</v>
      </c>
      <c r="L248">
        <v>202101</v>
      </c>
      <c r="M248" s="22">
        <v>44197</v>
      </c>
      <c r="N248">
        <v>77871</v>
      </c>
      <c r="O248" t="s">
        <v>699</v>
      </c>
      <c r="P248" t="s">
        <v>712</v>
      </c>
      <c r="Q248" t="s">
        <v>612</v>
      </c>
      <c r="R248">
        <v>142378</v>
      </c>
      <c r="S248" s="22">
        <v>44886</v>
      </c>
      <c r="T248">
        <v>100749</v>
      </c>
      <c r="U248" t="s">
        <v>356</v>
      </c>
      <c r="V248" s="22">
        <v>44895</v>
      </c>
      <c r="W248" t="s">
        <v>618</v>
      </c>
      <c r="X248" t="s">
        <v>619</v>
      </c>
      <c r="Y248" t="s">
        <v>95</v>
      </c>
      <c r="Z248" t="s">
        <v>579</v>
      </c>
      <c r="AA248">
        <v>-1550</v>
      </c>
      <c r="AC248" s="2">
        <f t="shared" si="48"/>
        <v>2022</v>
      </c>
      <c r="AD248" s="2">
        <f t="shared" si="49"/>
        <v>11</v>
      </c>
      <c r="AE248" s="2">
        <f t="shared" si="50"/>
        <v>2020</v>
      </c>
      <c r="AF248" s="2">
        <f t="shared" si="51"/>
        <v>11</v>
      </c>
      <c r="AG248" s="2" t="str">
        <f>VLOOKUP(F248,vlookup!$A$2:$E$660,2,0)</f>
        <v>Retained</v>
      </c>
      <c r="AH248" s="2" t="str">
        <f>VLOOKUP(F248,vlookup!$A$2:$E$660,3,0)</f>
        <v>Service Contract</v>
      </c>
      <c r="AI248" s="2" t="str">
        <f>VLOOKUP(F248,vlookup!$A$2:$E$660,4,0)</f>
        <v>Used Car Programs</v>
      </c>
      <c r="AJ248" s="2" t="str">
        <f>VLOOKUP(F248,vlookup!$A$2:$E$660,5,0)</f>
        <v>High Mileage</v>
      </c>
      <c r="AK248" s="2"/>
      <c r="AL248" s="2">
        <f t="shared" si="52"/>
        <v>69</v>
      </c>
      <c r="AM248" s="2">
        <f t="shared" si="53"/>
        <v>727</v>
      </c>
      <c r="AN248" s="2">
        <f t="shared" si="54"/>
        <v>22601</v>
      </c>
      <c r="AO248" s="2" t="str">
        <f t="shared" si="55"/>
        <v/>
      </c>
      <c r="AP248" s="2" t="str">
        <f t="shared" si="56"/>
        <v/>
      </c>
      <c r="AQ248" s="2" t="str">
        <f t="shared" si="57"/>
        <v/>
      </c>
      <c r="AR248" s="2">
        <f t="shared" si="58"/>
        <v>-1550</v>
      </c>
      <c r="AS248" s="2" t="str">
        <f t="shared" si="59"/>
        <v>SNFFR299688K20-5</v>
      </c>
      <c r="AT248" s="2" t="str">
        <f>IFERROR(IF(VLOOKUP(Y248,vlookup!$I$2:$J$9,1,0)=Y248,VLOOKUP(Y248,vlookup!$I$2:$J$9,2,0),PROPER(Y248)),PROPER(Y248))</f>
        <v>Parts</v>
      </c>
      <c r="AU248" s="2" t="str">
        <f>IFERROR(IF(B248=VLOOKUP(B248,vlookup!$L$2:$L$10,1,0),"Yes","No"),"No")</f>
        <v>No</v>
      </c>
    </row>
    <row r="249" spans="1:47" x14ac:dyDescent="0.25">
      <c r="A249" t="s">
        <v>739</v>
      </c>
      <c r="B249" t="s">
        <v>740</v>
      </c>
      <c r="C249">
        <v>1</v>
      </c>
      <c r="D249">
        <v>1</v>
      </c>
      <c r="E249" t="s">
        <v>572</v>
      </c>
      <c r="F249" t="s">
        <v>346</v>
      </c>
      <c r="G249" t="s">
        <v>697</v>
      </c>
      <c r="H249" s="11" t="s">
        <v>738</v>
      </c>
      <c r="I249">
        <v>65533</v>
      </c>
      <c r="J249" s="22">
        <v>44141</v>
      </c>
      <c r="K249" s="22">
        <v>44168</v>
      </c>
      <c r="L249">
        <v>202011</v>
      </c>
      <c r="M249" s="22">
        <v>44136</v>
      </c>
      <c r="N249">
        <v>77871</v>
      </c>
      <c r="O249" t="s">
        <v>699</v>
      </c>
      <c r="P249" t="s">
        <v>712</v>
      </c>
      <c r="Q249" t="s">
        <v>612</v>
      </c>
      <c r="R249">
        <v>905856</v>
      </c>
      <c r="S249" s="22">
        <v>44337</v>
      </c>
      <c r="T249">
        <v>76841</v>
      </c>
      <c r="U249" t="s">
        <v>356</v>
      </c>
      <c r="V249" s="22">
        <v>44348</v>
      </c>
      <c r="W249" t="s">
        <v>584</v>
      </c>
      <c r="X249" t="s">
        <v>585</v>
      </c>
      <c r="Y249" t="s">
        <v>95</v>
      </c>
      <c r="Z249" t="s">
        <v>576</v>
      </c>
      <c r="AA249">
        <v>-36.75</v>
      </c>
      <c r="AC249" s="2">
        <f t="shared" si="48"/>
        <v>2021</v>
      </c>
      <c r="AD249" s="2">
        <f t="shared" si="49"/>
        <v>6</v>
      </c>
      <c r="AE249" s="2">
        <f t="shared" si="50"/>
        <v>2020</v>
      </c>
      <c r="AF249" s="2">
        <f t="shared" si="51"/>
        <v>11</v>
      </c>
      <c r="AG249" s="2" t="str">
        <f>VLOOKUP(F249,vlookup!$A$2:$E$660,2,0)</f>
        <v>Retained</v>
      </c>
      <c r="AH249" s="2" t="str">
        <f>VLOOKUP(F249,vlookup!$A$2:$E$660,3,0)</f>
        <v>Service Contract</v>
      </c>
      <c r="AI249" s="2" t="str">
        <f>VLOOKUP(F249,vlookup!$A$2:$E$660,4,0)</f>
        <v>Used Car Programs</v>
      </c>
      <c r="AJ249" s="2" t="str">
        <f>VLOOKUP(F249,vlookup!$A$2:$E$660,5,0)</f>
        <v>High Mileage</v>
      </c>
      <c r="AK249" s="2"/>
      <c r="AL249" s="2">
        <f t="shared" si="52"/>
        <v>27</v>
      </c>
      <c r="AM249" s="2">
        <f t="shared" si="53"/>
        <v>205</v>
      </c>
      <c r="AN249" s="2">
        <f t="shared" si="54"/>
        <v>11308</v>
      </c>
      <c r="AO249" s="2" t="str">
        <f t="shared" si="55"/>
        <v/>
      </c>
      <c r="AP249" s="2" t="str">
        <f t="shared" si="56"/>
        <v/>
      </c>
      <c r="AQ249" s="2" t="str">
        <f t="shared" si="57"/>
        <v/>
      </c>
      <c r="AR249" s="2">
        <f t="shared" si="58"/>
        <v>-36.75</v>
      </c>
      <c r="AS249" s="2" t="str">
        <f t="shared" si="59"/>
        <v>SDFGR356895K20-1</v>
      </c>
      <c r="AT249" s="2" t="str">
        <f>IFERROR(IF(VLOOKUP(Y249,vlookup!$I$2:$J$9,1,0)=Y249,VLOOKUP(Y249,vlookup!$I$2:$J$9,2,0),PROPER(Y249)),PROPER(Y249))</f>
        <v>Parts</v>
      </c>
      <c r="AU249" s="2" t="str">
        <f>IFERROR(IF(B249=VLOOKUP(B249,vlookup!$L$2:$L$10,1,0),"Yes","No"),"No")</f>
        <v>No</v>
      </c>
    </row>
    <row r="250" spans="1:47" x14ac:dyDescent="0.25">
      <c r="A250" t="s">
        <v>739</v>
      </c>
      <c r="B250" t="s">
        <v>740</v>
      </c>
      <c r="C250">
        <v>1</v>
      </c>
      <c r="D250">
        <v>1</v>
      </c>
      <c r="E250" t="s">
        <v>572</v>
      </c>
      <c r="F250" t="s">
        <v>346</v>
      </c>
      <c r="G250" t="s">
        <v>697</v>
      </c>
      <c r="H250" s="11" t="s">
        <v>738</v>
      </c>
      <c r="I250">
        <v>65533</v>
      </c>
      <c r="J250" s="22">
        <v>44141</v>
      </c>
      <c r="K250" s="22">
        <v>44168</v>
      </c>
      <c r="L250">
        <v>202011</v>
      </c>
      <c r="M250" s="22">
        <v>44136</v>
      </c>
      <c r="N250">
        <v>77871</v>
      </c>
      <c r="O250" t="s">
        <v>699</v>
      </c>
      <c r="P250" t="s">
        <v>712</v>
      </c>
      <c r="Q250" t="s">
        <v>612</v>
      </c>
      <c r="R250">
        <v>905856</v>
      </c>
      <c r="S250" s="22">
        <v>44337</v>
      </c>
      <c r="T250">
        <v>76841</v>
      </c>
      <c r="U250" t="s">
        <v>356</v>
      </c>
      <c r="V250" s="22">
        <v>44348</v>
      </c>
      <c r="W250" t="s">
        <v>586</v>
      </c>
      <c r="X250" t="s">
        <v>587</v>
      </c>
      <c r="Y250" t="s">
        <v>95</v>
      </c>
      <c r="Z250" t="s">
        <v>576</v>
      </c>
      <c r="AA250">
        <v>-289.22000000000003</v>
      </c>
      <c r="AC250" s="2">
        <f t="shared" si="48"/>
        <v>2021</v>
      </c>
      <c r="AD250" s="2">
        <f t="shared" si="49"/>
        <v>6</v>
      </c>
      <c r="AE250" s="2">
        <f t="shared" si="50"/>
        <v>2020</v>
      </c>
      <c r="AF250" s="2">
        <f t="shared" si="51"/>
        <v>11</v>
      </c>
      <c r="AG250" s="2" t="str">
        <f>VLOOKUP(F250,vlookup!$A$2:$E$660,2,0)</f>
        <v>Retained</v>
      </c>
      <c r="AH250" s="2" t="str">
        <f>VLOOKUP(F250,vlookup!$A$2:$E$660,3,0)</f>
        <v>Service Contract</v>
      </c>
      <c r="AI250" s="2" t="str">
        <f>VLOOKUP(F250,vlookup!$A$2:$E$660,4,0)</f>
        <v>Used Car Programs</v>
      </c>
      <c r="AJ250" s="2" t="str">
        <f>VLOOKUP(F250,vlookup!$A$2:$E$660,5,0)</f>
        <v>High Mileage</v>
      </c>
      <c r="AK250" s="2"/>
      <c r="AL250" s="2">
        <f t="shared" si="52"/>
        <v>27</v>
      </c>
      <c r="AM250" s="2">
        <f t="shared" si="53"/>
        <v>205</v>
      </c>
      <c r="AN250" s="2">
        <f t="shared" si="54"/>
        <v>11308</v>
      </c>
      <c r="AO250" s="2" t="str">
        <f t="shared" si="55"/>
        <v/>
      </c>
      <c r="AP250" s="2" t="str">
        <f t="shared" si="56"/>
        <v/>
      </c>
      <c r="AQ250" s="2" t="str">
        <f t="shared" si="57"/>
        <v/>
      </c>
      <c r="AR250" s="2">
        <f t="shared" si="58"/>
        <v>-289.22000000000003</v>
      </c>
      <c r="AS250" s="2" t="str">
        <f t="shared" si="59"/>
        <v>SDFGR356895K20-1</v>
      </c>
      <c r="AT250" s="2" t="str">
        <f>IFERROR(IF(VLOOKUP(Y250,vlookup!$I$2:$J$9,1,0)=Y250,VLOOKUP(Y250,vlookup!$I$2:$J$9,2,0),PROPER(Y250)),PROPER(Y250))</f>
        <v>Parts</v>
      </c>
      <c r="AU250" s="2" t="str">
        <f>IFERROR(IF(B250=VLOOKUP(B250,vlookup!$L$2:$L$10,1,0),"Yes","No"),"No")</f>
        <v>No</v>
      </c>
    </row>
    <row r="251" spans="1:47" x14ac:dyDescent="0.25">
      <c r="A251" t="s">
        <v>739</v>
      </c>
      <c r="B251" t="s">
        <v>740</v>
      </c>
      <c r="C251">
        <v>1</v>
      </c>
      <c r="D251">
        <v>1</v>
      </c>
      <c r="E251" t="s">
        <v>572</v>
      </c>
      <c r="F251" t="s">
        <v>346</v>
      </c>
      <c r="G251" t="s">
        <v>697</v>
      </c>
      <c r="H251" s="11" t="s">
        <v>738</v>
      </c>
      <c r="I251">
        <v>65533</v>
      </c>
      <c r="J251" s="22">
        <v>44141</v>
      </c>
      <c r="K251" s="22">
        <v>44168</v>
      </c>
      <c r="L251">
        <v>202011</v>
      </c>
      <c r="M251" s="22">
        <v>44136</v>
      </c>
      <c r="N251">
        <v>77871</v>
      </c>
      <c r="O251" t="s">
        <v>699</v>
      </c>
      <c r="P251" t="s">
        <v>712</v>
      </c>
      <c r="Q251" t="s">
        <v>612</v>
      </c>
      <c r="R251">
        <v>905856</v>
      </c>
      <c r="S251" s="22">
        <v>44337</v>
      </c>
      <c r="T251">
        <v>76841</v>
      </c>
      <c r="U251" t="s">
        <v>356</v>
      </c>
      <c r="V251" s="22">
        <v>44348</v>
      </c>
      <c r="W251" t="s">
        <v>669</v>
      </c>
      <c r="X251" t="s">
        <v>670</v>
      </c>
      <c r="Y251" t="s">
        <v>95</v>
      </c>
      <c r="Z251" t="s">
        <v>576</v>
      </c>
      <c r="AA251">
        <v>-37.24</v>
      </c>
      <c r="AC251" s="2">
        <f t="shared" si="48"/>
        <v>2021</v>
      </c>
      <c r="AD251" s="2">
        <f t="shared" si="49"/>
        <v>6</v>
      </c>
      <c r="AE251" s="2">
        <f t="shared" si="50"/>
        <v>2020</v>
      </c>
      <c r="AF251" s="2">
        <f t="shared" si="51"/>
        <v>11</v>
      </c>
      <c r="AG251" s="2" t="str">
        <f>VLOOKUP(F251,vlookup!$A$2:$E$660,2,0)</f>
        <v>Retained</v>
      </c>
      <c r="AH251" s="2" t="str">
        <f>VLOOKUP(F251,vlookup!$A$2:$E$660,3,0)</f>
        <v>Service Contract</v>
      </c>
      <c r="AI251" s="2" t="str">
        <f>VLOOKUP(F251,vlookup!$A$2:$E$660,4,0)</f>
        <v>Used Car Programs</v>
      </c>
      <c r="AJ251" s="2" t="str">
        <f>VLOOKUP(F251,vlookup!$A$2:$E$660,5,0)</f>
        <v>High Mileage</v>
      </c>
      <c r="AK251" s="2"/>
      <c r="AL251" s="2">
        <f t="shared" si="52"/>
        <v>27</v>
      </c>
      <c r="AM251" s="2">
        <f t="shared" si="53"/>
        <v>205</v>
      </c>
      <c r="AN251" s="2">
        <f t="shared" si="54"/>
        <v>11308</v>
      </c>
      <c r="AO251" s="2" t="str">
        <f t="shared" si="55"/>
        <v/>
      </c>
      <c r="AP251" s="2" t="str">
        <f t="shared" si="56"/>
        <v/>
      </c>
      <c r="AQ251" s="2" t="str">
        <f t="shared" si="57"/>
        <v/>
      </c>
      <c r="AR251" s="2">
        <f t="shared" si="58"/>
        <v>-37.24</v>
      </c>
      <c r="AS251" s="2" t="str">
        <f t="shared" si="59"/>
        <v>SDFGR356895K20-1</v>
      </c>
      <c r="AT251" s="2" t="str">
        <f>IFERROR(IF(VLOOKUP(Y251,vlookup!$I$2:$J$9,1,0)=Y251,VLOOKUP(Y251,vlookup!$I$2:$J$9,2,0),PROPER(Y251)),PROPER(Y251))</f>
        <v>Parts</v>
      </c>
      <c r="AU251" s="2" t="str">
        <f>IFERROR(IF(B251=VLOOKUP(B251,vlookup!$L$2:$L$10,1,0),"Yes","No"),"No")</f>
        <v>No</v>
      </c>
    </row>
    <row r="252" spans="1:47" x14ac:dyDescent="0.25">
      <c r="A252" t="s">
        <v>739</v>
      </c>
      <c r="B252" t="s">
        <v>740</v>
      </c>
      <c r="C252">
        <v>1</v>
      </c>
      <c r="D252">
        <v>2</v>
      </c>
      <c r="E252" t="s">
        <v>572</v>
      </c>
      <c r="F252" t="s">
        <v>346</v>
      </c>
      <c r="G252" t="s">
        <v>697</v>
      </c>
      <c r="H252" s="11" t="s">
        <v>738</v>
      </c>
      <c r="I252">
        <v>65533</v>
      </c>
      <c r="J252" s="22">
        <v>44141</v>
      </c>
      <c r="K252" s="22">
        <v>44168</v>
      </c>
      <c r="L252">
        <v>202011</v>
      </c>
      <c r="M252" s="22">
        <v>44136</v>
      </c>
      <c r="N252">
        <v>77871</v>
      </c>
      <c r="O252" t="s">
        <v>699</v>
      </c>
      <c r="P252" t="s">
        <v>869</v>
      </c>
      <c r="Q252" t="s">
        <v>359</v>
      </c>
      <c r="R252">
        <v>285626</v>
      </c>
      <c r="S252" s="22">
        <v>44337</v>
      </c>
      <c r="T252">
        <v>76841</v>
      </c>
      <c r="U252" t="s">
        <v>356</v>
      </c>
      <c r="V252" s="22">
        <v>44343</v>
      </c>
      <c r="W252" t="s">
        <v>621</v>
      </c>
      <c r="X252" t="s">
        <v>622</v>
      </c>
      <c r="Y252" t="s">
        <v>95</v>
      </c>
      <c r="Z252" t="s">
        <v>579</v>
      </c>
      <c r="AA252">
        <v>-899.99</v>
      </c>
      <c r="AC252" s="2">
        <f t="shared" si="48"/>
        <v>2021</v>
      </c>
      <c r="AD252" s="2">
        <f t="shared" si="49"/>
        <v>5</v>
      </c>
      <c r="AE252" s="2">
        <f t="shared" si="50"/>
        <v>2020</v>
      </c>
      <c r="AF252" s="2">
        <f t="shared" si="51"/>
        <v>11</v>
      </c>
      <c r="AG252" s="2" t="str">
        <f>VLOOKUP(F252,vlookup!$A$2:$E$660,2,0)</f>
        <v>Retained</v>
      </c>
      <c r="AH252" s="2" t="str">
        <f>VLOOKUP(F252,vlookup!$A$2:$E$660,3,0)</f>
        <v>Service Contract</v>
      </c>
      <c r="AI252" s="2" t="str">
        <f>VLOOKUP(F252,vlookup!$A$2:$E$660,4,0)</f>
        <v>Used Car Programs</v>
      </c>
      <c r="AJ252" s="2" t="str">
        <f>VLOOKUP(F252,vlookup!$A$2:$E$660,5,0)</f>
        <v>High Mileage</v>
      </c>
      <c r="AK252" s="2"/>
      <c r="AL252" s="2">
        <f t="shared" si="52"/>
        <v>27</v>
      </c>
      <c r="AM252" s="2">
        <f t="shared" si="53"/>
        <v>201</v>
      </c>
      <c r="AN252" s="2">
        <f t="shared" si="54"/>
        <v>11308</v>
      </c>
      <c r="AO252" s="2" t="str">
        <f t="shared" si="55"/>
        <v/>
      </c>
      <c r="AP252" s="2" t="str">
        <f t="shared" si="56"/>
        <v/>
      </c>
      <c r="AQ252" s="2" t="str">
        <f t="shared" si="57"/>
        <v/>
      </c>
      <c r="AR252" s="2">
        <f t="shared" si="58"/>
        <v>-899.99</v>
      </c>
      <c r="AS252" s="2" t="str">
        <f t="shared" si="59"/>
        <v>SDFGR356895K20-1</v>
      </c>
      <c r="AT252" s="2" t="str">
        <f>IFERROR(IF(VLOOKUP(Y252,vlookup!$I$2:$J$9,1,0)=Y252,VLOOKUP(Y252,vlookup!$I$2:$J$9,2,0),PROPER(Y252)),PROPER(Y252))</f>
        <v>Parts</v>
      </c>
      <c r="AU252" s="2" t="str">
        <f>IFERROR(IF(B252=VLOOKUP(B252,vlookup!$L$2:$L$10,1,0),"Yes","No"),"No")</f>
        <v>No</v>
      </c>
    </row>
    <row r="253" spans="1:47" x14ac:dyDescent="0.25">
      <c r="A253" t="s">
        <v>695</v>
      </c>
      <c r="B253" t="s">
        <v>696</v>
      </c>
      <c r="C253">
        <v>1</v>
      </c>
      <c r="D253">
        <v>1</v>
      </c>
      <c r="E253" t="s">
        <v>382</v>
      </c>
      <c r="F253" t="s">
        <v>207</v>
      </c>
      <c r="G253" t="s">
        <v>697</v>
      </c>
      <c r="H253" s="11" t="s">
        <v>698</v>
      </c>
      <c r="I253">
        <v>56598</v>
      </c>
      <c r="J253" s="22">
        <v>44119</v>
      </c>
      <c r="K253" s="22">
        <v>44200</v>
      </c>
      <c r="L253">
        <v>202012</v>
      </c>
      <c r="M253" s="22">
        <v>44166</v>
      </c>
      <c r="N253">
        <v>77871</v>
      </c>
      <c r="O253" t="s">
        <v>699</v>
      </c>
      <c r="P253" t="s">
        <v>831</v>
      </c>
      <c r="Q253" t="s">
        <v>612</v>
      </c>
      <c r="R253">
        <v>3047953</v>
      </c>
      <c r="S253" s="22">
        <v>44636</v>
      </c>
      <c r="T253">
        <v>80252</v>
      </c>
      <c r="U253" t="s">
        <v>356</v>
      </c>
      <c r="V253" s="22">
        <v>44643</v>
      </c>
      <c r="W253" t="s">
        <v>614</v>
      </c>
      <c r="X253" t="s">
        <v>615</v>
      </c>
      <c r="Y253" t="s">
        <v>95</v>
      </c>
      <c r="Z253" t="s">
        <v>365</v>
      </c>
      <c r="AA253">
        <v>-71.03</v>
      </c>
      <c r="AC253" s="2">
        <f t="shared" si="48"/>
        <v>2022</v>
      </c>
      <c r="AD253" s="2">
        <f t="shared" si="49"/>
        <v>3</v>
      </c>
      <c r="AE253" s="2">
        <f t="shared" si="50"/>
        <v>2020</v>
      </c>
      <c r="AF253" s="2">
        <f t="shared" si="51"/>
        <v>10</v>
      </c>
      <c r="AG253" s="2" t="str">
        <f>VLOOKUP(F253,vlookup!$A$2:$E$660,2,0)</f>
        <v>Retained</v>
      </c>
      <c r="AH253" s="2" t="str">
        <f>VLOOKUP(F253,vlookup!$A$2:$E$660,3,0)</f>
        <v>Service Contract</v>
      </c>
      <c r="AI253" s="2" t="str">
        <f>VLOOKUP(F253,vlookup!$A$2:$E$660,4,0)</f>
        <v>Used Car Programs</v>
      </c>
      <c r="AJ253" s="2" t="str">
        <f>VLOOKUP(F253,vlookup!$A$2:$E$660,5,0)</f>
        <v>High Mileage</v>
      </c>
      <c r="AK253" s="2"/>
      <c r="AL253" s="2">
        <f t="shared" si="52"/>
        <v>79</v>
      </c>
      <c r="AM253" s="2">
        <f t="shared" si="53"/>
        <v>518</v>
      </c>
      <c r="AN253" s="2">
        <f t="shared" si="54"/>
        <v>23654</v>
      </c>
      <c r="AO253" s="2" t="str">
        <f t="shared" si="55"/>
        <v/>
      </c>
      <c r="AP253" s="2" t="str">
        <f t="shared" si="56"/>
        <v/>
      </c>
      <c r="AQ253" s="2" t="str">
        <f t="shared" si="57"/>
        <v/>
      </c>
      <c r="AR253" s="2">
        <f t="shared" si="58"/>
        <v>-71.03</v>
      </c>
      <c r="AS253" s="2" t="str">
        <f t="shared" si="59"/>
        <v>APC500205-1</v>
      </c>
      <c r="AT253" s="2" t="str">
        <f>IFERROR(IF(VLOOKUP(Y253,vlookup!$I$2:$J$9,1,0)=Y253,VLOOKUP(Y253,vlookup!$I$2:$J$9,2,0),PROPER(Y253)),PROPER(Y253))</f>
        <v>Parts</v>
      </c>
      <c r="AU253" s="2" t="str">
        <f>IFERROR(IF(B253=VLOOKUP(B253,vlookup!$L$2:$L$10,1,0),"Yes","No"),"No")</f>
        <v>No</v>
      </c>
    </row>
    <row r="254" spans="1:47" x14ac:dyDescent="0.25">
      <c r="A254" t="s">
        <v>695</v>
      </c>
      <c r="B254" t="s">
        <v>696</v>
      </c>
      <c r="C254">
        <v>1</v>
      </c>
      <c r="D254">
        <v>1</v>
      </c>
      <c r="E254" t="s">
        <v>382</v>
      </c>
      <c r="F254" t="s">
        <v>207</v>
      </c>
      <c r="G254" t="s">
        <v>697</v>
      </c>
      <c r="H254" s="11" t="s">
        <v>698</v>
      </c>
      <c r="I254">
        <v>56598</v>
      </c>
      <c r="J254" s="22">
        <v>44119</v>
      </c>
      <c r="K254" s="22">
        <v>44200</v>
      </c>
      <c r="L254">
        <v>202012</v>
      </c>
      <c r="M254" s="22">
        <v>44166</v>
      </c>
      <c r="N254">
        <v>77871</v>
      </c>
      <c r="O254" t="s">
        <v>699</v>
      </c>
      <c r="P254" t="s">
        <v>831</v>
      </c>
      <c r="Q254" t="s">
        <v>612</v>
      </c>
      <c r="R254">
        <v>3047953</v>
      </c>
      <c r="S254" s="22">
        <v>44636</v>
      </c>
      <c r="T254">
        <v>80252</v>
      </c>
      <c r="U254" t="s">
        <v>356</v>
      </c>
      <c r="V254" s="22">
        <v>44643</v>
      </c>
      <c r="W254" t="s">
        <v>367</v>
      </c>
      <c r="X254" t="s">
        <v>368</v>
      </c>
      <c r="Y254" t="s">
        <v>95</v>
      </c>
      <c r="Z254" t="s">
        <v>365</v>
      </c>
      <c r="AA254">
        <v>-27.36</v>
      </c>
      <c r="AC254" s="2">
        <f t="shared" si="48"/>
        <v>2022</v>
      </c>
      <c r="AD254" s="2">
        <f t="shared" si="49"/>
        <v>3</v>
      </c>
      <c r="AE254" s="2">
        <f t="shared" si="50"/>
        <v>2020</v>
      </c>
      <c r="AF254" s="2">
        <f t="shared" si="51"/>
        <v>10</v>
      </c>
      <c r="AG254" s="2" t="str">
        <f>VLOOKUP(F254,vlookup!$A$2:$E$660,2,0)</f>
        <v>Retained</v>
      </c>
      <c r="AH254" s="2" t="str">
        <f>VLOOKUP(F254,vlookup!$A$2:$E$660,3,0)</f>
        <v>Service Contract</v>
      </c>
      <c r="AI254" s="2" t="str">
        <f>VLOOKUP(F254,vlookup!$A$2:$E$660,4,0)</f>
        <v>Used Car Programs</v>
      </c>
      <c r="AJ254" s="2" t="str">
        <f>VLOOKUP(F254,vlookup!$A$2:$E$660,5,0)</f>
        <v>High Mileage</v>
      </c>
      <c r="AK254" s="2"/>
      <c r="AL254" s="2">
        <f t="shared" si="52"/>
        <v>79</v>
      </c>
      <c r="AM254" s="2">
        <f t="shared" si="53"/>
        <v>518</v>
      </c>
      <c r="AN254" s="2">
        <f t="shared" si="54"/>
        <v>23654</v>
      </c>
      <c r="AO254" s="2" t="str">
        <f t="shared" si="55"/>
        <v/>
      </c>
      <c r="AP254" s="2" t="str">
        <f t="shared" si="56"/>
        <v/>
      </c>
      <c r="AQ254" s="2" t="str">
        <f t="shared" si="57"/>
        <v/>
      </c>
      <c r="AR254" s="2">
        <f t="shared" si="58"/>
        <v>-27.36</v>
      </c>
      <c r="AS254" s="2" t="str">
        <f t="shared" si="59"/>
        <v>APC500205-1</v>
      </c>
      <c r="AT254" s="2" t="str">
        <f>IFERROR(IF(VLOOKUP(Y254,vlookup!$I$2:$J$9,1,0)=Y254,VLOOKUP(Y254,vlookup!$I$2:$J$9,2,0),PROPER(Y254)),PROPER(Y254))</f>
        <v>Parts</v>
      </c>
      <c r="AU254" s="2" t="str">
        <f>IFERROR(IF(B254=VLOOKUP(B254,vlookup!$L$2:$L$10,1,0),"Yes","No"),"No")</f>
        <v>No</v>
      </c>
    </row>
    <row r="255" spans="1:47" x14ac:dyDescent="0.25">
      <c r="A255" t="s">
        <v>846</v>
      </c>
      <c r="B255" t="s">
        <v>847</v>
      </c>
      <c r="C255">
        <v>1</v>
      </c>
      <c r="D255">
        <v>1</v>
      </c>
      <c r="E255" t="s">
        <v>382</v>
      </c>
      <c r="F255" t="s">
        <v>207</v>
      </c>
      <c r="G255" t="s">
        <v>697</v>
      </c>
      <c r="H255" s="11" t="s">
        <v>738</v>
      </c>
      <c r="I255">
        <v>78864</v>
      </c>
      <c r="J255" s="22">
        <v>44344</v>
      </c>
      <c r="K255" s="22">
        <v>44399</v>
      </c>
      <c r="L255">
        <v>202107</v>
      </c>
      <c r="M255" s="22">
        <v>44378</v>
      </c>
      <c r="N255">
        <v>77871</v>
      </c>
      <c r="O255" t="s">
        <v>699</v>
      </c>
      <c r="P255" t="s">
        <v>712</v>
      </c>
      <c r="Q255" t="s">
        <v>612</v>
      </c>
      <c r="R255">
        <v>106126</v>
      </c>
      <c r="S255" s="22">
        <v>44513</v>
      </c>
      <c r="T255">
        <v>84984</v>
      </c>
      <c r="U255" t="s">
        <v>356</v>
      </c>
      <c r="V255" s="22">
        <v>44608</v>
      </c>
      <c r="W255" t="s">
        <v>685</v>
      </c>
      <c r="X255" t="s">
        <v>686</v>
      </c>
      <c r="Y255" t="s">
        <v>95</v>
      </c>
      <c r="Z255" t="s">
        <v>575</v>
      </c>
      <c r="AA255">
        <v>-398</v>
      </c>
      <c r="AC255" s="2">
        <f t="shared" si="48"/>
        <v>2022</v>
      </c>
      <c r="AD255" s="2">
        <f t="shared" si="49"/>
        <v>2</v>
      </c>
      <c r="AE255" s="2">
        <f t="shared" si="50"/>
        <v>2021</v>
      </c>
      <c r="AF255" s="2">
        <f t="shared" si="51"/>
        <v>5</v>
      </c>
      <c r="AG255" s="2" t="str">
        <f>VLOOKUP(F255,vlookup!$A$2:$E$660,2,0)</f>
        <v>Retained</v>
      </c>
      <c r="AH255" s="2" t="str">
        <f>VLOOKUP(F255,vlookup!$A$2:$E$660,3,0)</f>
        <v>Service Contract</v>
      </c>
      <c r="AI255" s="2" t="str">
        <f>VLOOKUP(F255,vlookup!$A$2:$E$660,4,0)</f>
        <v>Used Car Programs</v>
      </c>
      <c r="AJ255" s="2" t="str">
        <f>VLOOKUP(F255,vlookup!$A$2:$E$660,5,0)</f>
        <v>High Mileage</v>
      </c>
      <c r="AK255" s="2"/>
      <c r="AL255" s="2">
        <f t="shared" si="52"/>
        <v>54</v>
      </c>
      <c r="AM255" s="2">
        <f t="shared" si="53"/>
        <v>258</v>
      </c>
      <c r="AN255" s="2">
        <f t="shared" si="54"/>
        <v>6120</v>
      </c>
      <c r="AO255" s="2" t="str">
        <f t="shared" si="55"/>
        <v/>
      </c>
      <c r="AP255" s="2" t="str">
        <f t="shared" si="56"/>
        <v/>
      </c>
      <c r="AQ255" s="2" t="str">
        <f t="shared" si="57"/>
        <v/>
      </c>
      <c r="AR255" s="2">
        <f t="shared" si="58"/>
        <v>-398</v>
      </c>
      <c r="AS255" s="2" t="str">
        <f t="shared" si="59"/>
        <v>APC500425-1</v>
      </c>
      <c r="AT255" s="2" t="str">
        <f>IFERROR(IF(VLOOKUP(Y255,vlookup!$I$2:$J$9,1,0)=Y255,VLOOKUP(Y255,vlookup!$I$2:$J$9,2,0),PROPER(Y255)),PROPER(Y255))</f>
        <v>Parts</v>
      </c>
      <c r="AU255" s="2" t="str">
        <f>IFERROR(IF(B255=VLOOKUP(B255,vlookup!$L$2:$L$10,1,0),"Yes","No"),"No")</f>
        <v>No</v>
      </c>
    </row>
    <row r="256" spans="1:47" x14ac:dyDescent="0.25">
      <c r="A256" t="s">
        <v>846</v>
      </c>
      <c r="B256" t="s">
        <v>847</v>
      </c>
      <c r="C256">
        <v>2</v>
      </c>
      <c r="D256">
        <v>1</v>
      </c>
      <c r="E256" t="s">
        <v>382</v>
      </c>
      <c r="F256" t="s">
        <v>207</v>
      </c>
      <c r="G256" t="s">
        <v>697</v>
      </c>
      <c r="H256" s="11" t="s">
        <v>738</v>
      </c>
      <c r="I256">
        <v>78864</v>
      </c>
      <c r="J256" s="22">
        <v>44344</v>
      </c>
      <c r="K256" s="22">
        <v>44399</v>
      </c>
      <c r="L256">
        <v>202107</v>
      </c>
      <c r="M256" s="22">
        <v>44378</v>
      </c>
      <c r="N256">
        <v>77871</v>
      </c>
      <c r="O256" t="s">
        <v>699</v>
      </c>
      <c r="P256" t="s">
        <v>712</v>
      </c>
      <c r="Q256" t="s">
        <v>612</v>
      </c>
      <c r="R256">
        <v>110098</v>
      </c>
      <c r="S256" s="22">
        <v>44596</v>
      </c>
      <c r="T256">
        <v>87392</v>
      </c>
      <c r="U256" t="s">
        <v>356</v>
      </c>
      <c r="V256" s="22">
        <v>44601</v>
      </c>
      <c r="W256" t="s">
        <v>367</v>
      </c>
      <c r="X256" t="s">
        <v>368</v>
      </c>
      <c r="Y256" t="s">
        <v>95</v>
      </c>
      <c r="Z256" t="s">
        <v>365</v>
      </c>
      <c r="AA256">
        <v>-15.85</v>
      </c>
      <c r="AC256" s="2">
        <f t="shared" si="48"/>
        <v>2022</v>
      </c>
      <c r="AD256" s="2">
        <f t="shared" si="49"/>
        <v>2</v>
      </c>
      <c r="AE256" s="2">
        <f t="shared" si="50"/>
        <v>2021</v>
      </c>
      <c r="AF256" s="2">
        <f t="shared" si="51"/>
        <v>5</v>
      </c>
      <c r="AG256" s="2" t="str">
        <f>VLOOKUP(F256,vlookup!$A$2:$E$660,2,0)</f>
        <v>Retained</v>
      </c>
      <c r="AH256" s="2" t="str">
        <f>VLOOKUP(F256,vlookup!$A$2:$E$660,3,0)</f>
        <v>Service Contract</v>
      </c>
      <c r="AI256" s="2" t="str">
        <f>VLOOKUP(F256,vlookup!$A$2:$E$660,4,0)</f>
        <v>Used Car Programs</v>
      </c>
      <c r="AJ256" s="2" t="str">
        <f>VLOOKUP(F256,vlookup!$A$2:$E$660,5,0)</f>
        <v>High Mileage</v>
      </c>
      <c r="AK256" s="2"/>
      <c r="AL256" s="2">
        <f t="shared" si="52"/>
        <v>54</v>
      </c>
      <c r="AM256" s="2">
        <f t="shared" si="53"/>
        <v>251</v>
      </c>
      <c r="AN256" s="2">
        <f t="shared" si="54"/>
        <v>8528</v>
      </c>
      <c r="AO256" s="2" t="str">
        <f t="shared" si="55"/>
        <v/>
      </c>
      <c r="AP256" s="2" t="str">
        <f t="shared" si="56"/>
        <v/>
      </c>
      <c r="AQ256" s="2" t="str">
        <f t="shared" si="57"/>
        <v/>
      </c>
      <c r="AR256" s="2">
        <f t="shared" si="58"/>
        <v>-15.85</v>
      </c>
      <c r="AS256" s="2" t="str">
        <f t="shared" si="59"/>
        <v>APC500425-2</v>
      </c>
      <c r="AT256" s="2" t="str">
        <f>IFERROR(IF(VLOOKUP(Y256,vlookup!$I$2:$J$9,1,0)=Y256,VLOOKUP(Y256,vlookup!$I$2:$J$9,2,0),PROPER(Y256)),PROPER(Y256))</f>
        <v>Parts</v>
      </c>
      <c r="AU256" s="2" t="str">
        <f>IFERROR(IF(B256=VLOOKUP(B256,vlookup!$L$2:$L$10,1,0),"Yes","No"),"No")</f>
        <v>No</v>
      </c>
    </row>
    <row r="257" spans="1:47" x14ac:dyDescent="0.25">
      <c r="A257" t="s">
        <v>846</v>
      </c>
      <c r="B257" t="s">
        <v>847</v>
      </c>
      <c r="C257">
        <v>2</v>
      </c>
      <c r="D257">
        <v>1</v>
      </c>
      <c r="E257" t="s">
        <v>382</v>
      </c>
      <c r="F257" t="s">
        <v>207</v>
      </c>
      <c r="G257" t="s">
        <v>697</v>
      </c>
      <c r="H257" s="11" t="s">
        <v>738</v>
      </c>
      <c r="I257">
        <v>78864</v>
      </c>
      <c r="J257" s="22">
        <v>44344</v>
      </c>
      <c r="K257" s="22">
        <v>44399</v>
      </c>
      <c r="L257">
        <v>202107</v>
      </c>
      <c r="M257" s="22">
        <v>44378</v>
      </c>
      <c r="N257">
        <v>77871</v>
      </c>
      <c r="O257" t="s">
        <v>699</v>
      </c>
      <c r="P257" t="s">
        <v>712</v>
      </c>
      <c r="Q257" t="s">
        <v>612</v>
      </c>
      <c r="R257">
        <v>110098</v>
      </c>
      <c r="S257" s="22">
        <v>44596</v>
      </c>
      <c r="T257">
        <v>87392</v>
      </c>
      <c r="U257" t="s">
        <v>356</v>
      </c>
      <c r="V257" s="22">
        <v>44601</v>
      </c>
      <c r="W257" t="s">
        <v>616</v>
      </c>
      <c r="X257" t="s">
        <v>617</v>
      </c>
      <c r="Y257" t="s">
        <v>95</v>
      </c>
      <c r="Z257" t="s">
        <v>364</v>
      </c>
      <c r="AA257">
        <v>-3.53</v>
      </c>
      <c r="AC257" s="2">
        <f t="shared" si="48"/>
        <v>2022</v>
      </c>
      <c r="AD257" s="2">
        <f t="shared" si="49"/>
        <v>2</v>
      </c>
      <c r="AE257" s="2">
        <f t="shared" si="50"/>
        <v>2021</v>
      </c>
      <c r="AF257" s="2">
        <f t="shared" si="51"/>
        <v>5</v>
      </c>
      <c r="AG257" s="2" t="str">
        <f>VLOOKUP(F257,vlookup!$A$2:$E$660,2,0)</f>
        <v>Retained</v>
      </c>
      <c r="AH257" s="2" t="str">
        <f>VLOOKUP(F257,vlookup!$A$2:$E$660,3,0)</f>
        <v>Service Contract</v>
      </c>
      <c r="AI257" s="2" t="str">
        <f>VLOOKUP(F257,vlookup!$A$2:$E$660,4,0)</f>
        <v>Used Car Programs</v>
      </c>
      <c r="AJ257" s="2" t="str">
        <f>VLOOKUP(F257,vlookup!$A$2:$E$660,5,0)</f>
        <v>High Mileage</v>
      </c>
      <c r="AK257" s="2"/>
      <c r="AL257" s="2">
        <f t="shared" si="52"/>
        <v>54</v>
      </c>
      <c r="AM257" s="2">
        <f t="shared" si="53"/>
        <v>251</v>
      </c>
      <c r="AN257" s="2">
        <f t="shared" si="54"/>
        <v>8528</v>
      </c>
      <c r="AO257" s="2" t="str">
        <f t="shared" si="55"/>
        <v/>
      </c>
      <c r="AP257" s="2" t="str">
        <f t="shared" si="56"/>
        <v/>
      </c>
      <c r="AQ257" s="2" t="str">
        <f t="shared" si="57"/>
        <v/>
      </c>
      <c r="AR257" s="2">
        <f t="shared" si="58"/>
        <v>-3.53</v>
      </c>
      <c r="AS257" s="2" t="str">
        <f t="shared" si="59"/>
        <v>APC500425-2</v>
      </c>
      <c r="AT257" s="2" t="str">
        <f>IFERROR(IF(VLOOKUP(Y257,vlookup!$I$2:$J$9,1,0)=Y257,VLOOKUP(Y257,vlookup!$I$2:$J$9,2,0),PROPER(Y257)),PROPER(Y257))</f>
        <v>Parts</v>
      </c>
      <c r="AU257" s="2" t="str">
        <f>IFERROR(IF(B257=VLOOKUP(B257,vlookup!$L$2:$L$10,1,0),"Yes","No"),"No")</f>
        <v>No</v>
      </c>
    </row>
    <row r="258" spans="1:47" x14ac:dyDescent="0.25">
      <c r="A258" t="s">
        <v>846</v>
      </c>
      <c r="B258" t="s">
        <v>847</v>
      </c>
      <c r="C258">
        <v>2</v>
      </c>
      <c r="D258">
        <v>1</v>
      </c>
      <c r="E258" t="s">
        <v>382</v>
      </c>
      <c r="F258" t="s">
        <v>207</v>
      </c>
      <c r="G258" t="s">
        <v>697</v>
      </c>
      <c r="H258" s="11" t="s">
        <v>738</v>
      </c>
      <c r="I258">
        <v>78864</v>
      </c>
      <c r="J258" s="22">
        <v>44344</v>
      </c>
      <c r="K258" s="22">
        <v>44399</v>
      </c>
      <c r="L258">
        <v>202107</v>
      </c>
      <c r="M258" s="22">
        <v>44378</v>
      </c>
      <c r="N258">
        <v>77871</v>
      </c>
      <c r="O258" t="s">
        <v>699</v>
      </c>
      <c r="P258" t="s">
        <v>712</v>
      </c>
      <c r="Q258" t="s">
        <v>612</v>
      </c>
      <c r="R258">
        <v>110098</v>
      </c>
      <c r="S258" s="22">
        <v>44596</v>
      </c>
      <c r="T258">
        <v>87392</v>
      </c>
      <c r="U258" t="s">
        <v>356</v>
      </c>
      <c r="V258" s="22">
        <v>44601</v>
      </c>
      <c r="W258" t="s">
        <v>886</v>
      </c>
      <c r="X258" t="s">
        <v>887</v>
      </c>
      <c r="Y258" t="s">
        <v>95</v>
      </c>
      <c r="Z258" t="s">
        <v>364</v>
      </c>
      <c r="AA258">
        <v>-8.6</v>
      </c>
      <c r="AC258" s="2">
        <f t="shared" si="48"/>
        <v>2022</v>
      </c>
      <c r="AD258" s="2">
        <f t="shared" si="49"/>
        <v>2</v>
      </c>
      <c r="AE258" s="2">
        <f t="shared" si="50"/>
        <v>2021</v>
      </c>
      <c r="AF258" s="2">
        <f t="shared" si="51"/>
        <v>5</v>
      </c>
      <c r="AG258" s="2" t="str">
        <f>VLOOKUP(F258,vlookup!$A$2:$E$660,2,0)</f>
        <v>Retained</v>
      </c>
      <c r="AH258" s="2" t="str">
        <f>VLOOKUP(F258,vlookup!$A$2:$E$660,3,0)</f>
        <v>Service Contract</v>
      </c>
      <c r="AI258" s="2" t="str">
        <f>VLOOKUP(F258,vlookup!$A$2:$E$660,4,0)</f>
        <v>Used Car Programs</v>
      </c>
      <c r="AJ258" s="2" t="str">
        <f>VLOOKUP(F258,vlookup!$A$2:$E$660,5,0)</f>
        <v>High Mileage</v>
      </c>
      <c r="AK258" s="2"/>
      <c r="AL258" s="2">
        <f t="shared" si="52"/>
        <v>54</v>
      </c>
      <c r="AM258" s="2">
        <f t="shared" si="53"/>
        <v>251</v>
      </c>
      <c r="AN258" s="2">
        <f t="shared" si="54"/>
        <v>8528</v>
      </c>
      <c r="AO258" s="2" t="str">
        <f t="shared" si="55"/>
        <v/>
      </c>
      <c r="AP258" s="2" t="str">
        <f t="shared" si="56"/>
        <v/>
      </c>
      <c r="AQ258" s="2" t="str">
        <f t="shared" si="57"/>
        <v/>
      </c>
      <c r="AR258" s="2">
        <f t="shared" si="58"/>
        <v>-8.6</v>
      </c>
      <c r="AS258" s="2" t="str">
        <f t="shared" si="59"/>
        <v>APC500425-2</v>
      </c>
      <c r="AT258" s="2" t="str">
        <f>IFERROR(IF(VLOOKUP(Y258,vlookup!$I$2:$J$9,1,0)=Y258,VLOOKUP(Y258,vlookup!$I$2:$J$9,2,0),PROPER(Y258)),PROPER(Y258))</f>
        <v>Parts</v>
      </c>
      <c r="AU258" s="2" t="str">
        <f>IFERROR(IF(B258=VLOOKUP(B258,vlookup!$L$2:$L$10,1,0),"Yes","No"),"No")</f>
        <v>No</v>
      </c>
    </row>
    <row r="259" spans="1:47" x14ac:dyDescent="0.25">
      <c r="A259" t="s">
        <v>846</v>
      </c>
      <c r="B259" t="s">
        <v>847</v>
      </c>
      <c r="C259">
        <v>2</v>
      </c>
      <c r="D259">
        <v>1</v>
      </c>
      <c r="E259" t="s">
        <v>382</v>
      </c>
      <c r="F259" t="s">
        <v>207</v>
      </c>
      <c r="G259" t="s">
        <v>697</v>
      </c>
      <c r="H259" s="11" t="s">
        <v>738</v>
      </c>
      <c r="I259">
        <v>78864</v>
      </c>
      <c r="J259" s="22">
        <v>44344</v>
      </c>
      <c r="K259" s="22">
        <v>44399</v>
      </c>
      <c r="L259">
        <v>202107</v>
      </c>
      <c r="M259" s="22">
        <v>44378</v>
      </c>
      <c r="N259">
        <v>77871</v>
      </c>
      <c r="O259" t="s">
        <v>699</v>
      </c>
      <c r="P259" t="s">
        <v>712</v>
      </c>
      <c r="Q259" t="s">
        <v>612</v>
      </c>
      <c r="R259">
        <v>110098</v>
      </c>
      <c r="S259" s="22">
        <v>44596</v>
      </c>
      <c r="T259">
        <v>87392</v>
      </c>
      <c r="U259" t="s">
        <v>356</v>
      </c>
      <c r="V259" s="22">
        <v>44601</v>
      </c>
      <c r="W259" t="s">
        <v>888</v>
      </c>
      <c r="X259" t="s">
        <v>889</v>
      </c>
      <c r="Y259" t="s">
        <v>95</v>
      </c>
      <c r="Z259" t="s">
        <v>364</v>
      </c>
      <c r="AA259">
        <v>-10.42</v>
      </c>
      <c r="AC259" s="2">
        <f t="shared" si="48"/>
        <v>2022</v>
      </c>
      <c r="AD259" s="2">
        <f t="shared" si="49"/>
        <v>2</v>
      </c>
      <c r="AE259" s="2">
        <f t="shared" si="50"/>
        <v>2021</v>
      </c>
      <c r="AF259" s="2">
        <f t="shared" si="51"/>
        <v>5</v>
      </c>
      <c r="AG259" s="2" t="str">
        <f>VLOOKUP(F259,vlookup!$A$2:$E$660,2,0)</f>
        <v>Retained</v>
      </c>
      <c r="AH259" s="2" t="str">
        <f>VLOOKUP(F259,vlookup!$A$2:$E$660,3,0)</f>
        <v>Service Contract</v>
      </c>
      <c r="AI259" s="2" t="str">
        <f>VLOOKUP(F259,vlookup!$A$2:$E$660,4,0)</f>
        <v>Used Car Programs</v>
      </c>
      <c r="AJ259" s="2" t="str">
        <f>VLOOKUP(F259,vlookup!$A$2:$E$660,5,0)</f>
        <v>High Mileage</v>
      </c>
      <c r="AK259" s="2"/>
      <c r="AL259" s="2">
        <f t="shared" si="52"/>
        <v>54</v>
      </c>
      <c r="AM259" s="2">
        <f t="shared" si="53"/>
        <v>251</v>
      </c>
      <c r="AN259" s="2">
        <f t="shared" si="54"/>
        <v>8528</v>
      </c>
      <c r="AO259" s="2" t="str">
        <f t="shared" si="55"/>
        <v/>
      </c>
      <c r="AP259" s="2" t="str">
        <f t="shared" si="56"/>
        <v/>
      </c>
      <c r="AQ259" s="2" t="str">
        <f t="shared" si="57"/>
        <v/>
      </c>
      <c r="AR259" s="2">
        <f t="shared" si="58"/>
        <v>-10.42</v>
      </c>
      <c r="AS259" s="2" t="str">
        <f t="shared" si="59"/>
        <v>APC500425-2</v>
      </c>
      <c r="AT259" s="2" t="str">
        <f>IFERROR(IF(VLOOKUP(Y259,vlookup!$I$2:$J$9,1,0)=Y259,VLOOKUP(Y259,vlookup!$I$2:$J$9,2,0),PROPER(Y259)),PROPER(Y259))</f>
        <v>Parts</v>
      </c>
      <c r="AU259" s="2" t="str">
        <f>IFERROR(IF(B259=VLOOKUP(B259,vlookup!$L$2:$L$10,1,0),"Yes","No"),"No")</f>
        <v>No</v>
      </c>
    </row>
    <row r="260" spans="1:47" x14ac:dyDescent="0.25">
      <c r="A260" t="s">
        <v>846</v>
      </c>
      <c r="B260" t="s">
        <v>847</v>
      </c>
      <c r="C260">
        <v>2</v>
      </c>
      <c r="D260">
        <v>1</v>
      </c>
      <c r="E260" t="s">
        <v>382</v>
      </c>
      <c r="F260" t="s">
        <v>207</v>
      </c>
      <c r="G260" t="s">
        <v>697</v>
      </c>
      <c r="H260" s="11" t="s">
        <v>738</v>
      </c>
      <c r="I260">
        <v>78864</v>
      </c>
      <c r="J260" s="22">
        <v>44344</v>
      </c>
      <c r="K260" s="22">
        <v>44399</v>
      </c>
      <c r="L260">
        <v>202107</v>
      </c>
      <c r="M260" s="22">
        <v>44378</v>
      </c>
      <c r="N260">
        <v>77871</v>
      </c>
      <c r="O260" t="s">
        <v>699</v>
      </c>
      <c r="P260" t="s">
        <v>712</v>
      </c>
      <c r="Q260" t="s">
        <v>612</v>
      </c>
      <c r="R260">
        <v>110098</v>
      </c>
      <c r="S260" s="22">
        <v>44596</v>
      </c>
      <c r="T260">
        <v>87392</v>
      </c>
      <c r="U260" t="s">
        <v>356</v>
      </c>
      <c r="V260" s="22">
        <v>44601</v>
      </c>
      <c r="W260" t="s">
        <v>878</v>
      </c>
      <c r="X260" t="s">
        <v>879</v>
      </c>
      <c r="Y260" t="s">
        <v>95</v>
      </c>
      <c r="Z260" t="s">
        <v>364</v>
      </c>
      <c r="AA260">
        <v>-309.2</v>
      </c>
      <c r="AC260" s="2">
        <f t="shared" si="48"/>
        <v>2022</v>
      </c>
      <c r="AD260" s="2">
        <f t="shared" si="49"/>
        <v>2</v>
      </c>
      <c r="AE260" s="2">
        <f t="shared" si="50"/>
        <v>2021</v>
      </c>
      <c r="AF260" s="2">
        <f t="shared" si="51"/>
        <v>5</v>
      </c>
      <c r="AG260" s="2" t="str">
        <f>VLOOKUP(F260,vlookup!$A$2:$E$660,2,0)</f>
        <v>Retained</v>
      </c>
      <c r="AH260" s="2" t="str">
        <f>VLOOKUP(F260,vlookup!$A$2:$E$660,3,0)</f>
        <v>Service Contract</v>
      </c>
      <c r="AI260" s="2" t="str">
        <f>VLOOKUP(F260,vlookup!$A$2:$E$660,4,0)</f>
        <v>Used Car Programs</v>
      </c>
      <c r="AJ260" s="2" t="str">
        <f>VLOOKUP(F260,vlookup!$A$2:$E$660,5,0)</f>
        <v>High Mileage</v>
      </c>
      <c r="AK260" s="2"/>
      <c r="AL260" s="2">
        <f t="shared" si="52"/>
        <v>54</v>
      </c>
      <c r="AM260" s="2">
        <f t="shared" si="53"/>
        <v>251</v>
      </c>
      <c r="AN260" s="2">
        <f t="shared" si="54"/>
        <v>8528</v>
      </c>
      <c r="AO260" s="2" t="str">
        <f t="shared" si="55"/>
        <v/>
      </c>
      <c r="AP260" s="2" t="str">
        <f t="shared" si="56"/>
        <v/>
      </c>
      <c r="AQ260" s="2" t="str">
        <f t="shared" si="57"/>
        <v/>
      </c>
      <c r="AR260" s="2">
        <f t="shared" si="58"/>
        <v>-309.2</v>
      </c>
      <c r="AS260" s="2" t="str">
        <f t="shared" si="59"/>
        <v>APC500425-2</v>
      </c>
      <c r="AT260" s="2" t="str">
        <f>IFERROR(IF(VLOOKUP(Y260,vlookup!$I$2:$J$9,1,0)=Y260,VLOOKUP(Y260,vlookup!$I$2:$J$9,2,0),PROPER(Y260)),PROPER(Y260))</f>
        <v>Parts</v>
      </c>
      <c r="AU260" s="2" t="str">
        <f>IFERROR(IF(B260=VLOOKUP(B260,vlookup!$L$2:$L$10,1,0),"Yes","No"),"No")</f>
        <v>No</v>
      </c>
    </row>
    <row r="261" spans="1:47" x14ac:dyDescent="0.25">
      <c r="A261" t="s">
        <v>846</v>
      </c>
      <c r="B261" t="s">
        <v>847</v>
      </c>
      <c r="C261">
        <v>2</v>
      </c>
      <c r="D261">
        <v>1</v>
      </c>
      <c r="E261" t="s">
        <v>382</v>
      </c>
      <c r="F261" t="s">
        <v>207</v>
      </c>
      <c r="G261" t="s">
        <v>697</v>
      </c>
      <c r="H261" s="11" t="s">
        <v>738</v>
      </c>
      <c r="I261">
        <v>78864</v>
      </c>
      <c r="J261" s="22">
        <v>44344</v>
      </c>
      <c r="K261" s="22">
        <v>44399</v>
      </c>
      <c r="L261">
        <v>202107</v>
      </c>
      <c r="M261" s="22">
        <v>44378</v>
      </c>
      <c r="N261">
        <v>77871</v>
      </c>
      <c r="O261" t="s">
        <v>699</v>
      </c>
      <c r="P261" t="s">
        <v>712</v>
      </c>
      <c r="Q261" t="s">
        <v>612</v>
      </c>
      <c r="R261">
        <v>110098</v>
      </c>
      <c r="S261" s="22">
        <v>44596</v>
      </c>
      <c r="T261">
        <v>87392</v>
      </c>
      <c r="U261" t="s">
        <v>356</v>
      </c>
      <c r="V261" s="22">
        <v>44601</v>
      </c>
      <c r="W261" t="s">
        <v>642</v>
      </c>
      <c r="X261" t="s">
        <v>643</v>
      </c>
      <c r="Y261" t="s">
        <v>95</v>
      </c>
      <c r="Z261" t="s">
        <v>364</v>
      </c>
      <c r="AA261">
        <v>-571.04</v>
      </c>
      <c r="AC261" s="2">
        <f t="shared" si="48"/>
        <v>2022</v>
      </c>
      <c r="AD261" s="2">
        <f t="shared" si="49"/>
        <v>2</v>
      </c>
      <c r="AE261" s="2">
        <f t="shared" si="50"/>
        <v>2021</v>
      </c>
      <c r="AF261" s="2">
        <f t="shared" si="51"/>
        <v>5</v>
      </c>
      <c r="AG261" s="2" t="str">
        <f>VLOOKUP(F261,vlookup!$A$2:$E$660,2,0)</f>
        <v>Retained</v>
      </c>
      <c r="AH261" s="2" t="str">
        <f>VLOOKUP(F261,vlookup!$A$2:$E$660,3,0)</f>
        <v>Service Contract</v>
      </c>
      <c r="AI261" s="2" t="str">
        <f>VLOOKUP(F261,vlookup!$A$2:$E$660,4,0)</f>
        <v>Used Car Programs</v>
      </c>
      <c r="AJ261" s="2" t="str">
        <f>VLOOKUP(F261,vlookup!$A$2:$E$660,5,0)</f>
        <v>High Mileage</v>
      </c>
      <c r="AK261" s="2"/>
      <c r="AL261" s="2">
        <f t="shared" si="52"/>
        <v>54</v>
      </c>
      <c r="AM261" s="2">
        <f t="shared" si="53"/>
        <v>251</v>
      </c>
      <c r="AN261" s="2">
        <f t="shared" si="54"/>
        <v>8528</v>
      </c>
      <c r="AO261" s="2" t="str">
        <f t="shared" si="55"/>
        <v/>
      </c>
      <c r="AP261" s="2" t="str">
        <f t="shared" si="56"/>
        <v/>
      </c>
      <c r="AQ261" s="2" t="str">
        <f t="shared" si="57"/>
        <v/>
      </c>
      <c r="AR261" s="2">
        <f t="shared" si="58"/>
        <v>-571.04</v>
      </c>
      <c r="AS261" s="2" t="str">
        <f t="shared" si="59"/>
        <v>APC500425-2</v>
      </c>
      <c r="AT261" s="2" t="str">
        <f>IFERROR(IF(VLOOKUP(Y261,vlookup!$I$2:$J$9,1,0)=Y261,VLOOKUP(Y261,vlookup!$I$2:$J$9,2,0),PROPER(Y261)),PROPER(Y261))</f>
        <v>Parts</v>
      </c>
      <c r="AU261" s="2" t="str">
        <f>IFERROR(IF(B261=VLOOKUP(B261,vlookup!$L$2:$L$10,1,0),"Yes","No"),"No")</f>
        <v>No</v>
      </c>
    </row>
    <row r="262" spans="1:47" x14ac:dyDescent="0.25">
      <c r="A262" t="s">
        <v>846</v>
      </c>
      <c r="B262" t="s">
        <v>847</v>
      </c>
      <c r="C262">
        <v>2</v>
      </c>
      <c r="D262">
        <v>1</v>
      </c>
      <c r="E262" t="s">
        <v>382</v>
      </c>
      <c r="F262" t="s">
        <v>207</v>
      </c>
      <c r="G262" t="s">
        <v>697</v>
      </c>
      <c r="H262" s="11" t="s">
        <v>738</v>
      </c>
      <c r="I262">
        <v>78864</v>
      </c>
      <c r="J262" s="22">
        <v>44344</v>
      </c>
      <c r="K262" s="22">
        <v>44399</v>
      </c>
      <c r="L262">
        <v>202107</v>
      </c>
      <c r="M262" s="22">
        <v>44378</v>
      </c>
      <c r="N262">
        <v>77871</v>
      </c>
      <c r="O262" t="s">
        <v>699</v>
      </c>
      <c r="P262" t="s">
        <v>712</v>
      </c>
      <c r="Q262" t="s">
        <v>612</v>
      </c>
      <c r="R262">
        <v>110098</v>
      </c>
      <c r="S262" s="22">
        <v>44596</v>
      </c>
      <c r="T262">
        <v>87392</v>
      </c>
      <c r="U262" t="s">
        <v>356</v>
      </c>
      <c r="V262" s="22">
        <v>44601</v>
      </c>
      <c r="W262" t="s">
        <v>671</v>
      </c>
      <c r="X262" t="s">
        <v>672</v>
      </c>
      <c r="Y262" t="s">
        <v>95</v>
      </c>
      <c r="Z262" t="s">
        <v>364</v>
      </c>
      <c r="AA262">
        <v>-190.5</v>
      </c>
      <c r="AC262" s="2">
        <f t="shared" si="48"/>
        <v>2022</v>
      </c>
      <c r="AD262" s="2">
        <f t="shared" si="49"/>
        <v>2</v>
      </c>
      <c r="AE262" s="2">
        <f t="shared" si="50"/>
        <v>2021</v>
      </c>
      <c r="AF262" s="2">
        <f t="shared" si="51"/>
        <v>5</v>
      </c>
      <c r="AG262" s="2" t="str">
        <f>VLOOKUP(F262,vlookup!$A$2:$E$660,2,0)</f>
        <v>Retained</v>
      </c>
      <c r="AH262" s="2" t="str">
        <f>VLOOKUP(F262,vlookup!$A$2:$E$660,3,0)</f>
        <v>Service Contract</v>
      </c>
      <c r="AI262" s="2" t="str">
        <f>VLOOKUP(F262,vlookup!$A$2:$E$660,4,0)</f>
        <v>Used Car Programs</v>
      </c>
      <c r="AJ262" s="2" t="str">
        <f>VLOOKUP(F262,vlookup!$A$2:$E$660,5,0)</f>
        <v>High Mileage</v>
      </c>
      <c r="AK262" s="2"/>
      <c r="AL262" s="2">
        <f t="shared" si="52"/>
        <v>54</v>
      </c>
      <c r="AM262" s="2">
        <f t="shared" si="53"/>
        <v>251</v>
      </c>
      <c r="AN262" s="2">
        <f t="shared" si="54"/>
        <v>8528</v>
      </c>
      <c r="AO262" s="2" t="str">
        <f t="shared" si="55"/>
        <v/>
      </c>
      <c r="AP262" s="2" t="str">
        <f t="shared" si="56"/>
        <v/>
      </c>
      <c r="AQ262" s="2" t="str">
        <f t="shared" si="57"/>
        <v/>
      </c>
      <c r="AR262" s="2">
        <f t="shared" si="58"/>
        <v>-190.5</v>
      </c>
      <c r="AS262" s="2" t="str">
        <f t="shared" si="59"/>
        <v>APC500425-2</v>
      </c>
      <c r="AT262" s="2" t="str">
        <f>IFERROR(IF(VLOOKUP(Y262,vlookup!$I$2:$J$9,1,0)=Y262,VLOOKUP(Y262,vlookup!$I$2:$J$9,2,0),PROPER(Y262)),PROPER(Y262))</f>
        <v>Parts</v>
      </c>
      <c r="AU262" s="2" t="str">
        <f>IFERROR(IF(B262=VLOOKUP(B262,vlookup!$L$2:$L$10,1,0),"Yes","No"),"No")</f>
        <v>No</v>
      </c>
    </row>
    <row r="263" spans="1:47" x14ac:dyDescent="0.25">
      <c r="A263" t="s">
        <v>846</v>
      </c>
      <c r="B263" t="s">
        <v>847</v>
      </c>
      <c r="C263">
        <v>2</v>
      </c>
      <c r="D263">
        <v>1</v>
      </c>
      <c r="E263" t="s">
        <v>382</v>
      </c>
      <c r="F263" t="s">
        <v>207</v>
      </c>
      <c r="G263" t="s">
        <v>697</v>
      </c>
      <c r="H263" s="11" t="s">
        <v>738</v>
      </c>
      <c r="I263">
        <v>78864</v>
      </c>
      <c r="J263" s="22">
        <v>44344</v>
      </c>
      <c r="K263" s="22">
        <v>44399</v>
      </c>
      <c r="L263">
        <v>202107</v>
      </c>
      <c r="M263" s="22">
        <v>44378</v>
      </c>
      <c r="N263">
        <v>77871</v>
      </c>
      <c r="O263" t="s">
        <v>699</v>
      </c>
      <c r="P263" t="s">
        <v>712</v>
      </c>
      <c r="Q263" t="s">
        <v>612</v>
      </c>
      <c r="R263">
        <v>110098</v>
      </c>
      <c r="S263" s="22">
        <v>44596</v>
      </c>
      <c r="T263">
        <v>87392</v>
      </c>
      <c r="U263" t="s">
        <v>356</v>
      </c>
      <c r="V263" s="22">
        <v>44601</v>
      </c>
      <c r="W263" t="s">
        <v>673</v>
      </c>
      <c r="X263" t="s">
        <v>674</v>
      </c>
      <c r="Y263" t="s">
        <v>95</v>
      </c>
      <c r="Z263" t="s">
        <v>364</v>
      </c>
      <c r="AA263">
        <v>-666.05</v>
      </c>
      <c r="AC263" s="2">
        <f t="shared" si="48"/>
        <v>2022</v>
      </c>
      <c r="AD263" s="2">
        <f t="shared" si="49"/>
        <v>2</v>
      </c>
      <c r="AE263" s="2">
        <f t="shared" si="50"/>
        <v>2021</v>
      </c>
      <c r="AF263" s="2">
        <f t="shared" si="51"/>
        <v>5</v>
      </c>
      <c r="AG263" s="2" t="str">
        <f>VLOOKUP(F263,vlookup!$A$2:$E$660,2,0)</f>
        <v>Retained</v>
      </c>
      <c r="AH263" s="2" t="str">
        <f>VLOOKUP(F263,vlookup!$A$2:$E$660,3,0)</f>
        <v>Service Contract</v>
      </c>
      <c r="AI263" s="2" t="str">
        <f>VLOOKUP(F263,vlookup!$A$2:$E$660,4,0)</f>
        <v>Used Car Programs</v>
      </c>
      <c r="AJ263" s="2" t="str">
        <f>VLOOKUP(F263,vlookup!$A$2:$E$660,5,0)</f>
        <v>High Mileage</v>
      </c>
      <c r="AK263" s="2"/>
      <c r="AL263" s="2">
        <f t="shared" si="52"/>
        <v>54</v>
      </c>
      <c r="AM263" s="2">
        <f t="shared" si="53"/>
        <v>251</v>
      </c>
      <c r="AN263" s="2">
        <f t="shared" si="54"/>
        <v>8528</v>
      </c>
      <c r="AO263" s="2" t="str">
        <f t="shared" si="55"/>
        <v/>
      </c>
      <c r="AP263" s="2" t="str">
        <f t="shared" si="56"/>
        <v/>
      </c>
      <c r="AQ263" s="2" t="str">
        <f t="shared" si="57"/>
        <v/>
      </c>
      <c r="AR263" s="2">
        <f t="shared" si="58"/>
        <v>-666.05</v>
      </c>
      <c r="AS263" s="2" t="str">
        <f t="shared" si="59"/>
        <v>APC500425-2</v>
      </c>
      <c r="AT263" s="2" t="str">
        <f>IFERROR(IF(VLOOKUP(Y263,vlookup!$I$2:$J$9,1,0)=Y263,VLOOKUP(Y263,vlookup!$I$2:$J$9,2,0),PROPER(Y263)),PROPER(Y263))</f>
        <v>Parts</v>
      </c>
      <c r="AU263" s="2" t="str">
        <f>IFERROR(IF(B263=VLOOKUP(B263,vlookup!$L$2:$L$10,1,0),"Yes","No"),"No")</f>
        <v>No</v>
      </c>
    </row>
    <row r="264" spans="1:47" x14ac:dyDescent="0.25">
      <c r="A264" t="s">
        <v>846</v>
      </c>
      <c r="B264" t="s">
        <v>847</v>
      </c>
      <c r="C264">
        <v>3</v>
      </c>
      <c r="D264">
        <v>1</v>
      </c>
      <c r="E264" t="s">
        <v>382</v>
      </c>
      <c r="F264" t="s">
        <v>207</v>
      </c>
      <c r="G264" t="s">
        <v>697</v>
      </c>
      <c r="H264" s="11" t="s">
        <v>738</v>
      </c>
      <c r="I264">
        <v>78864</v>
      </c>
      <c r="J264" s="22">
        <v>44344</v>
      </c>
      <c r="K264" s="22">
        <v>44399</v>
      </c>
      <c r="L264">
        <v>202107</v>
      </c>
      <c r="M264" s="22">
        <v>44378</v>
      </c>
      <c r="N264">
        <v>77871</v>
      </c>
      <c r="O264" t="s">
        <v>699</v>
      </c>
      <c r="P264" t="s">
        <v>712</v>
      </c>
      <c r="Q264" t="s">
        <v>612</v>
      </c>
      <c r="R264">
        <v>120222</v>
      </c>
      <c r="S264" s="22">
        <v>44802</v>
      </c>
      <c r="T264">
        <v>92994</v>
      </c>
      <c r="U264" t="s">
        <v>356</v>
      </c>
      <c r="V264" s="22">
        <v>44805</v>
      </c>
      <c r="W264" t="s">
        <v>598</v>
      </c>
      <c r="X264" t="s">
        <v>599</v>
      </c>
      <c r="Y264" t="s">
        <v>95</v>
      </c>
      <c r="Z264" t="s">
        <v>582</v>
      </c>
      <c r="AA264">
        <v>-126</v>
      </c>
      <c r="AC264" s="2">
        <f t="shared" si="48"/>
        <v>2022</v>
      </c>
      <c r="AD264" s="2">
        <f t="shared" si="49"/>
        <v>9</v>
      </c>
      <c r="AE264" s="2">
        <f t="shared" si="50"/>
        <v>2021</v>
      </c>
      <c r="AF264" s="2">
        <f t="shared" si="51"/>
        <v>5</v>
      </c>
      <c r="AG264" s="2" t="str">
        <f>VLOOKUP(F264,vlookup!$A$2:$E$660,2,0)</f>
        <v>Retained</v>
      </c>
      <c r="AH264" s="2" t="str">
        <f>VLOOKUP(F264,vlookup!$A$2:$E$660,3,0)</f>
        <v>Service Contract</v>
      </c>
      <c r="AI264" s="2" t="str">
        <f>VLOOKUP(F264,vlookup!$A$2:$E$660,4,0)</f>
        <v>Used Car Programs</v>
      </c>
      <c r="AJ264" s="2" t="str">
        <f>VLOOKUP(F264,vlookup!$A$2:$E$660,5,0)</f>
        <v>High Mileage</v>
      </c>
      <c r="AK264" s="2"/>
      <c r="AL264" s="2">
        <f t="shared" si="52"/>
        <v>54</v>
      </c>
      <c r="AM264" s="2">
        <f t="shared" si="53"/>
        <v>453</v>
      </c>
      <c r="AN264" s="2">
        <f t="shared" si="54"/>
        <v>14130</v>
      </c>
      <c r="AO264" s="2" t="str">
        <f t="shared" si="55"/>
        <v/>
      </c>
      <c r="AP264" s="2" t="str">
        <f t="shared" si="56"/>
        <v/>
      </c>
      <c r="AQ264" s="2" t="str">
        <f t="shared" si="57"/>
        <v/>
      </c>
      <c r="AR264" s="2">
        <f t="shared" si="58"/>
        <v>-126</v>
      </c>
      <c r="AS264" s="2" t="str">
        <f t="shared" si="59"/>
        <v>APC500425-3</v>
      </c>
      <c r="AT264" s="2" t="str">
        <f>IFERROR(IF(VLOOKUP(Y264,vlookup!$I$2:$J$9,1,0)=Y264,VLOOKUP(Y264,vlookup!$I$2:$J$9,2,0),PROPER(Y264)),PROPER(Y264))</f>
        <v>Parts</v>
      </c>
      <c r="AU264" s="2" t="str">
        <f>IFERROR(IF(B264=VLOOKUP(B264,vlookup!$L$2:$L$10,1,0),"Yes","No"),"No")</f>
        <v>No</v>
      </c>
    </row>
    <row r="265" spans="1:47" x14ac:dyDescent="0.25">
      <c r="A265" t="s">
        <v>846</v>
      </c>
      <c r="B265" t="s">
        <v>847</v>
      </c>
      <c r="C265">
        <v>3</v>
      </c>
      <c r="D265">
        <v>1</v>
      </c>
      <c r="E265" t="s">
        <v>382</v>
      </c>
      <c r="F265" t="s">
        <v>207</v>
      </c>
      <c r="G265" t="s">
        <v>697</v>
      </c>
      <c r="H265" s="11" t="s">
        <v>738</v>
      </c>
      <c r="I265">
        <v>78864</v>
      </c>
      <c r="J265" s="22">
        <v>44344</v>
      </c>
      <c r="K265" s="22">
        <v>44399</v>
      </c>
      <c r="L265">
        <v>202107</v>
      </c>
      <c r="M265" s="22">
        <v>44378</v>
      </c>
      <c r="N265">
        <v>77871</v>
      </c>
      <c r="O265" t="s">
        <v>699</v>
      </c>
      <c r="P265" t="s">
        <v>712</v>
      </c>
      <c r="Q265" t="s">
        <v>612</v>
      </c>
      <c r="R265">
        <v>120222</v>
      </c>
      <c r="S265" s="22">
        <v>44802</v>
      </c>
      <c r="T265">
        <v>92994</v>
      </c>
      <c r="U265" t="s">
        <v>356</v>
      </c>
      <c r="V265" s="22">
        <v>44805</v>
      </c>
      <c r="W265" t="s">
        <v>890</v>
      </c>
      <c r="X265" t="s">
        <v>891</v>
      </c>
      <c r="Y265" t="s">
        <v>95</v>
      </c>
      <c r="Z265" t="s">
        <v>603</v>
      </c>
      <c r="AA265">
        <v>-1.68</v>
      </c>
      <c r="AC265" s="2">
        <f t="shared" si="48"/>
        <v>2022</v>
      </c>
      <c r="AD265" s="2">
        <f t="shared" si="49"/>
        <v>9</v>
      </c>
      <c r="AE265" s="2">
        <f t="shared" si="50"/>
        <v>2021</v>
      </c>
      <c r="AF265" s="2">
        <f t="shared" si="51"/>
        <v>5</v>
      </c>
      <c r="AG265" s="2" t="str">
        <f>VLOOKUP(F265,vlookup!$A$2:$E$660,2,0)</f>
        <v>Retained</v>
      </c>
      <c r="AH265" s="2" t="str">
        <f>VLOOKUP(F265,vlookup!$A$2:$E$660,3,0)</f>
        <v>Service Contract</v>
      </c>
      <c r="AI265" s="2" t="str">
        <f>VLOOKUP(F265,vlookup!$A$2:$E$660,4,0)</f>
        <v>Used Car Programs</v>
      </c>
      <c r="AJ265" s="2" t="str">
        <f>VLOOKUP(F265,vlookup!$A$2:$E$660,5,0)</f>
        <v>High Mileage</v>
      </c>
      <c r="AK265" s="2"/>
      <c r="AL265" s="2">
        <f t="shared" si="52"/>
        <v>54</v>
      </c>
      <c r="AM265" s="2">
        <f t="shared" si="53"/>
        <v>453</v>
      </c>
      <c r="AN265" s="2">
        <f t="shared" si="54"/>
        <v>14130</v>
      </c>
      <c r="AO265" s="2" t="str">
        <f t="shared" si="55"/>
        <v/>
      </c>
      <c r="AP265" s="2" t="str">
        <f t="shared" si="56"/>
        <v/>
      </c>
      <c r="AQ265" s="2" t="str">
        <f t="shared" si="57"/>
        <v/>
      </c>
      <c r="AR265" s="2">
        <f t="shared" si="58"/>
        <v>-1.68</v>
      </c>
      <c r="AS265" s="2" t="str">
        <f t="shared" si="59"/>
        <v>APC500425-3</v>
      </c>
      <c r="AT265" s="2" t="str">
        <f>IFERROR(IF(VLOOKUP(Y265,vlookup!$I$2:$J$9,1,0)=Y265,VLOOKUP(Y265,vlookup!$I$2:$J$9,2,0),PROPER(Y265)),PROPER(Y265))</f>
        <v>Parts</v>
      </c>
      <c r="AU265" s="2" t="str">
        <f>IFERROR(IF(B265=VLOOKUP(B265,vlookup!$L$2:$L$10,1,0),"Yes","No"),"No")</f>
        <v>No</v>
      </c>
    </row>
    <row r="266" spans="1:47" x14ac:dyDescent="0.25">
      <c r="A266" t="s">
        <v>846</v>
      </c>
      <c r="B266" t="s">
        <v>847</v>
      </c>
      <c r="C266">
        <v>3</v>
      </c>
      <c r="D266">
        <v>1</v>
      </c>
      <c r="E266" t="s">
        <v>382</v>
      </c>
      <c r="F266" t="s">
        <v>207</v>
      </c>
      <c r="G266" t="s">
        <v>697</v>
      </c>
      <c r="H266" s="11" t="s">
        <v>738</v>
      </c>
      <c r="I266">
        <v>78864</v>
      </c>
      <c r="J266" s="22">
        <v>44344</v>
      </c>
      <c r="K266" s="22">
        <v>44399</v>
      </c>
      <c r="L266">
        <v>202107</v>
      </c>
      <c r="M266" s="22">
        <v>44378</v>
      </c>
      <c r="N266">
        <v>77871</v>
      </c>
      <c r="O266" t="s">
        <v>699</v>
      </c>
      <c r="P266" t="s">
        <v>712</v>
      </c>
      <c r="Q266" t="s">
        <v>612</v>
      </c>
      <c r="R266">
        <v>120222</v>
      </c>
      <c r="S266" s="22">
        <v>44802</v>
      </c>
      <c r="T266">
        <v>92994</v>
      </c>
      <c r="U266" t="s">
        <v>356</v>
      </c>
      <c r="V266" s="22">
        <v>44805</v>
      </c>
      <c r="W266" t="s">
        <v>618</v>
      </c>
      <c r="X266" t="s">
        <v>619</v>
      </c>
      <c r="Y266" t="s">
        <v>95</v>
      </c>
      <c r="Z266" t="s">
        <v>579</v>
      </c>
      <c r="AA266">
        <v>-1130.98</v>
      </c>
      <c r="AC266" s="2">
        <f t="shared" si="48"/>
        <v>2022</v>
      </c>
      <c r="AD266" s="2">
        <f t="shared" si="49"/>
        <v>9</v>
      </c>
      <c r="AE266" s="2">
        <f t="shared" si="50"/>
        <v>2021</v>
      </c>
      <c r="AF266" s="2">
        <f t="shared" si="51"/>
        <v>5</v>
      </c>
      <c r="AG266" s="2" t="str">
        <f>VLOOKUP(F266,vlookup!$A$2:$E$660,2,0)</f>
        <v>Retained</v>
      </c>
      <c r="AH266" s="2" t="str">
        <f>VLOOKUP(F266,vlookup!$A$2:$E$660,3,0)</f>
        <v>Service Contract</v>
      </c>
      <c r="AI266" s="2" t="str">
        <f>VLOOKUP(F266,vlookup!$A$2:$E$660,4,0)</f>
        <v>Used Car Programs</v>
      </c>
      <c r="AJ266" s="2" t="str">
        <f>VLOOKUP(F266,vlookup!$A$2:$E$660,5,0)</f>
        <v>High Mileage</v>
      </c>
      <c r="AK266" s="2"/>
      <c r="AL266" s="2">
        <f t="shared" si="52"/>
        <v>54</v>
      </c>
      <c r="AM266" s="2">
        <f t="shared" si="53"/>
        <v>453</v>
      </c>
      <c r="AN266" s="2">
        <f t="shared" si="54"/>
        <v>14130</v>
      </c>
      <c r="AO266" s="2" t="str">
        <f t="shared" si="55"/>
        <v/>
      </c>
      <c r="AP266" s="2" t="str">
        <f t="shared" si="56"/>
        <v/>
      </c>
      <c r="AQ266" s="2" t="str">
        <f t="shared" si="57"/>
        <v/>
      </c>
      <c r="AR266" s="2">
        <f t="shared" si="58"/>
        <v>-1130.98</v>
      </c>
      <c r="AS266" s="2" t="str">
        <f t="shared" si="59"/>
        <v>APC500425-3</v>
      </c>
      <c r="AT266" s="2" t="str">
        <f>IFERROR(IF(VLOOKUP(Y266,vlookup!$I$2:$J$9,1,0)=Y266,VLOOKUP(Y266,vlookup!$I$2:$J$9,2,0),PROPER(Y266)),PROPER(Y266))</f>
        <v>Parts</v>
      </c>
      <c r="AU266" s="2" t="str">
        <f>IFERROR(IF(B266=VLOOKUP(B266,vlookup!$L$2:$L$10,1,0),"Yes","No"),"No")</f>
        <v>No</v>
      </c>
    </row>
    <row r="267" spans="1:47" x14ac:dyDescent="0.25">
      <c r="A267" t="s">
        <v>741</v>
      </c>
      <c r="B267" t="s">
        <v>742</v>
      </c>
      <c r="C267">
        <v>1</v>
      </c>
      <c r="D267">
        <v>1</v>
      </c>
      <c r="E267" t="s">
        <v>382</v>
      </c>
      <c r="F267" t="s">
        <v>191</v>
      </c>
      <c r="G267" t="s">
        <v>543</v>
      </c>
      <c r="H267" s="11" t="s">
        <v>611</v>
      </c>
      <c r="I267">
        <v>41200</v>
      </c>
      <c r="J267" s="22">
        <v>44524</v>
      </c>
      <c r="K267" s="22">
        <v>44582</v>
      </c>
      <c r="L267">
        <v>202201</v>
      </c>
      <c r="M267" s="22">
        <v>44562</v>
      </c>
      <c r="N267">
        <v>77871</v>
      </c>
      <c r="O267" t="s">
        <v>699</v>
      </c>
      <c r="P267" t="s">
        <v>712</v>
      </c>
      <c r="Q267" t="s">
        <v>612</v>
      </c>
      <c r="R267">
        <v>116582</v>
      </c>
      <c r="S267" s="22">
        <v>44727</v>
      </c>
      <c r="T267">
        <v>47223</v>
      </c>
      <c r="U267" t="s">
        <v>356</v>
      </c>
      <c r="V267" s="22">
        <v>44733</v>
      </c>
      <c r="W267" t="s">
        <v>688</v>
      </c>
      <c r="X267" t="s">
        <v>689</v>
      </c>
      <c r="Y267" t="s">
        <v>95</v>
      </c>
      <c r="Z267" t="s">
        <v>576</v>
      </c>
      <c r="AA267">
        <v>-252.2</v>
      </c>
      <c r="AC267" s="2">
        <f t="shared" si="48"/>
        <v>2022</v>
      </c>
      <c r="AD267" s="2">
        <f t="shared" si="49"/>
        <v>6</v>
      </c>
      <c r="AE267" s="2">
        <f t="shared" si="50"/>
        <v>2021</v>
      </c>
      <c r="AF267" s="2">
        <f t="shared" si="51"/>
        <v>11</v>
      </c>
      <c r="AG267" s="2" t="str">
        <f>VLOOKUP(F267,vlookup!$A$2:$E$660,2,0)</f>
        <v>Retained</v>
      </c>
      <c r="AH267" s="2" t="str">
        <f>VLOOKUP(F267,vlookup!$A$2:$E$660,3,0)</f>
        <v>Service Contract</v>
      </c>
      <c r="AI267" s="2" t="str">
        <f>VLOOKUP(F267,vlookup!$A$2:$E$660,4,0)</f>
        <v>New Car Programs</v>
      </c>
      <c r="AJ267" s="2" t="str">
        <f>VLOOKUP(F267,vlookup!$A$2:$E$660,5,0)</f>
        <v>High Mileage</v>
      </c>
      <c r="AK267" s="2"/>
      <c r="AL267" s="2">
        <f t="shared" si="52"/>
        <v>57</v>
      </c>
      <c r="AM267" s="2">
        <f t="shared" si="53"/>
        <v>207</v>
      </c>
      <c r="AN267" s="2">
        <f t="shared" si="54"/>
        <v>6023</v>
      </c>
      <c r="AO267" s="2" t="str">
        <f t="shared" si="55"/>
        <v/>
      </c>
      <c r="AP267" s="2" t="str">
        <f t="shared" si="56"/>
        <v/>
      </c>
      <c r="AQ267" s="2" t="str">
        <f t="shared" si="57"/>
        <v/>
      </c>
      <c r="AR267" s="2">
        <f t="shared" si="58"/>
        <v>-252.2</v>
      </c>
      <c r="AS267" s="2" t="str">
        <f t="shared" si="59"/>
        <v>APC100463-1</v>
      </c>
      <c r="AT267" s="2" t="str">
        <f>IFERROR(IF(VLOOKUP(Y267,vlookup!$I$2:$J$9,1,0)=Y267,VLOOKUP(Y267,vlookup!$I$2:$J$9,2,0),PROPER(Y267)),PROPER(Y267))</f>
        <v>Parts</v>
      </c>
      <c r="AU267" s="2" t="str">
        <f>IFERROR(IF(B267=VLOOKUP(B267,vlookup!$L$2:$L$10,1,0),"Yes","No"),"No")</f>
        <v>No</v>
      </c>
    </row>
    <row r="268" spans="1:47" x14ac:dyDescent="0.25">
      <c r="A268" t="s">
        <v>741</v>
      </c>
      <c r="B268" t="s">
        <v>742</v>
      </c>
      <c r="C268">
        <v>1</v>
      </c>
      <c r="D268">
        <v>1</v>
      </c>
      <c r="E268" t="s">
        <v>382</v>
      </c>
      <c r="F268" t="s">
        <v>191</v>
      </c>
      <c r="G268" t="s">
        <v>543</v>
      </c>
      <c r="H268" s="11" t="s">
        <v>611</v>
      </c>
      <c r="I268">
        <v>41200</v>
      </c>
      <c r="J268" s="22">
        <v>44524</v>
      </c>
      <c r="K268" s="22">
        <v>44582</v>
      </c>
      <c r="L268">
        <v>202201</v>
      </c>
      <c r="M268" s="22">
        <v>44562</v>
      </c>
      <c r="N268">
        <v>77871</v>
      </c>
      <c r="O268" t="s">
        <v>699</v>
      </c>
      <c r="P268" t="s">
        <v>712</v>
      </c>
      <c r="Q268" t="s">
        <v>612</v>
      </c>
      <c r="R268">
        <v>116582</v>
      </c>
      <c r="S268" s="22">
        <v>44727</v>
      </c>
      <c r="T268">
        <v>47223</v>
      </c>
      <c r="U268" t="s">
        <v>356</v>
      </c>
      <c r="V268" s="22">
        <v>44733</v>
      </c>
      <c r="W268" t="s">
        <v>584</v>
      </c>
      <c r="X268" t="s">
        <v>585</v>
      </c>
      <c r="Y268" t="s">
        <v>95</v>
      </c>
      <c r="Z268" t="s">
        <v>576</v>
      </c>
      <c r="AA268">
        <v>-45</v>
      </c>
      <c r="AC268" s="2">
        <f t="shared" si="48"/>
        <v>2022</v>
      </c>
      <c r="AD268" s="2">
        <f t="shared" si="49"/>
        <v>6</v>
      </c>
      <c r="AE268" s="2">
        <f t="shared" si="50"/>
        <v>2021</v>
      </c>
      <c r="AF268" s="2">
        <f t="shared" si="51"/>
        <v>11</v>
      </c>
      <c r="AG268" s="2" t="str">
        <f>VLOOKUP(F268,vlookup!$A$2:$E$660,2,0)</f>
        <v>Retained</v>
      </c>
      <c r="AH268" s="2" t="str">
        <f>VLOOKUP(F268,vlookup!$A$2:$E$660,3,0)</f>
        <v>Service Contract</v>
      </c>
      <c r="AI268" s="2" t="str">
        <f>VLOOKUP(F268,vlookup!$A$2:$E$660,4,0)</f>
        <v>New Car Programs</v>
      </c>
      <c r="AJ268" s="2" t="str">
        <f>VLOOKUP(F268,vlookup!$A$2:$E$660,5,0)</f>
        <v>High Mileage</v>
      </c>
      <c r="AK268" s="2"/>
      <c r="AL268" s="2">
        <f t="shared" si="52"/>
        <v>57</v>
      </c>
      <c r="AM268" s="2">
        <f t="shared" si="53"/>
        <v>207</v>
      </c>
      <c r="AN268" s="2">
        <f t="shared" si="54"/>
        <v>6023</v>
      </c>
      <c r="AO268" s="2" t="str">
        <f t="shared" si="55"/>
        <v/>
      </c>
      <c r="AP268" s="2" t="str">
        <f t="shared" si="56"/>
        <v/>
      </c>
      <c r="AQ268" s="2" t="str">
        <f t="shared" si="57"/>
        <v/>
      </c>
      <c r="AR268" s="2">
        <f t="shared" si="58"/>
        <v>-45</v>
      </c>
      <c r="AS268" s="2" t="str">
        <f t="shared" si="59"/>
        <v>APC100463-1</v>
      </c>
      <c r="AT268" s="2" t="str">
        <f>IFERROR(IF(VLOOKUP(Y268,vlookup!$I$2:$J$9,1,0)=Y268,VLOOKUP(Y268,vlookup!$I$2:$J$9,2,0),PROPER(Y268)),PROPER(Y268))</f>
        <v>Parts</v>
      </c>
      <c r="AU268" s="2" t="str">
        <f>IFERROR(IF(B268=VLOOKUP(B268,vlookup!$L$2:$L$10,1,0),"Yes","No"),"No")</f>
        <v>No</v>
      </c>
    </row>
    <row r="269" spans="1:47" x14ac:dyDescent="0.25">
      <c r="A269" t="s">
        <v>741</v>
      </c>
      <c r="B269" t="s">
        <v>742</v>
      </c>
      <c r="C269">
        <v>1</v>
      </c>
      <c r="D269">
        <v>1</v>
      </c>
      <c r="E269" t="s">
        <v>382</v>
      </c>
      <c r="F269" t="s">
        <v>191</v>
      </c>
      <c r="G269" t="s">
        <v>543</v>
      </c>
      <c r="H269" s="11" t="s">
        <v>611</v>
      </c>
      <c r="I269">
        <v>41200</v>
      </c>
      <c r="J269" s="22">
        <v>44524</v>
      </c>
      <c r="K269" s="22">
        <v>44582</v>
      </c>
      <c r="L269">
        <v>202201</v>
      </c>
      <c r="M269" s="22">
        <v>44562</v>
      </c>
      <c r="N269">
        <v>77871</v>
      </c>
      <c r="O269" t="s">
        <v>699</v>
      </c>
      <c r="P269" t="s">
        <v>712</v>
      </c>
      <c r="Q269" t="s">
        <v>612</v>
      </c>
      <c r="R269">
        <v>116582</v>
      </c>
      <c r="S269" s="22">
        <v>44727</v>
      </c>
      <c r="T269">
        <v>47223</v>
      </c>
      <c r="U269" t="s">
        <v>356</v>
      </c>
      <c r="V269" s="22">
        <v>44733</v>
      </c>
      <c r="W269" t="s">
        <v>367</v>
      </c>
      <c r="X269" t="s">
        <v>368</v>
      </c>
      <c r="Y269" t="s">
        <v>95</v>
      </c>
      <c r="Z269" t="s">
        <v>365</v>
      </c>
      <c r="AA269">
        <v>-54.72</v>
      </c>
      <c r="AC269" s="2">
        <f t="shared" si="48"/>
        <v>2022</v>
      </c>
      <c r="AD269" s="2">
        <f t="shared" si="49"/>
        <v>6</v>
      </c>
      <c r="AE269" s="2">
        <f t="shared" si="50"/>
        <v>2021</v>
      </c>
      <c r="AF269" s="2">
        <f t="shared" si="51"/>
        <v>11</v>
      </c>
      <c r="AG269" s="2" t="str">
        <f>VLOOKUP(F269,vlookup!$A$2:$E$660,2,0)</f>
        <v>Retained</v>
      </c>
      <c r="AH269" s="2" t="str">
        <f>VLOOKUP(F269,vlookup!$A$2:$E$660,3,0)</f>
        <v>Service Contract</v>
      </c>
      <c r="AI269" s="2" t="str">
        <f>VLOOKUP(F269,vlookup!$A$2:$E$660,4,0)</f>
        <v>New Car Programs</v>
      </c>
      <c r="AJ269" s="2" t="str">
        <f>VLOOKUP(F269,vlookup!$A$2:$E$660,5,0)</f>
        <v>High Mileage</v>
      </c>
      <c r="AK269" s="2"/>
      <c r="AL269" s="2">
        <f t="shared" si="52"/>
        <v>57</v>
      </c>
      <c r="AM269" s="2">
        <f t="shared" si="53"/>
        <v>207</v>
      </c>
      <c r="AN269" s="2">
        <f t="shared" si="54"/>
        <v>6023</v>
      </c>
      <c r="AO269" s="2" t="str">
        <f t="shared" si="55"/>
        <v/>
      </c>
      <c r="AP269" s="2" t="str">
        <f t="shared" si="56"/>
        <v/>
      </c>
      <c r="AQ269" s="2" t="str">
        <f t="shared" si="57"/>
        <v/>
      </c>
      <c r="AR269" s="2">
        <f t="shared" si="58"/>
        <v>-54.72</v>
      </c>
      <c r="AS269" s="2" t="str">
        <f t="shared" si="59"/>
        <v>APC100463-1</v>
      </c>
      <c r="AT269" s="2" t="str">
        <f>IFERROR(IF(VLOOKUP(Y269,vlookup!$I$2:$J$9,1,0)=Y269,VLOOKUP(Y269,vlookup!$I$2:$J$9,2,0),PROPER(Y269)),PROPER(Y269))</f>
        <v>Parts</v>
      </c>
      <c r="AU269" s="2" t="str">
        <f>IFERROR(IF(B269=VLOOKUP(B269,vlookup!$L$2:$L$10,1,0),"Yes","No"),"No")</f>
        <v>No</v>
      </c>
    </row>
    <row r="270" spans="1:47" x14ac:dyDescent="0.25">
      <c r="A270" t="s">
        <v>743</v>
      </c>
      <c r="B270" t="s">
        <v>744</v>
      </c>
      <c r="C270">
        <v>1</v>
      </c>
      <c r="D270">
        <v>1</v>
      </c>
      <c r="E270" t="s">
        <v>382</v>
      </c>
      <c r="F270" t="s">
        <v>346</v>
      </c>
      <c r="G270" t="s">
        <v>683</v>
      </c>
      <c r="H270" s="11" t="s">
        <v>745</v>
      </c>
      <c r="I270">
        <v>47900</v>
      </c>
      <c r="J270" s="22">
        <v>44221</v>
      </c>
      <c r="K270" s="22">
        <v>44281</v>
      </c>
      <c r="L270">
        <v>202103</v>
      </c>
      <c r="M270" s="22">
        <v>44256</v>
      </c>
      <c r="N270">
        <v>77871</v>
      </c>
      <c r="O270" t="s">
        <v>699</v>
      </c>
      <c r="P270" t="s">
        <v>712</v>
      </c>
      <c r="Q270" t="s">
        <v>612</v>
      </c>
      <c r="R270">
        <v>907278</v>
      </c>
      <c r="S270" s="22">
        <v>44363</v>
      </c>
      <c r="T270">
        <v>53206</v>
      </c>
      <c r="U270" t="s">
        <v>356</v>
      </c>
      <c r="V270" s="22">
        <v>44363</v>
      </c>
      <c r="W270" t="s">
        <v>623</v>
      </c>
      <c r="X270" t="s">
        <v>624</v>
      </c>
      <c r="Y270" t="s">
        <v>95</v>
      </c>
      <c r="Z270" t="s">
        <v>366</v>
      </c>
      <c r="AA270">
        <v>-40.5</v>
      </c>
      <c r="AC270" s="2">
        <f t="shared" si="48"/>
        <v>2021</v>
      </c>
      <c r="AD270" s="2">
        <f t="shared" si="49"/>
        <v>6</v>
      </c>
      <c r="AE270" s="2">
        <f t="shared" si="50"/>
        <v>2021</v>
      </c>
      <c r="AF270" s="2">
        <f t="shared" si="51"/>
        <v>1</v>
      </c>
      <c r="AG270" s="2" t="str">
        <f>VLOOKUP(F270,vlookup!$A$2:$E$660,2,0)</f>
        <v>Retained</v>
      </c>
      <c r="AH270" s="2" t="str">
        <f>VLOOKUP(F270,vlookup!$A$2:$E$660,3,0)</f>
        <v>Service Contract</v>
      </c>
      <c r="AI270" s="2" t="str">
        <f>VLOOKUP(F270,vlookup!$A$2:$E$660,4,0)</f>
        <v>Used Car Programs</v>
      </c>
      <c r="AJ270" s="2" t="str">
        <f>VLOOKUP(F270,vlookup!$A$2:$E$660,5,0)</f>
        <v>High Mileage</v>
      </c>
      <c r="AK270" s="2"/>
      <c r="AL270" s="2">
        <f t="shared" si="52"/>
        <v>61</v>
      </c>
      <c r="AM270" s="2">
        <f t="shared" si="53"/>
        <v>141</v>
      </c>
      <c r="AN270" s="2">
        <f t="shared" si="54"/>
        <v>5306</v>
      </c>
      <c r="AO270" s="2" t="str">
        <f t="shared" si="55"/>
        <v/>
      </c>
      <c r="AP270" s="2" t="str">
        <f t="shared" si="56"/>
        <v/>
      </c>
      <c r="AQ270" s="2" t="str">
        <f t="shared" si="57"/>
        <v/>
      </c>
      <c r="AR270" s="2">
        <f t="shared" si="58"/>
        <v>-40.5</v>
      </c>
      <c r="AS270" s="2" t="str">
        <f t="shared" si="59"/>
        <v>SDFC9147361A21-1</v>
      </c>
      <c r="AT270" s="2" t="str">
        <f>IFERROR(IF(VLOOKUP(Y270,vlookup!$I$2:$J$9,1,0)=Y270,VLOOKUP(Y270,vlookup!$I$2:$J$9,2,0),PROPER(Y270)),PROPER(Y270))</f>
        <v>Parts</v>
      </c>
      <c r="AU270" s="2" t="str">
        <f>IFERROR(IF(B270=VLOOKUP(B270,vlookup!$L$2:$L$10,1,0),"Yes","No"),"No")</f>
        <v>No</v>
      </c>
    </row>
    <row r="271" spans="1:47" x14ac:dyDescent="0.25">
      <c r="A271" t="s">
        <v>743</v>
      </c>
      <c r="B271" t="s">
        <v>744</v>
      </c>
      <c r="C271">
        <v>1</v>
      </c>
      <c r="D271">
        <v>1</v>
      </c>
      <c r="E271" t="s">
        <v>382</v>
      </c>
      <c r="F271" t="s">
        <v>346</v>
      </c>
      <c r="G271" t="s">
        <v>683</v>
      </c>
      <c r="H271" s="11" t="s">
        <v>745</v>
      </c>
      <c r="I271">
        <v>47900</v>
      </c>
      <c r="J271" s="22">
        <v>44221</v>
      </c>
      <c r="K271" s="22">
        <v>44281</v>
      </c>
      <c r="L271">
        <v>202103</v>
      </c>
      <c r="M271" s="22">
        <v>44256</v>
      </c>
      <c r="N271">
        <v>77871</v>
      </c>
      <c r="O271" t="s">
        <v>699</v>
      </c>
      <c r="P271" t="s">
        <v>712</v>
      </c>
      <c r="Q271" t="s">
        <v>612</v>
      </c>
      <c r="R271">
        <v>907278</v>
      </c>
      <c r="S271" s="22">
        <v>44363</v>
      </c>
      <c r="T271">
        <v>53206</v>
      </c>
      <c r="U271" t="s">
        <v>356</v>
      </c>
      <c r="V271" s="22">
        <v>44363</v>
      </c>
      <c r="W271" t="s">
        <v>596</v>
      </c>
      <c r="X271" t="s">
        <v>597</v>
      </c>
      <c r="Y271" t="s">
        <v>95</v>
      </c>
      <c r="Z271" t="s">
        <v>358</v>
      </c>
      <c r="AA271">
        <v>-413.35</v>
      </c>
      <c r="AC271" s="2">
        <f t="shared" si="48"/>
        <v>2021</v>
      </c>
      <c r="AD271" s="2">
        <f t="shared" si="49"/>
        <v>6</v>
      </c>
      <c r="AE271" s="2">
        <f t="shared" si="50"/>
        <v>2021</v>
      </c>
      <c r="AF271" s="2">
        <f t="shared" si="51"/>
        <v>1</v>
      </c>
      <c r="AG271" s="2" t="str">
        <f>VLOOKUP(F271,vlookup!$A$2:$E$660,2,0)</f>
        <v>Retained</v>
      </c>
      <c r="AH271" s="2" t="str">
        <f>VLOOKUP(F271,vlookup!$A$2:$E$660,3,0)</f>
        <v>Service Contract</v>
      </c>
      <c r="AI271" s="2" t="str">
        <f>VLOOKUP(F271,vlookup!$A$2:$E$660,4,0)</f>
        <v>Used Car Programs</v>
      </c>
      <c r="AJ271" s="2" t="str">
        <f>VLOOKUP(F271,vlookup!$A$2:$E$660,5,0)</f>
        <v>High Mileage</v>
      </c>
      <c r="AK271" s="2"/>
      <c r="AL271" s="2">
        <f t="shared" si="52"/>
        <v>61</v>
      </c>
      <c r="AM271" s="2">
        <f t="shared" si="53"/>
        <v>141</v>
      </c>
      <c r="AN271" s="2">
        <f t="shared" si="54"/>
        <v>5306</v>
      </c>
      <c r="AO271" s="2" t="str">
        <f t="shared" si="55"/>
        <v/>
      </c>
      <c r="AP271" s="2" t="str">
        <f t="shared" si="56"/>
        <v/>
      </c>
      <c r="AQ271" s="2" t="str">
        <f t="shared" si="57"/>
        <v/>
      </c>
      <c r="AR271" s="2">
        <f t="shared" si="58"/>
        <v>-413.35</v>
      </c>
      <c r="AS271" s="2" t="str">
        <f t="shared" si="59"/>
        <v>SDFC9147361A21-1</v>
      </c>
      <c r="AT271" s="2" t="str">
        <f>IFERROR(IF(VLOOKUP(Y271,vlookup!$I$2:$J$9,1,0)=Y271,VLOOKUP(Y271,vlookup!$I$2:$J$9,2,0),PROPER(Y271)),PROPER(Y271))</f>
        <v>Parts</v>
      </c>
      <c r="AU271" s="2" t="str">
        <f>IFERROR(IF(B271=VLOOKUP(B271,vlookup!$L$2:$L$10,1,0),"Yes","No"),"No")</f>
        <v>No</v>
      </c>
    </row>
    <row r="272" spans="1:47" x14ac:dyDescent="0.25">
      <c r="A272" t="s">
        <v>743</v>
      </c>
      <c r="B272" t="s">
        <v>744</v>
      </c>
      <c r="C272">
        <v>3</v>
      </c>
      <c r="D272">
        <v>1</v>
      </c>
      <c r="E272" t="s">
        <v>382</v>
      </c>
      <c r="F272" t="s">
        <v>346</v>
      </c>
      <c r="G272" t="s">
        <v>683</v>
      </c>
      <c r="H272" s="11" t="s">
        <v>745</v>
      </c>
      <c r="I272">
        <v>47900</v>
      </c>
      <c r="J272" s="22">
        <v>44221</v>
      </c>
      <c r="K272" s="22">
        <v>44281</v>
      </c>
      <c r="L272">
        <v>202103</v>
      </c>
      <c r="M272" s="22">
        <v>44256</v>
      </c>
      <c r="N272">
        <v>77871</v>
      </c>
      <c r="O272" t="s">
        <v>699</v>
      </c>
      <c r="P272" t="s">
        <v>746</v>
      </c>
      <c r="Q272" t="s">
        <v>544</v>
      </c>
      <c r="R272">
        <v>122387</v>
      </c>
      <c r="S272" s="22">
        <v>44845</v>
      </c>
      <c r="T272">
        <v>58347</v>
      </c>
      <c r="U272" t="s">
        <v>356</v>
      </c>
      <c r="V272" s="22">
        <v>44846</v>
      </c>
      <c r="W272" t="s">
        <v>629</v>
      </c>
      <c r="X272" t="s">
        <v>630</v>
      </c>
      <c r="Y272" t="s">
        <v>95</v>
      </c>
      <c r="Z272" t="s">
        <v>364</v>
      </c>
      <c r="AA272">
        <v>-120.2</v>
      </c>
      <c r="AC272" s="2">
        <f t="shared" si="48"/>
        <v>2022</v>
      </c>
      <c r="AD272" s="2">
        <f t="shared" si="49"/>
        <v>10</v>
      </c>
      <c r="AE272" s="2">
        <f t="shared" si="50"/>
        <v>2021</v>
      </c>
      <c r="AF272" s="2">
        <f t="shared" si="51"/>
        <v>1</v>
      </c>
      <c r="AG272" s="2" t="str">
        <f>VLOOKUP(F272,vlookup!$A$2:$E$660,2,0)</f>
        <v>Retained</v>
      </c>
      <c r="AH272" s="2" t="str">
        <f>VLOOKUP(F272,vlookup!$A$2:$E$660,3,0)</f>
        <v>Service Contract</v>
      </c>
      <c r="AI272" s="2" t="str">
        <f>VLOOKUP(F272,vlookup!$A$2:$E$660,4,0)</f>
        <v>Used Car Programs</v>
      </c>
      <c r="AJ272" s="2" t="str">
        <f>VLOOKUP(F272,vlookup!$A$2:$E$660,5,0)</f>
        <v>High Mileage</v>
      </c>
      <c r="AK272" s="2"/>
      <c r="AL272" s="2">
        <f t="shared" si="52"/>
        <v>61</v>
      </c>
      <c r="AM272" s="2">
        <f t="shared" si="53"/>
        <v>617</v>
      </c>
      <c r="AN272" s="2">
        <f t="shared" si="54"/>
        <v>10447</v>
      </c>
      <c r="AO272" s="2" t="str">
        <f t="shared" si="55"/>
        <v/>
      </c>
      <c r="AP272" s="2" t="str">
        <f t="shared" si="56"/>
        <v/>
      </c>
      <c r="AQ272" s="2" t="str">
        <f t="shared" si="57"/>
        <v/>
      </c>
      <c r="AR272" s="2">
        <f t="shared" si="58"/>
        <v>-120.2</v>
      </c>
      <c r="AS272" s="2" t="str">
        <f t="shared" si="59"/>
        <v>SDFC9147361A21-3</v>
      </c>
      <c r="AT272" s="2" t="str">
        <f>IFERROR(IF(VLOOKUP(Y272,vlookup!$I$2:$J$9,1,0)=Y272,VLOOKUP(Y272,vlookup!$I$2:$J$9,2,0),PROPER(Y272)),PROPER(Y272))</f>
        <v>Parts</v>
      </c>
      <c r="AU272" s="2" t="str">
        <f>IFERROR(IF(B272=VLOOKUP(B272,vlookup!$L$2:$L$10,1,0),"Yes","No"),"No")</f>
        <v>No</v>
      </c>
    </row>
    <row r="273" spans="1:47" x14ac:dyDescent="0.25">
      <c r="A273" t="s">
        <v>747</v>
      </c>
      <c r="B273" t="s">
        <v>748</v>
      </c>
      <c r="C273">
        <v>1</v>
      </c>
      <c r="D273">
        <v>1</v>
      </c>
      <c r="E273" t="s">
        <v>382</v>
      </c>
      <c r="F273" t="s">
        <v>257</v>
      </c>
      <c r="G273" t="s">
        <v>543</v>
      </c>
      <c r="H273" s="11" t="s">
        <v>602</v>
      </c>
      <c r="I273">
        <v>29281</v>
      </c>
      <c r="J273" s="22">
        <v>44193</v>
      </c>
      <c r="K273" s="22">
        <v>44229</v>
      </c>
      <c r="L273">
        <v>202101</v>
      </c>
      <c r="M273" s="22">
        <v>44197</v>
      </c>
      <c r="N273">
        <v>77871</v>
      </c>
      <c r="O273" t="s">
        <v>699</v>
      </c>
      <c r="P273" t="s">
        <v>712</v>
      </c>
      <c r="Q273" t="s">
        <v>612</v>
      </c>
      <c r="R273">
        <v>124532</v>
      </c>
      <c r="S273" s="22">
        <v>44888</v>
      </c>
      <c r="T273">
        <v>60817</v>
      </c>
      <c r="U273" t="s">
        <v>356</v>
      </c>
      <c r="V273" s="22">
        <v>44888</v>
      </c>
      <c r="W273" t="s">
        <v>629</v>
      </c>
      <c r="X273" t="s">
        <v>630</v>
      </c>
      <c r="Y273" t="s">
        <v>95</v>
      </c>
      <c r="Z273" t="s">
        <v>364</v>
      </c>
      <c r="AA273">
        <v>-120.2</v>
      </c>
      <c r="AC273" s="2">
        <f t="shared" si="48"/>
        <v>2022</v>
      </c>
      <c r="AD273" s="2">
        <f t="shared" si="49"/>
        <v>11</v>
      </c>
      <c r="AE273" s="2">
        <f t="shared" si="50"/>
        <v>2020</v>
      </c>
      <c r="AF273" s="2">
        <f t="shared" si="51"/>
        <v>12</v>
      </c>
      <c r="AG273" s="2" t="str">
        <f>VLOOKUP(F273,vlookup!$A$2:$E$660,2,0)</f>
        <v>Retained</v>
      </c>
      <c r="AH273" s="2" t="str">
        <f>VLOOKUP(F273,vlookup!$A$2:$E$660,3,0)</f>
        <v>Service Contract</v>
      </c>
      <c r="AI273" s="2" t="str">
        <f>VLOOKUP(F273,vlookup!$A$2:$E$660,4,0)</f>
        <v>Used Car Programs</v>
      </c>
      <c r="AJ273" s="2" t="str">
        <f>VLOOKUP(F273,vlookup!$A$2:$E$660,5,0)</f>
        <v>High Mileage</v>
      </c>
      <c r="AK273" s="2"/>
      <c r="AL273" s="2">
        <f t="shared" si="52"/>
        <v>34</v>
      </c>
      <c r="AM273" s="2">
        <f t="shared" si="53"/>
        <v>685</v>
      </c>
      <c r="AN273" s="2">
        <f t="shared" si="54"/>
        <v>31536</v>
      </c>
      <c r="AO273" s="2" t="str">
        <f t="shared" si="55"/>
        <v/>
      </c>
      <c r="AP273" s="2" t="str">
        <f t="shared" si="56"/>
        <v/>
      </c>
      <c r="AQ273" s="2" t="str">
        <f t="shared" si="57"/>
        <v/>
      </c>
      <c r="AR273" s="2">
        <f t="shared" si="58"/>
        <v>-120.2</v>
      </c>
      <c r="AS273" s="2" t="str">
        <f t="shared" si="59"/>
        <v>SNFH1602575L20-1</v>
      </c>
      <c r="AT273" s="2" t="str">
        <f>IFERROR(IF(VLOOKUP(Y273,vlookup!$I$2:$J$9,1,0)=Y273,VLOOKUP(Y273,vlookup!$I$2:$J$9,2,0),PROPER(Y273)),PROPER(Y273))</f>
        <v>Parts</v>
      </c>
      <c r="AU273" s="2" t="str">
        <f>IFERROR(IF(B273=VLOOKUP(B273,vlookup!$L$2:$L$10,1,0),"Yes","No"),"No")</f>
        <v>No</v>
      </c>
    </row>
    <row r="274" spans="1:47" x14ac:dyDescent="0.25">
      <c r="A274" t="s">
        <v>702</v>
      </c>
      <c r="B274" t="s">
        <v>703</v>
      </c>
      <c r="C274">
        <v>2</v>
      </c>
      <c r="D274">
        <v>1</v>
      </c>
      <c r="E274" t="s">
        <v>382</v>
      </c>
      <c r="F274" t="s">
        <v>191</v>
      </c>
      <c r="G274" t="s">
        <v>697</v>
      </c>
      <c r="H274" s="11" t="s">
        <v>704</v>
      </c>
      <c r="I274">
        <v>33397</v>
      </c>
      <c r="J274" s="22">
        <v>44211</v>
      </c>
      <c r="K274" s="22">
        <v>44271</v>
      </c>
      <c r="L274">
        <v>202103</v>
      </c>
      <c r="M274" s="22">
        <v>44256</v>
      </c>
      <c r="N274">
        <v>77871</v>
      </c>
      <c r="O274" t="s">
        <v>699</v>
      </c>
      <c r="P274" t="s">
        <v>712</v>
      </c>
      <c r="Q274" t="s">
        <v>612</v>
      </c>
      <c r="R274">
        <v>119976</v>
      </c>
      <c r="S274" s="22">
        <v>44796</v>
      </c>
      <c r="T274">
        <v>39146</v>
      </c>
      <c r="U274" t="s">
        <v>356</v>
      </c>
      <c r="V274" s="22">
        <v>44799</v>
      </c>
      <c r="W274" t="s">
        <v>842</v>
      </c>
      <c r="X274" t="s">
        <v>843</v>
      </c>
      <c r="Y274" t="s">
        <v>95</v>
      </c>
      <c r="Z274" t="s">
        <v>358</v>
      </c>
      <c r="AA274">
        <v>-828.28</v>
      </c>
      <c r="AC274" s="2">
        <f t="shared" si="48"/>
        <v>2022</v>
      </c>
      <c r="AD274" s="2">
        <f t="shared" si="49"/>
        <v>8</v>
      </c>
      <c r="AE274" s="2">
        <f t="shared" si="50"/>
        <v>2021</v>
      </c>
      <c r="AF274" s="2">
        <f t="shared" si="51"/>
        <v>1</v>
      </c>
      <c r="AG274" s="2" t="str">
        <f>VLOOKUP(F274,vlookup!$A$2:$E$660,2,0)</f>
        <v>Retained</v>
      </c>
      <c r="AH274" s="2" t="str">
        <f>VLOOKUP(F274,vlookup!$A$2:$E$660,3,0)</f>
        <v>Service Contract</v>
      </c>
      <c r="AI274" s="2" t="str">
        <f>VLOOKUP(F274,vlookup!$A$2:$E$660,4,0)</f>
        <v>New Car Programs</v>
      </c>
      <c r="AJ274" s="2" t="str">
        <f>VLOOKUP(F274,vlookup!$A$2:$E$660,5,0)</f>
        <v>High Mileage</v>
      </c>
      <c r="AK274" s="2"/>
      <c r="AL274" s="2">
        <f t="shared" si="52"/>
        <v>61</v>
      </c>
      <c r="AM274" s="2">
        <f t="shared" si="53"/>
        <v>581</v>
      </c>
      <c r="AN274" s="2">
        <f t="shared" si="54"/>
        <v>5749</v>
      </c>
      <c r="AO274" s="2" t="str">
        <f t="shared" si="55"/>
        <v/>
      </c>
      <c r="AP274" s="2" t="str">
        <f t="shared" si="56"/>
        <v/>
      </c>
      <c r="AQ274" s="2" t="str">
        <f t="shared" si="57"/>
        <v/>
      </c>
      <c r="AR274" s="2">
        <f t="shared" si="58"/>
        <v>-828.28</v>
      </c>
      <c r="AS274" s="2" t="str">
        <f t="shared" si="59"/>
        <v>APC100175-2</v>
      </c>
      <c r="AT274" s="2" t="str">
        <f>IFERROR(IF(VLOOKUP(Y274,vlookup!$I$2:$J$9,1,0)=Y274,VLOOKUP(Y274,vlookup!$I$2:$J$9,2,0),PROPER(Y274)),PROPER(Y274))</f>
        <v>Parts</v>
      </c>
      <c r="AU274" s="2" t="str">
        <f>IFERROR(IF(B274=VLOOKUP(B274,vlookup!$L$2:$L$10,1,0),"Yes","No"),"No")</f>
        <v>No</v>
      </c>
    </row>
    <row r="275" spans="1:47" x14ac:dyDescent="0.25">
      <c r="A275" t="s">
        <v>749</v>
      </c>
      <c r="B275" t="s">
        <v>750</v>
      </c>
      <c r="C275">
        <v>1</v>
      </c>
      <c r="D275">
        <v>1</v>
      </c>
      <c r="E275" t="s">
        <v>382</v>
      </c>
      <c r="F275" t="s">
        <v>346</v>
      </c>
      <c r="G275" t="s">
        <v>697</v>
      </c>
      <c r="H275" s="11" t="s">
        <v>704</v>
      </c>
      <c r="I275">
        <v>102575</v>
      </c>
      <c r="J275" s="22">
        <v>44162</v>
      </c>
      <c r="K275" s="22">
        <v>44202</v>
      </c>
      <c r="L275">
        <v>202012</v>
      </c>
      <c r="M275" s="22">
        <v>44166</v>
      </c>
      <c r="N275">
        <v>77871</v>
      </c>
      <c r="O275" t="s">
        <v>699</v>
      </c>
      <c r="P275" t="s">
        <v>712</v>
      </c>
      <c r="Q275" t="s">
        <v>612</v>
      </c>
      <c r="R275">
        <v>904088</v>
      </c>
      <c r="S275" s="22">
        <v>44307</v>
      </c>
      <c r="T275">
        <v>106443</v>
      </c>
      <c r="U275" t="s">
        <v>356</v>
      </c>
      <c r="V275" s="22">
        <v>44313</v>
      </c>
      <c r="W275" t="s">
        <v>844</v>
      </c>
      <c r="X275" t="s">
        <v>845</v>
      </c>
      <c r="Y275" t="s">
        <v>95</v>
      </c>
      <c r="Z275" t="s">
        <v>583</v>
      </c>
      <c r="AA275">
        <v>-290.51</v>
      </c>
      <c r="AC275" s="2">
        <f t="shared" si="48"/>
        <v>2021</v>
      </c>
      <c r="AD275" s="2">
        <f t="shared" si="49"/>
        <v>4</v>
      </c>
      <c r="AE275" s="2">
        <f t="shared" si="50"/>
        <v>2020</v>
      </c>
      <c r="AF275" s="2">
        <f t="shared" si="51"/>
        <v>11</v>
      </c>
      <c r="AG275" s="2" t="str">
        <f>VLOOKUP(F275,vlookup!$A$2:$E$660,2,0)</f>
        <v>Retained</v>
      </c>
      <c r="AH275" s="2" t="str">
        <f>VLOOKUP(F275,vlookup!$A$2:$E$660,3,0)</f>
        <v>Service Contract</v>
      </c>
      <c r="AI275" s="2" t="str">
        <f>VLOOKUP(F275,vlookup!$A$2:$E$660,4,0)</f>
        <v>Used Car Programs</v>
      </c>
      <c r="AJ275" s="2" t="str">
        <f>VLOOKUP(F275,vlookup!$A$2:$E$660,5,0)</f>
        <v>High Mileage</v>
      </c>
      <c r="AK275" s="2"/>
      <c r="AL275" s="2">
        <f t="shared" si="52"/>
        <v>39</v>
      </c>
      <c r="AM275" s="2">
        <f t="shared" si="53"/>
        <v>150</v>
      </c>
      <c r="AN275" s="2">
        <f t="shared" si="54"/>
        <v>3868</v>
      </c>
      <c r="AO275" s="2" t="str">
        <f t="shared" si="55"/>
        <v/>
      </c>
      <c r="AP275" s="2" t="str">
        <f t="shared" si="56"/>
        <v/>
      </c>
      <c r="AQ275" s="2" t="str">
        <f t="shared" si="57"/>
        <v/>
      </c>
      <c r="AR275" s="2">
        <f t="shared" si="58"/>
        <v>-290.51</v>
      </c>
      <c r="AS275" s="2" t="str">
        <f t="shared" si="59"/>
        <v>SDFBS584439K20-1</v>
      </c>
      <c r="AT275" s="2" t="str">
        <f>IFERROR(IF(VLOOKUP(Y275,vlookup!$I$2:$J$9,1,0)=Y275,VLOOKUP(Y275,vlookup!$I$2:$J$9,2,0),PROPER(Y275)),PROPER(Y275))</f>
        <v>Parts</v>
      </c>
      <c r="AU275" s="2" t="str">
        <f>IFERROR(IF(B275=VLOOKUP(B275,vlookup!$L$2:$L$10,1,0),"Yes","No"),"No")</f>
        <v>No</v>
      </c>
    </row>
    <row r="276" spans="1:47" x14ac:dyDescent="0.25">
      <c r="A276" t="s">
        <v>749</v>
      </c>
      <c r="B276" t="s">
        <v>750</v>
      </c>
      <c r="C276">
        <v>1</v>
      </c>
      <c r="D276">
        <v>1</v>
      </c>
      <c r="E276" t="s">
        <v>382</v>
      </c>
      <c r="F276" t="s">
        <v>346</v>
      </c>
      <c r="G276" t="s">
        <v>697</v>
      </c>
      <c r="H276" s="11" t="s">
        <v>704</v>
      </c>
      <c r="I276">
        <v>102575</v>
      </c>
      <c r="J276" s="22">
        <v>44162</v>
      </c>
      <c r="K276" s="22">
        <v>44202</v>
      </c>
      <c r="L276">
        <v>202012</v>
      </c>
      <c r="M276" s="22">
        <v>44166</v>
      </c>
      <c r="N276">
        <v>77871</v>
      </c>
      <c r="O276" t="s">
        <v>699</v>
      </c>
      <c r="P276" t="s">
        <v>712</v>
      </c>
      <c r="Q276" t="s">
        <v>612</v>
      </c>
      <c r="R276">
        <v>904088</v>
      </c>
      <c r="S276" s="22">
        <v>44307</v>
      </c>
      <c r="T276">
        <v>106443</v>
      </c>
      <c r="U276" t="s">
        <v>356</v>
      </c>
      <c r="V276" s="22">
        <v>44313</v>
      </c>
      <c r="W276" t="s">
        <v>892</v>
      </c>
      <c r="X276" t="s">
        <v>893</v>
      </c>
      <c r="Y276" t="s">
        <v>95</v>
      </c>
      <c r="Z276" t="s">
        <v>364</v>
      </c>
      <c r="AA276">
        <v>-4.6900000000000004</v>
      </c>
      <c r="AC276" s="2">
        <f t="shared" si="48"/>
        <v>2021</v>
      </c>
      <c r="AD276" s="2">
        <f t="shared" si="49"/>
        <v>4</v>
      </c>
      <c r="AE276" s="2">
        <f t="shared" si="50"/>
        <v>2020</v>
      </c>
      <c r="AF276" s="2">
        <f t="shared" si="51"/>
        <v>11</v>
      </c>
      <c r="AG276" s="2" t="str">
        <f>VLOOKUP(F276,vlookup!$A$2:$E$660,2,0)</f>
        <v>Retained</v>
      </c>
      <c r="AH276" s="2" t="str">
        <f>VLOOKUP(F276,vlookup!$A$2:$E$660,3,0)</f>
        <v>Service Contract</v>
      </c>
      <c r="AI276" s="2" t="str">
        <f>VLOOKUP(F276,vlookup!$A$2:$E$660,4,0)</f>
        <v>Used Car Programs</v>
      </c>
      <c r="AJ276" s="2" t="str">
        <f>VLOOKUP(F276,vlookup!$A$2:$E$660,5,0)</f>
        <v>High Mileage</v>
      </c>
      <c r="AK276" s="2"/>
      <c r="AL276" s="2">
        <f t="shared" si="52"/>
        <v>39</v>
      </c>
      <c r="AM276" s="2">
        <f t="shared" si="53"/>
        <v>150</v>
      </c>
      <c r="AN276" s="2">
        <f t="shared" si="54"/>
        <v>3868</v>
      </c>
      <c r="AO276" s="2" t="str">
        <f t="shared" si="55"/>
        <v/>
      </c>
      <c r="AP276" s="2" t="str">
        <f t="shared" si="56"/>
        <v/>
      </c>
      <c r="AQ276" s="2" t="str">
        <f t="shared" si="57"/>
        <v/>
      </c>
      <c r="AR276" s="2">
        <f t="shared" si="58"/>
        <v>-4.6900000000000004</v>
      </c>
      <c r="AS276" s="2" t="str">
        <f t="shared" si="59"/>
        <v>SDFBS584439K20-1</v>
      </c>
      <c r="AT276" s="2" t="str">
        <f>IFERROR(IF(VLOOKUP(Y276,vlookup!$I$2:$J$9,1,0)=Y276,VLOOKUP(Y276,vlookup!$I$2:$J$9,2,0),PROPER(Y276)),PROPER(Y276))</f>
        <v>Parts</v>
      </c>
      <c r="AU276" s="2" t="str">
        <f>IFERROR(IF(B276=VLOOKUP(B276,vlookup!$L$2:$L$10,1,0),"Yes","No"),"No")</f>
        <v>No</v>
      </c>
    </row>
    <row r="277" spans="1:47" x14ac:dyDescent="0.25">
      <c r="A277" t="s">
        <v>749</v>
      </c>
      <c r="B277" t="s">
        <v>750</v>
      </c>
      <c r="C277">
        <v>2</v>
      </c>
      <c r="D277">
        <v>1</v>
      </c>
      <c r="E277" t="s">
        <v>382</v>
      </c>
      <c r="F277" t="s">
        <v>346</v>
      </c>
      <c r="G277" t="s">
        <v>697</v>
      </c>
      <c r="H277" s="11" t="s">
        <v>704</v>
      </c>
      <c r="I277">
        <v>102575</v>
      </c>
      <c r="J277" s="22">
        <v>44162</v>
      </c>
      <c r="K277" s="22">
        <v>44202</v>
      </c>
      <c r="L277">
        <v>202012</v>
      </c>
      <c r="M277" s="22">
        <v>44166</v>
      </c>
      <c r="N277">
        <v>77871</v>
      </c>
      <c r="O277" t="s">
        <v>699</v>
      </c>
      <c r="P277" t="s">
        <v>712</v>
      </c>
      <c r="Q277" t="s">
        <v>612</v>
      </c>
      <c r="R277">
        <v>907052</v>
      </c>
      <c r="S277" s="22">
        <v>44359</v>
      </c>
      <c r="T277">
        <v>107857</v>
      </c>
      <c r="U277" t="s">
        <v>356</v>
      </c>
      <c r="V277" s="22">
        <v>44372</v>
      </c>
      <c r="W277" t="s">
        <v>644</v>
      </c>
      <c r="X277" t="s">
        <v>645</v>
      </c>
      <c r="Y277" t="s">
        <v>95</v>
      </c>
      <c r="Z277" t="s">
        <v>579</v>
      </c>
      <c r="AA277">
        <v>-190.8</v>
      </c>
      <c r="AC277" s="2">
        <f t="shared" si="48"/>
        <v>2021</v>
      </c>
      <c r="AD277" s="2">
        <f t="shared" si="49"/>
        <v>6</v>
      </c>
      <c r="AE277" s="2">
        <f t="shared" si="50"/>
        <v>2020</v>
      </c>
      <c r="AF277" s="2">
        <f t="shared" si="51"/>
        <v>11</v>
      </c>
      <c r="AG277" s="2" t="str">
        <f>VLOOKUP(F277,vlookup!$A$2:$E$660,2,0)</f>
        <v>Retained</v>
      </c>
      <c r="AH277" s="2" t="str">
        <f>VLOOKUP(F277,vlookup!$A$2:$E$660,3,0)</f>
        <v>Service Contract</v>
      </c>
      <c r="AI277" s="2" t="str">
        <f>VLOOKUP(F277,vlookup!$A$2:$E$660,4,0)</f>
        <v>Used Car Programs</v>
      </c>
      <c r="AJ277" s="2" t="str">
        <f>VLOOKUP(F277,vlookup!$A$2:$E$660,5,0)</f>
        <v>High Mileage</v>
      </c>
      <c r="AK277" s="2"/>
      <c r="AL277" s="2">
        <f t="shared" si="52"/>
        <v>39</v>
      </c>
      <c r="AM277" s="2">
        <f t="shared" si="53"/>
        <v>208</v>
      </c>
      <c r="AN277" s="2">
        <f t="shared" si="54"/>
        <v>5282</v>
      </c>
      <c r="AO277" s="2" t="str">
        <f t="shared" si="55"/>
        <v/>
      </c>
      <c r="AP277" s="2" t="str">
        <f t="shared" si="56"/>
        <v/>
      </c>
      <c r="AQ277" s="2" t="str">
        <f t="shared" si="57"/>
        <v/>
      </c>
      <c r="AR277" s="2">
        <f t="shared" si="58"/>
        <v>-190.8</v>
      </c>
      <c r="AS277" s="2" t="str">
        <f t="shared" si="59"/>
        <v>SDFBS584439K20-2</v>
      </c>
      <c r="AT277" s="2" t="str">
        <f>IFERROR(IF(VLOOKUP(Y277,vlookup!$I$2:$J$9,1,0)=Y277,VLOOKUP(Y277,vlookup!$I$2:$J$9,2,0),PROPER(Y277)),PROPER(Y277))</f>
        <v>Parts</v>
      </c>
      <c r="AU277" s="2" t="str">
        <f>IFERROR(IF(B277=VLOOKUP(B277,vlookup!$L$2:$L$10,1,0),"Yes","No"),"No")</f>
        <v>No</v>
      </c>
    </row>
    <row r="278" spans="1:47" x14ac:dyDescent="0.25">
      <c r="A278" t="s">
        <v>749</v>
      </c>
      <c r="B278" t="s">
        <v>750</v>
      </c>
      <c r="C278">
        <v>3</v>
      </c>
      <c r="D278">
        <v>1</v>
      </c>
      <c r="E278" t="s">
        <v>382</v>
      </c>
      <c r="F278" t="s">
        <v>346</v>
      </c>
      <c r="G278" t="s">
        <v>697</v>
      </c>
      <c r="H278" s="11" t="s">
        <v>704</v>
      </c>
      <c r="I278">
        <v>102575</v>
      </c>
      <c r="J278" s="22">
        <v>44162</v>
      </c>
      <c r="K278" s="22">
        <v>44202</v>
      </c>
      <c r="L278">
        <v>202012</v>
      </c>
      <c r="M278" s="22">
        <v>44166</v>
      </c>
      <c r="N278">
        <v>77871</v>
      </c>
      <c r="O278" t="s">
        <v>699</v>
      </c>
      <c r="P278" t="s">
        <v>712</v>
      </c>
      <c r="Q278" t="s">
        <v>612</v>
      </c>
      <c r="R278">
        <v>109121</v>
      </c>
      <c r="S278" s="22">
        <v>44575</v>
      </c>
      <c r="T278">
        <v>113199</v>
      </c>
      <c r="U278" t="s">
        <v>356</v>
      </c>
      <c r="V278" s="22">
        <v>44582</v>
      </c>
      <c r="W278" t="s">
        <v>848</v>
      </c>
      <c r="X278" t="s">
        <v>849</v>
      </c>
      <c r="Y278" t="s">
        <v>95</v>
      </c>
      <c r="Z278" t="s">
        <v>662</v>
      </c>
      <c r="AA278">
        <v>-397.04</v>
      </c>
      <c r="AC278" s="2">
        <f t="shared" si="48"/>
        <v>2022</v>
      </c>
      <c r="AD278" s="2">
        <f t="shared" si="49"/>
        <v>1</v>
      </c>
      <c r="AE278" s="2">
        <f t="shared" si="50"/>
        <v>2020</v>
      </c>
      <c r="AF278" s="2">
        <f t="shared" si="51"/>
        <v>11</v>
      </c>
      <c r="AG278" s="2" t="str">
        <f>VLOOKUP(F278,vlookup!$A$2:$E$660,2,0)</f>
        <v>Retained</v>
      </c>
      <c r="AH278" s="2" t="str">
        <f>VLOOKUP(F278,vlookup!$A$2:$E$660,3,0)</f>
        <v>Service Contract</v>
      </c>
      <c r="AI278" s="2" t="str">
        <f>VLOOKUP(F278,vlookup!$A$2:$E$660,4,0)</f>
        <v>Used Car Programs</v>
      </c>
      <c r="AJ278" s="2" t="str">
        <f>VLOOKUP(F278,vlookup!$A$2:$E$660,5,0)</f>
        <v>High Mileage</v>
      </c>
      <c r="AK278" s="2"/>
      <c r="AL278" s="2">
        <f t="shared" si="52"/>
        <v>39</v>
      </c>
      <c r="AM278" s="2">
        <f t="shared" si="53"/>
        <v>414</v>
      </c>
      <c r="AN278" s="2">
        <f t="shared" si="54"/>
        <v>10624</v>
      </c>
      <c r="AO278" s="2" t="str">
        <f t="shared" si="55"/>
        <v/>
      </c>
      <c r="AP278" s="2" t="str">
        <f t="shared" si="56"/>
        <v/>
      </c>
      <c r="AQ278" s="2" t="str">
        <f t="shared" si="57"/>
        <v/>
      </c>
      <c r="AR278" s="2">
        <f t="shared" si="58"/>
        <v>-397.04</v>
      </c>
      <c r="AS278" s="2" t="str">
        <f t="shared" si="59"/>
        <v>SDFBS584439K20-3</v>
      </c>
      <c r="AT278" s="2" t="str">
        <f>IFERROR(IF(VLOOKUP(Y278,vlookup!$I$2:$J$9,1,0)=Y278,VLOOKUP(Y278,vlookup!$I$2:$J$9,2,0),PROPER(Y278)),PROPER(Y278))</f>
        <v>Parts</v>
      </c>
      <c r="AU278" s="2" t="str">
        <f>IFERROR(IF(B278=VLOOKUP(B278,vlookup!$L$2:$L$10,1,0),"Yes","No"),"No")</f>
        <v>No</v>
      </c>
    </row>
    <row r="279" spans="1:47" x14ac:dyDescent="0.25">
      <c r="A279" t="s">
        <v>751</v>
      </c>
      <c r="B279" t="s">
        <v>752</v>
      </c>
      <c r="C279">
        <v>1</v>
      </c>
      <c r="D279">
        <v>1</v>
      </c>
      <c r="E279" t="s">
        <v>382</v>
      </c>
      <c r="F279" t="s">
        <v>346</v>
      </c>
      <c r="G279" t="s">
        <v>697</v>
      </c>
      <c r="H279" s="11" t="s">
        <v>704</v>
      </c>
      <c r="I279">
        <v>51402</v>
      </c>
      <c r="J279" s="22">
        <v>44357</v>
      </c>
      <c r="K279" s="22">
        <v>44379</v>
      </c>
      <c r="L279">
        <v>202106</v>
      </c>
      <c r="M279" s="22">
        <v>44348</v>
      </c>
      <c r="N279">
        <v>77871</v>
      </c>
      <c r="O279" t="s">
        <v>699</v>
      </c>
      <c r="P279" t="s">
        <v>712</v>
      </c>
      <c r="Q279" t="s">
        <v>612</v>
      </c>
      <c r="R279">
        <v>103223</v>
      </c>
      <c r="S279" s="22">
        <v>44460</v>
      </c>
      <c r="T279">
        <v>52432</v>
      </c>
      <c r="U279" t="s">
        <v>356</v>
      </c>
      <c r="V279" s="22">
        <v>44462</v>
      </c>
      <c r="W279" t="s">
        <v>842</v>
      </c>
      <c r="X279" t="s">
        <v>843</v>
      </c>
      <c r="Y279" t="s">
        <v>95</v>
      </c>
      <c r="Z279" t="s">
        <v>358</v>
      </c>
      <c r="AA279">
        <v>-1166.9100000000001</v>
      </c>
      <c r="AC279" s="2">
        <f t="shared" si="48"/>
        <v>2021</v>
      </c>
      <c r="AD279" s="2">
        <f t="shared" si="49"/>
        <v>9</v>
      </c>
      <c r="AE279" s="2">
        <f t="shared" si="50"/>
        <v>2021</v>
      </c>
      <c r="AF279" s="2">
        <f t="shared" si="51"/>
        <v>6</v>
      </c>
      <c r="AG279" s="2" t="str">
        <f>VLOOKUP(F279,vlookup!$A$2:$E$660,2,0)</f>
        <v>Retained</v>
      </c>
      <c r="AH279" s="2" t="str">
        <f>VLOOKUP(F279,vlookup!$A$2:$E$660,3,0)</f>
        <v>Service Contract</v>
      </c>
      <c r="AI279" s="2" t="str">
        <f>VLOOKUP(F279,vlookup!$A$2:$E$660,4,0)</f>
        <v>Used Car Programs</v>
      </c>
      <c r="AJ279" s="2" t="str">
        <f>VLOOKUP(F279,vlookup!$A$2:$E$660,5,0)</f>
        <v>High Mileage</v>
      </c>
      <c r="AK279" s="2"/>
      <c r="AL279" s="2">
        <f t="shared" si="52"/>
        <v>22</v>
      </c>
      <c r="AM279" s="2">
        <f t="shared" si="53"/>
        <v>103</v>
      </c>
      <c r="AN279" s="2">
        <f t="shared" si="54"/>
        <v>1030</v>
      </c>
      <c r="AO279" s="2" t="str">
        <f t="shared" si="55"/>
        <v/>
      </c>
      <c r="AP279" s="2" t="str">
        <f t="shared" si="56"/>
        <v/>
      </c>
      <c r="AQ279" s="2" t="str">
        <f t="shared" si="57"/>
        <v/>
      </c>
      <c r="AR279" s="2">
        <f t="shared" si="58"/>
        <v>-1166.9100000000001</v>
      </c>
      <c r="AS279" s="2" t="str">
        <f t="shared" si="59"/>
        <v>SDFES576785F21-1</v>
      </c>
      <c r="AT279" s="2" t="str">
        <f>IFERROR(IF(VLOOKUP(Y279,vlookup!$I$2:$J$9,1,0)=Y279,VLOOKUP(Y279,vlookup!$I$2:$J$9,2,0),PROPER(Y279)),PROPER(Y279))</f>
        <v>Parts</v>
      </c>
      <c r="AU279" s="2" t="str">
        <f>IFERROR(IF(B279=VLOOKUP(B279,vlookup!$L$2:$L$10,1,0),"Yes","No"),"No")</f>
        <v>No</v>
      </c>
    </row>
    <row r="280" spans="1:47" x14ac:dyDescent="0.25">
      <c r="A280" t="s">
        <v>850</v>
      </c>
      <c r="B280" t="s">
        <v>851</v>
      </c>
      <c r="C280">
        <v>1</v>
      </c>
      <c r="D280">
        <v>1</v>
      </c>
      <c r="E280" t="s">
        <v>382</v>
      </c>
      <c r="F280" t="s">
        <v>191</v>
      </c>
      <c r="G280" t="s">
        <v>683</v>
      </c>
      <c r="H280" s="11" t="s">
        <v>852</v>
      </c>
      <c r="I280">
        <v>25001</v>
      </c>
      <c r="J280" s="22">
        <v>44340</v>
      </c>
      <c r="K280" s="22">
        <v>44399</v>
      </c>
      <c r="L280">
        <v>202107</v>
      </c>
      <c r="M280" s="22">
        <v>44378</v>
      </c>
      <c r="N280">
        <v>77871</v>
      </c>
      <c r="O280" t="s">
        <v>699</v>
      </c>
      <c r="P280" t="s">
        <v>712</v>
      </c>
      <c r="Q280" t="s">
        <v>612</v>
      </c>
      <c r="R280">
        <v>124094</v>
      </c>
      <c r="S280" s="22">
        <v>44880</v>
      </c>
      <c r="T280">
        <v>50073</v>
      </c>
      <c r="U280" t="s">
        <v>356</v>
      </c>
      <c r="V280" s="22">
        <v>44882</v>
      </c>
      <c r="W280" t="s">
        <v>853</v>
      </c>
      <c r="X280" t="s">
        <v>854</v>
      </c>
      <c r="Y280" t="s">
        <v>95</v>
      </c>
      <c r="Z280" t="s">
        <v>358</v>
      </c>
      <c r="AA280">
        <v>-78.84</v>
      </c>
      <c r="AC280" s="2">
        <f t="shared" si="48"/>
        <v>2022</v>
      </c>
      <c r="AD280" s="2">
        <f t="shared" si="49"/>
        <v>11</v>
      </c>
      <c r="AE280" s="2">
        <f t="shared" si="50"/>
        <v>2021</v>
      </c>
      <c r="AF280" s="2">
        <f t="shared" si="51"/>
        <v>5</v>
      </c>
      <c r="AG280" s="2" t="str">
        <f>VLOOKUP(F280,vlookup!$A$2:$E$660,2,0)</f>
        <v>Retained</v>
      </c>
      <c r="AH280" s="2" t="str">
        <f>VLOOKUP(F280,vlookup!$A$2:$E$660,3,0)</f>
        <v>Service Contract</v>
      </c>
      <c r="AI280" s="2" t="str">
        <f>VLOOKUP(F280,vlookup!$A$2:$E$660,4,0)</f>
        <v>New Car Programs</v>
      </c>
      <c r="AJ280" s="2" t="str">
        <f>VLOOKUP(F280,vlookup!$A$2:$E$660,5,0)</f>
        <v>High Mileage</v>
      </c>
      <c r="AK280" s="2"/>
      <c r="AL280" s="2">
        <f t="shared" si="52"/>
        <v>58</v>
      </c>
      <c r="AM280" s="2">
        <f t="shared" si="53"/>
        <v>533</v>
      </c>
      <c r="AN280" s="2">
        <f t="shared" si="54"/>
        <v>25072</v>
      </c>
      <c r="AO280" s="2" t="str">
        <f t="shared" si="55"/>
        <v/>
      </c>
      <c r="AP280" s="2" t="str">
        <f t="shared" si="56"/>
        <v/>
      </c>
      <c r="AQ280" s="2" t="str">
        <f t="shared" si="57"/>
        <v/>
      </c>
      <c r="AR280" s="2">
        <f t="shared" si="58"/>
        <v>-78.84</v>
      </c>
      <c r="AS280" s="2" t="str">
        <f t="shared" si="59"/>
        <v>APC100294-1</v>
      </c>
      <c r="AT280" s="2" t="str">
        <f>IFERROR(IF(VLOOKUP(Y280,vlookup!$I$2:$J$9,1,0)=Y280,VLOOKUP(Y280,vlookup!$I$2:$J$9,2,0),PROPER(Y280)),PROPER(Y280))</f>
        <v>Parts</v>
      </c>
      <c r="AU280" s="2" t="str">
        <f>IFERROR(IF(B280=VLOOKUP(B280,vlookup!$L$2:$L$10,1,0),"Yes","No"),"No")</f>
        <v>No</v>
      </c>
    </row>
    <row r="281" spans="1:47" x14ac:dyDescent="0.25">
      <c r="A281" t="s">
        <v>855</v>
      </c>
      <c r="B281" t="s">
        <v>856</v>
      </c>
      <c r="C281">
        <v>1</v>
      </c>
      <c r="D281">
        <v>1</v>
      </c>
      <c r="E281" t="s">
        <v>382</v>
      </c>
      <c r="F281" t="s">
        <v>207</v>
      </c>
      <c r="G281" t="s">
        <v>683</v>
      </c>
      <c r="H281" s="11" t="s">
        <v>755</v>
      </c>
      <c r="I281">
        <v>57108</v>
      </c>
      <c r="J281" s="22">
        <v>44558</v>
      </c>
      <c r="K281" s="22">
        <v>44623</v>
      </c>
      <c r="L281">
        <v>202202</v>
      </c>
      <c r="M281" s="22">
        <v>44593</v>
      </c>
      <c r="N281">
        <v>77871</v>
      </c>
      <c r="O281" t="s">
        <v>699</v>
      </c>
      <c r="P281" t="s">
        <v>712</v>
      </c>
      <c r="Q281" t="s">
        <v>612</v>
      </c>
      <c r="R281">
        <v>115210</v>
      </c>
      <c r="S281" s="22">
        <v>44698</v>
      </c>
      <c r="T281">
        <v>61724</v>
      </c>
      <c r="U281" t="s">
        <v>356</v>
      </c>
      <c r="V281" s="22">
        <v>44699</v>
      </c>
      <c r="W281" t="s">
        <v>634</v>
      </c>
      <c r="X281" t="s">
        <v>635</v>
      </c>
      <c r="Y281" t="s">
        <v>95</v>
      </c>
      <c r="Z281" t="s">
        <v>583</v>
      </c>
      <c r="AA281">
        <v>-105.6</v>
      </c>
      <c r="AC281" s="2">
        <f t="shared" si="48"/>
        <v>2022</v>
      </c>
      <c r="AD281" s="2">
        <f t="shared" si="49"/>
        <v>5</v>
      </c>
      <c r="AE281" s="2">
        <f t="shared" si="50"/>
        <v>2021</v>
      </c>
      <c r="AF281" s="2">
        <f t="shared" si="51"/>
        <v>12</v>
      </c>
      <c r="AG281" s="2" t="str">
        <f>VLOOKUP(F281,vlookup!$A$2:$E$660,2,0)</f>
        <v>Retained</v>
      </c>
      <c r="AH281" s="2" t="str">
        <f>VLOOKUP(F281,vlookup!$A$2:$E$660,3,0)</f>
        <v>Service Contract</v>
      </c>
      <c r="AI281" s="2" t="str">
        <f>VLOOKUP(F281,vlookup!$A$2:$E$660,4,0)</f>
        <v>Used Car Programs</v>
      </c>
      <c r="AJ281" s="2" t="str">
        <f>VLOOKUP(F281,vlookup!$A$2:$E$660,5,0)</f>
        <v>High Mileage</v>
      </c>
      <c r="AK281" s="2"/>
      <c r="AL281" s="2">
        <f t="shared" si="52"/>
        <v>65</v>
      </c>
      <c r="AM281" s="2">
        <f t="shared" si="53"/>
        <v>140</v>
      </c>
      <c r="AN281" s="2">
        <f t="shared" si="54"/>
        <v>4616</v>
      </c>
      <c r="AO281" s="2" t="str">
        <f t="shared" si="55"/>
        <v/>
      </c>
      <c r="AP281" s="2" t="str">
        <f t="shared" si="56"/>
        <v/>
      </c>
      <c r="AQ281" s="2" t="str">
        <f t="shared" si="57"/>
        <v/>
      </c>
      <c r="AR281" s="2">
        <f t="shared" si="58"/>
        <v>-105.6</v>
      </c>
      <c r="AS281" s="2" t="str">
        <f t="shared" si="59"/>
        <v>APC500645-1</v>
      </c>
      <c r="AT281" s="2" t="str">
        <f>IFERROR(IF(VLOOKUP(Y281,vlookup!$I$2:$J$9,1,0)=Y281,VLOOKUP(Y281,vlookup!$I$2:$J$9,2,0),PROPER(Y281)),PROPER(Y281))</f>
        <v>Parts</v>
      </c>
      <c r="AU281" s="2" t="str">
        <f>IFERROR(IF(B281=VLOOKUP(B281,vlookup!$L$2:$L$10,1,0),"Yes","No"),"No")</f>
        <v>No</v>
      </c>
    </row>
    <row r="282" spans="1:47" x14ac:dyDescent="0.25">
      <c r="A282" t="s">
        <v>855</v>
      </c>
      <c r="B282" t="s">
        <v>856</v>
      </c>
      <c r="C282">
        <v>2</v>
      </c>
      <c r="D282">
        <v>1</v>
      </c>
      <c r="E282" t="s">
        <v>382</v>
      </c>
      <c r="F282" t="s">
        <v>207</v>
      </c>
      <c r="G282" t="s">
        <v>683</v>
      </c>
      <c r="H282" s="11" t="s">
        <v>755</v>
      </c>
      <c r="I282">
        <v>57108</v>
      </c>
      <c r="J282" s="22">
        <v>44558</v>
      </c>
      <c r="K282" s="22">
        <v>44623</v>
      </c>
      <c r="L282">
        <v>202202</v>
      </c>
      <c r="M282" s="22">
        <v>44593</v>
      </c>
      <c r="N282">
        <v>77871</v>
      </c>
      <c r="O282" t="s">
        <v>699</v>
      </c>
      <c r="P282" t="s">
        <v>746</v>
      </c>
      <c r="Q282" t="s">
        <v>544</v>
      </c>
      <c r="R282">
        <v>121041</v>
      </c>
      <c r="S282" s="22">
        <v>44819</v>
      </c>
      <c r="T282">
        <v>65796</v>
      </c>
      <c r="U282" t="s">
        <v>356</v>
      </c>
      <c r="V282" s="22">
        <v>44834</v>
      </c>
      <c r="W282" t="s">
        <v>692</v>
      </c>
      <c r="X282" t="s">
        <v>693</v>
      </c>
      <c r="Y282" t="s">
        <v>95</v>
      </c>
      <c r="Z282" t="s">
        <v>579</v>
      </c>
      <c r="AA282">
        <v>-124.04</v>
      </c>
      <c r="AC282" s="2">
        <f t="shared" ref="AC282:AC345" si="60">YEAR(V282)</f>
        <v>2022</v>
      </c>
      <c r="AD282" s="2">
        <f t="shared" ref="AD282:AD345" si="61">MONTH(V282)</f>
        <v>9</v>
      </c>
      <c r="AE282" s="2">
        <f t="shared" ref="AE282:AE345" si="62">YEAR(J282)</f>
        <v>2021</v>
      </c>
      <c r="AF282" s="2">
        <f t="shared" ref="AF282:AF345" si="63">MONTH(J282)</f>
        <v>12</v>
      </c>
      <c r="AG282" s="2" t="str">
        <f>VLOOKUP(F282,vlookup!$A$2:$E$660,2,0)</f>
        <v>Retained</v>
      </c>
      <c r="AH282" s="2" t="str">
        <f>VLOOKUP(F282,vlookup!$A$2:$E$660,3,0)</f>
        <v>Service Contract</v>
      </c>
      <c r="AI282" s="2" t="str">
        <f>VLOOKUP(F282,vlookup!$A$2:$E$660,4,0)</f>
        <v>Used Car Programs</v>
      </c>
      <c r="AJ282" s="2" t="str">
        <f>VLOOKUP(F282,vlookup!$A$2:$E$660,5,0)</f>
        <v>High Mileage</v>
      </c>
      <c r="AK282" s="2"/>
      <c r="AL282" s="2">
        <f t="shared" ref="AL282:AL345" si="64">DAYS360(J282,K282)</f>
        <v>65</v>
      </c>
      <c r="AM282" s="2">
        <f t="shared" ref="AM282:AM345" si="65">DAYS360(J282,V282)</f>
        <v>272</v>
      </c>
      <c r="AN282" s="2">
        <f t="shared" ref="AN282:AN345" si="66">IF(T282-I282&lt;1,"",T282-I282)</f>
        <v>8688</v>
      </c>
      <c r="AO282" s="2" t="str">
        <f t="shared" ref="AO282:AO345" si="67">IF(AM282&lt;31,AA282,"")</f>
        <v/>
      </c>
      <c r="AP282" s="2" t="str">
        <f t="shared" ref="AP282:AP345" si="68">IF(AND(AM282&gt;30,AM282&lt;61),AA282,"")</f>
        <v/>
      </c>
      <c r="AQ282" s="2" t="str">
        <f t="shared" ref="AQ282:AQ345" si="69">IF(AND(AM282&gt;60,AM282&lt;91),AA282,"")</f>
        <v/>
      </c>
      <c r="AR282" s="2">
        <f t="shared" ref="AR282:AR345" si="70">IF(AM282&gt;90,AA282,"")</f>
        <v>-124.04</v>
      </c>
      <c r="AS282" s="2" t="str">
        <f t="shared" ref="AS282:AS345" si="71">CONCATENATE(B282,"-",C282)</f>
        <v>APC500645-2</v>
      </c>
      <c r="AT282" s="2" t="str">
        <f>IFERROR(IF(VLOOKUP(Y282,vlookup!$I$2:$J$9,1,0)=Y282,VLOOKUP(Y282,vlookup!$I$2:$J$9,2,0),PROPER(Y282)),PROPER(Y282))</f>
        <v>Parts</v>
      </c>
      <c r="AU282" s="2" t="str">
        <f>IFERROR(IF(B282=VLOOKUP(B282,vlookup!$L$2:$L$10,1,0),"Yes","No"),"No")</f>
        <v>No</v>
      </c>
    </row>
    <row r="283" spans="1:47" x14ac:dyDescent="0.25">
      <c r="A283" t="s">
        <v>855</v>
      </c>
      <c r="B283" t="s">
        <v>856</v>
      </c>
      <c r="C283">
        <v>2</v>
      </c>
      <c r="D283">
        <v>1</v>
      </c>
      <c r="E283" t="s">
        <v>382</v>
      </c>
      <c r="F283" t="s">
        <v>207</v>
      </c>
      <c r="G283" t="s">
        <v>683</v>
      </c>
      <c r="H283" s="11" t="s">
        <v>755</v>
      </c>
      <c r="I283">
        <v>57108</v>
      </c>
      <c r="J283" s="22">
        <v>44558</v>
      </c>
      <c r="K283" s="22">
        <v>44623</v>
      </c>
      <c r="L283">
        <v>202202</v>
      </c>
      <c r="M283" s="22">
        <v>44593</v>
      </c>
      <c r="N283">
        <v>77871</v>
      </c>
      <c r="O283" t="s">
        <v>699</v>
      </c>
      <c r="P283" t="s">
        <v>746</v>
      </c>
      <c r="Q283" t="s">
        <v>544</v>
      </c>
      <c r="R283">
        <v>121041</v>
      </c>
      <c r="S283" s="22">
        <v>44819</v>
      </c>
      <c r="T283">
        <v>65796</v>
      </c>
      <c r="U283" t="s">
        <v>356</v>
      </c>
      <c r="V283" s="22">
        <v>44834</v>
      </c>
      <c r="W283" t="s">
        <v>654</v>
      </c>
      <c r="X283" t="s">
        <v>655</v>
      </c>
      <c r="Y283" t="s">
        <v>95</v>
      </c>
      <c r="Z283" t="s">
        <v>579</v>
      </c>
      <c r="AA283">
        <v>-124.04</v>
      </c>
      <c r="AC283" s="2">
        <f t="shared" si="60"/>
        <v>2022</v>
      </c>
      <c r="AD283" s="2">
        <f t="shared" si="61"/>
        <v>9</v>
      </c>
      <c r="AE283" s="2">
        <f t="shared" si="62"/>
        <v>2021</v>
      </c>
      <c r="AF283" s="2">
        <f t="shared" si="63"/>
        <v>12</v>
      </c>
      <c r="AG283" s="2" t="str">
        <f>VLOOKUP(F283,vlookup!$A$2:$E$660,2,0)</f>
        <v>Retained</v>
      </c>
      <c r="AH283" s="2" t="str">
        <f>VLOOKUP(F283,vlookup!$A$2:$E$660,3,0)</f>
        <v>Service Contract</v>
      </c>
      <c r="AI283" s="2" t="str">
        <f>VLOOKUP(F283,vlookup!$A$2:$E$660,4,0)</f>
        <v>Used Car Programs</v>
      </c>
      <c r="AJ283" s="2" t="str">
        <f>VLOOKUP(F283,vlookup!$A$2:$E$660,5,0)</f>
        <v>High Mileage</v>
      </c>
      <c r="AK283" s="2"/>
      <c r="AL283" s="2">
        <f t="shared" si="64"/>
        <v>65</v>
      </c>
      <c r="AM283" s="2">
        <f t="shared" si="65"/>
        <v>272</v>
      </c>
      <c r="AN283" s="2">
        <f t="shared" si="66"/>
        <v>8688</v>
      </c>
      <c r="AO283" s="2" t="str">
        <f t="shared" si="67"/>
        <v/>
      </c>
      <c r="AP283" s="2" t="str">
        <f t="shared" si="68"/>
        <v/>
      </c>
      <c r="AQ283" s="2" t="str">
        <f t="shared" si="69"/>
        <v/>
      </c>
      <c r="AR283" s="2">
        <f t="shared" si="70"/>
        <v>-124.04</v>
      </c>
      <c r="AS283" s="2" t="str">
        <f t="shared" si="71"/>
        <v>APC500645-2</v>
      </c>
      <c r="AT283" s="2" t="str">
        <f>IFERROR(IF(VLOOKUP(Y283,vlookup!$I$2:$J$9,1,0)=Y283,VLOOKUP(Y283,vlookup!$I$2:$J$9,2,0),PROPER(Y283)),PROPER(Y283))</f>
        <v>Parts</v>
      </c>
      <c r="AU283" s="2" t="str">
        <f>IFERROR(IF(B283=VLOOKUP(B283,vlookup!$L$2:$L$10,1,0),"Yes","No"),"No")</f>
        <v>No</v>
      </c>
    </row>
    <row r="284" spans="1:47" x14ac:dyDescent="0.25">
      <c r="A284" t="s">
        <v>753</v>
      </c>
      <c r="B284" t="s">
        <v>754</v>
      </c>
      <c r="C284">
        <v>1</v>
      </c>
      <c r="D284">
        <v>1</v>
      </c>
      <c r="E284" t="s">
        <v>382</v>
      </c>
      <c r="F284" t="s">
        <v>346</v>
      </c>
      <c r="G284" t="s">
        <v>683</v>
      </c>
      <c r="H284" s="11" t="s">
        <v>755</v>
      </c>
      <c r="I284">
        <v>51474</v>
      </c>
      <c r="J284" s="22">
        <v>44343</v>
      </c>
      <c r="K284" s="22">
        <v>44383</v>
      </c>
      <c r="L284">
        <v>202106</v>
      </c>
      <c r="M284" s="22">
        <v>44348</v>
      </c>
      <c r="N284">
        <v>77871</v>
      </c>
      <c r="O284" t="s">
        <v>699</v>
      </c>
      <c r="P284" t="s">
        <v>756</v>
      </c>
      <c r="Q284" t="s">
        <v>612</v>
      </c>
      <c r="R284">
        <v>25838</v>
      </c>
      <c r="S284" s="22">
        <v>44453</v>
      </c>
      <c r="T284">
        <v>56387</v>
      </c>
      <c r="U284" t="s">
        <v>357</v>
      </c>
      <c r="V284" s="22">
        <v>44496</v>
      </c>
      <c r="W284" t="s">
        <v>652</v>
      </c>
      <c r="X284" t="s">
        <v>653</v>
      </c>
      <c r="Y284" t="s">
        <v>95</v>
      </c>
      <c r="Z284" t="s">
        <v>365</v>
      </c>
      <c r="AA284">
        <v>-159.99</v>
      </c>
      <c r="AC284" s="2">
        <f t="shared" si="60"/>
        <v>2021</v>
      </c>
      <c r="AD284" s="2">
        <f t="shared" si="61"/>
        <v>10</v>
      </c>
      <c r="AE284" s="2">
        <f t="shared" si="62"/>
        <v>2021</v>
      </c>
      <c r="AF284" s="2">
        <f t="shared" si="63"/>
        <v>5</v>
      </c>
      <c r="AG284" s="2" t="str">
        <f>VLOOKUP(F284,vlookup!$A$2:$E$660,2,0)</f>
        <v>Retained</v>
      </c>
      <c r="AH284" s="2" t="str">
        <f>VLOOKUP(F284,vlookup!$A$2:$E$660,3,0)</f>
        <v>Service Contract</v>
      </c>
      <c r="AI284" s="2" t="str">
        <f>VLOOKUP(F284,vlookup!$A$2:$E$660,4,0)</f>
        <v>Used Car Programs</v>
      </c>
      <c r="AJ284" s="2" t="str">
        <f>VLOOKUP(F284,vlookup!$A$2:$E$660,5,0)</f>
        <v>High Mileage</v>
      </c>
      <c r="AK284" s="2"/>
      <c r="AL284" s="2">
        <f t="shared" si="64"/>
        <v>39</v>
      </c>
      <c r="AM284" s="2">
        <f t="shared" si="65"/>
        <v>150</v>
      </c>
      <c r="AN284" s="2">
        <f t="shared" si="66"/>
        <v>4913</v>
      </c>
      <c r="AO284" s="2" t="str">
        <f t="shared" si="67"/>
        <v/>
      </c>
      <c r="AP284" s="2" t="str">
        <f t="shared" si="68"/>
        <v/>
      </c>
      <c r="AQ284" s="2" t="str">
        <f t="shared" si="69"/>
        <v/>
      </c>
      <c r="AR284" s="2">
        <f t="shared" si="70"/>
        <v>-159.99</v>
      </c>
      <c r="AS284" s="2" t="str">
        <f t="shared" si="71"/>
        <v>SDFGB623095E21-1</v>
      </c>
      <c r="AT284" s="2" t="str">
        <f>IFERROR(IF(VLOOKUP(Y284,vlookup!$I$2:$J$9,1,0)=Y284,VLOOKUP(Y284,vlookup!$I$2:$J$9,2,0),PROPER(Y284)),PROPER(Y284))</f>
        <v>Parts</v>
      </c>
      <c r="AU284" s="2" t="str">
        <f>IFERROR(IF(B284=VLOOKUP(B284,vlookup!$L$2:$L$10,1,0),"Yes","No"),"No")</f>
        <v>No</v>
      </c>
    </row>
    <row r="285" spans="1:47" x14ac:dyDescent="0.25">
      <c r="A285" t="s">
        <v>753</v>
      </c>
      <c r="B285" t="s">
        <v>754</v>
      </c>
      <c r="C285">
        <v>1</v>
      </c>
      <c r="D285">
        <v>1</v>
      </c>
      <c r="E285" t="s">
        <v>382</v>
      </c>
      <c r="F285" t="s">
        <v>346</v>
      </c>
      <c r="G285" t="s">
        <v>683</v>
      </c>
      <c r="H285" s="11" t="s">
        <v>755</v>
      </c>
      <c r="I285">
        <v>51474</v>
      </c>
      <c r="J285" s="22">
        <v>44343</v>
      </c>
      <c r="K285" s="22">
        <v>44383</v>
      </c>
      <c r="L285">
        <v>202106</v>
      </c>
      <c r="M285" s="22">
        <v>44348</v>
      </c>
      <c r="N285">
        <v>77871</v>
      </c>
      <c r="O285" t="s">
        <v>699</v>
      </c>
      <c r="P285" t="s">
        <v>756</v>
      </c>
      <c r="Q285" t="s">
        <v>612</v>
      </c>
      <c r="R285">
        <v>25838</v>
      </c>
      <c r="S285" s="22">
        <v>44453</v>
      </c>
      <c r="T285">
        <v>56387</v>
      </c>
      <c r="U285" t="s">
        <v>357</v>
      </c>
      <c r="V285" s="22">
        <v>44496</v>
      </c>
      <c r="W285" t="s">
        <v>614</v>
      </c>
      <c r="X285" t="s">
        <v>615</v>
      </c>
      <c r="Y285" t="s">
        <v>95</v>
      </c>
      <c r="Z285" t="s">
        <v>365</v>
      </c>
      <c r="AA285">
        <v>-123.99</v>
      </c>
      <c r="AC285" s="2">
        <f t="shared" si="60"/>
        <v>2021</v>
      </c>
      <c r="AD285" s="2">
        <f t="shared" si="61"/>
        <v>10</v>
      </c>
      <c r="AE285" s="2">
        <f t="shared" si="62"/>
        <v>2021</v>
      </c>
      <c r="AF285" s="2">
        <f t="shared" si="63"/>
        <v>5</v>
      </c>
      <c r="AG285" s="2" t="str">
        <f>VLOOKUP(F285,vlookup!$A$2:$E$660,2,0)</f>
        <v>Retained</v>
      </c>
      <c r="AH285" s="2" t="str">
        <f>VLOOKUP(F285,vlookup!$A$2:$E$660,3,0)</f>
        <v>Service Contract</v>
      </c>
      <c r="AI285" s="2" t="str">
        <f>VLOOKUP(F285,vlookup!$A$2:$E$660,4,0)</f>
        <v>Used Car Programs</v>
      </c>
      <c r="AJ285" s="2" t="str">
        <f>VLOOKUP(F285,vlookup!$A$2:$E$660,5,0)</f>
        <v>High Mileage</v>
      </c>
      <c r="AK285" s="2"/>
      <c r="AL285" s="2">
        <f t="shared" si="64"/>
        <v>39</v>
      </c>
      <c r="AM285" s="2">
        <f t="shared" si="65"/>
        <v>150</v>
      </c>
      <c r="AN285" s="2">
        <f t="shared" si="66"/>
        <v>4913</v>
      </c>
      <c r="AO285" s="2" t="str">
        <f t="shared" si="67"/>
        <v/>
      </c>
      <c r="AP285" s="2" t="str">
        <f t="shared" si="68"/>
        <v/>
      </c>
      <c r="AQ285" s="2" t="str">
        <f t="shared" si="69"/>
        <v/>
      </c>
      <c r="AR285" s="2">
        <f t="shared" si="70"/>
        <v>-123.99</v>
      </c>
      <c r="AS285" s="2" t="str">
        <f t="shared" si="71"/>
        <v>SDFGB623095E21-1</v>
      </c>
      <c r="AT285" s="2" t="str">
        <f>IFERROR(IF(VLOOKUP(Y285,vlookup!$I$2:$J$9,1,0)=Y285,VLOOKUP(Y285,vlookup!$I$2:$J$9,2,0),PROPER(Y285)),PROPER(Y285))</f>
        <v>Parts</v>
      </c>
      <c r="AU285" s="2" t="str">
        <f>IFERROR(IF(B285=VLOOKUP(B285,vlookup!$L$2:$L$10,1,0),"Yes","No"),"No")</f>
        <v>No</v>
      </c>
    </row>
    <row r="286" spans="1:47" x14ac:dyDescent="0.25">
      <c r="A286" t="s">
        <v>753</v>
      </c>
      <c r="B286" t="s">
        <v>754</v>
      </c>
      <c r="C286">
        <v>1</v>
      </c>
      <c r="D286">
        <v>1</v>
      </c>
      <c r="E286" t="s">
        <v>382</v>
      </c>
      <c r="F286" t="s">
        <v>346</v>
      </c>
      <c r="G286" t="s">
        <v>683</v>
      </c>
      <c r="H286" s="11" t="s">
        <v>755</v>
      </c>
      <c r="I286">
        <v>51474</v>
      </c>
      <c r="J286" s="22">
        <v>44343</v>
      </c>
      <c r="K286" s="22">
        <v>44383</v>
      </c>
      <c r="L286">
        <v>202106</v>
      </c>
      <c r="M286" s="22">
        <v>44348</v>
      </c>
      <c r="N286">
        <v>77871</v>
      </c>
      <c r="O286" t="s">
        <v>699</v>
      </c>
      <c r="P286" t="s">
        <v>756</v>
      </c>
      <c r="Q286" t="s">
        <v>612</v>
      </c>
      <c r="R286">
        <v>25838</v>
      </c>
      <c r="S286" s="22">
        <v>44453</v>
      </c>
      <c r="T286">
        <v>56387</v>
      </c>
      <c r="U286" t="s">
        <v>357</v>
      </c>
      <c r="V286" s="22">
        <v>44496</v>
      </c>
      <c r="W286" t="s">
        <v>367</v>
      </c>
      <c r="X286" t="s">
        <v>368</v>
      </c>
      <c r="Y286" t="s">
        <v>95</v>
      </c>
      <c r="Z286" t="s">
        <v>365</v>
      </c>
      <c r="AA286">
        <v>-21.99</v>
      </c>
      <c r="AC286" s="2">
        <f t="shared" si="60"/>
        <v>2021</v>
      </c>
      <c r="AD286" s="2">
        <f t="shared" si="61"/>
        <v>10</v>
      </c>
      <c r="AE286" s="2">
        <f t="shared" si="62"/>
        <v>2021</v>
      </c>
      <c r="AF286" s="2">
        <f t="shared" si="63"/>
        <v>5</v>
      </c>
      <c r="AG286" s="2" t="str">
        <f>VLOOKUP(F286,vlookup!$A$2:$E$660,2,0)</f>
        <v>Retained</v>
      </c>
      <c r="AH286" s="2" t="str">
        <f>VLOOKUP(F286,vlookup!$A$2:$E$660,3,0)</f>
        <v>Service Contract</v>
      </c>
      <c r="AI286" s="2" t="str">
        <f>VLOOKUP(F286,vlookup!$A$2:$E$660,4,0)</f>
        <v>Used Car Programs</v>
      </c>
      <c r="AJ286" s="2" t="str">
        <f>VLOOKUP(F286,vlookup!$A$2:$E$660,5,0)</f>
        <v>High Mileage</v>
      </c>
      <c r="AK286" s="2"/>
      <c r="AL286" s="2">
        <f t="shared" si="64"/>
        <v>39</v>
      </c>
      <c r="AM286" s="2">
        <f t="shared" si="65"/>
        <v>150</v>
      </c>
      <c r="AN286" s="2">
        <f t="shared" si="66"/>
        <v>4913</v>
      </c>
      <c r="AO286" s="2" t="str">
        <f t="shared" si="67"/>
        <v/>
      </c>
      <c r="AP286" s="2" t="str">
        <f t="shared" si="68"/>
        <v/>
      </c>
      <c r="AQ286" s="2" t="str">
        <f t="shared" si="69"/>
        <v/>
      </c>
      <c r="AR286" s="2">
        <f t="shared" si="70"/>
        <v>-21.99</v>
      </c>
      <c r="AS286" s="2" t="str">
        <f t="shared" si="71"/>
        <v>SDFGB623095E21-1</v>
      </c>
      <c r="AT286" s="2" t="str">
        <f>IFERROR(IF(VLOOKUP(Y286,vlookup!$I$2:$J$9,1,0)=Y286,VLOOKUP(Y286,vlookup!$I$2:$J$9,2,0),PROPER(Y286)),PROPER(Y286))</f>
        <v>Parts</v>
      </c>
      <c r="AU286" s="2" t="str">
        <f>IFERROR(IF(B286=VLOOKUP(B286,vlookup!$L$2:$L$10,1,0),"Yes","No"),"No")</f>
        <v>No</v>
      </c>
    </row>
    <row r="287" spans="1:47" x14ac:dyDescent="0.25">
      <c r="A287" t="s">
        <v>753</v>
      </c>
      <c r="B287" t="s">
        <v>754</v>
      </c>
      <c r="C287">
        <v>3</v>
      </c>
      <c r="D287">
        <v>1</v>
      </c>
      <c r="E287" t="s">
        <v>382</v>
      </c>
      <c r="F287" t="s">
        <v>346</v>
      </c>
      <c r="G287" t="s">
        <v>683</v>
      </c>
      <c r="H287" s="11" t="s">
        <v>755</v>
      </c>
      <c r="I287">
        <v>51474</v>
      </c>
      <c r="J287" s="22">
        <v>44343</v>
      </c>
      <c r="K287" s="22">
        <v>44383</v>
      </c>
      <c r="L287">
        <v>202106</v>
      </c>
      <c r="M287" s="22">
        <v>44348</v>
      </c>
      <c r="N287">
        <v>77871</v>
      </c>
      <c r="O287" t="s">
        <v>699</v>
      </c>
      <c r="P287" t="s">
        <v>746</v>
      </c>
      <c r="Q287" t="s">
        <v>544</v>
      </c>
      <c r="R287">
        <v>121325</v>
      </c>
      <c r="S287" s="22">
        <v>44825</v>
      </c>
      <c r="T287">
        <v>71996</v>
      </c>
      <c r="U287" t="s">
        <v>356</v>
      </c>
      <c r="V287" s="22">
        <v>44833</v>
      </c>
      <c r="W287" t="s">
        <v>857</v>
      </c>
      <c r="X287" t="s">
        <v>858</v>
      </c>
      <c r="Y287" t="s">
        <v>95</v>
      </c>
      <c r="Z287" t="s">
        <v>365</v>
      </c>
      <c r="AA287">
        <v>-367.2</v>
      </c>
      <c r="AC287" s="2">
        <f t="shared" si="60"/>
        <v>2022</v>
      </c>
      <c r="AD287" s="2">
        <f t="shared" si="61"/>
        <v>9</v>
      </c>
      <c r="AE287" s="2">
        <f t="shared" si="62"/>
        <v>2021</v>
      </c>
      <c r="AF287" s="2">
        <f t="shared" si="63"/>
        <v>5</v>
      </c>
      <c r="AG287" s="2" t="str">
        <f>VLOOKUP(F287,vlookup!$A$2:$E$660,2,0)</f>
        <v>Retained</v>
      </c>
      <c r="AH287" s="2" t="str">
        <f>VLOOKUP(F287,vlookup!$A$2:$E$660,3,0)</f>
        <v>Service Contract</v>
      </c>
      <c r="AI287" s="2" t="str">
        <f>VLOOKUP(F287,vlookup!$A$2:$E$660,4,0)</f>
        <v>Used Car Programs</v>
      </c>
      <c r="AJ287" s="2" t="str">
        <f>VLOOKUP(F287,vlookup!$A$2:$E$660,5,0)</f>
        <v>High Mileage</v>
      </c>
      <c r="AK287" s="2"/>
      <c r="AL287" s="2">
        <f t="shared" si="64"/>
        <v>39</v>
      </c>
      <c r="AM287" s="2">
        <f t="shared" si="65"/>
        <v>482</v>
      </c>
      <c r="AN287" s="2">
        <f t="shared" si="66"/>
        <v>20522</v>
      </c>
      <c r="AO287" s="2" t="str">
        <f t="shared" si="67"/>
        <v/>
      </c>
      <c r="AP287" s="2" t="str">
        <f t="shared" si="68"/>
        <v/>
      </c>
      <c r="AQ287" s="2" t="str">
        <f t="shared" si="69"/>
        <v/>
      </c>
      <c r="AR287" s="2">
        <f t="shared" si="70"/>
        <v>-367.2</v>
      </c>
      <c r="AS287" s="2" t="str">
        <f t="shared" si="71"/>
        <v>SDFGB623095E21-3</v>
      </c>
      <c r="AT287" s="2" t="str">
        <f>IFERROR(IF(VLOOKUP(Y287,vlookup!$I$2:$J$9,1,0)=Y287,VLOOKUP(Y287,vlookup!$I$2:$J$9,2,0),PROPER(Y287)),PROPER(Y287))</f>
        <v>Parts</v>
      </c>
      <c r="AU287" s="2" t="str">
        <f>IFERROR(IF(B287=VLOOKUP(B287,vlookup!$L$2:$L$10,1,0),"Yes","No"),"No")</f>
        <v>No</v>
      </c>
    </row>
    <row r="288" spans="1:47" x14ac:dyDescent="0.25">
      <c r="A288" t="s">
        <v>753</v>
      </c>
      <c r="B288" t="s">
        <v>754</v>
      </c>
      <c r="C288">
        <v>3</v>
      </c>
      <c r="D288">
        <v>1</v>
      </c>
      <c r="E288" t="s">
        <v>382</v>
      </c>
      <c r="F288" t="s">
        <v>346</v>
      </c>
      <c r="G288" t="s">
        <v>683</v>
      </c>
      <c r="H288" s="11" t="s">
        <v>755</v>
      </c>
      <c r="I288">
        <v>51474</v>
      </c>
      <c r="J288" s="22">
        <v>44343</v>
      </c>
      <c r="K288" s="22">
        <v>44383</v>
      </c>
      <c r="L288">
        <v>202106</v>
      </c>
      <c r="M288" s="22">
        <v>44348</v>
      </c>
      <c r="N288">
        <v>77871</v>
      </c>
      <c r="O288" t="s">
        <v>699</v>
      </c>
      <c r="P288" t="s">
        <v>746</v>
      </c>
      <c r="Q288" t="s">
        <v>544</v>
      </c>
      <c r="R288">
        <v>121325</v>
      </c>
      <c r="S288" s="22">
        <v>44825</v>
      </c>
      <c r="T288">
        <v>71996</v>
      </c>
      <c r="U288" t="s">
        <v>356</v>
      </c>
      <c r="V288" s="22">
        <v>44833</v>
      </c>
      <c r="W288" t="s">
        <v>859</v>
      </c>
      <c r="X288" t="s">
        <v>860</v>
      </c>
      <c r="Y288" t="s">
        <v>95</v>
      </c>
      <c r="Z288" t="s">
        <v>358</v>
      </c>
      <c r="AA288">
        <v>-47.07</v>
      </c>
      <c r="AC288" s="2">
        <f t="shared" si="60"/>
        <v>2022</v>
      </c>
      <c r="AD288" s="2">
        <f t="shared" si="61"/>
        <v>9</v>
      </c>
      <c r="AE288" s="2">
        <f t="shared" si="62"/>
        <v>2021</v>
      </c>
      <c r="AF288" s="2">
        <f t="shared" si="63"/>
        <v>5</v>
      </c>
      <c r="AG288" s="2" t="str">
        <f>VLOOKUP(F288,vlookup!$A$2:$E$660,2,0)</f>
        <v>Retained</v>
      </c>
      <c r="AH288" s="2" t="str">
        <f>VLOOKUP(F288,vlookup!$A$2:$E$660,3,0)</f>
        <v>Service Contract</v>
      </c>
      <c r="AI288" s="2" t="str">
        <f>VLOOKUP(F288,vlookup!$A$2:$E$660,4,0)</f>
        <v>Used Car Programs</v>
      </c>
      <c r="AJ288" s="2" t="str">
        <f>VLOOKUP(F288,vlookup!$A$2:$E$660,5,0)</f>
        <v>High Mileage</v>
      </c>
      <c r="AK288" s="2"/>
      <c r="AL288" s="2">
        <f t="shared" si="64"/>
        <v>39</v>
      </c>
      <c r="AM288" s="2">
        <f t="shared" si="65"/>
        <v>482</v>
      </c>
      <c r="AN288" s="2">
        <f t="shared" si="66"/>
        <v>20522</v>
      </c>
      <c r="AO288" s="2" t="str">
        <f t="shared" si="67"/>
        <v/>
      </c>
      <c r="AP288" s="2" t="str">
        <f t="shared" si="68"/>
        <v/>
      </c>
      <c r="AQ288" s="2" t="str">
        <f t="shared" si="69"/>
        <v/>
      </c>
      <c r="AR288" s="2">
        <f t="shared" si="70"/>
        <v>-47.07</v>
      </c>
      <c r="AS288" s="2" t="str">
        <f t="shared" si="71"/>
        <v>SDFGB623095E21-3</v>
      </c>
      <c r="AT288" s="2" t="str">
        <f>IFERROR(IF(VLOOKUP(Y288,vlookup!$I$2:$J$9,1,0)=Y288,VLOOKUP(Y288,vlookup!$I$2:$J$9,2,0),PROPER(Y288)),PROPER(Y288))</f>
        <v>Parts</v>
      </c>
      <c r="AU288" s="2" t="str">
        <f>IFERROR(IF(B288=VLOOKUP(B288,vlookup!$L$2:$L$10,1,0),"Yes","No"),"No")</f>
        <v>No</v>
      </c>
    </row>
    <row r="289" spans="1:47" x14ac:dyDescent="0.25">
      <c r="A289" t="s">
        <v>753</v>
      </c>
      <c r="B289" t="s">
        <v>754</v>
      </c>
      <c r="C289">
        <v>4</v>
      </c>
      <c r="D289">
        <v>1</v>
      </c>
      <c r="E289" t="s">
        <v>382</v>
      </c>
      <c r="F289" t="s">
        <v>346</v>
      </c>
      <c r="G289" t="s">
        <v>683</v>
      </c>
      <c r="H289" s="11" t="s">
        <v>755</v>
      </c>
      <c r="I289">
        <v>51474</v>
      </c>
      <c r="J289" s="22">
        <v>44343</v>
      </c>
      <c r="K289" s="22">
        <v>44383</v>
      </c>
      <c r="L289">
        <v>202106</v>
      </c>
      <c r="M289" s="22">
        <v>44348</v>
      </c>
      <c r="N289">
        <v>77871</v>
      </c>
      <c r="O289" t="s">
        <v>699</v>
      </c>
      <c r="P289" t="s">
        <v>746</v>
      </c>
      <c r="Q289" t="s">
        <v>544</v>
      </c>
      <c r="R289">
        <v>121883</v>
      </c>
      <c r="S289" s="22">
        <v>44834</v>
      </c>
      <c r="T289">
        <v>72002</v>
      </c>
      <c r="U289" t="s">
        <v>356</v>
      </c>
      <c r="V289" s="22">
        <v>44843</v>
      </c>
      <c r="W289" t="s">
        <v>631</v>
      </c>
      <c r="X289" t="s">
        <v>632</v>
      </c>
      <c r="Y289" t="s">
        <v>95</v>
      </c>
      <c r="Z289" t="s">
        <v>576</v>
      </c>
      <c r="AA289">
        <v>-420.88</v>
      </c>
      <c r="AC289" s="2">
        <f t="shared" si="60"/>
        <v>2022</v>
      </c>
      <c r="AD289" s="2">
        <f t="shared" si="61"/>
        <v>10</v>
      </c>
      <c r="AE289" s="2">
        <f t="shared" si="62"/>
        <v>2021</v>
      </c>
      <c r="AF289" s="2">
        <f t="shared" si="63"/>
        <v>5</v>
      </c>
      <c r="AG289" s="2" t="str">
        <f>VLOOKUP(F289,vlookup!$A$2:$E$660,2,0)</f>
        <v>Retained</v>
      </c>
      <c r="AH289" s="2" t="str">
        <f>VLOOKUP(F289,vlookup!$A$2:$E$660,3,0)</f>
        <v>Service Contract</v>
      </c>
      <c r="AI289" s="2" t="str">
        <f>VLOOKUP(F289,vlookup!$A$2:$E$660,4,0)</f>
        <v>Used Car Programs</v>
      </c>
      <c r="AJ289" s="2" t="str">
        <f>VLOOKUP(F289,vlookup!$A$2:$E$660,5,0)</f>
        <v>High Mileage</v>
      </c>
      <c r="AK289" s="2"/>
      <c r="AL289" s="2">
        <f t="shared" si="64"/>
        <v>39</v>
      </c>
      <c r="AM289" s="2">
        <f t="shared" si="65"/>
        <v>492</v>
      </c>
      <c r="AN289" s="2">
        <f t="shared" si="66"/>
        <v>20528</v>
      </c>
      <c r="AO289" s="2" t="str">
        <f t="shared" si="67"/>
        <v/>
      </c>
      <c r="AP289" s="2" t="str">
        <f t="shared" si="68"/>
        <v/>
      </c>
      <c r="AQ289" s="2" t="str">
        <f t="shared" si="69"/>
        <v/>
      </c>
      <c r="AR289" s="2">
        <f t="shared" si="70"/>
        <v>-420.88</v>
      </c>
      <c r="AS289" s="2" t="str">
        <f t="shared" si="71"/>
        <v>SDFGB623095E21-4</v>
      </c>
      <c r="AT289" s="2" t="str">
        <f>IFERROR(IF(VLOOKUP(Y289,vlookup!$I$2:$J$9,1,0)=Y289,VLOOKUP(Y289,vlookup!$I$2:$J$9,2,0),PROPER(Y289)),PROPER(Y289))</f>
        <v>Parts</v>
      </c>
      <c r="AU289" s="2" t="str">
        <f>IFERROR(IF(B289=VLOOKUP(B289,vlookup!$L$2:$L$10,1,0),"Yes","No"),"No")</f>
        <v>No</v>
      </c>
    </row>
    <row r="290" spans="1:47" x14ac:dyDescent="0.25">
      <c r="A290" t="s">
        <v>753</v>
      </c>
      <c r="B290" t="s">
        <v>754</v>
      </c>
      <c r="C290">
        <v>4</v>
      </c>
      <c r="D290">
        <v>1</v>
      </c>
      <c r="E290" t="s">
        <v>382</v>
      </c>
      <c r="F290" t="s">
        <v>346</v>
      </c>
      <c r="G290" t="s">
        <v>683</v>
      </c>
      <c r="H290" s="11" t="s">
        <v>755</v>
      </c>
      <c r="I290">
        <v>51474</v>
      </c>
      <c r="J290" s="22">
        <v>44343</v>
      </c>
      <c r="K290" s="22">
        <v>44383</v>
      </c>
      <c r="L290">
        <v>202106</v>
      </c>
      <c r="M290" s="22">
        <v>44348</v>
      </c>
      <c r="N290">
        <v>77871</v>
      </c>
      <c r="O290" t="s">
        <v>699</v>
      </c>
      <c r="P290" t="s">
        <v>746</v>
      </c>
      <c r="Q290" t="s">
        <v>544</v>
      </c>
      <c r="R290">
        <v>121883</v>
      </c>
      <c r="S290" s="22">
        <v>44834</v>
      </c>
      <c r="T290">
        <v>72002</v>
      </c>
      <c r="U290" t="s">
        <v>356</v>
      </c>
      <c r="V290" s="22">
        <v>44843</v>
      </c>
      <c r="W290" t="s">
        <v>584</v>
      </c>
      <c r="X290" t="s">
        <v>585</v>
      </c>
      <c r="Y290" t="s">
        <v>95</v>
      </c>
      <c r="Z290" t="s">
        <v>576</v>
      </c>
      <c r="AA290">
        <v>-33.72</v>
      </c>
      <c r="AC290" s="2">
        <f t="shared" si="60"/>
        <v>2022</v>
      </c>
      <c r="AD290" s="2">
        <f t="shared" si="61"/>
        <v>10</v>
      </c>
      <c r="AE290" s="2">
        <f t="shared" si="62"/>
        <v>2021</v>
      </c>
      <c r="AF290" s="2">
        <f t="shared" si="63"/>
        <v>5</v>
      </c>
      <c r="AG290" s="2" t="str">
        <f>VLOOKUP(F290,vlookup!$A$2:$E$660,2,0)</f>
        <v>Retained</v>
      </c>
      <c r="AH290" s="2" t="str">
        <f>VLOOKUP(F290,vlookup!$A$2:$E$660,3,0)</f>
        <v>Service Contract</v>
      </c>
      <c r="AI290" s="2" t="str">
        <f>VLOOKUP(F290,vlookup!$A$2:$E$660,4,0)</f>
        <v>Used Car Programs</v>
      </c>
      <c r="AJ290" s="2" t="str">
        <f>VLOOKUP(F290,vlookup!$A$2:$E$660,5,0)</f>
        <v>High Mileage</v>
      </c>
      <c r="AK290" s="2"/>
      <c r="AL290" s="2">
        <f t="shared" si="64"/>
        <v>39</v>
      </c>
      <c r="AM290" s="2">
        <f t="shared" si="65"/>
        <v>492</v>
      </c>
      <c r="AN290" s="2">
        <f t="shared" si="66"/>
        <v>20528</v>
      </c>
      <c r="AO290" s="2" t="str">
        <f t="shared" si="67"/>
        <v/>
      </c>
      <c r="AP290" s="2" t="str">
        <f t="shared" si="68"/>
        <v/>
      </c>
      <c r="AQ290" s="2" t="str">
        <f t="shared" si="69"/>
        <v/>
      </c>
      <c r="AR290" s="2">
        <f t="shared" si="70"/>
        <v>-33.72</v>
      </c>
      <c r="AS290" s="2" t="str">
        <f t="shared" si="71"/>
        <v>SDFGB623095E21-4</v>
      </c>
      <c r="AT290" s="2" t="str">
        <f>IFERROR(IF(VLOOKUP(Y290,vlookup!$I$2:$J$9,1,0)=Y290,VLOOKUP(Y290,vlookup!$I$2:$J$9,2,0),PROPER(Y290)),PROPER(Y290))</f>
        <v>Parts</v>
      </c>
      <c r="AU290" s="2" t="str">
        <f>IFERROR(IF(B290=VLOOKUP(B290,vlookup!$L$2:$L$10,1,0),"Yes","No"),"No")</f>
        <v>No</v>
      </c>
    </row>
    <row r="291" spans="1:47" x14ac:dyDescent="0.25">
      <c r="A291" t="s">
        <v>861</v>
      </c>
      <c r="B291" t="s">
        <v>862</v>
      </c>
      <c r="C291">
        <v>1</v>
      </c>
      <c r="D291">
        <v>1</v>
      </c>
      <c r="E291" t="s">
        <v>382</v>
      </c>
      <c r="F291" t="s">
        <v>191</v>
      </c>
      <c r="G291" t="s">
        <v>683</v>
      </c>
      <c r="H291" s="11" t="s">
        <v>745</v>
      </c>
      <c r="I291">
        <v>23655</v>
      </c>
      <c r="J291" s="22">
        <v>44378</v>
      </c>
      <c r="K291" s="22">
        <v>44442</v>
      </c>
      <c r="L291">
        <v>202108</v>
      </c>
      <c r="M291" s="22">
        <v>44409</v>
      </c>
      <c r="N291">
        <v>77871</v>
      </c>
      <c r="O291" t="s">
        <v>699</v>
      </c>
      <c r="P291" t="s">
        <v>712</v>
      </c>
      <c r="Q291" t="s">
        <v>612</v>
      </c>
      <c r="R291">
        <v>198</v>
      </c>
      <c r="S291" s="22">
        <v>44692</v>
      </c>
      <c r="T291">
        <v>43263</v>
      </c>
      <c r="U291" t="s">
        <v>356</v>
      </c>
      <c r="V291" s="22">
        <v>44693</v>
      </c>
      <c r="W291" t="s">
        <v>584</v>
      </c>
      <c r="X291" t="s">
        <v>585</v>
      </c>
      <c r="Y291" t="s">
        <v>95</v>
      </c>
      <c r="Z291" t="s">
        <v>576</v>
      </c>
      <c r="AA291">
        <v>-121</v>
      </c>
      <c r="AC291" s="2">
        <f t="shared" si="60"/>
        <v>2022</v>
      </c>
      <c r="AD291" s="2">
        <f t="shared" si="61"/>
        <v>5</v>
      </c>
      <c r="AE291" s="2">
        <f t="shared" si="62"/>
        <v>2021</v>
      </c>
      <c r="AF291" s="2">
        <f t="shared" si="63"/>
        <v>7</v>
      </c>
      <c r="AG291" s="2" t="str">
        <f>VLOOKUP(F291,vlookup!$A$2:$E$660,2,0)</f>
        <v>Retained</v>
      </c>
      <c r="AH291" s="2" t="str">
        <f>VLOOKUP(F291,vlookup!$A$2:$E$660,3,0)</f>
        <v>Service Contract</v>
      </c>
      <c r="AI291" s="2" t="str">
        <f>VLOOKUP(F291,vlookup!$A$2:$E$660,4,0)</f>
        <v>New Car Programs</v>
      </c>
      <c r="AJ291" s="2" t="str">
        <f>VLOOKUP(F291,vlookup!$A$2:$E$660,5,0)</f>
        <v>High Mileage</v>
      </c>
      <c r="AK291" s="2"/>
      <c r="AL291" s="2">
        <f t="shared" si="64"/>
        <v>62</v>
      </c>
      <c r="AM291" s="2">
        <f t="shared" si="65"/>
        <v>311</v>
      </c>
      <c r="AN291" s="2">
        <f t="shared" si="66"/>
        <v>19608</v>
      </c>
      <c r="AO291" s="2" t="str">
        <f t="shared" si="67"/>
        <v/>
      </c>
      <c r="AP291" s="2" t="str">
        <f t="shared" si="68"/>
        <v/>
      </c>
      <c r="AQ291" s="2" t="str">
        <f t="shared" si="69"/>
        <v/>
      </c>
      <c r="AR291" s="2">
        <f t="shared" si="70"/>
        <v>-121</v>
      </c>
      <c r="AS291" s="2" t="str">
        <f t="shared" si="71"/>
        <v>APC100332-1</v>
      </c>
      <c r="AT291" s="2" t="str">
        <f>IFERROR(IF(VLOOKUP(Y291,vlookup!$I$2:$J$9,1,0)=Y291,VLOOKUP(Y291,vlookup!$I$2:$J$9,2,0),PROPER(Y291)),PROPER(Y291))</f>
        <v>Parts</v>
      </c>
      <c r="AU291" s="2" t="str">
        <f>IFERROR(IF(B291=VLOOKUP(B291,vlookup!$L$2:$L$10,1,0),"Yes","No"),"No")</f>
        <v>No</v>
      </c>
    </row>
    <row r="292" spans="1:47" x14ac:dyDescent="0.25">
      <c r="A292" t="s">
        <v>861</v>
      </c>
      <c r="B292" t="s">
        <v>862</v>
      </c>
      <c r="C292">
        <v>1</v>
      </c>
      <c r="D292">
        <v>1</v>
      </c>
      <c r="E292" t="s">
        <v>382</v>
      </c>
      <c r="F292" t="s">
        <v>191</v>
      </c>
      <c r="G292" t="s">
        <v>683</v>
      </c>
      <c r="H292" s="11" t="s">
        <v>745</v>
      </c>
      <c r="I292">
        <v>23655</v>
      </c>
      <c r="J292" s="22">
        <v>44378</v>
      </c>
      <c r="K292" s="22">
        <v>44442</v>
      </c>
      <c r="L292">
        <v>202108</v>
      </c>
      <c r="M292" s="22">
        <v>44409</v>
      </c>
      <c r="N292">
        <v>77871</v>
      </c>
      <c r="O292" t="s">
        <v>699</v>
      </c>
      <c r="P292" t="s">
        <v>712</v>
      </c>
      <c r="Q292" t="s">
        <v>612</v>
      </c>
      <c r="R292">
        <v>198</v>
      </c>
      <c r="S292" s="22">
        <v>44692</v>
      </c>
      <c r="T292">
        <v>43263</v>
      </c>
      <c r="U292" t="s">
        <v>356</v>
      </c>
      <c r="V292" s="22">
        <v>44693</v>
      </c>
      <c r="W292" t="s">
        <v>586</v>
      </c>
      <c r="X292" t="s">
        <v>587</v>
      </c>
      <c r="Y292" t="s">
        <v>95</v>
      </c>
      <c r="Z292" t="s">
        <v>576</v>
      </c>
      <c r="AA292">
        <v>-205.18</v>
      </c>
      <c r="AC292" s="2">
        <f t="shared" si="60"/>
        <v>2022</v>
      </c>
      <c r="AD292" s="2">
        <f t="shared" si="61"/>
        <v>5</v>
      </c>
      <c r="AE292" s="2">
        <f t="shared" si="62"/>
        <v>2021</v>
      </c>
      <c r="AF292" s="2">
        <f t="shared" si="63"/>
        <v>7</v>
      </c>
      <c r="AG292" s="2" t="str">
        <f>VLOOKUP(F292,vlookup!$A$2:$E$660,2,0)</f>
        <v>Retained</v>
      </c>
      <c r="AH292" s="2" t="str">
        <f>VLOOKUP(F292,vlookup!$A$2:$E$660,3,0)</f>
        <v>Service Contract</v>
      </c>
      <c r="AI292" s="2" t="str">
        <f>VLOOKUP(F292,vlookup!$A$2:$E$660,4,0)</f>
        <v>New Car Programs</v>
      </c>
      <c r="AJ292" s="2" t="str">
        <f>VLOOKUP(F292,vlookup!$A$2:$E$660,5,0)</f>
        <v>High Mileage</v>
      </c>
      <c r="AK292" s="2"/>
      <c r="AL292" s="2">
        <f t="shared" si="64"/>
        <v>62</v>
      </c>
      <c r="AM292" s="2">
        <f t="shared" si="65"/>
        <v>311</v>
      </c>
      <c r="AN292" s="2">
        <f t="shared" si="66"/>
        <v>19608</v>
      </c>
      <c r="AO292" s="2" t="str">
        <f t="shared" si="67"/>
        <v/>
      </c>
      <c r="AP292" s="2" t="str">
        <f t="shared" si="68"/>
        <v/>
      </c>
      <c r="AQ292" s="2" t="str">
        <f t="shared" si="69"/>
        <v/>
      </c>
      <c r="AR292" s="2">
        <f t="shared" si="70"/>
        <v>-205.18</v>
      </c>
      <c r="AS292" s="2" t="str">
        <f t="shared" si="71"/>
        <v>APC100332-1</v>
      </c>
      <c r="AT292" s="2" t="str">
        <f>IFERROR(IF(VLOOKUP(Y292,vlookup!$I$2:$J$9,1,0)=Y292,VLOOKUP(Y292,vlookup!$I$2:$J$9,2,0),PROPER(Y292)),PROPER(Y292))</f>
        <v>Parts</v>
      </c>
      <c r="AU292" s="2" t="str">
        <f>IFERROR(IF(B292=VLOOKUP(B292,vlookup!$L$2:$L$10,1,0),"Yes","No"),"No")</f>
        <v>No</v>
      </c>
    </row>
    <row r="293" spans="1:47" x14ac:dyDescent="0.25">
      <c r="A293" t="s">
        <v>861</v>
      </c>
      <c r="B293" t="s">
        <v>862</v>
      </c>
      <c r="C293">
        <v>1</v>
      </c>
      <c r="D293">
        <v>1</v>
      </c>
      <c r="E293" t="s">
        <v>382</v>
      </c>
      <c r="F293" t="s">
        <v>191</v>
      </c>
      <c r="G293" t="s">
        <v>683</v>
      </c>
      <c r="H293" s="11" t="s">
        <v>745</v>
      </c>
      <c r="I293">
        <v>23655</v>
      </c>
      <c r="J293" s="22">
        <v>44378</v>
      </c>
      <c r="K293" s="22">
        <v>44442</v>
      </c>
      <c r="L293">
        <v>202108</v>
      </c>
      <c r="M293" s="22">
        <v>44409</v>
      </c>
      <c r="N293">
        <v>77871</v>
      </c>
      <c r="O293" t="s">
        <v>699</v>
      </c>
      <c r="P293" t="s">
        <v>712</v>
      </c>
      <c r="Q293" t="s">
        <v>612</v>
      </c>
      <c r="R293">
        <v>198</v>
      </c>
      <c r="S293" s="22">
        <v>44692</v>
      </c>
      <c r="T293">
        <v>43263</v>
      </c>
      <c r="U293" t="s">
        <v>356</v>
      </c>
      <c r="V293" s="22">
        <v>44693</v>
      </c>
      <c r="W293" t="s">
        <v>669</v>
      </c>
      <c r="X293" t="s">
        <v>670</v>
      </c>
      <c r="Y293" t="s">
        <v>95</v>
      </c>
      <c r="Z293" t="s">
        <v>576</v>
      </c>
      <c r="AA293">
        <v>-22.72</v>
      </c>
      <c r="AC293" s="2">
        <f t="shared" si="60"/>
        <v>2022</v>
      </c>
      <c r="AD293" s="2">
        <f t="shared" si="61"/>
        <v>5</v>
      </c>
      <c r="AE293" s="2">
        <f t="shared" si="62"/>
        <v>2021</v>
      </c>
      <c r="AF293" s="2">
        <f t="shared" si="63"/>
        <v>7</v>
      </c>
      <c r="AG293" s="2" t="str">
        <f>VLOOKUP(F293,vlookup!$A$2:$E$660,2,0)</f>
        <v>Retained</v>
      </c>
      <c r="AH293" s="2" t="str">
        <f>VLOOKUP(F293,vlookup!$A$2:$E$660,3,0)</f>
        <v>Service Contract</v>
      </c>
      <c r="AI293" s="2" t="str">
        <f>VLOOKUP(F293,vlookup!$A$2:$E$660,4,0)</f>
        <v>New Car Programs</v>
      </c>
      <c r="AJ293" s="2" t="str">
        <f>VLOOKUP(F293,vlookup!$A$2:$E$660,5,0)</f>
        <v>High Mileage</v>
      </c>
      <c r="AK293" s="2"/>
      <c r="AL293" s="2">
        <f t="shared" si="64"/>
        <v>62</v>
      </c>
      <c r="AM293" s="2">
        <f t="shared" si="65"/>
        <v>311</v>
      </c>
      <c r="AN293" s="2">
        <f t="shared" si="66"/>
        <v>19608</v>
      </c>
      <c r="AO293" s="2" t="str">
        <f t="shared" si="67"/>
        <v/>
      </c>
      <c r="AP293" s="2" t="str">
        <f t="shared" si="68"/>
        <v/>
      </c>
      <c r="AQ293" s="2" t="str">
        <f t="shared" si="69"/>
        <v/>
      </c>
      <c r="AR293" s="2">
        <f t="shared" si="70"/>
        <v>-22.72</v>
      </c>
      <c r="AS293" s="2" t="str">
        <f t="shared" si="71"/>
        <v>APC100332-1</v>
      </c>
      <c r="AT293" s="2" t="str">
        <f>IFERROR(IF(VLOOKUP(Y293,vlookup!$I$2:$J$9,1,0)=Y293,VLOOKUP(Y293,vlookup!$I$2:$J$9,2,0),PROPER(Y293)),PROPER(Y293))</f>
        <v>Parts</v>
      </c>
      <c r="AU293" s="2" t="str">
        <f>IFERROR(IF(B293=VLOOKUP(B293,vlookup!$L$2:$L$10,1,0),"Yes","No"),"No")</f>
        <v>No</v>
      </c>
    </row>
    <row r="294" spans="1:47" x14ac:dyDescent="0.25">
      <c r="A294" t="s">
        <v>861</v>
      </c>
      <c r="B294" t="s">
        <v>862</v>
      </c>
      <c r="C294">
        <v>2</v>
      </c>
      <c r="D294">
        <v>1</v>
      </c>
      <c r="E294" t="s">
        <v>382</v>
      </c>
      <c r="F294" t="s">
        <v>191</v>
      </c>
      <c r="G294" t="s">
        <v>683</v>
      </c>
      <c r="H294" s="11" t="s">
        <v>745</v>
      </c>
      <c r="I294">
        <v>23655</v>
      </c>
      <c r="J294" s="22">
        <v>44378</v>
      </c>
      <c r="K294" s="22">
        <v>44442</v>
      </c>
      <c r="L294">
        <v>202108</v>
      </c>
      <c r="M294" s="22">
        <v>44409</v>
      </c>
      <c r="N294">
        <v>77871</v>
      </c>
      <c r="O294" t="s">
        <v>699</v>
      </c>
      <c r="P294" t="s">
        <v>712</v>
      </c>
      <c r="Q294" t="s">
        <v>612</v>
      </c>
      <c r="R294">
        <v>119373</v>
      </c>
      <c r="S294" s="22">
        <v>44784</v>
      </c>
      <c r="T294">
        <v>47664</v>
      </c>
      <c r="U294" t="s">
        <v>356</v>
      </c>
      <c r="V294" s="22">
        <v>44790</v>
      </c>
      <c r="W294" t="s">
        <v>863</v>
      </c>
      <c r="X294" t="s">
        <v>864</v>
      </c>
      <c r="Y294" t="s">
        <v>95</v>
      </c>
      <c r="Z294" t="s">
        <v>358</v>
      </c>
      <c r="AA294">
        <v>-132.30000000000001</v>
      </c>
      <c r="AC294" s="2">
        <f t="shared" si="60"/>
        <v>2022</v>
      </c>
      <c r="AD294" s="2">
        <f t="shared" si="61"/>
        <v>8</v>
      </c>
      <c r="AE294" s="2">
        <f t="shared" si="62"/>
        <v>2021</v>
      </c>
      <c r="AF294" s="2">
        <f t="shared" si="63"/>
        <v>7</v>
      </c>
      <c r="AG294" s="2" t="str">
        <f>VLOOKUP(F294,vlookup!$A$2:$E$660,2,0)</f>
        <v>Retained</v>
      </c>
      <c r="AH294" s="2" t="str">
        <f>VLOOKUP(F294,vlookup!$A$2:$E$660,3,0)</f>
        <v>Service Contract</v>
      </c>
      <c r="AI294" s="2" t="str">
        <f>VLOOKUP(F294,vlookup!$A$2:$E$660,4,0)</f>
        <v>New Car Programs</v>
      </c>
      <c r="AJ294" s="2" t="str">
        <f>VLOOKUP(F294,vlookup!$A$2:$E$660,5,0)</f>
        <v>High Mileage</v>
      </c>
      <c r="AK294" s="2"/>
      <c r="AL294" s="2">
        <f t="shared" si="64"/>
        <v>62</v>
      </c>
      <c r="AM294" s="2">
        <f t="shared" si="65"/>
        <v>406</v>
      </c>
      <c r="AN294" s="2">
        <f t="shared" si="66"/>
        <v>24009</v>
      </c>
      <c r="AO294" s="2" t="str">
        <f t="shared" si="67"/>
        <v/>
      </c>
      <c r="AP294" s="2" t="str">
        <f t="shared" si="68"/>
        <v/>
      </c>
      <c r="AQ294" s="2" t="str">
        <f t="shared" si="69"/>
        <v/>
      </c>
      <c r="AR294" s="2">
        <f t="shared" si="70"/>
        <v>-132.30000000000001</v>
      </c>
      <c r="AS294" s="2" t="str">
        <f t="shared" si="71"/>
        <v>APC100332-2</v>
      </c>
      <c r="AT294" s="2" t="str">
        <f>IFERROR(IF(VLOOKUP(Y294,vlookup!$I$2:$J$9,1,0)=Y294,VLOOKUP(Y294,vlookup!$I$2:$J$9,2,0),PROPER(Y294)),PROPER(Y294))</f>
        <v>Parts</v>
      </c>
      <c r="AU294" s="2" t="str">
        <f>IFERROR(IF(B294=VLOOKUP(B294,vlookup!$L$2:$L$10,1,0),"Yes","No"),"No")</f>
        <v>No</v>
      </c>
    </row>
    <row r="295" spans="1:47" x14ac:dyDescent="0.25">
      <c r="A295" t="s">
        <v>790</v>
      </c>
      <c r="B295" t="s">
        <v>791</v>
      </c>
      <c r="C295">
        <v>1</v>
      </c>
      <c r="D295">
        <v>1</v>
      </c>
      <c r="E295" t="s">
        <v>572</v>
      </c>
      <c r="F295" t="s">
        <v>207</v>
      </c>
      <c r="G295" t="s">
        <v>683</v>
      </c>
      <c r="H295" s="11" t="s">
        <v>792</v>
      </c>
      <c r="I295">
        <v>77001</v>
      </c>
      <c r="J295" s="22">
        <v>44132</v>
      </c>
      <c r="K295" s="22">
        <v>44183</v>
      </c>
      <c r="L295">
        <v>202012</v>
      </c>
      <c r="M295" s="22">
        <v>44166</v>
      </c>
      <c r="N295">
        <v>77871</v>
      </c>
      <c r="O295" t="s">
        <v>699</v>
      </c>
      <c r="P295" t="s">
        <v>712</v>
      </c>
      <c r="Q295" t="s">
        <v>612</v>
      </c>
      <c r="R295">
        <v>89622</v>
      </c>
      <c r="S295" s="22">
        <v>44165</v>
      </c>
      <c r="T295">
        <v>78308</v>
      </c>
      <c r="U295" t="s">
        <v>356</v>
      </c>
      <c r="V295" s="22">
        <v>44186</v>
      </c>
      <c r="W295" t="s">
        <v>679</v>
      </c>
      <c r="X295" t="s">
        <v>680</v>
      </c>
      <c r="Y295" t="s">
        <v>379</v>
      </c>
      <c r="Z295" t="s">
        <v>14</v>
      </c>
      <c r="AA295">
        <v>-240</v>
      </c>
      <c r="AC295" s="2">
        <f t="shared" si="60"/>
        <v>2020</v>
      </c>
      <c r="AD295" s="2">
        <f t="shared" si="61"/>
        <v>12</v>
      </c>
      <c r="AE295" s="2">
        <f t="shared" si="62"/>
        <v>2020</v>
      </c>
      <c r="AF295" s="2">
        <f t="shared" si="63"/>
        <v>10</v>
      </c>
      <c r="AG295" s="2" t="str">
        <f>VLOOKUP(F295,vlookup!$A$2:$E$660,2,0)</f>
        <v>Retained</v>
      </c>
      <c r="AH295" s="2" t="str">
        <f>VLOOKUP(F295,vlookup!$A$2:$E$660,3,0)</f>
        <v>Service Contract</v>
      </c>
      <c r="AI295" s="2" t="str">
        <f>VLOOKUP(F295,vlookup!$A$2:$E$660,4,0)</f>
        <v>Used Car Programs</v>
      </c>
      <c r="AJ295" s="2" t="str">
        <f>VLOOKUP(F295,vlookup!$A$2:$E$660,5,0)</f>
        <v>High Mileage</v>
      </c>
      <c r="AK295" s="2"/>
      <c r="AL295" s="2">
        <f t="shared" si="64"/>
        <v>50</v>
      </c>
      <c r="AM295" s="2">
        <f t="shared" si="65"/>
        <v>53</v>
      </c>
      <c r="AN295" s="2">
        <f t="shared" si="66"/>
        <v>1307</v>
      </c>
      <c r="AO295" s="2" t="str">
        <f t="shared" si="67"/>
        <v/>
      </c>
      <c r="AP295" s="2">
        <f t="shared" si="68"/>
        <v>-240</v>
      </c>
      <c r="AQ295" s="2" t="str">
        <f t="shared" si="69"/>
        <v/>
      </c>
      <c r="AR295" s="2" t="str">
        <f t="shared" si="70"/>
        <v/>
      </c>
      <c r="AS295" s="2" t="str">
        <f t="shared" si="71"/>
        <v>APC500219-1</v>
      </c>
      <c r="AT295" s="2" t="str">
        <f>IFERROR(IF(VLOOKUP(Y295,vlookup!$I$2:$J$9,1,0)=Y295,VLOOKUP(Y295,vlookup!$I$2:$J$9,2,0),PROPER(Y295)),PROPER(Y295))</f>
        <v>Rental</v>
      </c>
      <c r="AU295" s="2" t="str">
        <f>IFERROR(IF(B295=VLOOKUP(B295,vlookup!$L$2:$L$10,1,0),"Yes","No"),"No")</f>
        <v>No</v>
      </c>
    </row>
    <row r="296" spans="1:47" x14ac:dyDescent="0.25">
      <c r="A296" t="s">
        <v>723</v>
      </c>
      <c r="B296" t="s">
        <v>724</v>
      </c>
      <c r="C296">
        <v>2</v>
      </c>
      <c r="D296">
        <v>1</v>
      </c>
      <c r="E296" t="s">
        <v>382</v>
      </c>
      <c r="F296" t="s">
        <v>346</v>
      </c>
      <c r="G296" t="s">
        <v>30</v>
      </c>
      <c r="H296" s="11" t="s">
        <v>613</v>
      </c>
      <c r="I296">
        <v>125225</v>
      </c>
      <c r="J296" s="22">
        <v>44239</v>
      </c>
      <c r="K296" s="22">
        <v>44291</v>
      </c>
      <c r="L296">
        <v>202103</v>
      </c>
      <c r="M296" s="22">
        <v>44256</v>
      </c>
      <c r="N296">
        <v>77871</v>
      </c>
      <c r="O296" t="s">
        <v>699</v>
      </c>
      <c r="P296" t="s">
        <v>712</v>
      </c>
      <c r="Q296" t="s">
        <v>612</v>
      </c>
      <c r="R296">
        <v>905929</v>
      </c>
      <c r="S296" s="22">
        <v>44340</v>
      </c>
      <c r="T296">
        <v>127253</v>
      </c>
      <c r="U296" t="s">
        <v>356</v>
      </c>
      <c r="V296" s="22">
        <v>44365</v>
      </c>
      <c r="W296" t="s">
        <v>679</v>
      </c>
      <c r="X296" t="s">
        <v>680</v>
      </c>
      <c r="Y296" t="s">
        <v>379</v>
      </c>
      <c r="Z296" t="s">
        <v>14</v>
      </c>
      <c r="AA296">
        <v>-150</v>
      </c>
      <c r="AC296" s="2">
        <f t="shared" si="60"/>
        <v>2021</v>
      </c>
      <c r="AD296" s="2">
        <f t="shared" si="61"/>
        <v>6</v>
      </c>
      <c r="AE296" s="2">
        <f t="shared" si="62"/>
        <v>2021</v>
      </c>
      <c r="AF296" s="2">
        <f t="shared" si="63"/>
        <v>2</v>
      </c>
      <c r="AG296" s="2" t="str">
        <f>VLOOKUP(F296,vlookup!$A$2:$E$660,2,0)</f>
        <v>Retained</v>
      </c>
      <c r="AH296" s="2" t="str">
        <f>VLOOKUP(F296,vlookup!$A$2:$E$660,3,0)</f>
        <v>Service Contract</v>
      </c>
      <c r="AI296" s="2" t="str">
        <f>VLOOKUP(F296,vlookup!$A$2:$E$660,4,0)</f>
        <v>Used Car Programs</v>
      </c>
      <c r="AJ296" s="2" t="str">
        <f>VLOOKUP(F296,vlookup!$A$2:$E$660,5,0)</f>
        <v>High Mileage</v>
      </c>
      <c r="AK296" s="2"/>
      <c r="AL296" s="2">
        <f t="shared" si="64"/>
        <v>53</v>
      </c>
      <c r="AM296" s="2">
        <f t="shared" si="65"/>
        <v>126</v>
      </c>
      <c r="AN296" s="2">
        <f t="shared" si="66"/>
        <v>2028</v>
      </c>
      <c r="AO296" s="2" t="str">
        <f t="shared" si="67"/>
        <v/>
      </c>
      <c r="AP296" s="2" t="str">
        <f t="shared" si="68"/>
        <v/>
      </c>
      <c r="AQ296" s="2" t="str">
        <f t="shared" si="69"/>
        <v/>
      </c>
      <c r="AR296" s="2">
        <f t="shared" si="70"/>
        <v>-150</v>
      </c>
      <c r="AS296" s="2" t="str">
        <f t="shared" si="71"/>
        <v>SDF8J254834B21-2</v>
      </c>
      <c r="AT296" s="2" t="str">
        <f>IFERROR(IF(VLOOKUP(Y296,vlookup!$I$2:$J$9,1,0)=Y296,VLOOKUP(Y296,vlookup!$I$2:$J$9,2,0),PROPER(Y296)),PROPER(Y296))</f>
        <v>Rental</v>
      </c>
      <c r="AU296" s="2" t="str">
        <f>IFERROR(IF(B296=VLOOKUP(B296,vlookup!$L$2:$L$10,1,0),"Yes","No"),"No")</f>
        <v>No</v>
      </c>
    </row>
    <row r="297" spans="1:47" x14ac:dyDescent="0.25">
      <c r="A297" t="s">
        <v>800</v>
      </c>
      <c r="B297" t="s">
        <v>801</v>
      </c>
      <c r="C297">
        <v>1</v>
      </c>
      <c r="D297">
        <v>1</v>
      </c>
      <c r="E297" t="s">
        <v>382</v>
      </c>
      <c r="F297" t="s">
        <v>346</v>
      </c>
      <c r="G297" t="s">
        <v>30</v>
      </c>
      <c r="H297" s="11" t="s">
        <v>613</v>
      </c>
      <c r="I297">
        <v>75025</v>
      </c>
      <c r="J297" s="22">
        <v>44357</v>
      </c>
      <c r="K297" s="22">
        <v>44383</v>
      </c>
      <c r="L297">
        <v>202106</v>
      </c>
      <c r="M297" s="22">
        <v>44348</v>
      </c>
      <c r="N297">
        <v>77871</v>
      </c>
      <c r="O297" t="s">
        <v>699</v>
      </c>
      <c r="P297" t="s">
        <v>712</v>
      </c>
      <c r="Q297" t="s">
        <v>612</v>
      </c>
      <c r="R297">
        <v>117036</v>
      </c>
      <c r="S297" s="22">
        <v>44736</v>
      </c>
      <c r="T297">
        <v>82720</v>
      </c>
      <c r="U297" t="s">
        <v>356</v>
      </c>
      <c r="V297" s="22">
        <v>44925</v>
      </c>
      <c r="W297" t="s">
        <v>679</v>
      </c>
      <c r="X297" t="s">
        <v>680</v>
      </c>
      <c r="Y297" t="s">
        <v>379</v>
      </c>
      <c r="Z297" t="s">
        <v>14</v>
      </c>
      <c r="AA297">
        <v>-240</v>
      </c>
      <c r="AC297" s="2">
        <f t="shared" si="60"/>
        <v>2022</v>
      </c>
      <c r="AD297" s="2">
        <f t="shared" si="61"/>
        <v>12</v>
      </c>
      <c r="AE297" s="2">
        <f t="shared" si="62"/>
        <v>2021</v>
      </c>
      <c r="AF297" s="2">
        <f t="shared" si="63"/>
        <v>6</v>
      </c>
      <c r="AG297" s="2" t="str">
        <f>VLOOKUP(F297,vlookup!$A$2:$E$660,2,0)</f>
        <v>Retained</v>
      </c>
      <c r="AH297" s="2" t="str">
        <f>VLOOKUP(F297,vlookup!$A$2:$E$660,3,0)</f>
        <v>Service Contract</v>
      </c>
      <c r="AI297" s="2" t="str">
        <f>VLOOKUP(F297,vlookup!$A$2:$E$660,4,0)</f>
        <v>Used Car Programs</v>
      </c>
      <c r="AJ297" s="2" t="str">
        <f>VLOOKUP(F297,vlookup!$A$2:$E$660,5,0)</f>
        <v>High Mileage</v>
      </c>
      <c r="AK297" s="2"/>
      <c r="AL297" s="2">
        <f t="shared" si="64"/>
        <v>26</v>
      </c>
      <c r="AM297" s="2">
        <f t="shared" si="65"/>
        <v>560</v>
      </c>
      <c r="AN297" s="2">
        <f t="shared" si="66"/>
        <v>7695</v>
      </c>
      <c r="AO297" s="2" t="str">
        <f t="shared" si="67"/>
        <v/>
      </c>
      <c r="AP297" s="2" t="str">
        <f t="shared" si="68"/>
        <v/>
      </c>
      <c r="AQ297" s="2" t="str">
        <f t="shared" si="69"/>
        <v/>
      </c>
      <c r="AR297" s="2">
        <f t="shared" si="70"/>
        <v>-240</v>
      </c>
      <c r="AS297" s="2" t="str">
        <f t="shared" si="71"/>
        <v>SDFFJ249196F21-1</v>
      </c>
      <c r="AT297" s="2" t="str">
        <f>IFERROR(IF(VLOOKUP(Y297,vlookup!$I$2:$J$9,1,0)=Y297,VLOOKUP(Y297,vlookup!$I$2:$J$9,2,0),PROPER(Y297)),PROPER(Y297))</f>
        <v>Rental</v>
      </c>
      <c r="AU297" s="2" t="str">
        <f>IFERROR(IF(B297=VLOOKUP(B297,vlookup!$L$2:$L$10,1,0),"Yes","No"),"No")</f>
        <v>No</v>
      </c>
    </row>
    <row r="298" spans="1:47" x14ac:dyDescent="0.25">
      <c r="A298" t="s">
        <v>739</v>
      </c>
      <c r="B298" t="s">
        <v>740</v>
      </c>
      <c r="C298">
        <v>1</v>
      </c>
      <c r="D298">
        <v>1</v>
      </c>
      <c r="E298" t="s">
        <v>572</v>
      </c>
      <c r="F298" t="s">
        <v>346</v>
      </c>
      <c r="G298" t="s">
        <v>697</v>
      </c>
      <c r="H298" s="11" t="s">
        <v>738</v>
      </c>
      <c r="I298">
        <v>65533</v>
      </c>
      <c r="J298" s="22">
        <v>44141</v>
      </c>
      <c r="K298" s="22">
        <v>44168</v>
      </c>
      <c r="L298">
        <v>202011</v>
      </c>
      <c r="M298" s="22">
        <v>44136</v>
      </c>
      <c r="N298">
        <v>77871</v>
      </c>
      <c r="O298" t="s">
        <v>699</v>
      </c>
      <c r="P298" t="s">
        <v>712</v>
      </c>
      <c r="Q298" t="s">
        <v>612</v>
      </c>
      <c r="R298">
        <v>905856</v>
      </c>
      <c r="S298" s="22">
        <v>44337</v>
      </c>
      <c r="T298">
        <v>76841</v>
      </c>
      <c r="U298" t="s">
        <v>356</v>
      </c>
      <c r="V298" s="22">
        <v>44348</v>
      </c>
      <c r="W298" t="s">
        <v>679</v>
      </c>
      <c r="X298" t="s">
        <v>680</v>
      </c>
      <c r="Y298" t="s">
        <v>379</v>
      </c>
      <c r="Z298" t="s">
        <v>14</v>
      </c>
      <c r="AA298">
        <v>-180</v>
      </c>
      <c r="AC298" s="2">
        <f t="shared" si="60"/>
        <v>2021</v>
      </c>
      <c r="AD298" s="2">
        <f t="shared" si="61"/>
        <v>6</v>
      </c>
      <c r="AE298" s="2">
        <f t="shared" si="62"/>
        <v>2020</v>
      </c>
      <c r="AF298" s="2">
        <f t="shared" si="63"/>
        <v>11</v>
      </c>
      <c r="AG298" s="2" t="str">
        <f>VLOOKUP(F298,vlookup!$A$2:$E$660,2,0)</f>
        <v>Retained</v>
      </c>
      <c r="AH298" s="2" t="str">
        <f>VLOOKUP(F298,vlookup!$A$2:$E$660,3,0)</f>
        <v>Service Contract</v>
      </c>
      <c r="AI298" s="2" t="str">
        <f>VLOOKUP(F298,vlookup!$A$2:$E$660,4,0)</f>
        <v>Used Car Programs</v>
      </c>
      <c r="AJ298" s="2" t="str">
        <f>VLOOKUP(F298,vlookup!$A$2:$E$660,5,0)</f>
        <v>High Mileage</v>
      </c>
      <c r="AK298" s="2"/>
      <c r="AL298" s="2">
        <f t="shared" si="64"/>
        <v>27</v>
      </c>
      <c r="AM298" s="2">
        <f t="shared" si="65"/>
        <v>205</v>
      </c>
      <c r="AN298" s="2">
        <f t="shared" si="66"/>
        <v>11308</v>
      </c>
      <c r="AO298" s="2" t="str">
        <f t="shared" si="67"/>
        <v/>
      </c>
      <c r="AP298" s="2" t="str">
        <f t="shared" si="68"/>
        <v/>
      </c>
      <c r="AQ298" s="2" t="str">
        <f t="shared" si="69"/>
        <v/>
      </c>
      <c r="AR298" s="2">
        <f t="shared" si="70"/>
        <v>-180</v>
      </c>
      <c r="AS298" s="2" t="str">
        <f t="shared" si="71"/>
        <v>SDFGR356895K20-1</v>
      </c>
      <c r="AT298" s="2" t="str">
        <f>IFERROR(IF(VLOOKUP(Y298,vlookup!$I$2:$J$9,1,0)=Y298,VLOOKUP(Y298,vlookup!$I$2:$J$9,2,0),PROPER(Y298)),PROPER(Y298))</f>
        <v>Rental</v>
      </c>
      <c r="AU298" s="2" t="str">
        <f>IFERROR(IF(B298=VLOOKUP(B298,vlookup!$L$2:$L$10,1,0),"Yes","No"),"No")</f>
        <v>No</v>
      </c>
    </row>
    <row r="299" spans="1:47" x14ac:dyDescent="0.25">
      <c r="A299" t="s">
        <v>705</v>
      </c>
      <c r="B299" t="s">
        <v>706</v>
      </c>
      <c r="C299">
        <v>1</v>
      </c>
      <c r="D299">
        <v>1</v>
      </c>
      <c r="E299" t="s">
        <v>382</v>
      </c>
      <c r="F299" t="s">
        <v>503</v>
      </c>
      <c r="G299" t="s">
        <v>19</v>
      </c>
      <c r="H299" s="11" t="s">
        <v>707</v>
      </c>
      <c r="I299">
        <v>83193</v>
      </c>
      <c r="J299" s="22">
        <v>44657</v>
      </c>
      <c r="K299" s="22">
        <v>44707</v>
      </c>
      <c r="L299">
        <v>202205</v>
      </c>
      <c r="M299" s="22">
        <v>44682</v>
      </c>
      <c r="N299">
        <v>77871</v>
      </c>
      <c r="O299" t="s">
        <v>699</v>
      </c>
      <c r="P299" t="s">
        <v>708</v>
      </c>
      <c r="Q299" t="s">
        <v>612</v>
      </c>
      <c r="R299">
        <v>425604</v>
      </c>
      <c r="S299" s="22">
        <v>44740</v>
      </c>
      <c r="T299">
        <v>88867</v>
      </c>
      <c r="U299" t="s">
        <v>356</v>
      </c>
      <c r="V299" s="22">
        <v>44743</v>
      </c>
      <c r="W299" t="s">
        <v>648</v>
      </c>
      <c r="X299" t="s">
        <v>649</v>
      </c>
      <c r="Y299" t="s">
        <v>13</v>
      </c>
      <c r="Z299" t="s">
        <v>364</v>
      </c>
      <c r="AA299">
        <v>-133.19999999999999</v>
      </c>
      <c r="AC299" s="2">
        <f t="shared" si="60"/>
        <v>2022</v>
      </c>
      <c r="AD299" s="2">
        <f t="shared" si="61"/>
        <v>7</v>
      </c>
      <c r="AE299" s="2">
        <f t="shared" si="62"/>
        <v>2022</v>
      </c>
      <c r="AF299" s="2">
        <f t="shared" si="63"/>
        <v>4</v>
      </c>
      <c r="AG299" s="2" t="str">
        <f>VLOOKUP(F299,vlookup!$A$2:$E$660,2,0)</f>
        <v>Retained</v>
      </c>
      <c r="AH299" s="2" t="str">
        <f>VLOOKUP(F299,vlookup!$A$2:$E$660,3,0)</f>
        <v>Service Contract</v>
      </c>
      <c r="AI299" s="2" t="str">
        <f>VLOOKUP(F299,vlookup!$A$2:$E$660,4,0)</f>
        <v>Used Car Programs</v>
      </c>
      <c r="AJ299" s="2" t="str">
        <f>VLOOKUP(F299,vlookup!$A$2:$E$660,5,0)</f>
        <v>High Mileage</v>
      </c>
      <c r="AK299" s="2"/>
      <c r="AL299" s="2">
        <f t="shared" si="64"/>
        <v>50</v>
      </c>
      <c r="AM299" s="2">
        <f t="shared" si="65"/>
        <v>85</v>
      </c>
      <c r="AN299" s="2">
        <f t="shared" si="66"/>
        <v>5674</v>
      </c>
      <c r="AO299" s="2" t="str">
        <f t="shared" si="67"/>
        <v/>
      </c>
      <c r="AP299" s="2" t="str">
        <f t="shared" si="68"/>
        <v/>
      </c>
      <c r="AQ299" s="2">
        <f t="shared" si="69"/>
        <v>-133.19999999999999</v>
      </c>
      <c r="AR299" s="2" t="str">
        <f t="shared" si="70"/>
        <v/>
      </c>
      <c r="AS299" s="2" t="str">
        <f t="shared" si="71"/>
        <v>PTPFD311163D22-1</v>
      </c>
      <c r="AT299" s="2" t="str">
        <f>IFERROR(IF(VLOOKUP(Y299,vlookup!$I$2:$J$9,1,0)=Y299,VLOOKUP(Y299,vlookup!$I$2:$J$9,2,0),PROPER(Y299)),PROPER(Y299))</f>
        <v>Sales Tax</v>
      </c>
      <c r="AU299" s="2" t="str">
        <f>IFERROR(IF(B299=VLOOKUP(B299,vlookup!$L$2:$L$10,1,0),"Yes","No"),"No")</f>
        <v>No</v>
      </c>
    </row>
    <row r="300" spans="1:47" x14ac:dyDescent="0.25">
      <c r="A300" t="s">
        <v>705</v>
      </c>
      <c r="B300" t="s">
        <v>706</v>
      </c>
      <c r="C300">
        <v>1</v>
      </c>
      <c r="D300">
        <v>1</v>
      </c>
      <c r="E300" t="s">
        <v>382</v>
      </c>
      <c r="F300" t="s">
        <v>503</v>
      </c>
      <c r="G300" t="s">
        <v>19</v>
      </c>
      <c r="H300" s="11" t="s">
        <v>707</v>
      </c>
      <c r="I300">
        <v>83193</v>
      </c>
      <c r="J300" s="22">
        <v>44657</v>
      </c>
      <c r="K300" s="22">
        <v>44707</v>
      </c>
      <c r="L300">
        <v>202205</v>
      </c>
      <c r="M300" s="22">
        <v>44682</v>
      </c>
      <c r="N300">
        <v>77871</v>
      </c>
      <c r="O300" t="s">
        <v>699</v>
      </c>
      <c r="P300" t="s">
        <v>708</v>
      </c>
      <c r="Q300" t="s">
        <v>612</v>
      </c>
      <c r="R300">
        <v>425604</v>
      </c>
      <c r="S300" s="22">
        <v>44740</v>
      </c>
      <c r="T300">
        <v>88867</v>
      </c>
      <c r="U300" t="s">
        <v>356</v>
      </c>
      <c r="V300" s="22">
        <v>44743</v>
      </c>
      <c r="W300" t="s">
        <v>865</v>
      </c>
      <c r="X300" t="s">
        <v>866</v>
      </c>
      <c r="Y300" t="s">
        <v>13</v>
      </c>
      <c r="Z300" t="s">
        <v>364</v>
      </c>
      <c r="AA300">
        <v>-1.65</v>
      </c>
      <c r="AC300" s="2">
        <f t="shared" si="60"/>
        <v>2022</v>
      </c>
      <c r="AD300" s="2">
        <f t="shared" si="61"/>
        <v>7</v>
      </c>
      <c r="AE300" s="2">
        <f t="shared" si="62"/>
        <v>2022</v>
      </c>
      <c r="AF300" s="2">
        <f t="shared" si="63"/>
        <v>4</v>
      </c>
      <c r="AG300" s="2" t="str">
        <f>VLOOKUP(F300,vlookup!$A$2:$E$660,2,0)</f>
        <v>Retained</v>
      </c>
      <c r="AH300" s="2" t="str">
        <f>VLOOKUP(F300,vlookup!$A$2:$E$660,3,0)</f>
        <v>Service Contract</v>
      </c>
      <c r="AI300" s="2" t="str">
        <f>VLOOKUP(F300,vlookup!$A$2:$E$660,4,0)</f>
        <v>Used Car Programs</v>
      </c>
      <c r="AJ300" s="2" t="str">
        <f>VLOOKUP(F300,vlookup!$A$2:$E$660,5,0)</f>
        <v>High Mileage</v>
      </c>
      <c r="AK300" s="2"/>
      <c r="AL300" s="2">
        <f t="shared" si="64"/>
        <v>50</v>
      </c>
      <c r="AM300" s="2">
        <f t="shared" si="65"/>
        <v>85</v>
      </c>
      <c r="AN300" s="2">
        <f t="shared" si="66"/>
        <v>5674</v>
      </c>
      <c r="AO300" s="2" t="str">
        <f t="shared" si="67"/>
        <v/>
      </c>
      <c r="AP300" s="2" t="str">
        <f t="shared" si="68"/>
        <v/>
      </c>
      <c r="AQ300" s="2">
        <f t="shared" si="69"/>
        <v>-1.65</v>
      </c>
      <c r="AR300" s="2" t="str">
        <f t="shared" si="70"/>
        <v/>
      </c>
      <c r="AS300" s="2" t="str">
        <f t="shared" si="71"/>
        <v>PTPFD311163D22-1</v>
      </c>
      <c r="AT300" s="2" t="str">
        <f>IFERROR(IF(VLOOKUP(Y300,vlookup!$I$2:$J$9,1,0)=Y300,VLOOKUP(Y300,vlookup!$I$2:$J$9,2,0),PROPER(Y300)),PROPER(Y300))</f>
        <v>Sales Tax</v>
      </c>
      <c r="AU300" s="2" t="str">
        <f>IFERROR(IF(B300=VLOOKUP(B300,vlookup!$L$2:$L$10,1,0),"Yes","No"),"No")</f>
        <v>No</v>
      </c>
    </row>
    <row r="301" spans="1:47" x14ac:dyDescent="0.25">
      <c r="A301" t="s">
        <v>710</v>
      </c>
      <c r="B301" t="s">
        <v>711</v>
      </c>
      <c r="C301">
        <v>1</v>
      </c>
      <c r="D301">
        <v>1</v>
      </c>
      <c r="E301" t="s">
        <v>382</v>
      </c>
      <c r="F301" t="s">
        <v>346</v>
      </c>
      <c r="G301" t="s">
        <v>620</v>
      </c>
      <c r="H301" s="11">
        <v>1500</v>
      </c>
      <c r="I301">
        <v>99894</v>
      </c>
      <c r="J301" s="22">
        <v>44375</v>
      </c>
      <c r="K301" s="22">
        <v>44407</v>
      </c>
      <c r="L301">
        <v>202107</v>
      </c>
      <c r="M301" s="22">
        <v>44378</v>
      </c>
      <c r="N301">
        <v>77871</v>
      </c>
      <c r="O301" t="s">
        <v>699</v>
      </c>
      <c r="P301" t="s">
        <v>712</v>
      </c>
      <c r="Q301" t="s">
        <v>612</v>
      </c>
      <c r="R301">
        <v>115872</v>
      </c>
      <c r="S301" s="22">
        <v>44713</v>
      </c>
      <c r="T301">
        <v>119550</v>
      </c>
      <c r="U301" t="s">
        <v>356</v>
      </c>
      <c r="V301" s="22">
        <v>44713</v>
      </c>
      <c r="W301" t="s">
        <v>763</v>
      </c>
      <c r="X301" t="s">
        <v>764</v>
      </c>
      <c r="Y301" t="s">
        <v>13</v>
      </c>
      <c r="Z301" t="s">
        <v>579</v>
      </c>
      <c r="AA301">
        <v>-25</v>
      </c>
      <c r="AC301" s="2">
        <f t="shared" si="60"/>
        <v>2022</v>
      </c>
      <c r="AD301" s="2">
        <f t="shared" si="61"/>
        <v>6</v>
      </c>
      <c r="AE301" s="2">
        <f t="shared" si="62"/>
        <v>2021</v>
      </c>
      <c r="AF301" s="2">
        <f t="shared" si="63"/>
        <v>6</v>
      </c>
      <c r="AG301" s="2" t="str">
        <f>VLOOKUP(F301,vlookup!$A$2:$E$660,2,0)</f>
        <v>Retained</v>
      </c>
      <c r="AH301" s="2" t="str">
        <f>VLOOKUP(F301,vlookup!$A$2:$E$660,3,0)</f>
        <v>Service Contract</v>
      </c>
      <c r="AI301" s="2" t="str">
        <f>VLOOKUP(F301,vlookup!$A$2:$E$660,4,0)</f>
        <v>Used Car Programs</v>
      </c>
      <c r="AJ301" s="2" t="str">
        <f>VLOOKUP(F301,vlookup!$A$2:$E$660,5,0)</f>
        <v>High Mileage</v>
      </c>
      <c r="AK301" s="2"/>
      <c r="AL301" s="2">
        <f t="shared" si="64"/>
        <v>32</v>
      </c>
      <c r="AM301" s="2">
        <f t="shared" si="65"/>
        <v>333</v>
      </c>
      <c r="AN301" s="2">
        <f t="shared" si="66"/>
        <v>19656</v>
      </c>
      <c r="AO301" s="2" t="str">
        <f t="shared" si="67"/>
        <v/>
      </c>
      <c r="AP301" s="2" t="str">
        <f t="shared" si="68"/>
        <v/>
      </c>
      <c r="AQ301" s="2" t="str">
        <f t="shared" si="69"/>
        <v/>
      </c>
      <c r="AR301" s="2">
        <f t="shared" si="70"/>
        <v>-25</v>
      </c>
      <c r="AS301" s="2" t="str">
        <f t="shared" si="71"/>
        <v>SDFGS411937F21-1</v>
      </c>
      <c r="AT301" s="2" t="str">
        <f>IFERROR(IF(VLOOKUP(Y301,vlookup!$I$2:$J$9,1,0)=Y301,VLOOKUP(Y301,vlookup!$I$2:$J$9,2,0),PROPER(Y301)),PROPER(Y301))</f>
        <v>Sales Tax</v>
      </c>
      <c r="AU301" s="2" t="str">
        <f>IFERROR(IF(B301=VLOOKUP(B301,vlookup!$L$2:$L$10,1,0),"Yes","No"),"No")</f>
        <v>No</v>
      </c>
    </row>
    <row r="302" spans="1:47" x14ac:dyDescent="0.25">
      <c r="A302" t="s">
        <v>710</v>
      </c>
      <c r="B302" t="s">
        <v>711</v>
      </c>
      <c r="C302">
        <v>1</v>
      </c>
      <c r="D302">
        <v>1</v>
      </c>
      <c r="E302" t="s">
        <v>382</v>
      </c>
      <c r="F302" t="s">
        <v>346</v>
      </c>
      <c r="G302" t="s">
        <v>620</v>
      </c>
      <c r="H302" s="11">
        <v>1500</v>
      </c>
      <c r="I302">
        <v>99894</v>
      </c>
      <c r="J302" s="22">
        <v>44375</v>
      </c>
      <c r="K302" s="22">
        <v>44407</v>
      </c>
      <c r="L302">
        <v>202107</v>
      </c>
      <c r="M302" s="22">
        <v>44378</v>
      </c>
      <c r="N302">
        <v>77871</v>
      </c>
      <c r="O302" t="s">
        <v>699</v>
      </c>
      <c r="P302" t="s">
        <v>712</v>
      </c>
      <c r="Q302" t="s">
        <v>612</v>
      </c>
      <c r="R302">
        <v>115872</v>
      </c>
      <c r="S302" s="22">
        <v>44713</v>
      </c>
      <c r="T302">
        <v>119550</v>
      </c>
      <c r="U302" t="s">
        <v>356</v>
      </c>
      <c r="V302" s="22">
        <v>44713</v>
      </c>
      <c r="W302" t="s">
        <v>690</v>
      </c>
      <c r="X302" t="s">
        <v>691</v>
      </c>
      <c r="Y302" t="s">
        <v>13</v>
      </c>
      <c r="Z302" t="s">
        <v>579</v>
      </c>
      <c r="AA302">
        <v>-48.6</v>
      </c>
      <c r="AC302" s="2">
        <f t="shared" si="60"/>
        <v>2022</v>
      </c>
      <c r="AD302" s="2">
        <f t="shared" si="61"/>
        <v>6</v>
      </c>
      <c r="AE302" s="2">
        <f t="shared" si="62"/>
        <v>2021</v>
      </c>
      <c r="AF302" s="2">
        <f t="shared" si="63"/>
        <v>6</v>
      </c>
      <c r="AG302" s="2" t="str">
        <f>VLOOKUP(F302,vlookup!$A$2:$E$660,2,0)</f>
        <v>Retained</v>
      </c>
      <c r="AH302" s="2" t="str">
        <f>VLOOKUP(F302,vlookup!$A$2:$E$660,3,0)</f>
        <v>Service Contract</v>
      </c>
      <c r="AI302" s="2" t="str">
        <f>VLOOKUP(F302,vlookup!$A$2:$E$660,4,0)</f>
        <v>Used Car Programs</v>
      </c>
      <c r="AJ302" s="2" t="str">
        <f>VLOOKUP(F302,vlookup!$A$2:$E$660,5,0)</f>
        <v>High Mileage</v>
      </c>
      <c r="AK302" s="2"/>
      <c r="AL302" s="2">
        <f t="shared" si="64"/>
        <v>32</v>
      </c>
      <c r="AM302" s="2">
        <f t="shared" si="65"/>
        <v>333</v>
      </c>
      <c r="AN302" s="2">
        <f t="shared" si="66"/>
        <v>19656</v>
      </c>
      <c r="AO302" s="2" t="str">
        <f t="shared" si="67"/>
        <v/>
      </c>
      <c r="AP302" s="2" t="str">
        <f t="shared" si="68"/>
        <v/>
      </c>
      <c r="AQ302" s="2" t="str">
        <f t="shared" si="69"/>
        <v/>
      </c>
      <c r="AR302" s="2">
        <f t="shared" si="70"/>
        <v>-48.6</v>
      </c>
      <c r="AS302" s="2" t="str">
        <f t="shared" si="71"/>
        <v>SDFGS411937F21-1</v>
      </c>
      <c r="AT302" s="2" t="str">
        <f>IFERROR(IF(VLOOKUP(Y302,vlookup!$I$2:$J$9,1,0)=Y302,VLOOKUP(Y302,vlookup!$I$2:$J$9,2,0),PROPER(Y302)),PROPER(Y302))</f>
        <v>Sales Tax</v>
      </c>
      <c r="AU302" s="2" t="str">
        <f>IFERROR(IF(B302=VLOOKUP(B302,vlookup!$L$2:$L$10,1,0),"Yes","No"),"No")</f>
        <v>No</v>
      </c>
    </row>
    <row r="303" spans="1:47" x14ac:dyDescent="0.25">
      <c r="A303" t="s">
        <v>710</v>
      </c>
      <c r="B303" t="s">
        <v>711</v>
      </c>
      <c r="C303">
        <v>2</v>
      </c>
      <c r="D303">
        <v>1</v>
      </c>
      <c r="E303" t="s">
        <v>382</v>
      </c>
      <c r="F303" t="s">
        <v>346</v>
      </c>
      <c r="G303" t="s">
        <v>620</v>
      </c>
      <c r="H303" s="11">
        <v>1500</v>
      </c>
      <c r="I303">
        <v>99894</v>
      </c>
      <c r="J303" s="22">
        <v>44375</v>
      </c>
      <c r="K303" s="22">
        <v>44407</v>
      </c>
      <c r="L303">
        <v>202107</v>
      </c>
      <c r="M303" s="22">
        <v>44378</v>
      </c>
      <c r="N303">
        <v>77871</v>
      </c>
      <c r="O303" t="s">
        <v>699</v>
      </c>
      <c r="P303" t="s">
        <v>712</v>
      </c>
      <c r="Q303" t="s">
        <v>612</v>
      </c>
      <c r="R303">
        <v>116079</v>
      </c>
      <c r="S303" s="22">
        <v>44718</v>
      </c>
      <c r="T303">
        <v>119711</v>
      </c>
      <c r="U303" t="s">
        <v>356</v>
      </c>
      <c r="V303" s="22">
        <v>44721</v>
      </c>
      <c r="W303" t="s">
        <v>765</v>
      </c>
      <c r="X303" t="s">
        <v>766</v>
      </c>
      <c r="Y303" t="s">
        <v>13</v>
      </c>
      <c r="Z303" t="s">
        <v>365</v>
      </c>
      <c r="AA303">
        <v>-37.4</v>
      </c>
      <c r="AC303" s="2">
        <f t="shared" si="60"/>
        <v>2022</v>
      </c>
      <c r="AD303" s="2">
        <f t="shared" si="61"/>
        <v>6</v>
      </c>
      <c r="AE303" s="2">
        <f t="shared" si="62"/>
        <v>2021</v>
      </c>
      <c r="AF303" s="2">
        <f t="shared" si="63"/>
        <v>6</v>
      </c>
      <c r="AG303" s="2" t="str">
        <f>VLOOKUP(F303,vlookup!$A$2:$E$660,2,0)</f>
        <v>Retained</v>
      </c>
      <c r="AH303" s="2" t="str">
        <f>VLOOKUP(F303,vlookup!$A$2:$E$660,3,0)</f>
        <v>Service Contract</v>
      </c>
      <c r="AI303" s="2" t="str">
        <f>VLOOKUP(F303,vlookup!$A$2:$E$660,4,0)</f>
        <v>Used Car Programs</v>
      </c>
      <c r="AJ303" s="2" t="str">
        <f>VLOOKUP(F303,vlookup!$A$2:$E$660,5,0)</f>
        <v>High Mileage</v>
      </c>
      <c r="AK303" s="2"/>
      <c r="AL303" s="2">
        <f t="shared" si="64"/>
        <v>32</v>
      </c>
      <c r="AM303" s="2">
        <f t="shared" si="65"/>
        <v>341</v>
      </c>
      <c r="AN303" s="2">
        <f t="shared" si="66"/>
        <v>19817</v>
      </c>
      <c r="AO303" s="2" t="str">
        <f t="shared" si="67"/>
        <v/>
      </c>
      <c r="AP303" s="2" t="str">
        <f t="shared" si="68"/>
        <v/>
      </c>
      <c r="AQ303" s="2" t="str">
        <f t="shared" si="69"/>
        <v/>
      </c>
      <c r="AR303" s="2">
        <f t="shared" si="70"/>
        <v>-37.4</v>
      </c>
      <c r="AS303" s="2" t="str">
        <f t="shared" si="71"/>
        <v>SDFGS411937F21-2</v>
      </c>
      <c r="AT303" s="2" t="str">
        <f>IFERROR(IF(VLOOKUP(Y303,vlookup!$I$2:$J$9,1,0)=Y303,VLOOKUP(Y303,vlookup!$I$2:$J$9,2,0),PROPER(Y303)),PROPER(Y303))</f>
        <v>Sales Tax</v>
      </c>
      <c r="AU303" s="2" t="str">
        <f>IFERROR(IF(B303=VLOOKUP(B303,vlookup!$L$2:$L$10,1,0),"Yes","No"),"No")</f>
        <v>No</v>
      </c>
    </row>
    <row r="304" spans="1:47" x14ac:dyDescent="0.25">
      <c r="A304" t="s">
        <v>710</v>
      </c>
      <c r="B304" t="s">
        <v>711</v>
      </c>
      <c r="C304">
        <v>2</v>
      </c>
      <c r="D304">
        <v>1</v>
      </c>
      <c r="E304" t="s">
        <v>382</v>
      </c>
      <c r="F304" t="s">
        <v>346</v>
      </c>
      <c r="G304" t="s">
        <v>620</v>
      </c>
      <c r="H304" s="11">
        <v>1500</v>
      </c>
      <c r="I304">
        <v>99894</v>
      </c>
      <c r="J304" s="22">
        <v>44375</v>
      </c>
      <c r="K304" s="22">
        <v>44407</v>
      </c>
      <c r="L304">
        <v>202107</v>
      </c>
      <c r="M304" s="22">
        <v>44378</v>
      </c>
      <c r="N304">
        <v>77871</v>
      </c>
      <c r="O304" t="s">
        <v>699</v>
      </c>
      <c r="P304" t="s">
        <v>712</v>
      </c>
      <c r="Q304" t="s">
        <v>612</v>
      </c>
      <c r="R304">
        <v>116079</v>
      </c>
      <c r="S304" s="22">
        <v>44718</v>
      </c>
      <c r="T304">
        <v>119711</v>
      </c>
      <c r="U304" t="s">
        <v>356</v>
      </c>
      <c r="V304" s="22">
        <v>44721</v>
      </c>
      <c r="W304" t="s">
        <v>367</v>
      </c>
      <c r="X304" t="s">
        <v>368</v>
      </c>
      <c r="Y304" t="s">
        <v>13</v>
      </c>
      <c r="Z304" t="s">
        <v>365</v>
      </c>
      <c r="AA304">
        <v>-5.6</v>
      </c>
      <c r="AC304" s="2">
        <f t="shared" si="60"/>
        <v>2022</v>
      </c>
      <c r="AD304" s="2">
        <f t="shared" si="61"/>
        <v>6</v>
      </c>
      <c r="AE304" s="2">
        <f t="shared" si="62"/>
        <v>2021</v>
      </c>
      <c r="AF304" s="2">
        <f t="shared" si="63"/>
        <v>6</v>
      </c>
      <c r="AG304" s="2" t="str">
        <f>VLOOKUP(F304,vlookup!$A$2:$E$660,2,0)</f>
        <v>Retained</v>
      </c>
      <c r="AH304" s="2" t="str">
        <f>VLOOKUP(F304,vlookup!$A$2:$E$660,3,0)</f>
        <v>Service Contract</v>
      </c>
      <c r="AI304" s="2" t="str">
        <f>VLOOKUP(F304,vlookup!$A$2:$E$660,4,0)</f>
        <v>Used Car Programs</v>
      </c>
      <c r="AJ304" s="2" t="str">
        <f>VLOOKUP(F304,vlookup!$A$2:$E$660,5,0)</f>
        <v>High Mileage</v>
      </c>
      <c r="AK304" s="2"/>
      <c r="AL304" s="2">
        <f t="shared" si="64"/>
        <v>32</v>
      </c>
      <c r="AM304" s="2">
        <f t="shared" si="65"/>
        <v>341</v>
      </c>
      <c r="AN304" s="2">
        <f t="shared" si="66"/>
        <v>19817</v>
      </c>
      <c r="AO304" s="2" t="str">
        <f t="shared" si="67"/>
        <v/>
      </c>
      <c r="AP304" s="2" t="str">
        <f t="shared" si="68"/>
        <v/>
      </c>
      <c r="AQ304" s="2" t="str">
        <f t="shared" si="69"/>
        <v/>
      </c>
      <c r="AR304" s="2">
        <f t="shared" si="70"/>
        <v>-5.6</v>
      </c>
      <c r="AS304" s="2" t="str">
        <f t="shared" si="71"/>
        <v>SDFGS411937F21-2</v>
      </c>
      <c r="AT304" s="2" t="str">
        <f>IFERROR(IF(VLOOKUP(Y304,vlookup!$I$2:$J$9,1,0)=Y304,VLOOKUP(Y304,vlookup!$I$2:$J$9,2,0),PROPER(Y304)),PROPER(Y304))</f>
        <v>Sales Tax</v>
      </c>
      <c r="AU304" s="2" t="str">
        <f>IFERROR(IF(B304=VLOOKUP(B304,vlookup!$L$2:$L$10,1,0),"Yes","No"),"No")</f>
        <v>No</v>
      </c>
    </row>
    <row r="305" spans="1:47" x14ac:dyDescent="0.25">
      <c r="A305" t="s">
        <v>710</v>
      </c>
      <c r="B305" t="s">
        <v>711</v>
      </c>
      <c r="C305">
        <v>2</v>
      </c>
      <c r="D305">
        <v>1</v>
      </c>
      <c r="E305" t="s">
        <v>382</v>
      </c>
      <c r="F305" t="s">
        <v>346</v>
      </c>
      <c r="G305" t="s">
        <v>620</v>
      </c>
      <c r="H305" s="11">
        <v>1500</v>
      </c>
      <c r="I305">
        <v>99894</v>
      </c>
      <c r="J305" s="22">
        <v>44375</v>
      </c>
      <c r="K305" s="22">
        <v>44407</v>
      </c>
      <c r="L305">
        <v>202107</v>
      </c>
      <c r="M305" s="22">
        <v>44378</v>
      </c>
      <c r="N305">
        <v>77871</v>
      </c>
      <c r="O305" t="s">
        <v>699</v>
      </c>
      <c r="P305" t="s">
        <v>712</v>
      </c>
      <c r="Q305" t="s">
        <v>612</v>
      </c>
      <c r="R305">
        <v>116079</v>
      </c>
      <c r="S305" s="22">
        <v>44718</v>
      </c>
      <c r="T305">
        <v>119711</v>
      </c>
      <c r="U305" t="s">
        <v>356</v>
      </c>
      <c r="V305" s="22">
        <v>44721</v>
      </c>
      <c r="W305" t="s">
        <v>656</v>
      </c>
      <c r="X305" t="s">
        <v>657</v>
      </c>
      <c r="Y305" t="s">
        <v>13</v>
      </c>
      <c r="Z305" t="s">
        <v>579</v>
      </c>
      <c r="AA305">
        <v>-34.799999999999997</v>
      </c>
      <c r="AC305" s="2">
        <f t="shared" si="60"/>
        <v>2022</v>
      </c>
      <c r="AD305" s="2">
        <f t="shared" si="61"/>
        <v>6</v>
      </c>
      <c r="AE305" s="2">
        <f t="shared" si="62"/>
        <v>2021</v>
      </c>
      <c r="AF305" s="2">
        <f t="shared" si="63"/>
        <v>6</v>
      </c>
      <c r="AG305" s="2" t="str">
        <f>VLOOKUP(F305,vlookup!$A$2:$E$660,2,0)</f>
        <v>Retained</v>
      </c>
      <c r="AH305" s="2" t="str">
        <f>VLOOKUP(F305,vlookup!$A$2:$E$660,3,0)</f>
        <v>Service Contract</v>
      </c>
      <c r="AI305" s="2" t="str">
        <f>VLOOKUP(F305,vlookup!$A$2:$E$660,4,0)</f>
        <v>Used Car Programs</v>
      </c>
      <c r="AJ305" s="2" t="str">
        <f>VLOOKUP(F305,vlookup!$A$2:$E$660,5,0)</f>
        <v>High Mileage</v>
      </c>
      <c r="AK305" s="2"/>
      <c r="AL305" s="2">
        <f t="shared" si="64"/>
        <v>32</v>
      </c>
      <c r="AM305" s="2">
        <f t="shared" si="65"/>
        <v>341</v>
      </c>
      <c r="AN305" s="2">
        <f t="shared" si="66"/>
        <v>19817</v>
      </c>
      <c r="AO305" s="2" t="str">
        <f t="shared" si="67"/>
        <v/>
      </c>
      <c r="AP305" s="2" t="str">
        <f t="shared" si="68"/>
        <v/>
      </c>
      <c r="AQ305" s="2" t="str">
        <f t="shared" si="69"/>
        <v/>
      </c>
      <c r="AR305" s="2">
        <f t="shared" si="70"/>
        <v>-34.799999999999997</v>
      </c>
      <c r="AS305" s="2" t="str">
        <f t="shared" si="71"/>
        <v>SDFGS411937F21-2</v>
      </c>
      <c r="AT305" s="2" t="str">
        <f>IFERROR(IF(VLOOKUP(Y305,vlookup!$I$2:$J$9,1,0)=Y305,VLOOKUP(Y305,vlookup!$I$2:$J$9,2,0),PROPER(Y305)),PROPER(Y305))</f>
        <v>Sales Tax</v>
      </c>
      <c r="AU305" s="2" t="str">
        <f>IFERROR(IF(B305=VLOOKUP(B305,vlookup!$L$2:$L$10,1,0),"Yes","No"),"No")</f>
        <v>No</v>
      </c>
    </row>
    <row r="306" spans="1:47" x14ac:dyDescent="0.25">
      <c r="A306" t="s">
        <v>710</v>
      </c>
      <c r="B306" t="s">
        <v>711</v>
      </c>
      <c r="C306">
        <v>3</v>
      </c>
      <c r="D306">
        <v>1</v>
      </c>
      <c r="E306" t="s">
        <v>382</v>
      </c>
      <c r="F306" t="s">
        <v>346</v>
      </c>
      <c r="G306" t="s">
        <v>620</v>
      </c>
      <c r="H306" s="11">
        <v>1500</v>
      </c>
      <c r="I306">
        <v>99894</v>
      </c>
      <c r="J306" s="22">
        <v>44375</v>
      </c>
      <c r="K306" s="22">
        <v>44407</v>
      </c>
      <c r="L306">
        <v>202107</v>
      </c>
      <c r="M306" s="22">
        <v>44378</v>
      </c>
      <c r="N306">
        <v>77871</v>
      </c>
      <c r="O306" t="s">
        <v>699</v>
      </c>
      <c r="P306" t="s">
        <v>712</v>
      </c>
      <c r="Q306" t="s">
        <v>612</v>
      </c>
      <c r="R306">
        <v>122768</v>
      </c>
      <c r="S306" s="22">
        <v>44853</v>
      </c>
      <c r="T306">
        <v>127487</v>
      </c>
      <c r="U306" t="s">
        <v>356</v>
      </c>
      <c r="V306" s="22">
        <v>44872</v>
      </c>
      <c r="W306" t="s">
        <v>631</v>
      </c>
      <c r="X306" t="s">
        <v>632</v>
      </c>
      <c r="Y306" t="s">
        <v>13</v>
      </c>
      <c r="Z306" t="s">
        <v>576</v>
      </c>
      <c r="AA306">
        <v>-84.4</v>
      </c>
      <c r="AC306" s="2">
        <f t="shared" si="60"/>
        <v>2022</v>
      </c>
      <c r="AD306" s="2">
        <f t="shared" si="61"/>
        <v>11</v>
      </c>
      <c r="AE306" s="2">
        <f t="shared" si="62"/>
        <v>2021</v>
      </c>
      <c r="AF306" s="2">
        <f t="shared" si="63"/>
        <v>6</v>
      </c>
      <c r="AG306" s="2" t="str">
        <f>VLOOKUP(F306,vlookup!$A$2:$E$660,2,0)</f>
        <v>Retained</v>
      </c>
      <c r="AH306" s="2" t="str">
        <f>VLOOKUP(F306,vlookup!$A$2:$E$660,3,0)</f>
        <v>Service Contract</v>
      </c>
      <c r="AI306" s="2" t="str">
        <f>VLOOKUP(F306,vlookup!$A$2:$E$660,4,0)</f>
        <v>Used Car Programs</v>
      </c>
      <c r="AJ306" s="2" t="str">
        <f>VLOOKUP(F306,vlookup!$A$2:$E$660,5,0)</f>
        <v>High Mileage</v>
      </c>
      <c r="AK306" s="2"/>
      <c r="AL306" s="2">
        <f t="shared" si="64"/>
        <v>32</v>
      </c>
      <c r="AM306" s="2">
        <f t="shared" si="65"/>
        <v>489</v>
      </c>
      <c r="AN306" s="2">
        <f t="shared" si="66"/>
        <v>27593</v>
      </c>
      <c r="AO306" s="2" t="str">
        <f t="shared" si="67"/>
        <v/>
      </c>
      <c r="AP306" s="2" t="str">
        <f t="shared" si="68"/>
        <v/>
      </c>
      <c r="AQ306" s="2" t="str">
        <f t="shared" si="69"/>
        <v/>
      </c>
      <c r="AR306" s="2">
        <f t="shared" si="70"/>
        <v>-84.4</v>
      </c>
      <c r="AS306" s="2" t="str">
        <f t="shared" si="71"/>
        <v>SDFGS411937F21-3</v>
      </c>
      <c r="AT306" s="2" t="str">
        <f>IFERROR(IF(VLOOKUP(Y306,vlookup!$I$2:$J$9,1,0)=Y306,VLOOKUP(Y306,vlookup!$I$2:$J$9,2,0),PROPER(Y306)),PROPER(Y306))</f>
        <v>Sales Tax</v>
      </c>
      <c r="AU306" s="2" t="str">
        <f>IFERROR(IF(B306=VLOOKUP(B306,vlookup!$L$2:$L$10,1,0),"Yes","No"),"No")</f>
        <v>No</v>
      </c>
    </row>
    <row r="307" spans="1:47" x14ac:dyDescent="0.25">
      <c r="A307" t="s">
        <v>710</v>
      </c>
      <c r="B307" t="s">
        <v>711</v>
      </c>
      <c r="C307">
        <v>4</v>
      </c>
      <c r="D307">
        <v>1</v>
      </c>
      <c r="E307" t="s">
        <v>382</v>
      </c>
      <c r="F307" t="s">
        <v>346</v>
      </c>
      <c r="G307" t="s">
        <v>620</v>
      </c>
      <c r="H307" s="11">
        <v>1500</v>
      </c>
      <c r="I307">
        <v>99894</v>
      </c>
      <c r="J307" s="22">
        <v>44375</v>
      </c>
      <c r="K307" s="22">
        <v>44407</v>
      </c>
      <c r="L307">
        <v>202107</v>
      </c>
      <c r="M307" s="22">
        <v>44378</v>
      </c>
      <c r="N307">
        <v>77871</v>
      </c>
      <c r="O307" t="s">
        <v>699</v>
      </c>
      <c r="P307" t="s">
        <v>712</v>
      </c>
      <c r="Q307" t="s">
        <v>612</v>
      </c>
      <c r="R307">
        <v>123975</v>
      </c>
      <c r="S307" s="22">
        <v>44876</v>
      </c>
      <c r="T307">
        <v>128913</v>
      </c>
      <c r="U307" t="s">
        <v>356</v>
      </c>
      <c r="V307" s="22">
        <v>44886</v>
      </c>
      <c r="W307" t="s">
        <v>767</v>
      </c>
      <c r="X307" t="s">
        <v>768</v>
      </c>
      <c r="Y307" t="s">
        <v>13</v>
      </c>
      <c r="Z307" t="s">
        <v>579</v>
      </c>
      <c r="AA307">
        <v>-109.4</v>
      </c>
      <c r="AC307" s="2">
        <f t="shared" si="60"/>
        <v>2022</v>
      </c>
      <c r="AD307" s="2">
        <f t="shared" si="61"/>
        <v>11</v>
      </c>
      <c r="AE307" s="2">
        <f t="shared" si="62"/>
        <v>2021</v>
      </c>
      <c r="AF307" s="2">
        <f t="shared" si="63"/>
        <v>6</v>
      </c>
      <c r="AG307" s="2" t="str">
        <f>VLOOKUP(F307,vlookup!$A$2:$E$660,2,0)</f>
        <v>Retained</v>
      </c>
      <c r="AH307" s="2" t="str">
        <f>VLOOKUP(F307,vlookup!$A$2:$E$660,3,0)</f>
        <v>Service Contract</v>
      </c>
      <c r="AI307" s="2" t="str">
        <f>VLOOKUP(F307,vlookup!$A$2:$E$660,4,0)</f>
        <v>Used Car Programs</v>
      </c>
      <c r="AJ307" s="2" t="str">
        <f>VLOOKUP(F307,vlookup!$A$2:$E$660,5,0)</f>
        <v>High Mileage</v>
      </c>
      <c r="AK307" s="2"/>
      <c r="AL307" s="2">
        <f t="shared" si="64"/>
        <v>32</v>
      </c>
      <c r="AM307" s="2">
        <f t="shared" si="65"/>
        <v>503</v>
      </c>
      <c r="AN307" s="2">
        <f t="shared" si="66"/>
        <v>29019</v>
      </c>
      <c r="AO307" s="2" t="str">
        <f t="shared" si="67"/>
        <v/>
      </c>
      <c r="AP307" s="2" t="str">
        <f t="shared" si="68"/>
        <v/>
      </c>
      <c r="AQ307" s="2" t="str">
        <f t="shared" si="69"/>
        <v/>
      </c>
      <c r="AR307" s="2">
        <f t="shared" si="70"/>
        <v>-109.4</v>
      </c>
      <c r="AS307" s="2" t="str">
        <f t="shared" si="71"/>
        <v>SDFGS411937F21-4</v>
      </c>
      <c r="AT307" s="2" t="str">
        <f>IFERROR(IF(VLOOKUP(Y307,vlookup!$I$2:$J$9,1,0)=Y307,VLOOKUP(Y307,vlookup!$I$2:$J$9,2,0),PROPER(Y307)),PROPER(Y307))</f>
        <v>Sales Tax</v>
      </c>
      <c r="AU307" s="2" t="str">
        <f>IFERROR(IF(B307=VLOOKUP(B307,vlookup!$L$2:$L$10,1,0),"Yes","No"),"No")</f>
        <v>No</v>
      </c>
    </row>
    <row r="308" spans="1:47" x14ac:dyDescent="0.25">
      <c r="A308" t="s">
        <v>769</v>
      </c>
      <c r="B308" t="s">
        <v>770</v>
      </c>
      <c r="C308">
        <v>1</v>
      </c>
      <c r="D308">
        <v>1</v>
      </c>
      <c r="E308" t="s">
        <v>382</v>
      </c>
      <c r="F308" t="s">
        <v>207</v>
      </c>
      <c r="G308" t="s">
        <v>388</v>
      </c>
      <c r="H308" s="11" t="s">
        <v>771</v>
      </c>
      <c r="I308">
        <v>86513</v>
      </c>
      <c r="J308" s="22">
        <v>44331</v>
      </c>
      <c r="K308" s="22">
        <v>44399</v>
      </c>
      <c r="L308">
        <v>202107</v>
      </c>
      <c r="M308" s="22">
        <v>44378</v>
      </c>
      <c r="N308">
        <v>77871</v>
      </c>
      <c r="O308" t="s">
        <v>699</v>
      </c>
      <c r="P308" t="s">
        <v>772</v>
      </c>
      <c r="Q308" t="s">
        <v>612</v>
      </c>
      <c r="R308" t="s">
        <v>773</v>
      </c>
      <c r="S308" s="22">
        <v>44819</v>
      </c>
      <c r="T308">
        <v>116051</v>
      </c>
      <c r="U308" t="s">
        <v>356</v>
      </c>
      <c r="V308" s="22">
        <v>44819</v>
      </c>
      <c r="W308" t="s">
        <v>634</v>
      </c>
      <c r="X308" t="s">
        <v>635</v>
      </c>
      <c r="Y308" t="s">
        <v>13</v>
      </c>
      <c r="Z308" t="s">
        <v>583</v>
      </c>
      <c r="AA308">
        <v>-7.21</v>
      </c>
      <c r="AC308" s="2">
        <f t="shared" si="60"/>
        <v>2022</v>
      </c>
      <c r="AD308" s="2">
        <f t="shared" si="61"/>
        <v>9</v>
      </c>
      <c r="AE308" s="2">
        <f t="shared" si="62"/>
        <v>2021</v>
      </c>
      <c r="AF308" s="2">
        <f t="shared" si="63"/>
        <v>5</v>
      </c>
      <c r="AG308" s="2" t="str">
        <f>VLOOKUP(F308,vlookup!$A$2:$E$660,2,0)</f>
        <v>Retained</v>
      </c>
      <c r="AH308" s="2" t="str">
        <f>VLOOKUP(F308,vlookup!$A$2:$E$660,3,0)</f>
        <v>Service Contract</v>
      </c>
      <c r="AI308" s="2" t="str">
        <f>VLOOKUP(F308,vlookup!$A$2:$E$660,4,0)</f>
        <v>Used Car Programs</v>
      </c>
      <c r="AJ308" s="2" t="str">
        <f>VLOOKUP(F308,vlookup!$A$2:$E$660,5,0)</f>
        <v>High Mileage</v>
      </c>
      <c r="AK308" s="2"/>
      <c r="AL308" s="2">
        <f t="shared" si="64"/>
        <v>67</v>
      </c>
      <c r="AM308" s="2">
        <f t="shared" si="65"/>
        <v>480</v>
      </c>
      <c r="AN308" s="2">
        <f t="shared" si="66"/>
        <v>29538</v>
      </c>
      <c r="AO308" s="2" t="str">
        <f t="shared" si="67"/>
        <v/>
      </c>
      <c r="AP308" s="2" t="str">
        <f t="shared" si="68"/>
        <v/>
      </c>
      <c r="AQ308" s="2" t="str">
        <f t="shared" si="69"/>
        <v/>
      </c>
      <c r="AR308" s="2">
        <f t="shared" si="70"/>
        <v>-7.21</v>
      </c>
      <c r="AS308" s="2" t="str">
        <f t="shared" si="71"/>
        <v>APC500412-1</v>
      </c>
      <c r="AT308" s="2" t="str">
        <f>IFERROR(IF(VLOOKUP(Y308,vlookup!$I$2:$J$9,1,0)=Y308,VLOOKUP(Y308,vlookup!$I$2:$J$9,2,0),PROPER(Y308)),PROPER(Y308))</f>
        <v>Sales Tax</v>
      </c>
      <c r="AU308" s="2" t="str">
        <f>IFERROR(IF(B308=VLOOKUP(B308,vlookup!$L$2:$L$10,1,0),"Yes","No"),"No")</f>
        <v>No</v>
      </c>
    </row>
    <row r="309" spans="1:47" x14ac:dyDescent="0.25">
      <c r="A309" t="s">
        <v>774</v>
      </c>
      <c r="B309" t="s">
        <v>775</v>
      </c>
      <c r="C309">
        <v>1</v>
      </c>
      <c r="D309">
        <v>1</v>
      </c>
      <c r="E309" t="s">
        <v>382</v>
      </c>
      <c r="F309" t="s">
        <v>207</v>
      </c>
      <c r="G309" t="s">
        <v>543</v>
      </c>
      <c r="H309" s="11" t="s">
        <v>628</v>
      </c>
      <c r="I309">
        <v>66725</v>
      </c>
      <c r="J309" s="22">
        <v>44211</v>
      </c>
      <c r="K309" s="22">
        <v>44284</v>
      </c>
      <c r="L309">
        <v>202103</v>
      </c>
      <c r="M309" s="22">
        <v>44256</v>
      </c>
      <c r="N309">
        <v>77871</v>
      </c>
      <c r="O309" t="s">
        <v>699</v>
      </c>
      <c r="P309" t="s">
        <v>712</v>
      </c>
      <c r="Q309" t="s">
        <v>612</v>
      </c>
      <c r="R309">
        <v>903495</v>
      </c>
      <c r="S309" s="22">
        <v>44296</v>
      </c>
      <c r="T309">
        <v>69909</v>
      </c>
      <c r="U309" t="s">
        <v>356</v>
      </c>
      <c r="V309" s="22">
        <v>44312</v>
      </c>
      <c r="W309" t="s">
        <v>592</v>
      </c>
      <c r="X309" t="s">
        <v>593</v>
      </c>
      <c r="Y309" t="s">
        <v>13</v>
      </c>
      <c r="Z309" t="s">
        <v>364</v>
      </c>
      <c r="AA309">
        <v>-65.06</v>
      </c>
      <c r="AC309" s="2">
        <f t="shared" si="60"/>
        <v>2021</v>
      </c>
      <c r="AD309" s="2">
        <f t="shared" si="61"/>
        <v>4</v>
      </c>
      <c r="AE309" s="2">
        <f t="shared" si="62"/>
        <v>2021</v>
      </c>
      <c r="AF309" s="2">
        <f t="shared" si="63"/>
        <v>1</v>
      </c>
      <c r="AG309" s="2" t="str">
        <f>VLOOKUP(F309,vlookup!$A$2:$E$660,2,0)</f>
        <v>Retained</v>
      </c>
      <c r="AH309" s="2" t="str">
        <f>VLOOKUP(F309,vlookup!$A$2:$E$660,3,0)</f>
        <v>Service Contract</v>
      </c>
      <c r="AI309" s="2" t="str">
        <f>VLOOKUP(F309,vlookup!$A$2:$E$660,4,0)</f>
        <v>Used Car Programs</v>
      </c>
      <c r="AJ309" s="2" t="str">
        <f>VLOOKUP(F309,vlookup!$A$2:$E$660,5,0)</f>
        <v>High Mileage</v>
      </c>
      <c r="AK309" s="2"/>
      <c r="AL309" s="2">
        <f t="shared" si="64"/>
        <v>74</v>
      </c>
      <c r="AM309" s="2">
        <f t="shared" si="65"/>
        <v>101</v>
      </c>
      <c r="AN309" s="2">
        <f t="shared" si="66"/>
        <v>3184</v>
      </c>
      <c r="AO309" s="2" t="str">
        <f t="shared" si="67"/>
        <v/>
      </c>
      <c r="AP309" s="2" t="str">
        <f t="shared" si="68"/>
        <v/>
      </c>
      <c r="AQ309" s="2" t="str">
        <f t="shared" si="69"/>
        <v/>
      </c>
      <c r="AR309" s="2">
        <f t="shared" si="70"/>
        <v>-65.06</v>
      </c>
      <c r="AS309" s="2" t="str">
        <f t="shared" si="71"/>
        <v>APC500277-1</v>
      </c>
      <c r="AT309" s="2" t="str">
        <f>IFERROR(IF(VLOOKUP(Y309,vlookup!$I$2:$J$9,1,0)=Y309,VLOOKUP(Y309,vlookup!$I$2:$J$9,2,0),PROPER(Y309)),PROPER(Y309))</f>
        <v>Sales Tax</v>
      </c>
      <c r="AU309" s="2" t="str">
        <f>IFERROR(IF(B309=VLOOKUP(B309,vlookup!$L$2:$L$10,1,0),"Yes","No"),"No")</f>
        <v>No</v>
      </c>
    </row>
    <row r="310" spans="1:47" x14ac:dyDescent="0.25">
      <c r="A310" t="s">
        <v>774</v>
      </c>
      <c r="B310" t="s">
        <v>775</v>
      </c>
      <c r="C310">
        <v>1</v>
      </c>
      <c r="D310">
        <v>1</v>
      </c>
      <c r="E310" t="s">
        <v>382</v>
      </c>
      <c r="F310" t="s">
        <v>207</v>
      </c>
      <c r="G310" t="s">
        <v>543</v>
      </c>
      <c r="H310" s="11" t="s">
        <v>628</v>
      </c>
      <c r="I310">
        <v>66725</v>
      </c>
      <c r="J310" s="22">
        <v>44211</v>
      </c>
      <c r="K310" s="22">
        <v>44284</v>
      </c>
      <c r="L310">
        <v>202103</v>
      </c>
      <c r="M310" s="22">
        <v>44256</v>
      </c>
      <c r="N310">
        <v>77871</v>
      </c>
      <c r="O310" t="s">
        <v>699</v>
      </c>
      <c r="P310" t="s">
        <v>712</v>
      </c>
      <c r="Q310" t="s">
        <v>612</v>
      </c>
      <c r="R310">
        <v>903495</v>
      </c>
      <c r="S310" s="22">
        <v>44296</v>
      </c>
      <c r="T310">
        <v>69909</v>
      </c>
      <c r="U310" t="s">
        <v>356</v>
      </c>
      <c r="V310" s="22">
        <v>44312</v>
      </c>
      <c r="W310" t="s">
        <v>776</v>
      </c>
      <c r="X310" t="s">
        <v>777</v>
      </c>
      <c r="Y310" t="s">
        <v>13</v>
      </c>
      <c r="Z310" t="s">
        <v>369</v>
      </c>
      <c r="AA310">
        <v>-4.6500000000000004</v>
      </c>
      <c r="AC310" s="2">
        <f t="shared" si="60"/>
        <v>2021</v>
      </c>
      <c r="AD310" s="2">
        <f t="shared" si="61"/>
        <v>4</v>
      </c>
      <c r="AE310" s="2">
        <f t="shared" si="62"/>
        <v>2021</v>
      </c>
      <c r="AF310" s="2">
        <f t="shared" si="63"/>
        <v>1</v>
      </c>
      <c r="AG310" s="2" t="str">
        <f>VLOOKUP(F310,vlookup!$A$2:$E$660,2,0)</f>
        <v>Retained</v>
      </c>
      <c r="AH310" s="2" t="str">
        <f>VLOOKUP(F310,vlookup!$A$2:$E$660,3,0)</f>
        <v>Service Contract</v>
      </c>
      <c r="AI310" s="2" t="str">
        <f>VLOOKUP(F310,vlookup!$A$2:$E$660,4,0)</f>
        <v>Used Car Programs</v>
      </c>
      <c r="AJ310" s="2" t="str">
        <f>VLOOKUP(F310,vlookup!$A$2:$E$660,5,0)</f>
        <v>High Mileage</v>
      </c>
      <c r="AK310" s="2"/>
      <c r="AL310" s="2">
        <f t="shared" si="64"/>
        <v>74</v>
      </c>
      <c r="AM310" s="2">
        <f t="shared" si="65"/>
        <v>101</v>
      </c>
      <c r="AN310" s="2">
        <f t="shared" si="66"/>
        <v>3184</v>
      </c>
      <c r="AO310" s="2" t="str">
        <f t="shared" si="67"/>
        <v/>
      </c>
      <c r="AP310" s="2" t="str">
        <f t="shared" si="68"/>
        <v/>
      </c>
      <c r="AQ310" s="2" t="str">
        <f t="shared" si="69"/>
        <v/>
      </c>
      <c r="AR310" s="2">
        <f t="shared" si="70"/>
        <v>-4.6500000000000004</v>
      </c>
      <c r="AS310" s="2" t="str">
        <f t="shared" si="71"/>
        <v>APC500277-1</v>
      </c>
      <c r="AT310" s="2" t="str">
        <f>IFERROR(IF(VLOOKUP(Y310,vlookup!$I$2:$J$9,1,0)=Y310,VLOOKUP(Y310,vlookup!$I$2:$J$9,2,0),PROPER(Y310)),PROPER(Y310))</f>
        <v>Sales Tax</v>
      </c>
      <c r="AU310" s="2" t="str">
        <f>IFERROR(IF(B310=VLOOKUP(B310,vlookup!$L$2:$L$10,1,0),"Yes","No"),"No")</f>
        <v>No</v>
      </c>
    </row>
    <row r="311" spans="1:47" x14ac:dyDescent="0.25">
      <c r="A311" t="s">
        <v>774</v>
      </c>
      <c r="B311" t="s">
        <v>775</v>
      </c>
      <c r="C311">
        <v>2</v>
      </c>
      <c r="D311">
        <v>1</v>
      </c>
      <c r="E311" t="s">
        <v>382</v>
      </c>
      <c r="F311" t="s">
        <v>207</v>
      </c>
      <c r="G311" t="s">
        <v>543</v>
      </c>
      <c r="H311" s="11" t="s">
        <v>628</v>
      </c>
      <c r="I311">
        <v>66725</v>
      </c>
      <c r="J311" s="22">
        <v>44211</v>
      </c>
      <c r="K311" s="22">
        <v>44284</v>
      </c>
      <c r="L311">
        <v>202103</v>
      </c>
      <c r="M311" s="22">
        <v>44256</v>
      </c>
      <c r="N311">
        <v>77871</v>
      </c>
      <c r="O311" t="s">
        <v>699</v>
      </c>
      <c r="P311" t="s">
        <v>712</v>
      </c>
      <c r="Q311" t="s">
        <v>612</v>
      </c>
      <c r="R311">
        <v>102181</v>
      </c>
      <c r="S311" s="22">
        <v>44439</v>
      </c>
      <c r="T311">
        <v>74627</v>
      </c>
      <c r="U311" t="s">
        <v>356</v>
      </c>
      <c r="V311" s="22">
        <v>44442</v>
      </c>
      <c r="W311" t="s">
        <v>778</v>
      </c>
      <c r="X311" t="s">
        <v>779</v>
      </c>
      <c r="Y311" t="s">
        <v>13</v>
      </c>
      <c r="Z311" t="s">
        <v>582</v>
      </c>
      <c r="AA311">
        <v>-2.8</v>
      </c>
      <c r="AC311" s="2">
        <f t="shared" si="60"/>
        <v>2021</v>
      </c>
      <c r="AD311" s="2">
        <f t="shared" si="61"/>
        <v>9</v>
      </c>
      <c r="AE311" s="2">
        <f t="shared" si="62"/>
        <v>2021</v>
      </c>
      <c r="AF311" s="2">
        <f t="shared" si="63"/>
        <v>1</v>
      </c>
      <c r="AG311" s="2" t="str">
        <f>VLOOKUP(F311,vlookup!$A$2:$E$660,2,0)</f>
        <v>Retained</v>
      </c>
      <c r="AH311" s="2" t="str">
        <f>VLOOKUP(F311,vlookup!$A$2:$E$660,3,0)</f>
        <v>Service Contract</v>
      </c>
      <c r="AI311" s="2" t="str">
        <f>VLOOKUP(F311,vlookup!$A$2:$E$660,4,0)</f>
        <v>Used Car Programs</v>
      </c>
      <c r="AJ311" s="2" t="str">
        <f>VLOOKUP(F311,vlookup!$A$2:$E$660,5,0)</f>
        <v>High Mileage</v>
      </c>
      <c r="AK311" s="2"/>
      <c r="AL311" s="2">
        <f t="shared" si="64"/>
        <v>74</v>
      </c>
      <c r="AM311" s="2">
        <f t="shared" si="65"/>
        <v>228</v>
      </c>
      <c r="AN311" s="2">
        <f t="shared" si="66"/>
        <v>7902</v>
      </c>
      <c r="AO311" s="2" t="str">
        <f t="shared" si="67"/>
        <v/>
      </c>
      <c r="AP311" s="2" t="str">
        <f t="shared" si="68"/>
        <v/>
      </c>
      <c r="AQ311" s="2" t="str">
        <f t="shared" si="69"/>
        <v/>
      </c>
      <c r="AR311" s="2">
        <f t="shared" si="70"/>
        <v>-2.8</v>
      </c>
      <c r="AS311" s="2" t="str">
        <f t="shared" si="71"/>
        <v>APC500277-2</v>
      </c>
      <c r="AT311" s="2" t="str">
        <f>IFERROR(IF(VLOOKUP(Y311,vlookup!$I$2:$J$9,1,0)=Y311,VLOOKUP(Y311,vlookup!$I$2:$J$9,2,0),PROPER(Y311)),PROPER(Y311))</f>
        <v>Sales Tax</v>
      </c>
      <c r="AU311" s="2" t="str">
        <f>IFERROR(IF(B311=VLOOKUP(B311,vlookup!$L$2:$L$10,1,0),"Yes","No"),"No")</f>
        <v>No</v>
      </c>
    </row>
    <row r="312" spans="1:47" x14ac:dyDescent="0.25">
      <c r="A312" t="s">
        <v>774</v>
      </c>
      <c r="B312" t="s">
        <v>775</v>
      </c>
      <c r="C312">
        <v>2</v>
      </c>
      <c r="D312">
        <v>1</v>
      </c>
      <c r="E312" t="s">
        <v>382</v>
      </c>
      <c r="F312" t="s">
        <v>207</v>
      </c>
      <c r="G312" t="s">
        <v>543</v>
      </c>
      <c r="H312" s="11" t="s">
        <v>628</v>
      </c>
      <c r="I312">
        <v>66725</v>
      </c>
      <c r="J312" s="22">
        <v>44211</v>
      </c>
      <c r="K312" s="22">
        <v>44284</v>
      </c>
      <c r="L312">
        <v>202103</v>
      </c>
      <c r="M312" s="22">
        <v>44256</v>
      </c>
      <c r="N312">
        <v>77871</v>
      </c>
      <c r="O312" t="s">
        <v>699</v>
      </c>
      <c r="P312" t="s">
        <v>712</v>
      </c>
      <c r="Q312" t="s">
        <v>612</v>
      </c>
      <c r="R312">
        <v>102181</v>
      </c>
      <c r="S312" s="22">
        <v>44439</v>
      </c>
      <c r="T312">
        <v>74627</v>
      </c>
      <c r="U312" t="s">
        <v>356</v>
      </c>
      <c r="V312" s="22">
        <v>44442</v>
      </c>
      <c r="W312" t="s">
        <v>780</v>
      </c>
      <c r="X312" t="s">
        <v>781</v>
      </c>
      <c r="Y312" t="s">
        <v>13</v>
      </c>
      <c r="Z312" t="s">
        <v>366</v>
      </c>
      <c r="AA312">
        <v>-2.72</v>
      </c>
      <c r="AC312" s="2">
        <f t="shared" si="60"/>
        <v>2021</v>
      </c>
      <c r="AD312" s="2">
        <f t="shared" si="61"/>
        <v>9</v>
      </c>
      <c r="AE312" s="2">
        <f t="shared" si="62"/>
        <v>2021</v>
      </c>
      <c r="AF312" s="2">
        <f t="shared" si="63"/>
        <v>1</v>
      </c>
      <c r="AG312" s="2" t="str">
        <f>VLOOKUP(F312,vlookup!$A$2:$E$660,2,0)</f>
        <v>Retained</v>
      </c>
      <c r="AH312" s="2" t="str">
        <f>VLOOKUP(F312,vlookup!$A$2:$E$660,3,0)</f>
        <v>Service Contract</v>
      </c>
      <c r="AI312" s="2" t="str">
        <f>VLOOKUP(F312,vlookup!$A$2:$E$660,4,0)</f>
        <v>Used Car Programs</v>
      </c>
      <c r="AJ312" s="2" t="str">
        <f>VLOOKUP(F312,vlookup!$A$2:$E$660,5,0)</f>
        <v>High Mileage</v>
      </c>
      <c r="AK312" s="2"/>
      <c r="AL312" s="2">
        <f t="shared" si="64"/>
        <v>74</v>
      </c>
      <c r="AM312" s="2">
        <f t="shared" si="65"/>
        <v>228</v>
      </c>
      <c r="AN312" s="2">
        <f t="shared" si="66"/>
        <v>7902</v>
      </c>
      <c r="AO312" s="2" t="str">
        <f t="shared" si="67"/>
        <v/>
      </c>
      <c r="AP312" s="2" t="str">
        <f t="shared" si="68"/>
        <v/>
      </c>
      <c r="AQ312" s="2" t="str">
        <f t="shared" si="69"/>
        <v/>
      </c>
      <c r="AR312" s="2">
        <f t="shared" si="70"/>
        <v>-2.72</v>
      </c>
      <c r="AS312" s="2" t="str">
        <f t="shared" si="71"/>
        <v>APC500277-2</v>
      </c>
      <c r="AT312" s="2" t="str">
        <f>IFERROR(IF(VLOOKUP(Y312,vlookup!$I$2:$J$9,1,0)=Y312,VLOOKUP(Y312,vlookup!$I$2:$J$9,2,0),PROPER(Y312)),PROPER(Y312))</f>
        <v>Sales Tax</v>
      </c>
      <c r="AU312" s="2" t="str">
        <f>IFERROR(IF(B312=VLOOKUP(B312,vlookup!$L$2:$L$10,1,0),"Yes","No"),"No")</f>
        <v>No</v>
      </c>
    </row>
    <row r="313" spans="1:47" x14ac:dyDescent="0.25">
      <c r="A313" t="s">
        <v>774</v>
      </c>
      <c r="B313" t="s">
        <v>775</v>
      </c>
      <c r="C313">
        <v>2</v>
      </c>
      <c r="D313">
        <v>1</v>
      </c>
      <c r="E313" t="s">
        <v>382</v>
      </c>
      <c r="F313" t="s">
        <v>207</v>
      </c>
      <c r="G313" t="s">
        <v>543</v>
      </c>
      <c r="H313" s="11" t="s">
        <v>628</v>
      </c>
      <c r="I313">
        <v>66725</v>
      </c>
      <c r="J313" s="22">
        <v>44211</v>
      </c>
      <c r="K313" s="22">
        <v>44284</v>
      </c>
      <c r="L313">
        <v>202103</v>
      </c>
      <c r="M313" s="22">
        <v>44256</v>
      </c>
      <c r="N313">
        <v>77871</v>
      </c>
      <c r="O313" t="s">
        <v>699</v>
      </c>
      <c r="P313" t="s">
        <v>712</v>
      </c>
      <c r="Q313" t="s">
        <v>612</v>
      </c>
      <c r="R313">
        <v>102181</v>
      </c>
      <c r="S313" s="22">
        <v>44439</v>
      </c>
      <c r="T313">
        <v>74627</v>
      </c>
      <c r="U313" t="s">
        <v>356</v>
      </c>
      <c r="V313" s="22">
        <v>44442</v>
      </c>
      <c r="W313" t="s">
        <v>867</v>
      </c>
      <c r="X313" t="s">
        <v>868</v>
      </c>
      <c r="Y313" t="s">
        <v>13</v>
      </c>
      <c r="Z313" t="s">
        <v>366</v>
      </c>
      <c r="AA313">
        <v>-3.03</v>
      </c>
      <c r="AC313" s="2">
        <f t="shared" si="60"/>
        <v>2021</v>
      </c>
      <c r="AD313" s="2">
        <f t="shared" si="61"/>
        <v>9</v>
      </c>
      <c r="AE313" s="2">
        <f t="shared" si="62"/>
        <v>2021</v>
      </c>
      <c r="AF313" s="2">
        <f t="shared" si="63"/>
        <v>1</v>
      </c>
      <c r="AG313" s="2" t="str">
        <f>VLOOKUP(F313,vlookup!$A$2:$E$660,2,0)</f>
        <v>Retained</v>
      </c>
      <c r="AH313" s="2" t="str">
        <f>VLOOKUP(F313,vlookup!$A$2:$E$660,3,0)</f>
        <v>Service Contract</v>
      </c>
      <c r="AI313" s="2" t="str">
        <f>VLOOKUP(F313,vlookup!$A$2:$E$660,4,0)</f>
        <v>Used Car Programs</v>
      </c>
      <c r="AJ313" s="2" t="str">
        <f>VLOOKUP(F313,vlookup!$A$2:$E$660,5,0)</f>
        <v>High Mileage</v>
      </c>
      <c r="AK313" s="2"/>
      <c r="AL313" s="2">
        <f t="shared" si="64"/>
        <v>74</v>
      </c>
      <c r="AM313" s="2">
        <f t="shared" si="65"/>
        <v>228</v>
      </c>
      <c r="AN313" s="2">
        <f t="shared" si="66"/>
        <v>7902</v>
      </c>
      <c r="AO313" s="2" t="str">
        <f t="shared" si="67"/>
        <v/>
      </c>
      <c r="AP313" s="2" t="str">
        <f t="shared" si="68"/>
        <v/>
      </c>
      <c r="AQ313" s="2" t="str">
        <f t="shared" si="69"/>
        <v/>
      </c>
      <c r="AR313" s="2">
        <f t="shared" si="70"/>
        <v>-3.03</v>
      </c>
      <c r="AS313" s="2" t="str">
        <f t="shared" si="71"/>
        <v>APC500277-2</v>
      </c>
      <c r="AT313" s="2" t="str">
        <f>IFERROR(IF(VLOOKUP(Y313,vlookup!$I$2:$J$9,1,0)=Y313,VLOOKUP(Y313,vlookup!$I$2:$J$9,2,0),PROPER(Y313)),PROPER(Y313))</f>
        <v>Sales Tax</v>
      </c>
      <c r="AU313" s="2" t="str">
        <f>IFERROR(IF(B313=VLOOKUP(B313,vlookup!$L$2:$L$10,1,0),"Yes","No"),"No")</f>
        <v>No</v>
      </c>
    </row>
    <row r="314" spans="1:47" x14ac:dyDescent="0.25">
      <c r="A314" t="s">
        <v>774</v>
      </c>
      <c r="B314" t="s">
        <v>775</v>
      </c>
      <c r="C314">
        <v>2</v>
      </c>
      <c r="D314">
        <v>1</v>
      </c>
      <c r="E314" t="s">
        <v>382</v>
      </c>
      <c r="F314" t="s">
        <v>207</v>
      </c>
      <c r="G314" t="s">
        <v>543</v>
      </c>
      <c r="H314" s="11" t="s">
        <v>628</v>
      </c>
      <c r="I314">
        <v>66725</v>
      </c>
      <c r="J314" s="22">
        <v>44211</v>
      </c>
      <c r="K314" s="22">
        <v>44284</v>
      </c>
      <c r="L314">
        <v>202103</v>
      </c>
      <c r="M314" s="22">
        <v>44256</v>
      </c>
      <c r="N314">
        <v>77871</v>
      </c>
      <c r="O314" t="s">
        <v>699</v>
      </c>
      <c r="P314" t="s">
        <v>712</v>
      </c>
      <c r="Q314" t="s">
        <v>612</v>
      </c>
      <c r="R314">
        <v>102181</v>
      </c>
      <c r="S314" s="22">
        <v>44439</v>
      </c>
      <c r="T314">
        <v>74627</v>
      </c>
      <c r="U314" t="s">
        <v>356</v>
      </c>
      <c r="V314" s="22">
        <v>44442</v>
      </c>
      <c r="W314" t="s">
        <v>658</v>
      </c>
      <c r="X314" t="s">
        <v>659</v>
      </c>
      <c r="Y314" t="s">
        <v>13</v>
      </c>
      <c r="Z314" t="s">
        <v>364</v>
      </c>
      <c r="AA314">
        <v>-32.76</v>
      </c>
      <c r="AC314" s="2">
        <f t="shared" si="60"/>
        <v>2021</v>
      </c>
      <c r="AD314" s="2">
        <f t="shared" si="61"/>
        <v>9</v>
      </c>
      <c r="AE314" s="2">
        <f t="shared" si="62"/>
        <v>2021</v>
      </c>
      <c r="AF314" s="2">
        <f t="shared" si="63"/>
        <v>1</v>
      </c>
      <c r="AG314" s="2" t="str">
        <f>VLOOKUP(F314,vlookup!$A$2:$E$660,2,0)</f>
        <v>Retained</v>
      </c>
      <c r="AH314" s="2" t="str">
        <f>VLOOKUP(F314,vlookup!$A$2:$E$660,3,0)</f>
        <v>Service Contract</v>
      </c>
      <c r="AI314" s="2" t="str">
        <f>VLOOKUP(F314,vlookup!$A$2:$E$660,4,0)</f>
        <v>Used Car Programs</v>
      </c>
      <c r="AJ314" s="2" t="str">
        <f>VLOOKUP(F314,vlookup!$A$2:$E$660,5,0)</f>
        <v>High Mileage</v>
      </c>
      <c r="AK314" s="2"/>
      <c r="AL314" s="2">
        <f t="shared" si="64"/>
        <v>74</v>
      </c>
      <c r="AM314" s="2">
        <f t="shared" si="65"/>
        <v>228</v>
      </c>
      <c r="AN314" s="2">
        <f t="shared" si="66"/>
        <v>7902</v>
      </c>
      <c r="AO314" s="2" t="str">
        <f t="shared" si="67"/>
        <v/>
      </c>
      <c r="AP314" s="2" t="str">
        <f t="shared" si="68"/>
        <v/>
      </c>
      <c r="AQ314" s="2" t="str">
        <f t="shared" si="69"/>
        <v/>
      </c>
      <c r="AR314" s="2">
        <f t="shared" si="70"/>
        <v>-32.76</v>
      </c>
      <c r="AS314" s="2" t="str">
        <f t="shared" si="71"/>
        <v>APC500277-2</v>
      </c>
      <c r="AT314" s="2" t="str">
        <f>IFERROR(IF(VLOOKUP(Y314,vlookup!$I$2:$J$9,1,0)=Y314,VLOOKUP(Y314,vlookup!$I$2:$J$9,2,0),PROPER(Y314)),PROPER(Y314))</f>
        <v>Sales Tax</v>
      </c>
      <c r="AU314" s="2" t="str">
        <f>IFERROR(IF(B314=VLOOKUP(B314,vlookup!$L$2:$L$10,1,0),"Yes","No"),"No")</f>
        <v>No</v>
      </c>
    </row>
    <row r="315" spans="1:47" x14ac:dyDescent="0.25">
      <c r="A315" t="s">
        <v>774</v>
      </c>
      <c r="B315" t="s">
        <v>775</v>
      </c>
      <c r="C315">
        <v>2</v>
      </c>
      <c r="D315">
        <v>1</v>
      </c>
      <c r="E315" t="s">
        <v>382</v>
      </c>
      <c r="F315" t="s">
        <v>207</v>
      </c>
      <c r="G315" t="s">
        <v>543</v>
      </c>
      <c r="H315" s="11" t="s">
        <v>628</v>
      </c>
      <c r="I315">
        <v>66725</v>
      </c>
      <c r="J315" s="22">
        <v>44211</v>
      </c>
      <c r="K315" s="22">
        <v>44284</v>
      </c>
      <c r="L315">
        <v>202103</v>
      </c>
      <c r="M315" s="22">
        <v>44256</v>
      </c>
      <c r="N315">
        <v>77871</v>
      </c>
      <c r="O315" t="s">
        <v>699</v>
      </c>
      <c r="P315" t="s">
        <v>712</v>
      </c>
      <c r="Q315" t="s">
        <v>612</v>
      </c>
      <c r="R315">
        <v>102181</v>
      </c>
      <c r="S315" s="22">
        <v>44439</v>
      </c>
      <c r="T315">
        <v>74627</v>
      </c>
      <c r="U315" t="s">
        <v>356</v>
      </c>
      <c r="V315" s="22">
        <v>44442</v>
      </c>
      <c r="W315" t="s">
        <v>590</v>
      </c>
      <c r="X315" t="s">
        <v>591</v>
      </c>
      <c r="Y315" t="s">
        <v>13</v>
      </c>
      <c r="Z315" t="s">
        <v>358</v>
      </c>
      <c r="AA315">
        <v>-6.04</v>
      </c>
      <c r="AC315" s="2">
        <f t="shared" si="60"/>
        <v>2021</v>
      </c>
      <c r="AD315" s="2">
        <f t="shared" si="61"/>
        <v>9</v>
      </c>
      <c r="AE315" s="2">
        <f t="shared" si="62"/>
        <v>2021</v>
      </c>
      <c r="AF315" s="2">
        <f t="shared" si="63"/>
        <v>1</v>
      </c>
      <c r="AG315" s="2" t="str">
        <f>VLOOKUP(F315,vlookup!$A$2:$E$660,2,0)</f>
        <v>Retained</v>
      </c>
      <c r="AH315" s="2" t="str">
        <f>VLOOKUP(F315,vlookup!$A$2:$E$660,3,0)</f>
        <v>Service Contract</v>
      </c>
      <c r="AI315" s="2" t="str">
        <f>VLOOKUP(F315,vlookup!$A$2:$E$660,4,0)</f>
        <v>Used Car Programs</v>
      </c>
      <c r="AJ315" s="2" t="str">
        <f>VLOOKUP(F315,vlookup!$A$2:$E$660,5,0)</f>
        <v>High Mileage</v>
      </c>
      <c r="AK315" s="2"/>
      <c r="AL315" s="2">
        <f t="shared" si="64"/>
        <v>74</v>
      </c>
      <c r="AM315" s="2">
        <f t="shared" si="65"/>
        <v>228</v>
      </c>
      <c r="AN315" s="2">
        <f t="shared" si="66"/>
        <v>7902</v>
      </c>
      <c r="AO315" s="2" t="str">
        <f t="shared" si="67"/>
        <v/>
      </c>
      <c r="AP315" s="2" t="str">
        <f t="shared" si="68"/>
        <v/>
      </c>
      <c r="AQ315" s="2" t="str">
        <f t="shared" si="69"/>
        <v/>
      </c>
      <c r="AR315" s="2">
        <f t="shared" si="70"/>
        <v>-6.04</v>
      </c>
      <c r="AS315" s="2" t="str">
        <f t="shared" si="71"/>
        <v>APC500277-2</v>
      </c>
      <c r="AT315" s="2" t="str">
        <f>IFERROR(IF(VLOOKUP(Y315,vlookup!$I$2:$J$9,1,0)=Y315,VLOOKUP(Y315,vlookup!$I$2:$J$9,2,0),PROPER(Y315)),PROPER(Y315))</f>
        <v>Sales Tax</v>
      </c>
      <c r="AU315" s="2" t="str">
        <f>IFERROR(IF(B315=VLOOKUP(B315,vlookup!$L$2:$L$10,1,0),"Yes","No"),"No")</f>
        <v>No</v>
      </c>
    </row>
    <row r="316" spans="1:47" x14ac:dyDescent="0.25">
      <c r="A316" t="s">
        <v>774</v>
      </c>
      <c r="B316" t="s">
        <v>775</v>
      </c>
      <c r="C316">
        <v>2</v>
      </c>
      <c r="D316">
        <v>1</v>
      </c>
      <c r="E316" t="s">
        <v>382</v>
      </c>
      <c r="F316" t="s">
        <v>207</v>
      </c>
      <c r="G316" t="s">
        <v>543</v>
      </c>
      <c r="H316" s="11" t="s">
        <v>628</v>
      </c>
      <c r="I316">
        <v>66725</v>
      </c>
      <c r="J316" s="22">
        <v>44211</v>
      </c>
      <c r="K316" s="22">
        <v>44284</v>
      </c>
      <c r="L316">
        <v>202103</v>
      </c>
      <c r="M316" s="22">
        <v>44256</v>
      </c>
      <c r="N316">
        <v>77871</v>
      </c>
      <c r="O316" t="s">
        <v>699</v>
      </c>
      <c r="P316" t="s">
        <v>712</v>
      </c>
      <c r="Q316" t="s">
        <v>612</v>
      </c>
      <c r="R316">
        <v>102181</v>
      </c>
      <c r="S316" s="22">
        <v>44439</v>
      </c>
      <c r="T316">
        <v>74627</v>
      </c>
      <c r="U316" t="s">
        <v>356</v>
      </c>
      <c r="V316" s="22">
        <v>44442</v>
      </c>
      <c r="W316" t="s">
        <v>580</v>
      </c>
      <c r="X316" t="s">
        <v>581</v>
      </c>
      <c r="Y316" t="s">
        <v>13</v>
      </c>
      <c r="Z316" t="s">
        <v>364</v>
      </c>
      <c r="AA316">
        <v>-0.64</v>
      </c>
      <c r="AC316" s="2">
        <f t="shared" si="60"/>
        <v>2021</v>
      </c>
      <c r="AD316" s="2">
        <f t="shared" si="61"/>
        <v>9</v>
      </c>
      <c r="AE316" s="2">
        <f t="shared" si="62"/>
        <v>2021</v>
      </c>
      <c r="AF316" s="2">
        <f t="shared" si="63"/>
        <v>1</v>
      </c>
      <c r="AG316" s="2" t="str">
        <f>VLOOKUP(F316,vlookup!$A$2:$E$660,2,0)</f>
        <v>Retained</v>
      </c>
      <c r="AH316" s="2" t="str">
        <f>VLOOKUP(F316,vlookup!$A$2:$E$660,3,0)</f>
        <v>Service Contract</v>
      </c>
      <c r="AI316" s="2" t="str">
        <f>VLOOKUP(F316,vlookup!$A$2:$E$660,4,0)</f>
        <v>Used Car Programs</v>
      </c>
      <c r="AJ316" s="2" t="str">
        <f>VLOOKUP(F316,vlookup!$A$2:$E$660,5,0)</f>
        <v>High Mileage</v>
      </c>
      <c r="AK316" s="2"/>
      <c r="AL316" s="2">
        <f t="shared" si="64"/>
        <v>74</v>
      </c>
      <c r="AM316" s="2">
        <f t="shared" si="65"/>
        <v>228</v>
      </c>
      <c r="AN316" s="2">
        <f t="shared" si="66"/>
        <v>7902</v>
      </c>
      <c r="AO316" s="2" t="str">
        <f t="shared" si="67"/>
        <v/>
      </c>
      <c r="AP316" s="2" t="str">
        <f t="shared" si="68"/>
        <v/>
      </c>
      <c r="AQ316" s="2" t="str">
        <f t="shared" si="69"/>
        <v/>
      </c>
      <c r="AR316" s="2">
        <f t="shared" si="70"/>
        <v>-0.64</v>
      </c>
      <c r="AS316" s="2" t="str">
        <f t="shared" si="71"/>
        <v>APC500277-2</v>
      </c>
      <c r="AT316" s="2" t="str">
        <f>IFERROR(IF(VLOOKUP(Y316,vlookup!$I$2:$J$9,1,0)=Y316,VLOOKUP(Y316,vlookup!$I$2:$J$9,2,0),PROPER(Y316)),PROPER(Y316))</f>
        <v>Sales Tax</v>
      </c>
      <c r="AU316" s="2" t="str">
        <f>IFERROR(IF(B316=VLOOKUP(B316,vlookup!$L$2:$L$10,1,0),"Yes","No"),"No")</f>
        <v>No</v>
      </c>
    </row>
    <row r="317" spans="1:47" x14ac:dyDescent="0.25">
      <c r="A317" t="s">
        <v>774</v>
      </c>
      <c r="B317" t="s">
        <v>775</v>
      </c>
      <c r="C317">
        <v>2</v>
      </c>
      <c r="D317">
        <v>1</v>
      </c>
      <c r="E317" t="s">
        <v>382</v>
      </c>
      <c r="F317" t="s">
        <v>207</v>
      </c>
      <c r="G317" t="s">
        <v>543</v>
      </c>
      <c r="H317" s="11" t="s">
        <v>628</v>
      </c>
      <c r="I317">
        <v>66725</v>
      </c>
      <c r="J317" s="22">
        <v>44211</v>
      </c>
      <c r="K317" s="22">
        <v>44284</v>
      </c>
      <c r="L317">
        <v>202103</v>
      </c>
      <c r="M317" s="22">
        <v>44256</v>
      </c>
      <c r="N317">
        <v>77871</v>
      </c>
      <c r="O317" t="s">
        <v>699</v>
      </c>
      <c r="P317" t="s">
        <v>712</v>
      </c>
      <c r="Q317" t="s">
        <v>612</v>
      </c>
      <c r="R317">
        <v>102181</v>
      </c>
      <c r="S317" s="22">
        <v>44439</v>
      </c>
      <c r="T317">
        <v>74627</v>
      </c>
      <c r="U317" t="s">
        <v>356</v>
      </c>
      <c r="V317" s="22">
        <v>44442</v>
      </c>
      <c r="W317" t="s">
        <v>675</v>
      </c>
      <c r="X317" t="s">
        <v>676</v>
      </c>
      <c r="Y317" t="s">
        <v>13</v>
      </c>
      <c r="Z317" t="s">
        <v>364</v>
      </c>
      <c r="AA317">
        <v>-1.1100000000000001</v>
      </c>
      <c r="AC317" s="2">
        <f t="shared" si="60"/>
        <v>2021</v>
      </c>
      <c r="AD317" s="2">
        <f t="shared" si="61"/>
        <v>9</v>
      </c>
      <c r="AE317" s="2">
        <f t="shared" si="62"/>
        <v>2021</v>
      </c>
      <c r="AF317" s="2">
        <f t="shared" si="63"/>
        <v>1</v>
      </c>
      <c r="AG317" s="2" t="str">
        <f>VLOOKUP(F317,vlookup!$A$2:$E$660,2,0)</f>
        <v>Retained</v>
      </c>
      <c r="AH317" s="2" t="str">
        <f>VLOOKUP(F317,vlookup!$A$2:$E$660,3,0)</f>
        <v>Service Contract</v>
      </c>
      <c r="AI317" s="2" t="str">
        <f>VLOOKUP(F317,vlookup!$A$2:$E$660,4,0)</f>
        <v>Used Car Programs</v>
      </c>
      <c r="AJ317" s="2" t="str">
        <f>VLOOKUP(F317,vlookup!$A$2:$E$660,5,0)</f>
        <v>High Mileage</v>
      </c>
      <c r="AK317" s="2"/>
      <c r="AL317" s="2">
        <f t="shared" si="64"/>
        <v>74</v>
      </c>
      <c r="AM317" s="2">
        <f t="shared" si="65"/>
        <v>228</v>
      </c>
      <c r="AN317" s="2">
        <f t="shared" si="66"/>
        <v>7902</v>
      </c>
      <c r="AO317" s="2" t="str">
        <f t="shared" si="67"/>
        <v/>
      </c>
      <c r="AP317" s="2" t="str">
        <f t="shared" si="68"/>
        <v/>
      </c>
      <c r="AQ317" s="2" t="str">
        <f t="shared" si="69"/>
        <v/>
      </c>
      <c r="AR317" s="2">
        <f t="shared" si="70"/>
        <v>-1.1100000000000001</v>
      </c>
      <c r="AS317" s="2" t="str">
        <f t="shared" si="71"/>
        <v>APC500277-2</v>
      </c>
      <c r="AT317" s="2" t="str">
        <f>IFERROR(IF(VLOOKUP(Y317,vlookup!$I$2:$J$9,1,0)=Y317,VLOOKUP(Y317,vlookup!$I$2:$J$9,2,0),PROPER(Y317)),PROPER(Y317))</f>
        <v>Sales Tax</v>
      </c>
      <c r="AU317" s="2" t="str">
        <f>IFERROR(IF(B317=VLOOKUP(B317,vlookup!$L$2:$L$10,1,0),"Yes","No"),"No")</f>
        <v>No</v>
      </c>
    </row>
    <row r="318" spans="1:47" x14ac:dyDescent="0.25">
      <c r="A318" t="s">
        <v>774</v>
      </c>
      <c r="B318" t="s">
        <v>775</v>
      </c>
      <c r="C318">
        <v>2</v>
      </c>
      <c r="D318">
        <v>1</v>
      </c>
      <c r="E318" t="s">
        <v>382</v>
      </c>
      <c r="F318" t="s">
        <v>207</v>
      </c>
      <c r="G318" t="s">
        <v>543</v>
      </c>
      <c r="H318" s="11" t="s">
        <v>628</v>
      </c>
      <c r="I318">
        <v>66725</v>
      </c>
      <c r="J318" s="22">
        <v>44211</v>
      </c>
      <c r="K318" s="22">
        <v>44284</v>
      </c>
      <c r="L318">
        <v>202103</v>
      </c>
      <c r="M318" s="22">
        <v>44256</v>
      </c>
      <c r="N318">
        <v>77871</v>
      </c>
      <c r="O318" t="s">
        <v>699</v>
      </c>
      <c r="P318" t="s">
        <v>712</v>
      </c>
      <c r="Q318" t="s">
        <v>612</v>
      </c>
      <c r="R318">
        <v>102181</v>
      </c>
      <c r="S318" s="22">
        <v>44439</v>
      </c>
      <c r="T318">
        <v>74627</v>
      </c>
      <c r="U318" t="s">
        <v>356</v>
      </c>
      <c r="V318" s="22">
        <v>44442</v>
      </c>
      <c r="W318" t="s">
        <v>638</v>
      </c>
      <c r="X318" t="s">
        <v>639</v>
      </c>
      <c r="Y318" t="s">
        <v>13</v>
      </c>
      <c r="Z318" t="s">
        <v>579</v>
      </c>
      <c r="AA318">
        <v>-3.89</v>
      </c>
      <c r="AC318" s="2">
        <f t="shared" si="60"/>
        <v>2021</v>
      </c>
      <c r="AD318" s="2">
        <f t="shared" si="61"/>
        <v>9</v>
      </c>
      <c r="AE318" s="2">
        <f t="shared" si="62"/>
        <v>2021</v>
      </c>
      <c r="AF318" s="2">
        <f t="shared" si="63"/>
        <v>1</v>
      </c>
      <c r="AG318" s="2" t="str">
        <f>VLOOKUP(F318,vlookup!$A$2:$E$660,2,0)</f>
        <v>Retained</v>
      </c>
      <c r="AH318" s="2" t="str">
        <f>VLOOKUP(F318,vlookup!$A$2:$E$660,3,0)</f>
        <v>Service Contract</v>
      </c>
      <c r="AI318" s="2" t="str">
        <f>VLOOKUP(F318,vlookup!$A$2:$E$660,4,0)</f>
        <v>Used Car Programs</v>
      </c>
      <c r="AJ318" s="2" t="str">
        <f>VLOOKUP(F318,vlookup!$A$2:$E$660,5,0)</f>
        <v>High Mileage</v>
      </c>
      <c r="AK318" s="2"/>
      <c r="AL318" s="2">
        <f t="shared" si="64"/>
        <v>74</v>
      </c>
      <c r="AM318" s="2">
        <f t="shared" si="65"/>
        <v>228</v>
      </c>
      <c r="AN318" s="2">
        <f t="shared" si="66"/>
        <v>7902</v>
      </c>
      <c r="AO318" s="2" t="str">
        <f t="shared" si="67"/>
        <v/>
      </c>
      <c r="AP318" s="2" t="str">
        <f t="shared" si="68"/>
        <v/>
      </c>
      <c r="AQ318" s="2" t="str">
        <f t="shared" si="69"/>
        <v/>
      </c>
      <c r="AR318" s="2">
        <f t="shared" si="70"/>
        <v>-3.89</v>
      </c>
      <c r="AS318" s="2" t="str">
        <f t="shared" si="71"/>
        <v>APC500277-2</v>
      </c>
      <c r="AT318" s="2" t="str">
        <f>IFERROR(IF(VLOOKUP(Y318,vlookup!$I$2:$J$9,1,0)=Y318,VLOOKUP(Y318,vlookup!$I$2:$J$9,2,0),PROPER(Y318)),PROPER(Y318))</f>
        <v>Sales Tax</v>
      </c>
      <c r="AU318" s="2" t="str">
        <f>IFERROR(IF(B318=VLOOKUP(B318,vlookup!$L$2:$L$10,1,0),"Yes","No"),"No")</f>
        <v>No</v>
      </c>
    </row>
    <row r="319" spans="1:47" x14ac:dyDescent="0.25">
      <c r="A319" t="s">
        <v>782</v>
      </c>
      <c r="B319" t="s">
        <v>783</v>
      </c>
      <c r="C319">
        <v>2</v>
      </c>
      <c r="D319">
        <v>1</v>
      </c>
      <c r="E319" t="s">
        <v>572</v>
      </c>
      <c r="F319" t="s">
        <v>207</v>
      </c>
      <c r="G319" t="s">
        <v>683</v>
      </c>
      <c r="H319" s="11" t="s">
        <v>715</v>
      </c>
      <c r="I319">
        <v>65447</v>
      </c>
      <c r="J319" s="22">
        <v>44335</v>
      </c>
      <c r="K319" s="22">
        <v>44399</v>
      </c>
      <c r="L319">
        <v>202107</v>
      </c>
      <c r="M319" s="22">
        <v>44378</v>
      </c>
      <c r="N319">
        <v>77871</v>
      </c>
      <c r="O319" t="s">
        <v>699</v>
      </c>
      <c r="P319" t="s">
        <v>712</v>
      </c>
      <c r="Q319" t="s">
        <v>612</v>
      </c>
      <c r="R319">
        <v>108228</v>
      </c>
      <c r="S319" s="22">
        <v>44558</v>
      </c>
      <c r="T319">
        <v>79642</v>
      </c>
      <c r="U319" t="s">
        <v>356</v>
      </c>
      <c r="V319" s="22">
        <v>44560</v>
      </c>
      <c r="W319" t="s">
        <v>784</v>
      </c>
      <c r="X319" t="s">
        <v>785</v>
      </c>
      <c r="Y319" t="s">
        <v>13</v>
      </c>
      <c r="Z319" t="s">
        <v>358</v>
      </c>
      <c r="AA319">
        <v>-10.25</v>
      </c>
      <c r="AC319" s="2">
        <f t="shared" si="60"/>
        <v>2021</v>
      </c>
      <c r="AD319" s="2">
        <f t="shared" si="61"/>
        <v>12</v>
      </c>
      <c r="AE319" s="2">
        <f t="shared" si="62"/>
        <v>2021</v>
      </c>
      <c r="AF319" s="2">
        <f t="shared" si="63"/>
        <v>5</v>
      </c>
      <c r="AG319" s="2" t="str">
        <f>VLOOKUP(F319,vlookup!$A$2:$E$660,2,0)</f>
        <v>Retained</v>
      </c>
      <c r="AH319" s="2" t="str">
        <f>VLOOKUP(F319,vlookup!$A$2:$E$660,3,0)</f>
        <v>Service Contract</v>
      </c>
      <c r="AI319" s="2" t="str">
        <f>VLOOKUP(F319,vlookup!$A$2:$E$660,4,0)</f>
        <v>Used Car Programs</v>
      </c>
      <c r="AJ319" s="2" t="str">
        <f>VLOOKUP(F319,vlookup!$A$2:$E$660,5,0)</f>
        <v>High Mileage</v>
      </c>
      <c r="AK319" s="2"/>
      <c r="AL319" s="2">
        <f t="shared" si="64"/>
        <v>63</v>
      </c>
      <c r="AM319" s="2">
        <f t="shared" si="65"/>
        <v>221</v>
      </c>
      <c r="AN319" s="2">
        <f t="shared" si="66"/>
        <v>14195</v>
      </c>
      <c r="AO319" s="2" t="str">
        <f t="shared" si="67"/>
        <v/>
      </c>
      <c r="AP319" s="2" t="str">
        <f t="shared" si="68"/>
        <v/>
      </c>
      <c r="AQ319" s="2" t="str">
        <f t="shared" si="69"/>
        <v/>
      </c>
      <c r="AR319" s="2">
        <f t="shared" si="70"/>
        <v>-10.25</v>
      </c>
      <c r="AS319" s="2" t="str">
        <f t="shared" si="71"/>
        <v>APC500416-2</v>
      </c>
      <c r="AT319" s="2" t="str">
        <f>IFERROR(IF(VLOOKUP(Y319,vlookup!$I$2:$J$9,1,0)=Y319,VLOOKUP(Y319,vlookup!$I$2:$J$9,2,0),PROPER(Y319)),PROPER(Y319))</f>
        <v>Sales Tax</v>
      </c>
      <c r="AU319" s="2" t="str">
        <f>IFERROR(IF(B319=VLOOKUP(B319,vlookup!$L$2:$L$10,1,0),"Yes","No"),"No")</f>
        <v>No</v>
      </c>
    </row>
    <row r="320" spans="1:47" x14ac:dyDescent="0.25">
      <c r="A320" t="s">
        <v>757</v>
      </c>
      <c r="B320" t="s">
        <v>758</v>
      </c>
      <c r="C320">
        <v>2</v>
      </c>
      <c r="D320">
        <v>1</v>
      </c>
      <c r="E320" t="s">
        <v>382</v>
      </c>
      <c r="F320" t="s">
        <v>207</v>
      </c>
      <c r="G320" t="s">
        <v>683</v>
      </c>
      <c r="H320" s="11" t="s">
        <v>715</v>
      </c>
      <c r="I320">
        <v>114400</v>
      </c>
      <c r="J320" s="22">
        <v>44125</v>
      </c>
      <c r="K320" s="22">
        <v>44200</v>
      </c>
      <c r="L320">
        <v>202012</v>
      </c>
      <c r="M320" s="22">
        <v>44166</v>
      </c>
      <c r="N320">
        <v>77871</v>
      </c>
      <c r="O320" t="s">
        <v>699</v>
      </c>
      <c r="P320" t="s">
        <v>712</v>
      </c>
      <c r="Q320" t="s">
        <v>612</v>
      </c>
      <c r="R320">
        <v>108521</v>
      </c>
      <c r="S320" s="22">
        <v>44564</v>
      </c>
      <c r="T320">
        <v>127914</v>
      </c>
      <c r="U320" t="s">
        <v>356</v>
      </c>
      <c r="V320" s="22">
        <v>44635</v>
      </c>
      <c r="W320" t="s">
        <v>786</v>
      </c>
      <c r="X320" t="s">
        <v>787</v>
      </c>
      <c r="Y320" t="s">
        <v>13</v>
      </c>
      <c r="Z320" t="s">
        <v>625</v>
      </c>
      <c r="AA320">
        <v>-205.71</v>
      </c>
      <c r="AC320" s="2">
        <f t="shared" si="60"/>
        <v>2022</v>
      </c>
      <c r="AD320" s="2">
        <f t="shared" si="61"/>
        <v>3</v>
      </c>
      <c r="AE320" s="2">
        <f t="shared" si="62"/>
        <v>2020</v>
      </c>
      <c r="AF320" s="2">
        <f t="shared" si="63"/>
        <v>10</v>
      </c>
      <c r="AG320" s="2" t="str">
        <f>VLOOKUP(F320,vlookup!$A$2:$E$660,2,0)</f>
        <v>Retained</v>
      </c>
      <c r="AH320" s="2" t="str">
        <f>VLOOKUP(F320,vlookup!$A$2:$E$660,3,0)</f>
        <v>Service Contract</v>
      </c>
      <c r="AI320" s="2" t="str">
        <f>VLOOKUP(F320,vlookup!$A$2:$E$660,4,0)</f>
        <v>Used Car Programs</v>
      </c>
      <c r="AJ320" s="2" t="str">
        <f>VLOOKUP(F320,vlookup!$A$2:$E$660,5,0)</f>
        <v>High Mileage</v>
      </c>
      <c r="AK320" s="2"/>
      <c r="AL320" s="2">
        <f t="shared" si="64"/>
        <v>73</v>
      </c>
      <c r="AM320" s="2">
        <f t="shared" si="65"/>
        <v>504</v>
      </c>
      <c r="AN320" s="2">
        <f t="shared" si="66"/>
        <v>13514</v>
      </c>
      <c r="AO320" s="2" t="str">
        <f t="shared" si="67"/>
        <v/>
      </c>
      <c r="AP320" s="2" t="str">
        <f t="shared" si="68"/>
        <v/>
      </c>
      <c r="AQ320" s="2" t="str">
        <f t="shared" si="69"/>
        <v/>
      </c>
      <c r="AR320" s="2">
        <f t="shared" si="70"/>
        <v>-205.71</v>
      </c>
      <c r="AS320" s="2" t="str">
        <f t="shared" si="71"/>
        <v>APC500213-2</v>
      </c>
      <c r="AT320" s="2" t="str">
        <f>IFERROR(IF(VLOOKUP(Y320,vlookup!$I$2:$J$9,1,0)=Y320,VLOOKUP(Y320,vlookup!$I$2:$J$9,2,0),PROPER(Y320)),PROPER(Y320))</f>
        <v>Sales Tax</v>
      </c>
      <c r="AU320" s="2" t="str">
        <f>IFERROR(IF(B320=VLOOKUP(B320,vlookup!$L$2:$L$10,1,0),"Yes","No"),"No")</f>
        <v>No</v>
      </c>
    </row>
    <row r="321" spans="1:47" x14ac:dyDescent="0.25">
      <c r="A321" t="s">
        <v>713</v>
      </c>
      <c r="B321" t="s">
        <v>714</v>
      </c>
      <c r="C321">
        <v>1</v>
      </c>
      <c r="D321">
        <v>1</v>
      </c>
      <c r="E321" t="s">
        <v>382</v>
      </c>
      <c r="F321" t="s">
        <v>346</v>
      </c>
      <c r="G321" t="s">
        <v>683</v>
      </c>
      <c r="H321" s="11" t="s">
        <v>715</v>
      </c>
      <c r="I321">
        <v>68520</v>
      </c>
      <c r="J321" s="22">
        <v>44092</v>
      </c>
      <c r="K321" s="22">
        <v>44139</v>
      </c>
      <c r="L321">
        <v>202010</v>
      </c>
      <c r="M321" s="22">
        <v>44105</v>
      </c>
      <c r="N321">
        <v>77871</v>
      </c>
      <c r="O321" t="s">
        <v>699</v>
      </c>
      <c r="P321" t="s">
        <v>712</v>
      </c>
      <c r="Q321" t="s">
        <v>612</v>
      </c>
      <c r="R321">
        <v>905752</v>
      </c>
      <c r="S321" s="22">
        <v>44336</v>
      </c>
      <c r="T321">
        <v>73721</v>
      </c>
      <c r="U321" t="s">
        <v>356</v>
      </c>
      <c r="V321" s="22">
        <v>44350</v>
      </c>
      <c r="W321" t="s">
        <v>788</v>
      </c>
      <c r="X321" t="s">
        <v>789</v>
      </c>
      <c r="Y321" t="s">
        <v>13</v>
      </c>
      <c r="Z321" t="s">
        <v>358</v>
      </c>
      <c r="AA321">
        <v>-22.51</v>
      </c>
      <c r="AC321" s="2">
        <f t="shared" si="60"/>
        <v>2021</v>
      </c>
      <c r="AD321" s="2">
        <f t="shared" si="61"/>
        <v>6</v>
      </c>
      <c r="AE321" s="2">
        <f t="shared" si="62"/>
        <v>2020</v>
      </c>
      <c r="AF321" s="2">
        <f t="shared" si="63"/>
        <v>9</v>
      </c>
      <c r="AG321" s="2" t="str">
        <f>VLOOKUP(F321,vlookup!$A$2:$E$660,2,0)</f>
        <v>Retained</v>
      </c>
      <c r="AH321" s="2" t="str">
        <f>VLOOKUP(F321,vlookup!$A$2:$E$660,3,0)</f>
        <v>Service Contract</v>
      </c>
      <c r="AI321" s="2" t="str">
        <f>VLOOKUP(F321,vlookup!$A$2:$E$660,4,0)</f>
        <v>Used Car Programs</v>
      </c>
      <c r="AJ321" s="2" t="str">
        <f>VLOOKUP(F321,vlookup!$A$2:$E$660,5,0)</f>
        <v>High Mileage</v>
      </c>
      <c r="AK321" s="2"/>
      <c r="AL321" s="2">
        <f t="shared" si="64"/>
        <v>46</v>
      </c>
      <c r="AM321" s="2">
        <f t="shared" si="65"/>
        <v>255</v>
      </c>
      <c r="AN321" s="2">
        <f t="shared" si="66"/>
        <v>5201</v>
      </c>
      <c r="AO321" s="2" t="str">
        <f t="shared" si="67"/>
        <v/>
      </c>
      <c r="AP321" s="2" t="str">
        <f t="shared" si="68"/>
        <v/>
      </c>
      <c r="AQ321" s="2" t="str">
        <f t="shared" si="69"/>
        <v/>
      </c>
      <c r="AR321" s="2">
        <f t="shared" si="70"/>
        <v>-22.51</v>
      </c>
      <c r="AS321" s="2" t="str">
        <f t="shared" si="71"/>
        <v>SDFBF369586I20-1</v>
      </c>
      <c r="AT321" s="2" t="str">
        <f>IFERROR(IF(VLOOKUP(Y321,vlookup!$I$2:$J$9,1,0)=Y321,VLOOKUP(Y321,vlookup!$I$2:$J$9,2,0),PROPER(Y321)),PROPER(Y321))</f>
        <v>Sales Tax</v>
      </c>
      <c r="AU321" s="2" t="str">
        <f>IFERROR(IF(B321=VLOOKUP(B321,vlookup!$L$2:$L$10,1,0),"Yes","No"),"No")</f>
        <v>No</v>
      </c>
    </row>
    <row r="322" spans="1:47" x14ac:dyDescent="0.25">
      <c r="A322" t="s">
        <v>713</v>
      </c>
      <c r="B322" t="s">
        <v>714</v>
      </c>
      <c r="C322">
        <v>2</v>
      </c>
      <c r="D322">
        <v>1</v>
      </c>
      <c r="E322" t="s">
        <v>382</v>
      </c>
      <c r="F322" t="s">
        <v>346</v>
      </c>
      <c r="G322" t="s">
        <v>683</v>
      </c>
      <c r="H322" s="11" t="s">
        <v>715</v>
      </c>
      <c r="I322">
        <v>68520</v>
      </c>
      <c r="J322" s="22">
        <v>44092</v>
      </c>
      <c r="K322" s="22">
        <v>44139</v>
      </c>
      <c r="L322">
        <v>202010</v>
      </c>
      <c r="M322" s="22">
        <v>44105</v>
      </c>
      <c r="N322">
        <v>77871</v>
      </c>
      <c r="O322" t="s">
        <v>699</v>
      </c>
      <c r="P322" t="s">
        <v>716</v>
      </c>
      <c r="Q322" t="s">
        <v>612</v>
      </c>
      <c r="R322">
        <v>711063</v>
      </c>
      <c r="S322" s="22">
        <v>44447</v>
      </c>
      <c r="T322">
        <v>76629</v>
      </c>
      <c r="U322" t="s">
        <v>356</v>
      </c>
      <c r="V322" s="22">
        <v>44448</v>
      </c>
      <c r="W322" t="s">
        <v>776</v>
      </c>
      <c r="X322" t="s">
        <v>777</v>
      </c>
      <c r="Y322" t="s">
        <v>13</v>
      </c>
      <c r="Z322" t="s">
        <v>369</v>
      </c>
      <c r="AA322">
        <v>-6.25</v>
      </c>
      <c r="AC322" s="2">
        <f t="shared" si="60"/>
        <v>2021</v>
      </c>
      <c r="AD322" s="2">
        <f t="shared" si="61"/>
        <v>9</v>
      </c>
      <c r="AE322" s="2">
        <f t="shared" si="62"/>
        <v>2020</v>
      </c>
      <c r="AF322" s="2">
        <f t="shared" si="63"/>
        <v>9</v>
      </c>
      <c r="AG322" s="2" t="str">
        <f>VLOOKUP(F322,vlookup!$A$2:$E$660,2,0)</f>
        <v>Retained</v>
      </c>
      <c r="AH322" s="2" t="str">
        <f>VLOOKUP(F322,vlookup!$A$2:$E$660,3,0)</f>
        <v>Service Contract</v>
      </c>
      <c r="AI322" s="2" t="str">
        <f>VLOOKUP(F322,vlookup!$A$2:$E$660,4,0)</f>
        <v>Used Car Programs</v>
      </c>
      <c r="AJ322" s="2" t="str">
        <f>VLOOKUP(F322,vlookup!$A$2:$E$660,5,0)</f>
        <v>High Mileage</v>
      </c>
      <c r="AK322" s="2"/>
      <c r="AL322" s="2">
        <f t="shared" si="64"/>
        <v>46</v>
      </c>
      <c r="AM322" s="2">
        <f t="shared" si="65"/>
        <v>351</v>
      </c>
      <c r="AN322" s="2">
        <f t="shared" si="66"/>
        <v>8109</v>
      </c>
      <c r="AO322" s="2" t="str">
        <f t="shared" si="67"/>
        <v/>
      </c>
      <c r="AP322" s="2" t="str">
        <f t="shared" si="68"/>
        <v/>
      </c>
      <c r="AQ322" s="2" t="str">
        <f t="shared" si="69"/>
        <v/>
      </c>
      <c r="AR322" s="2">
        <f t="shared" si="70"/>
        <v>-6.25</v>
      </c>
      <c r="AS322" s="2" t="str">
        <f t="shared" si="71"/>
        <v>SDFBF369586I20-2</v>
      </c>
      <c r="AT322" s="2" t="str">
        <f>IFERROR(IF(VLOOKUP(Y322,vlookup!$I$2:$J$9,1,0)=Y322,VLOOKUP(Y322,vlookup!$I$2:$J$9,2,0),PROPER(Y322)),PROPER(Y322))</f>
        <v>Sales Tax</v>
      </c>
      <c r="AU322" s="2" t="str">
        <f>IFERROR(IF(B322=VLOOKUP(B322,vlookup!$L$2:$L$10,1,0),"Yes","No"),"No")</f>
        <v>No</v>
      </c>
    </row>
    <row r="323" spans="1:47" x14ac:dyDescent="0.25">
      <c r="A323" t="s">
        <v>713</v>
      </c>
      <c r="B323" t="s">
        <v>714</v>
      </c>
      <c r="C323">
        <v>3</v>
      </c>
      <c r="D323">
        <v>1</v>
      </c>
      <c r="E323" t="s">
        <v>382</v>
      </c>
      <c r="F323" t="s">
        <v>346</v>
      </c>
      <c r="G323" t="s">
        <v>683</v>
      </c>
      <c r="H323" s="11" t="s">
        <v>715</v>
      </c>
      <c r="I323">
        <v>68520</v>
      </c>
      <c r="J323" s="22">
        <v>44092</v>
      </c>
      <c r="K323" s="22">
        <v>44139</v>
      </c>
      <c r="L323">
        <v>202010</v>
      </c>
      <c r="M323" s="22">
        <v>44105</v>
      </c>
      <c r="N323">
        <v>77871</v>
      </c>
      <c r="O323" t="s">
        <v>699</v>
      </c>
      <c r="P323" t="s">
        <v>716</v>
      </c>
      <c r="Q323" t="s">
        <v>612</v>
      </c>
      <c r="R323">
        <v>731304</v>
      </c>
      <c r="S323" s="22">
        <v>44838</v>
      </c>
      <c r="T323">
        <v>89522</v>
      </c>
      <c r="U323" t="s">
        <v>356</v>
      </c>
      <c r="V323" s="22">
        <v>44841</v>
      </c>
      <c r="W323" t="s">
        <v>596</v>
      </c>
      <c r="X323" t="s">
        <v>597</v>
      </c>
      <c r="Y323" t="s">
        <v>13</v>
      </c>
      <c r="Z323" t="s">
        <v>358</v>
      </c>
      <c r="AA323">
        <v>-37.409999999999997</v>
      </c>
      <c r="AC323" s="2">
        <f t="shared" si="60"/>
        <v>2022</v>
      </c>
      <c r="AD323" s="2">
        <f t="shared" si="61"/>
        <v>10</v>
      </c>
      <c r="AE323" s="2">
        <f t="shared" si="62"/>
        <v>2020</v>
      </c>
      <c r="AF323" s="2">
        <f t="shared" si="63"/>
        <v>9</v>
      </c>
      <c r="AG323" s="2" t="str">
        <f>VLOOKUP(F323,vlookup!$A$2:$E$660,2,0)</f>
        <v>Retained</v>
      </c>
      <c r="AH323" s="2" t="str">
        <f>VLOOKUP(F323,vlookup!$A$2:$E$660,3,0)</f>
        <v>Service Contract</v>
      </c>
      <c r="AI323" s="2" t="str">
        <f>VLOOKUP(F323,vlookup!$A$2:$E$660,4,0)</f>
        <v>Used Car Programs</v>
      </c>
      <c r="AJ323" s="2" t="str">
        <f>VLOOKUP(F323,vlookup!$A$2:$E$660,5,0)</f>
        <v>High Mileage</v>
      </c>
      <c r="AK323" s="2"/>
      <c r="AL323" s="2">
        <f t="shared" si="64"/>
        <v>46</v>
      </c>
      <c r="AM323" s="2">
        <f t="shared" si="65"/>
        <v>739</v>
      </c>
      <c r="AN323" s="2">
        <f t="shared" si="66"/>
        <v>21002</v>
      </c>
      <c r="AO323" s="2" t="str">
        <f t="shared" si="67"/>
        <v/>
      </c>
      <c r="AP323" s="2" t="str">
        <f t="shared" si="68"/>
        <v/>
      </c>
      <c r="AQ323" s="2" t="str">
        <f t="shared" si="69"/>
        <v/>
      </c>
      <c r="AR323" s="2">
        <f t="shared" si="70"/>
        <v>-37.409999999999997</v>
      </c>
      <c r="AS323" s="2" t="str">
        <f t="shared" si="71"/>
        <v>SDFBF369586I20-3</v>
      </c>
      <c r="AT323" s="2" t="str">
        <f>IFERROR(IF(VLOOKUP(Y323,vlookup!$I$2:$J$9,1,0)=Y323,VLOOKUP(Y323,vlookup!$I$2:$J$9,2,0),PROPER(Y323)),PROPER(Y323))</f>
        <v>Sales Tax</v>
      </c>
      <c r="AU323" s="2" t="str">
        <f>IFERROR(IF(B323=VLOOKUP(B323,vlookup!$L$2:$L$10,1,0),"Yes","No"),"No")</f>
        <v>No</v>
      </c>
    </row>
    <row r="324" spans="1:47" x14ac:dyDescent="0.25">
      <c r="A324" t="s">
        <v>717</v>
      </c>
      <c r="B324" t="s">
        <v>718</v>
      </c>
      <c r="C324">
        <v>1</v>
      </c>
      <c r="D324">
        <v>1</v>
      </c>
      <c r="E324" t="s">
        <v>382</v>
      </c>
      <c r="F324" t="s">
        <v>279</v>
      </c>
      <c r="G324" t="s">
        <v>683</v>
      </c>
      <c r="H324" s="11" t="s">
        <v>715</v>
      </c>
      <c r="I324">
        <v>76513</v>
      </c>
      <c r="J324" s="22">
        <v>44788</v>
      </c>
      <c r="K324" s="22">
        <v>44803</v>
      </c>
      <c r="L324">
        <v>202208</v>
      </c>
      <c r="M324" s="22">
        <v>44774</v>
      </c>
      <c r="N324">
        <v>77871</v>
      </c>
      <c r="O324" t="s">
        <v>699</v>
      </c>
      <c r="P324" t="s">
        <v>719</v>
      </c>
      <c r="Q324" t="s">
        <v>612</v>
      </c>
      <c r="R324">
        <v>6007434</v>
      </c>
      <c r="S324" s="22">
        <v>44854</v>
      </c>
      <c r="T324">
        <v>77491</v>
      </c>
      <c r="U324" t="s">
        <v>356</v>
      </c>
      <c r="V324" s="22">
        <v>44858</v>
      </c>
      <c r="W324" t="s">
        <v>362</v>
      </c>
      <c r="X324" t="s">
        <v>363</v>
      </c>
      <c r="Y324" t="s">
        <v>13</v>
      </c>
      <c r="Z324" t="s">
        <v>358</v>
      </c>
      <c r="AA324">
        <v>-42.94</v>
      </c>
      <c r="AC324" s="2">
        <f t="shared" si="60"/>
        <v>2022</v>
      </c>
      <c r="AD324" s="2">
        <f t="shared" si="61"/>
        <v>10</v>
      </c>
      <c r="AE324" s="2">
        <f t="shared" si="62"/>
        <v>2022</v>
      </c>
      <c r="AF324" s="2">
        <f t="shared" si="63"/>
        <v>8</v>
      </c>
      <c r="AG324" s="2" t="str">
        <f>VLOOKUP(F324,vlookup!$A$2:$E$660,2,0)</f>
        <v>Retained</v>
      </c>
      <c r="AH324" s="2" t="str">
        <f>VLOOKUP(F324,vlookup!$A$2:$E$660,3,0)</f>
        <v>Service Contract</v>
      </c>
      <c r="AI324" s="2" t="str">
        <f>VLOOKUP(F324,vlookup!$A$2:$E$660,4,0)</f>
        <v>New Car Programs</v>
      </c>
      <c r="AJ324" s="2" t="str">
        <f>VLOOKUP(F324,vlookup!$A$2:$E$660,5,0)</f>
        <v>Absolute</v>
      </c>
      <c r="AK324" s="2"/>
      <c r="AL324" s="2">
        <f t="shared" si="64"/>
        <v>15</v>
      </c>
      <c r="AM324" s="2">
        <f t="shared" si="65"/>
        <v>69</v>
      </c>
      <c r="AN324" s="2">
        <f t="shared" si="66"/>
        <v>978</v>
      </c>
      <c r="AO324" s="2" t="str">
        <f t="shared" si="67"/>
        <v/>
      </c>
      <c r="AP324" s="2" t="str">
        <f t="shared" si="68"/>
        <v/>
      </c>
      <c r="AQ324" s="2">
        <f t="shared" si="69"/>
        <v>-42.94</v>
      </c>
      <c r="AR324" s="2" t="str">
        <f t="shared" si="70"/>
        <v/>
      </c>
      <c r="AS324" s="2" t="str">
        <f t="shared" si="71"/>
        <v>ARCCF201739H22-1</v>
      </c>
      <c r="AT324" s="2" t="str">
        <f>IFERROR(IF(VLOOKUP(Y324,vlookup!$I$2:$J$9,1,0)=Y324,VLOOKUP(Y324,vlookup!$I$2:$J$9,2,0),PROPER(Y324)),PROPER(Y324))</f>
        <v>Sales Tax</v>
      </c>
      <c r="AU324" s="2" t="str">
        <f>IFERROR(IF(B324=VLOOKUP(B324,vlookup!$L$2:$L$10,1,0),"Yes","No"),"No")</f>
        <v>No</v>
      </c>
    </row>
    <row r="325" spans="1:47" x14ac:dyDescent="0.25">
      <c r="A325" t="s">
        <v>717</v>
      </c>
      <c r="B325" t="s">
        <v>718</v>
      </c>
      <c r="C325">
        <v>1</v>
      </c>
      <c r="D325">
        <v>1</v>
      </c>
      <c r="E325" t="s">
        <v>382</v>
      </c>
      <c r="F325" t="s">
        <v>279</v>
      </c>
      <c r="G325" t="s">
        <v>683</v>
      </c>
      <c r="H325" s="11" t="s">
        <v>715</v>
      </c>
      <c r="I325">
        <v>76513</v>
      </c>
      <c r="J325" s="22">
        <v>44788</v>
      </c>
      <c r="K325" s="22">
        <v>44803</v>
      </c>
      <c r="L325">
        <v>202208</v>
      </c>
      <c r="M325" s="22">
        <v>44774</v>
      </c>
      <c r="N325">
        <v>77871</v>
      </c>
      <c r="O325" t="s">
        <v>699</v>
      </c>
      <c r="P325" t="s">
        <v>719</v>
      </c>
      <c r="Q325" t="s">
        <v>612</v>
      </c>
      <c r="R325">
        <v>6007434</v>
      </c>
      <c r="S325" s="22">
        <v>44854</v>
      </c>
      <c r="T325">
        <v>77491</v>
      </c>
      <c r="U325" t="s">
        <v>356</v>
      </c>
      <c r="V325" s="22">
        <v>44858</v>
      </c>
      <c r="W325" t="s">
        <v>776</v>
      </c>
      <c r="X325" t="s">
        <v>777</v>
      </c>
      <c r="Y325" t="s">
        <v>13</v>
      </c>
      <c r="Z325" t="s">
        <v>369</v>
      </c>
      <c r="AA325">
        <v>-6.47</v>
      </c>
      <c r="AC325" s="2">
        <f t="shared" si="60"/>
        <v>2022</v>
      </c>
      <c r="AD325" s="2">
        <f t="shared" si="61"/>
        <v>10</v>
      </c>
      <c r="AE325" s="2">
        <f t="shared" si="62"/>
        <v>2022</v>
      </c>
      <c r="AF325" s="2">
        <f t="shared" si="63"/>
        <v>8</v>
      </c>
      <c r="AG325" s="2" t="str">
        <f>VLOOKUP(F325,vlookup!$A$2:$E$660,2,0)</f>
        <v>Retained</v>
      </c>
      <c r="AH325" s="2" t="str">
        <f>VLOOKUP(F325,vlookup!$A$2:$E$660,3,0)</f>
        <v>Service Contract</v>
      </c>
      <c r="AI325" s="2" t="str">
        <f>VLOOKUP(F325,vlookup!$A$2:$E$660,4,0)</f>
        <v>New Car Programs</v>
      </c>
      <c r="AJ325" s="2" t="str">
        <f>VLOOKUP(F325,vlookup!$A$2:$E$660,5,0)</f>
        <v>Absolute</v>
      </c>
      <c r="AK325" s="2"/>
      <c r="AL325" s="2">
        <f t="shared" si="64"/>
        <v>15</v>
      </c>
      <c r="AM325" s="2">
        <f t="shared" si="65"/>
        <v>69</v>
      </c>
      <c r="AN325" s="2">
        <f t="shared" si="66"/>
        <v>978</v>
      </c>
      <c r="AO325" s="2" t="str">
        <f t="shared" si="67"/>
        <v/>
      </c>
      <c r="AP325" s="2" t="str">
        <f t="shared" si="68"/>
        <v/>
      </c>
      <c r="AQ325" s="2">
        <f t="shared" si="69"/>
        <v>-6.47</v>
      </c>
      <c r="AR325" s="2" t="str">
        <f t="shared" si="70"/>
        <v/>
      </c>
      <c r="AS325" s="2" t="str">
        <f t="shared" si="71"/>
        <v>ARCCF201739H22-1</v>
      </c>
      <c r="AT325" s="2" t="str">
        <f>IFERROR(IF(VLOOKUP(Y325,vlookup!$I$2:$J$9,1,0)=Y325,VLOOKUP(Y325,vlookup!$I$2:$J$9,2,0),PROPER(Y325)),PROPER(Y325))</f>
        <v>Sales Tax</v>
      </c>
      <c r="AU325" s="2" t="str">
        <f>IFERROR(IF(B325=VLOOKUP(B325,vlookup!$L$2:$L$10,1,0),"Yes","No"),"No")</f>
        <v>No</v>
      </c>
    </row>
    <row r="326" spans="1:47" x14ac:dyDescent="0.25">
      <c r="A326" t="s">
        <v>790</v>
      </c>
      <c r="B326" t="s">
        <v>791</v>
      </c>
      <c r="C326">
        <v>1</v>
      </c>
      <c r="D326">
        <v>1</v>
      </c>
      <c r="E326" t="s">
        <v>572</v>
      </c>
      <c r="F326" t="s">
        <v>207</v>
      </c>
      <c r="G326" t="s">
        <v>683</v>
      </c>
      <c r="H326" s="11" t="s">
        <v>792</v>
      </c>
      <c r="I326">
        <v>77001</v>
      </c>
      <c r="J326" s="22">
        <v>44132</v>
      </c>
      <c r="K326" s="22">
        <v>44183</v>
      </c>
      <c r="L326">
        <v>202012</v>
      </c>
      <c r="M326" s="22">
        <v>44166</v>
      </c>
      <c r="N326">
        <v>77871</v>
      </c>
      <c r="O326" t="s">
        <v>699</v>
      </c>
      <c r="P326" t="s">
        <v>712</v>
      </c>
      <c r="Q326" t="s">
        <v>612</v>
      </c>
      <c r="R326">
        <v>89622</v>
      </c>
      <c r="S326" s="22">
        <v>44165</v>
      </c>
      <c r="T326">
        <v>78308</v>
      </c>
      <c r="U326" t="s">
        <v>356</v>
      </c>
      <c r="V326" s="22">
        <v>44186</v>
      </c>
      <c r="W326" t="s">
        <v>640</v>
      </c>
      <c r="X326" t="s">
        <v>641</v>
      </c>
      <c r="Y326" t="s">
        <v>13</v>
      </c>
      <c r="Z326" t="s">
        <v>364</v>
      </c>
      <c r="AA326">
        <v>-17.09</v>
      </c>
      <c r="AC326" s="2">
        <f t="shared" si="60"/>
        <v>2020</v>
      </c>
      <c r="AD326" s="2">
        <f t="shared" si="61"/>
        <v>12</v>
      </c>
      <c r="AE326" s="2">
        <f t="shared" si="62"/>
        <v>2020</v>
      </c>
      <c r="AF326" s="2">
        <f t="shared" si="63"/>
        <v>10</v>
      </c>
      <c r="AG326" s="2" t="str">
        <f>VLOOKUP(F326,vlookup!$A$2:$E$660,2,0)</f>
        <v>Retained</v>
      </c>
      <c r="AH326" s="2" t="str">
        <f>VLOOKUP(F326,vlookup!$A$2:$E$660,3,0)</f>
        <v>Service Contract</v>
      </c>
      <c r="AI326" s="2" t="str">
        <f>VLOOKUP(F326,vlookup!$A$2:$E$660,4,0)</f>
        <v>Used Car Programs</v>
      </c>
      <c r="AJ326" s="2" t="str">
        <f>VLOOKUP(F326,vlookup!$A$2:$E$660,5,0)</f>
        <v>High Mileage</v>
      </c>
      <c r="AK326" s="2"/>
      <c r="AL326" s="2">
        <f t="shared" si="64"/>
        <v>50</v>
      </c>
      <c r="AM326" s="2">
        <f t="shared" si="65"/>
        <v>53</v>
      </c>
      <c r="AN326" s="2">
        <f t="shared" si="66"/>
        <v>1307</v>
      </c>
      <c r="AO326" s="2" t="str">
        <f t="shared" si="67"/>
        <v/>
      </c>
      <c r="AP326" s="2">
        <f t="shared" si="68"/>
        <v>-17.09</v>
      </c>
      <c r="AQ326" s="2" t="str">
        <f t="shared" si="69"/>
        <v/>
      </c>
      <c r="AR326" s="2" t="str">
        <f t="shared" si="70"/>
        <v/>
      </c>
      <c r="AS326" s="2" t="str">
        <f t="shared" si="71"/>
        <v>APC500219-1</v>
      </c>
      <c r="AT326" s="2" t="str">
        <f>IFERROR(IF(VLOOKUP(Y326,vlookup!$I$2:$J$9,1,0)=Y326,VLOOKUP(Y326,vlookup!$I$2:$J$9,2,0),PROPER(Y326)),PROPER(Y326))</f>
        <v>Sales Tax</v>
      </c>
      <c r="AU326" s="2" t="str">
        <f>IFERROR(IF(B326=VLOOKUP(B326,vlookup!$L$2:$L$10,1,0),"Yes","No"),"No")</f>
        <v>No</v>
      </c>
    </row>
    <row r="327" spans="1:47" x14ac:dyDescent="0.25">
      <c r="A327" t="s">
        <v>790</v>
      </c>
      <c r="B327" t="s">
        <v>791</v>
      </c>
      <c r="C327">
        <v>1</v>
      </c>
      <c r="D327">
        <v>1</v>
      </c>
      <c r="E327" t="s">
        <v>572</v>
      </c>
      <c r="F327" t="s">
        <v>207</v>
      </c>
      <c r="G327" t="s">
        <v>683</v>
      </c>
      <c r="H327" s="11" t="s">
        <v>792</v>
      </c>
      <c r="I327">
        <v>77001</v>
      </c>
      <c r="J327" s="22">
        <v>44132</v>
      </c>
      <c r="K327" s="22">
        <v>44183</v>
      </c>
      <c r="L327">
        <v>202012</v>
      </c>
      <c r="M327" s="22">
        <v>44166</v>
      </c>
      <c r="N327">
        <v>77871</v>
      </c>
      <c r="O327" t="s">
        <v>699</v>
      </c>
      <c r="P327" t="s">
        <v>712</v>
      </c>
      <c r="Q327" t="s">
        <v>612</v>
      </c>
      <c r="R327">
        <v>89622</v>
      </c>
      <c r="S327" s="22">
        <v>44165</v>
      </c>
      <c r="T327">
        <v>78308</v>
      </c>
      <c r="U327" t="s">
        <v>356</v>
      </c>
      <c r="V327" s="22">
        <v>44186</v>
      </c>
      <c r="W327" t="s">
        <v>372</v>
      </c>
      <c r="X327" t="s">
        <v>373</v>
      </c>
      <c r="Y327" t="s">
        <v>13</v>
      </c>
      <c r="Z327" t="s">
        <v>369</v>
      </c>
      <c r="AA327">
        <v>-3.85</v>
      </c>
      <c r="AC327" s="2">
        <f t="shared" si="60"/>
        <v>2020</v>
      </c>
      <c r="AD327" s="2">
        <f t="shared" si="61"/>
        <v>12</v>
      </c>
      <c r="AE327" s="2">
        <f t="shared" si="62"/>
        <v>2020</v>
      </c>
      <c r="AF327" s="2">
        <f t="shared" si="63"/>
        <v>10</v>
      </c>
      <c r="AG327" s="2" t="str">
        <f>VLOOKUP(F327,vlookup!$A$2:$E$660,2,0)</f>
        <v>Retained</v>
      </c>
      <c r="AH327" s="2" t="str">
        <f>VLOOKUP(F327,vlookup!$A$2:$E$660,3,0)</f>
        <v>Service Contract</v>
      </c>
      <c r="AI327" s="2" t="str">
        <f>VLOOKUP(F327,vlookup!$A$2:$E$660,4,0)</f>
        <v>Used Car Programs</v>
      </c>
      <c r="AJ327" s="2" t="str">
        <f>VLOOKUP(F327,vlookup!$A$2:$E$660,5,0)</f>
        <v>High Mileage</v>
      </c>
      <c r="AK327" s="2"/>
      <c r="AL327" s="2">
        <f t="shared" si="64"/>
        <v>50</v>
      </c>
      <c r="AM327" s="2">
        <f t="shared" si="65"/>
        <v>53</v>
      </c>
      <c r="AN327" s="2">
        <f t="shared" si="66"/>
        <v>1307</v>
      </c>
      <c r="AO327" s="2" t="str">
        <f t="shared" si="67"/>
        <v/>
      </c>
      <c r="AP327" s="2">
        <f t="shared" si="68"/>
        <v>-3.85</v>
      </c>
      <c r="AQ327" s="2" t="str">
        <f t="shared" si="69"/>
        <v/>
      </c>
      <c r="AR327" s="2" t="str">
        <f t="shared" si="70"/>
        <v/>
      </c>
      <c r="AS327" s="2" t="str">
        <f t="shared" si="71"/>
        <v>APC500219-1</v>
      </c>
      <c r="AT327" s="2" t="str">
        <f>IFERROR(IF(VLOOKUP(Y327,vlookup!$I$2:$J$9,1,0)=Y327,VLOOKUP(Y327,vlookup!$I$2:$J$9,2,0),PROPER(Y327)),PROPER(Y327))</f>
        <v>Sales Tax</v>
      </c>
      <c r="AU327" s="2" t="str">
        <f>IFERROR(IF(B327=VLOOKUP(B327,vlookup!$L$2:$L$10,1,0),"Yes","No"),"No")</f>
        <v>No</v>
      </c>
    </row>
    <row r="328" spans="1:47" x14ac:dyDescent="0.25">
      <c r="A328" t="s">
        <v>790</v>
      </c>
      <c r="B328" t="s">
        <v>791</v>
      </c>
      <c r="C328">
        <v>2</v>
      </c>
      <c r="D328">
        <v>1</v>
      </c>
      <c r="E328" t="s">
        <v>572</v>
      </c>
      <c r="F328" t="s">
        <v>207</v>
      </c>
      <c r="G328" t="s">
        <v>683</v>
      </c>
      <c r="H328" s="11" t="s">
        <v>792</v>
      </c>
      <c r="I328">
        <v>77001</v>
      </c>
      <c r="J328" s="22">
        <v>44132</v>
      </c>
      <c r="K328" s="22">
        <v>44183</v>
      </c>
      <c r="L328">
        <v>202012</v>
      </c>
      <c r="M328" s="22">
        <v>44166</v>
      </c>
      <c r="N328">
        <v>77871</v>
      </c>
      <c r="O328" t="s">
        <v>699</v>
      </c>
      <c r="P328" t="s">
        <v>712</v>
      </c>
      <c r="Q328" t="s">
        <v>612</v>
      </c>
      <c r="R328">
        <v>901349</v>
      </c>
      <c r="S328" s="22">
        <v>44259</v>
      </c>
      <c r="T328">
        <v>78934</v>
      </c>
      <c r="U328" t="s">
        <v>356</v>
      </c>
      <c r="V328" s="22">
        <v>44267</v>
      </c>
      <c r="W328" t="s">
        <v>636</v>
      </c>
      <c r="X328" t="s">
        <v>637</v>
      </c>
      <c r="Y328" t="s">
        <v>13</v>
      </c>
      <c r="Z328" t="s">
        <v>625</v>
      </c>
      <c r="AA328">
        <v>-53.62</v>
      </c>
      <c r="AC328" s="2">
        <f t="shared" si="60"/>
        <v>2021</v>
      </c>
      <c r="AD328" s="2">
        <f t="shared" si="61"/>
        <v>3</v>
      </c>
      <c r="AE328" s="2">
        <f t="shared" si="62"/>
        <v>2020</v>
      </c>
      <c r="AF328" s="2">
        <f t="shared" si="63"/>
        <v>10</v>
      </c>
      <c r="AG328" s="2" t="str">
        <f>VLOOKUP(F328,vlookup!$A$2:$E$660,2,0)</f>
        <v>Retained</v>
      </c>
      <c r="AH328" s="2" t="str">
        <f>VLOOKUP(F328,vlookup!$A$2:$E$660,3,0)</f>
        <v>Service Contract</v>
      </c>
      <c r="AI328" s="2" t="str">
        <f>VLOOKUP(F328,vlookup!$A$2:$E$660,4,0)</f>
        <v>Used Car Programs</v>
      </c>
      <c r="AJ328" s="2" t="str">
        <f>VLOOKUP(F328,vlookup!$A$2:$E$660,5,0)</f>
        <v>High Mileage</v>
      </c>
      <c r="AK328" s="2"/>
      <c r="AL328" s="2">
        <f t="shared" si="64"/>
        <v>50</v>
      </c>
      <c r="AM328" s="2">
        <f t="shared" si="65"/>
        <v>134</v>
      </c>
      <c r="AN328" s="2">
        <f t="shared" si="66"/>
        <v>1933</v>
      </c>
      <c r="AO328" s="2" t="str">
        <f t="shared" si="67"/>
        <v/>
      </c>
      <c r="AP328" s="2" t="str">
        <f t="shared" si="68"/>
        <v/>
      </c>
      <c r="AQ328" s="2" t="str">
        <f t="shared" si="69"/>
        <v/>
      </c>
      <c r="AR328" s="2">
        <f t="shared" si="70"/>
        <v>-53.62</v>
      </c>
      <c r="AS328" s="2" t="str">
        <f t="shared" si="71"/>
        <v>APC500219-2</v>
      </c>
      <c r="AT328" s="2" t="str">
        <f>IFERROR(IF(VLOOKUP(Y328,vlookup!$I$2:$J$9,1,0)=Y328,VLOOKUP(Y328,vlookup!$I$2:$J$9,2,0),PROPER(Y328)),PROPER(Y328))</f>
        <v>Sales Tax</v>
      </c>
      <c r="AU328" s="2" t="str">
        <f>IFERROR(IF(B328=VLOOKUP(B328,vlookup!$L$2:$L$10,1,0),"Yes","No"),"No")</f>
        <v>No</v>
      </c>
    </row>
    <row r="329" spans="1:47" x14ac:dyDescent="0.25">
      <c r="A329" t="s">
        <v>793</v>
      </c>
      <c r="B329" t="s">
        <v>794</v>
      </c>
      <c r="C329">
        <v>2</v>
      </c>
      <c r="D329">
        <v>2</v>
      </c>
      <c r="E329" t="s">
        <v>382</v>
      </c>
      <c r="F329" t="s">
        <v>207</v>
      </c>
      <c r="G329" t="s">
        <v>683</v>
      </c>
      <c r="H329" s="11" t="s">
        <v>684</v>
      </c>
      <c r="I329">
        <v>86800</v>
      </c>
      <c r="J329" s="22">
        <v>44173</v>
      </c>
      <c r="K329" s="22">
        <v>44230</v>
      </c>
      <c r="L329">
        <v>202101</v>
      </c>
      <c r="M329" s="22">
        <v>44197</v>
      </c>
      <c r="N329">
        <v>77871</v>
      </c>
      <c r="O329" t="s">
        <v>699</v>
      </c>
      <c r="P329" t="s">
        <v>795</v>
      </c>
      <c r="Q329" t="s">
        <v>612</v>
      </c>
      <c r="R329">
        <v>905263</v>
      </c>
      <c r="S329" s="22">
        <v>44328</v>
      </c>
      <c r="T329">
        <v>92087</v>
      </c>
      <c r="U329" t="s">
        <v>357</v>
      </c>
      <c r="V329" s="22">
        <v>44384</v>
      </c>
      <c r="W329" t="s">
        <v>629</v>
      </c>
      <c r="X329" t="s">
        <v>630</v>
      </c>
      <c r="Y329" t="s">
        <v>13</v>
      </c>
      <c r="Z329" t="s">
        <v>364</v>
      </c>
      <c r="AA329">
        <v>-11.02</v>
      </c>
      <c r="AC329" s="2">
        <f t="shared" si="60"/>
        <v>2021</v>
      </c>
      <c r="AD329" s="2">
        <f t="shared" si="61"/>
        <v>7</v>
      </c>
      <c r="AE329" s="2">
        <f t="shared" si="62"/>
        <v>2020</v>
      </c>
      <c r="AF329" s="2">
        <f t="shared" si="63"/>
        <v>12</v>
      </c>
      <c r="AG329" s="2" t="str">
        <f>VLOOKUP(F329,vlookup!$A$2:$E$660,2,0)</f>
        <v>Retained</v>
      </c>
      <c r="AH329" s="2" t="str">
        <f>VLOOKUP(F329,vlookup!$A$2:$E$660,3,0)</f>
        <v>Service Contract</v>
      </c>
      <c r="AI329" s="2" t="str">
        <f>VLOOKUP(F329,vlookup!$A$2:$E$660,4,0)</f>
        <v>Used Car Programs</v>
      </c>
      <c r="AJ329" s="2" t="str">
        <f>VLOOKUP(F329,vlookup!$A$2:$E$660,5,0)</f>
        <v>High Mileage</v>
      </c>
      <c r="AK329" s="2"/>
      <c r="AL329" s="2">
        <f t="shared" si="64"/>
        <v>55</v>
      </c>
      <c r="AM329" s="2">
        <f t="shared" si="65"/>
        <v>209</v>
      </c>
      <c r="AN329" s="2">
        <f t="shared" si="66"/>
        <v>5287</v>
      </c>
      <c r="AO329" s="2" t="str">
        <f t="shared" si="67"/>
        <v/>
      </c>
      <c r="AP329" s="2" t="str">
        <f t="shared" si="68"/>
        <v/>
      </c>
      <c r="AQ329" s="2" t="str">
        <f t="shared" si="69"/>
        <v/>
      </c>
      <c r="AR329" s="2">
        <f t="shared" si="70"/>
        <v>-11.02</v>
      </c>
      <c r="AS329" s="2" t="str">
        <f t="shared" si="71"/>
        <v>APC500249-2</v>
      </c>
      <c r="AT329" s="2" t="str">
        <f>IFERROR(IF(VLOOKUP(Y329,vlookup!$I$2:$J$9,1,0)=Y329,VLOOKUP(Y329,vlookup!$I$2:$J$9,2,0),PROPER(Y329)),PROPER(Y329))</f>
        <v>Sales Tax</v>
      </c>
      <c r="AU329" s="2" t="str">
        <f>IFERROR(IF(B329=VLOOKUP(B329,vlookup!$L$2:$L$10,1,0),"Yes","No"),"No")</f>
        <v>No</v>
      </c>
    </row>
    <row r="330" spans="1:47" x14ac:dyDescent="0.25">
      <c r="A330" t="s">
        <v>720</v>
      </c>
      <c r="B330" t="s">
        <v>721</v>
      </c>
      <c r="C330">
        <v>1</v>
      </c>
      <c r="D330">
        <v>1</v>
      </c>
      <c r="E330" t="s">
        <v>382</v>
      </c>
      <c r="F330" t="s">
        <v>191</v>
      </c>
      <c r="G330" t="s">
        <v>697</v>
      </c>
      <c r="H330" s="11" t="s">
        <v>722</v>
      </c>
      <c r="I330">
        <v>31702</v>
      </c>
      <c r="J330" s="22">
        <v>44119</v>
      </c>
      <c r="K330" s="22">
        <v>44194</v>
      </c>
      <c r="L330">
        <v>202012</v>
      </c>
      <c r="M330" s="22">
        <v>44166</v>
      </c>
      <c r="N330">
        <v>77871</v>
      </c>
      <c r="O330" t="s">
        <v>699</v>
      </c>
      <c r="P330" t="s">
        <v>712</v>
      </c>
      <c r="Q330" t="s">
        <v>612</v>
      </c>
      <c r="R330">
        <v>900714</v>
      </c>
      <c r="S330" s="22">
        <v>44250</v>
      </c>
      <c r="T330">
        <v>32643</v>
      </c>
      <c r="U330" t="s">
        <v>356</v>
      </c>
      <c r="V330" s="22">
        <v>44258</v>
      </c>
      <c r="W330" t="s">
        <v>796</v>
      </c>
      <c r="X330" t="s">
        <v>797</v>
      </c>
      <c r="Y330" t="s">
        <v>13</v>
      </c>
      <c r="Z330" t="s">
        <v>358</v>
      </c>
      <c r="AA330">
        <v>-15.53</v>
      </c>
      <c r="AC330" s="2">
        <f t="shared" si="60"/>
        <v>2021</v>
      </c>
      <c r="AD330" s="2">
        <f t="shared" si="61"/>
        <v>3</v>
      </c>
      <c r="AE330" s="2">
        <f t="shared" si="62"/>
        <v>2020</v>
      </c>
      <c r="AF330" s="2">
        <f t="shared" si="63"/>
        <v>10</v>
      </c>
      <c r="AG330" s="2" t="str">
        <f>VLOOKUP(F330,vlookup!$A$2:$E$660,2,0)</f>
        <v>Retained</v>
      </c>
      <c r="AH330" s="2" t="str">
        <f>VLOOKUP(F330,vlookup!$A$2:$E$660,3,0)</f>
        <v>Service Contract</v>
      </c>
      <c r="AI330" s="2" t="str">
        <f>VLOOKUP(F330,vlookup!$A$2:$E$660,4,0)</f>
        <v>New Car Programs</v>
      </c>
      <c r="AJ330" s="2" t="str">
        <f>VLOOKUP(F330,vlookup!$A$2:$E$660,5,0)</f>
        <v>High Mileage</v>
      </c>
      <c r="AK330" s="2"/>
      <c r="AL330" s="2">
        <f t="shared" si="64"/>
        <v>74</v>
      </c>
      <c r="AM330" s="2">
        <f t="shared" si="65"/>
        <v>138</v>
      </c>
      <c r="AN330" s="2">
        <f t="shared" si="66"/>
        <v>941</v>
      </c>
      <c r="AO330" s="2" t="str">
        <f t="shared" si="67"/>
        <v/>
      </c>
      <c r="AP330" s="2" t="str">
        <f t="shared" si="68"/>
        <v/>
      </c>
      <c r="AQ330" s="2" t="str">
        <f t="shared" si="69"/>
        <v/>
      </c>
      <c r="AR330" s="2">
        <f t="shared" si="70"/>
        <v>-15.53</v>
      </c>
      <c r="AS330" s="2" t="str">
        <f t="shared" si="71"/>
        <v>APC100109-1</v>
      </c>
      <c r="AT330" s="2" t="str">
        <f>IFERROR(IF(VLOOKUP(Y330,vlookup!$I$2:$J$9,1,0)=Y330,VLOOKUP(Y330,vlookup!$I$2:$J$9,2,0),PROPER(Y330)),PROPER(Y330))</f>
        <v>Sales Tax</v>
      </c>
      <c r="AU330" s="2" t="str">
        <f>IFERROR(IF(B330=VLOOKUP(B330,vlookup!$L$2:$L$10,1,0),"Yes","No"),"No")</f>
        <v>No</v>
      </c>
    </row>
    <row r="331" spans="1:47" x14ac:dyDescent="0.25">
      <c r="A331" t="s">
        <v>723</v>
      </c>
      <c r="B331" t="s">
        <v>724</v>
      </c>
      <c r="C331">
        <v>2</v>
      </c>
      <c r="D331">
        <v>1</v>
      </c>
      <c r="E331" t="s">
        <v>382</v>
      </c>
      <c r="F331" t="s">
        <v>346</v>
      </c>
      <c r="G331" t="s">
        <v>30</v>
      </c>
      <c r="H331" s="11" t="s">
        <v>613</v>
      </c>
      <c r="I331">
        <v>125225</v>
      </c>
      <c r="J331" s="22">
        <v>44239</v>
      </c>
      <c r="K331" s="22">
        <v>44291</v>
      </c>
      <c r="L331">
        <v>202103</v>
      </c>
      <c r="M331" s="22">
        <v>44256</v>
      </c>
      <c r="N331">
        <v>77871</v>
      </c>
      <c r="O331" t="s">
        <v>699</v>
      </c>
      <c r="P331" t="s">
        <v>712</v>
      </c>
      <c r="Q331" t="s">
        <v>612</v>
      </c>
      <c r="R331">
        <v>905929</v>
      </c>
      <c r="S331" s="22">
        <v>44340</v>
      </c>
      <c r="T331">
        <v>127253</v>
      </c>
      <c r="U331" t="s">
        <v>356</v>
      </c>
      <c r="V331" s="22">
        <v>44365</v>
      </c>
      <c r="W331" t="s">
        <v>372</v>
      </c>
      <c r="X331" t="s">
        <v>373</v>
      </c>
      <c r="Y331" t="s">
        <v>13</v>
      </c>
      <c r="Z331" t="s">
        <v>369</v>
      </c>
      <c r="AA331">
        <v>-2.5</v>
      </c>
      <c r="AC331" s="2">
        <f t="shared" si="60"/>
        <v>2021</v>
      </c>
      <c r="AD331" s="2">
        <f t="shared" si="61"/>
        <v>6</v>
      </c>
      <c r="AE331" s="2">
        <f t="shared" si="62"/>
        <v>2021</v>
      </c>
      <c r="AF331" s="2">
        <f t="shared" si="63"/>
        <v>2</v>
      </c>
      <c r="AG331" s="2" t="str">
        <f>VLOOKUP(F331,vlookup!$A$2:$E$660,2,0)</f>
        <v>Retained</v>
      </c>
      <c r="AH331" s="2" t="str">
        <f>VLOOKUP(F331,vlookup!$A$2:$E$660,3,0)</f>
        <v>Service Contract</v>
      </c>
      <c r="AI331" s="2" t="str">
        <f>VLOOKUP(F331,vlookup!$A$2:$E$660,4,0)</f>
        <v>Used Car Programs</v>
      </c>
      <c r="AJ331" s="2" t="str">
        <f>VLOOKUP(F331,vlookup!$A$2:$E$660,5,0)</f>
        <v>High Mileage</v>
      </c>
      <c r="AK331" s="2"/>
      <c r="AL331" s="2">
        <f t="shared" si="64"/>
        <v>53</v>
      </c>
      <c r="AM331" s="2">
        <f t="shared" si="65"/>
        <v>126</v>
      </c>
      <c r="AN331" s="2">
        <f t="shared" si="66"/>
        <v>2028</v>
      </c>
      <c r="AO331" s="2" t="str">
        <f t="shared" si="67"/>
        <v/>
      </c>
      <c r="AP331" s="2" t="str">
        <f t="shared" si="68"/>
        <v/>
      </c>
      <c r="AQ331" s="2" t="str">
        <f t="shared" si="69"/>
        <v/>
      </c>
      <c r="AR331" s="2">
        <f t="shared" si="70"/>
        <v>-2.5</v>
      </c>
      <c r="AS331" s="2" t="str">
        <f t="shared" si="71"/>
        <v>SDF8J254834B21-2</v>
      </c>
      <c r="AT331" s="2" t="str">
        <f>IFERROR(IF(VLOOKUP(Y331,vlookup!$I$2:$J$9,1,0)=Y331,VLOOKUP(Y331,vlookup!$I$2:$J$9,2,0),PROPER(Y331)),PROPER(Y331))</f>
        <v>Sales Tax</v>
      </c>
      <c r="AU331" s="2" t="str">
        <f>IFERROR(IF(B331=VLOOKUP(B331,vlookup!$L$2:$L$10,1,0),"Yes","No"),"No")</f>
        <v>No</v>
      </c>
    </row>
    <row r="332" spans="1:47" x14ac:dyDescent="0.25">
      <c r="A332" t="s">
        <v>723</v>
      </c>
      <c r="B332" t="s">
        <v>724</v>
      </c>
      <c r="C332">
        <v>2</v>
      </c>
      <c r="D332">
        <v>1</v>
      </c>
      <c r="E332" t="s">
        <v>382</v>
      </c>
      <c r="F332" t="s">
        <v>346</v>
      </c>
      <c r="G332" t="s">
        <v>30</v>
      </c>
      <c r="H332" s="11" t="s">
        <v>613</v>
      </c>
      <c r="I332">
        <v>125225</v>
      </c>
      <c r="J332" s="22">
        <v>44239</v>
      </c>
      <c r="K332" s="22">
        <v>44291</v>
      </c>
      <c r="L332">
        <v>202103</v>
      </c>
      <c r="M332" s="22">
        <v>44256</v>
      </c>
      <c r="N332">
        <v>77871</v>
      </c>
      <c r="O332" t="s">
        <v>699</v>
      </c>
      <c r="P332" t="s">
        <v>712</v>
      </c>
      <c r="Q332" t="s">
        <v>612</v>
      </c>
      <c r="R332">
        <v>905929</v>
      </c>
      <c r="S332" s="22">
        <v>44340</v>
      </c>
      <c r="T332">
        <v>127253</v>
      </c>
      <c r="U332" t="s">
        <v>356</v>
      </c>
      <c r="V332" s="22">
        <v>44365</v>
      </c>
      <c r="W332" t="s">
        <v>870</v>
      </c>
      <c r="X332" t="s">
        <v>871</v>
      </c>
      <c r="Y332" t="s">
        <v>13</v>
      </c>
      <c r="Z332" t="s">
        <v>369</v>
      </c>
      <c r="AA332">
        <v>-14.95</v>
      </c>
      <c r="AC332" s="2">
        <f t="shared" si="60"/>
        <v>2021</v>
      </c>
      <c r="AD332" s="2">
        <f t="shared" si="61"/>
        <v>6</v>
      </c>
      <c r="AE332" s="2">
        <f t="shared" si="62"/>
        <v>2021</v>
      </c>
      <c r="AF332" s="2">
        <f t="shared" si="63"/>
        <v>2</v>
      </c>
      <c r="AG332" s="2" t="str">
        <f>VLOOKUP(F332,vlookup!$A$2:$E$660,2,0)</f>
        <v>Retained</v>
      </c>
      <c r="AH332" s="2" t="str">
        <f>VLOOKUP(F332,vlookup!$A$2:$E$660,3,0)</f>
        <v>Service Contract</v>
      </c>
      <c r="AI332" s="2" t="str">
        <f>VLOOKUP(F332,vlookup!$A$2:$E$660,4,0)</f>
        <v>Used Car Programs</v>
      </c>
      <c r="AJ332" s="2" t="str">
        <f>VLOOKUP(F332,vlookup!$A$2:$E$660,5,0)</f>
        <v>High Mileage</v>
      </c>
      <c r="AK332" s="2"/>
      <c r="AL332" s="2">
        <f t="shared" si="64"/>
        <v>53</v>
      </c>
      <c r="AM332" s="2">
        <f t="shared" si="65"/>
        <v>126</v>
      </c>
      <c r="AN332" s="2">
        <f t="shared" si="66"/>
        <v>2028</v>
      </c>
      <c r="AO332" s="2" t="str">
        <f t="shared" si="67"/>
        <v/>
      </c>
      <c r="AP332" s="2" t="str">
        <f t="shared" si="68"/>
        <v/>
      </c>
      <c r="AQ332" s="2" t="str">
        <f t="shared" si="69"/>
        <v/>
      </c>
      <c r="AR332" s="2">
        <f t="shared" si="70"/>
        <v>-14.95</v>
      </c>
      <c r="AS332" s="2" t="str">
        <f t="shared" si="71"/>
        <v>SDF8J254834B21-2</v>
      </c>
      <c r="AT332" s="2" t="str">
        <f>IFERROR(IF(VLOOKUP(Y332,vlookup!$I$2:$J$9,1,0)=Y332,VLOOKUP(Y332,vlookup!$I$2:$J$9,2,0),PROPER(Y332)),PROPER(Y332))</f>
        <v>Sales Tax</v>
      </c>
      <c r="AU332" s="2" t="str">
        <f>IFERROR(IF(B332=VLOOKUP(B332,vlookup!$L$2:$L$10,1,0),"Yes","No"),"No")</f>
        <v>No</v>
      </c>
    </row>
    <row r="333" spans="1:47" x14ac:dyDescent="0.25">
      <c r="A333" t="s">
        <v>723</v>
      </c>
      <c r="B333" t="s">
        <v>724</v>
      </c>
      <c r="C333">
        <v>2</v>
      </c>
      <c r="D333">
        <v>1</v>
      </c>
      <c r="E333" t="s">
        <v>382</v>
      </c>
      <c r="F333" t="s">
        <v>346</v>
      </c>
      <c r="G333" t="s">
        <v>30</v>
      </c>
      <c r="H333" s="11" t="s">
        <v>613</v>
      </c>
      <c r="I333">
        <v>125225</v>
      </c>
      <c r="J333" s="22">
        <v>44239</v>
      </c>
      <c r="K333" s="22">
        <v>44291</v>
      </c>
      <c r="L333">
        <v>202103</v>
      </c>
      <c r="M333" s="22">
        <v>44256</v>
      </c>
      <c r="N333">
        <v>77871</v>
      </c>
      <c r="O333" t="s">
        <v>699</v>
      </c>
      <c r="P333" t="s">
        <v>712</v>
      </c>
      <c r="Q333" t="s">
        <v>612</v>
      </c>
      <c r="R333">
        <v>905929</v>
      </c>
      <c r="S333" s="22">
        <v>44340</v>
      </c>
      <c r="T333">
        <v>127253</v>
      </c>
      <c r="U333" t="s">
        <v>356</v>
      </c>
      <c r="V333" s="22">
        <v>44365</v>
      </c>
      <c r="W333" t="s">
        <v>660</v>
      </c>
      <c r="X333" t="s">
        <v>661</v>
      </c>
      <c r="Y333" t="s">
        <v>13</v>
      </c>
      <c r="Z333" t="s">
        <v>369</v>
      </c>
      <c r="AA333">
        <v>-151.47999999999999</v>
      </c>
      <c r="AC333" s="2">
        <f t="shared" si="60"/>
        <v>2021</v>
      </c>
      <c r="AD333" s="2">
        <f t="shared" si="61"/>
        <v>6</v>
      </c>
      <c r="AE333" s="2">
        <f t="shared" si="62"/>
        <v>2021</v>
      </c>
      <c r="AF333" s="2">
        <f t="shared" si="63"/>
        <v>2</v>
      </c>
      <c r="AG333" s="2" t="str">
        <f>VLOOKUP(F333,vlookup!$A$2:$E$660,2,0)</f>
        <v>Retained</v>
      </c>
      <c r="AH333" s="2" t="str">
        <f>VLOOKUP(F333,vlookup!$A$2:$E$660,3,0)</f>
        <v>Service Contract</v>
      </c>
      <c r="AI333" s="2" t="str">
        <f>VLOOKUP(F333,vlookup!$A$2:$E$660,4,0)</f>
        <v>Used Car Programs</v>
      </c>
      <c r="AJ333" s="2" t="str">
        <f>VLOOKUP(F333,vlookup!$A$2:$E$660,5,0)</f>
        <v>High Mileage</v>
      </c>
      <c r="AK333" s="2"/>
      <c r="AL333" s="2">
        <f t="shared" si="64"/>
        <v>53</v>
      </c>
      <c r="AM333" s="2">
        <f t="shared" si="65"/>
        <v>126</v>
      </c>
      <c r="AN333" s="2">
        <f t="shared" si="66"/>
        <v>2028</v>
      </c>
      <c r="AO333" s="2" t="str">
        <f t="shared" si="67"/>
        <v/>
      </c>
      <c r="AP333" s="2" t="str">
        <f t="shared" si="68"/>
        <v/>
      </c>
      <c r="AQ333" s="2" t="str">
        <f t="shared" si="69"/>
        <v/>
      </c>
      <c r="AR333" s="2">
        <f t="shared" si="70"/>
        <v>-151.47999999999999</v>
      </c>
      <c r="AS333" s="2" t="str">
        <f t="shared" si="71"/>
        <v>SDF8J254834B21-2</v>
      </c>
      <c r="AT333" s="2" t="str">
        <f>IFERROR(IF(VLOOKUP(Y333,vlookup!$I$2:$J$9,1,0)=Y333,VLOOKUP(Y333,vlookup!$I$2:$J$9,2,0),PROPER(Y333)),PROPER(Y333))</f>
        <v>Sales Tax</v>
      </c>
      <c r="AU333" s="2" t="str">
        <f>IFERROR(IF(B333=VLOOKUP(B333,vlookup!$L$2:$L$10,1,0),"Yes","No"),"No")</f>
        <v>No</v>
      </c>
    </row>
    <row r="334" spans="1:47" x14ac:dyDescent="0.25">
      <c r="A334" t="s">
        <v>723</v>
      </c>
      <c r="B334" t="s">
        <v>724</v>
      </c>
      <c r="C334">
        <v>2</v>
      </c>
      <c r="D334">
        <v>1</v>
      </c>
      <c r="E334" t="s">
        <v>382</v>
      </c>
      <c r="F334" t="s">
        <v>346</v>
      </c>
      <c r="G334" t="s">
        <v>30</v>
      </c>
      <c r="H334" s="11" t="s">
        <v>613</v>
      </c>
      <c r="I334">
        <v>125225</v>
      </c>
      <c r="J334" s="22">
        <v>44239</v>
      </c>
      <c r="K334" s="22">
        <v>44291</v>
      </c>
      <c r="L334">
        <v>202103</v>
      </c>
      <c r="M334" s="22">
        <v>44256</v>
      </c>
      <c r="N334">
        <v>77871</v>
      </c>
      <c r="O334" t="s">
        <v>699</v>
      </c>
      <c r="P334" t="s">
        <v>712</v>
      </c>
      <c r="Q334" t="s">
        <v>612</v>
      </c>
      <c r="R334">
        <v>905929</v>
      </c>
      <c r="S334" s="22">
        <v>44340</v>
      </c>
      <c r="T334">
        <v>127253</v>
      </c>
      <c r="U334" t="s">
        <v>356</v>
      </c>
      <c r="V334" s="22">
        <v>44365</v>
      </c>
      <c r="W334" t="s">
        <v>872</v>
      </c>
      <c r="X334" t="s">
        <v>873</v>
      </c>
      <c r="Y334" t="s">
        <v>13</v>
      </c>
      <c r="Z334" t="s">
        <v>369</v>
      </c>
      <c r="AA334">
        <v>-0.82</v>
      </c>
      <c r="AC334" s="2">
        <f t="shared" si="60"/>
        <v>2021</v>
      </c>
      <c r="AD334" s="2">
        <f t="shared" si="61"/>
        <v>6</v>
      </c>
      <c r="AE334" s="2">
        <f t="shared" si="62"/>
        <v>2021</v>
      </c>
      <c r="AF334" s="2">
        <f t="shared" si="63"/>
        <v>2</v>
      </c>
      <c r="AG334" s="2" t="str">
        <f>VLOOKUP(F334,vlookup!$A$2:$E$660,2,0)</f>
        <v>Retained</v>
      </c>
      <c r="AH334" s="2" t="str">
        <f>VLOOKUP(F334,vlookup!$A$2:$E$660,3,0)</f>
        <v>Service Contract</v>
      </c>
      <c r="AI334" s="2" t="str">
        <f>VLOOKUP(F334,vlookup!$A$2:$E$660,4,0)</f>
        <v>Used Car Programs</v>
      </c>
      <c r="AJ334" s="2" t="str">
        <f>VLOOKUP(F334,vlookup!$A$2:$E$660,5,0)</f>
        <v>High Mileage</v>
      </c>
      <c r="AK334" s="2"/>
      <c r="AL334" s="2">
        <f t="shared" si="64"/>
        <v>53</v>
      </c>
      <c r="AM334" s="2">
        <f t="shared" si="65"/>
        <v>126</v>
      </c>
      <c r="AN334" s="2">
        <f t="shared" si="66"/>
        <v>2028</v>
      </c>
      <c r="AO334" s="2" t="str">
        <f t="shared" si="67"/>
        <v/>
      </c>
      <c r="AP334" s="2" t="str">
        <f t="shared" si="68"/>
        <v/>
      </c>
      <c r="AQ334" s="2" t="str">
        <f t="shared" si="69"/>
        <v/>
      </c>
      <c r="AR334" s="2">
        <f t="shared" si="70"/>
        <v>-0.82</v>
      </c>
      <c r="AS334" s="2" t="str">
        <f t="shared" si="71"/>
        <v>SDF8J254834B21-2</v>
      </c>
      <c r="AT334" s="2" t="str">
        <f>IFERROR(IF(VLOOKUP(Y334,vlookup!$I$2:$J$9,1,0)=Y334,VLOOKUP(Y334,vlookup!$I$2:$J$9,2,0),PROPER(Y334)),PROPER(Y334))</f>
        <v>Sales Tax</v>
      </c>
      <c r="AU334" s="2" t="str">
        <f>IFERROR(IF(B334=VLOOKUP(B334,vlookup!$L$2:$L$10,1,0),"Yes","No"),"No")</f>
        <v>No</v>
      </c>
    </row>
    <row r="335" spans="1:47" x14ac:dyDescent="0.25">
      <c r="A335" t="s">
        <v>723</v>
      </c>
      <c r="B335" t="s">
        <v>724</v>
      </c>
      <c r="C335">
        <v>4</v>
      </c>
      <c r="D335">
        <v>1</v>
      </c>
      <c r="E335" t="s">
        <v>382</v>
      </c>
      <c r="F335" t="s">
        <v>346</v>
      </c>
      <c r="G335" t="s">
        <v>30</v>
      </c>
      <c r="H335" s="11" t="s">
        <v>613</v>
      </c>
      <c r="I335">
        <v>125225</v>
      </c>
      <c r="J335" s="22">
        <v>44239</v>
      </c>
      <c r="K335" s="22">
        <v>44291</v>
      </c>
      <c r="L335">
        <v>202103</v>
      </c>
      <c r="M335" s="22">
        <v>44256</v>
      </c>
      <c r="N335">
        <v>77871</v>
      </c>
      <c r="O335" t="s">
        <v>699</v>
      </c>
      <c r="P335" t="s">
        <v>712</v>
      </c>
      <c r="Q335" t="s">
        <v>612</v>
      </c>
      <c r="R335">
        <v>120414</v>
      </c>
      <c r="S335" s="22">
        <v>44805</v>
      </c>
      <c r="T335">
        <v>139234</v>
      </c>
      <c r="U335" t="s">
        <v>356</v>
      </c>
      <c r="V335" s="22">
        <v>44812</v>
      </c>
      <c r="W335" t="s">
        <v>798</v>
      </c>
      <c r="X335" t="s">
        <v>799</v>
      </c>
      <c r="Y335" t="s">
        <v>13</v>
      </c>
      <c r="Z335" t="s">
        <v>358</v>
      </c>
      <c r="AA335">
        <v>-20.25</v>
      </c>
      <c r="AC335" s="2">
        <f t="shared" si="60"/>
        <v>2022</v>
      </c>
      <c r="AD335" s="2">
        <f t="shared" si="61"/>
        <v>9</v>
      </c>
      <c r="AE335" s="2">
        <f t="shared" si="62"/>
        <v>2021</v>
      </c>
      <c r="AF335" s="2">
        <f t="shared" si="63"/>
        <v>2</v>
      </c>
      <c r="AG335" s="2" t="str">
        <f>VLOOKUP(F335,vlookup!$A$2:$E$660,2,0)</f>
        <v>Retained</v>
      </c>
      <c r="AH335" s="2" t="str">
        <f>VLOOKUP(F335,vlookup!$A$2:$E$660,3,0)</f>
        <v>Service Contract</v>
      </c>
      <c r="AI335" s="2" t="str">
        <f>VLOOKUP(F335,vlookup!$A$2:$E$660,4,0)</f>
        <v>Used Car Programs</v>
      </c>
      <c r="AJ335" s="2" t="str">
        <f>VLOOKUP(F335,vlookup!$A$2:$E$660,5,0)</f>
        <v>High Mileage</v>
      </c>
      <c r="AK335" s="2"/>
      <c r="AL335" s="2">
        <f t="shared" si="64"/>
        <v>53</v>
      </c>
      <c r="AM335" s="2">
        <f t="shared" si="65"/>
        <v>566</v>
      </c>
      <c r="AN335" s="2">
        <f t="shared" si="66"/>
        <v>14009</v>
      </c>
      <c r="AO335" s="2" t="str">
        <f t="shared" si="67"/>
        <v/>
      </c>
      <c r="AP335" s="2" t="str">
        <f t="shared" si="68"/>
        <v/>
      </c>
      <c r="AQ335" s="2" t="str">
        <f t="shared" si="69"/>
        <v/>
      </c>
      <c r="AR335" s="2">
        <f t="shared" si="70"/>
        <v>-20.25</v>
      </c>
      <c r="AS335" s="2" t="str">
        <f t="shared" si="71"/>
        <v>SDF8J254834B21-4</v>
      </c>
      <c r="AT335" s="2" t="str">
        <f>IFERROR(IF(VLOOKUP(Y335,vlookup!$I$2:$J$9,1,0)=Y335,VLOOKUP(Y335,vlookup!$I$2:$J$9,2,0),PROPER(Y335)),PROPER(Y335))</f>
        <v>Sales Tax</v>
      </c>
      <c r="AU335" s="2" t="str">
        <f>IFERROR(IF(B335=VLOOKUP(B335,vlookup!$L$2:$L$10,1,0),"Yes","No"),"No")</f>
        <v>No</v>
      </c>
    </row>
    <row r="336" spans="1:47" x14ac:dyDescent="0.25">
      <c r="A336" t="s">
        <v>800</v>
      </c>
      <c r="B336" t="s">
        <v>801</v>
      </c>
      <c r="C336">
        <v>1</v>
      </c>
      <c r="D336">
        <v>1</v>
      </c>
      <c r="E336" t="s">
        <v>382</v>
      </c>
      <c r="F336" t="s">
        <v>346</v>
      </c>
      <c r="G336" t="s">
        <v>30</v>
      </c>
      <c r="H336" s="11" t="s">
        <v>613</v>
      </c>
      <c r="I336">
        <v>75025</v>
      </c>
      <c r="J336" s="22">
        <v>44357</v>
      </c>
      <c r="K336" s="22">
        <v>44383</v>
      </c>
      <c r="L336">
        <v>202106</v>
      </c>
      <c r="M336" s="22">
        <v>44348</v>
      </c>
      <c r="N336">
        <v>77871</v>
      </c>
      <c r="O336" t="s">
        <v>699</v>
      </c>
      <c r="P336" t="s">
        <v>712</v>
      </c>
      <c r="Q336" t="s">
        <v>612</v>
      </c>
      <c r="R336">
        <v>117036</v>
      </c>
      <c r="S336" s="22">
        <v>44736</v>
      </c>
      <c r="T336">
        <v>82720</v>
      </c>
      <c r="U336" t="s">
        <v>356</v>
      </c>
      <c r="V336" s="22">
        <v>44925</v>
      </c>
      <c r="W336" t="s">
        <v>663</v>
      </c>
      <c r="X336" t="s">
        <v>664</v>
      </c>
      <c r="Y336" t="s">
        <v>13</v>
      </c>
      <c r="Z336" t="s">
        <v>366</v>
      </c>
      <c r="AA336">
        <v>-0.95</v>
      </c>
      <c r="AC336" s="2">
        <f t="shared" si="60"/>
        <v>2022</v>
      </c>
      <c r="AD336" s="2">
        <f t="shared" si="61"/>
        <v>12</v>
      </c>
      <c r="AE336" s="2">
        <f t="shared" si="62"/>
        <v>2021</v>
      </c>
      <c r="AF336" s="2">
        <f t="shared" si="63"/>
        <v>6</v>
      </c>
      <c r="AG336" s="2" t="str">
        <f>VLOOKUP(F336,vlookup!$A$2:$E$660,2,0)</f>
        <v>Retained</v>
      </c>
      <c r="AH336" s="2" t="str">
        <f>VLOOKUP(F336,vlookup!$A$2:$E$660,3,0)</f>
        <v>Service Contract</v>
      </c>
      <c r="AI336" s="2" t="str">
        <f>VLOOKUP(F336,vlookup!$A$2:$E$660,4,0)</f>
        <v>Used Car Programs</v>
      </c>
      <c r="AJ336" s="2" t="str">
        <f>VLOOKUP(F336,vlookup!$A$2:$E$660,5,0)</f>
        <v>High Mileage</v>
      </c>
      <c r="AK336" s="2"/>
      <c r="AL336" s="2">
        <f t="shared" si="64"/>
        <v>26</v>
      </c>
      <c r="AM336" s="2">
        <f t="shared" si="65"/>
        <v>560</v>
      </c>
      <c r="AN336" s="2">
        <f t="shared" si="66"/>
        <v>7695</v>
      </c>
      <c r="AO336" s="2" t="str">
        <f t="shared" si="67"/>
        <v/>
      </c>
      <c r="AP336" s="2" t="str">
        <f t="shared" si="68"/>
        <v/>
      </c>
      <c r="AQ336" s="2" t="str">
        <f t="shared" si="69"/>
        <v/>
      </c>
      <c r="AR336" s="2">
        <f t="shared" si="70"/>
        <v>-0.95</v>
      </c>
      <c r="AS336" s="2" t="str">
        <f t="shared" si="71"/>
        <v>SDFFJ249196F21-1</v>
      </c>
      <c r="AT336" s="2" t="str">
        <f>IFERROR(IF(VLOOKUP(Y336,vlookup!$I$2:$J$9,1,0)=Y336,VLOOKUP(Y336,vlookup!$I$2:$J$9,2,0),PROPER(Y336)),PROPER(Y336))</f>
        <v>Sales Tax</v>
      </c>
      <c r="AU336" s="2" t="str">
        <f>IFERROR(IF(B336=VLOOKUP(B336,vlookup!$L$2:$L$10,1,0),"Yes","No"),"No")</f>
        <v>No</v>
      </c>
    </row>
    <row r="337" spans="1:47" x14ac:dyDescent="0.25">
      <c r="A337" t="s">
        <v>800</v>
      </c>
      <c r="B337" t="s">
        <v>801</v>
      </c>
      <c r="C337">
        <v>1</v>
      </c>
      <c r="D337">
        <v>1</v>
      </c>
      <c r="E337" t="s">
        <v>382</v>
      </c>
      <c r="F337" t="s">
        <v>346</v>
      </c>
      <c r="G337" t="s">
        <v>30</v>
      </c>
      <c r="H337" s="11" t="s">
        <v>613</v>
      </c>
      <c r="I337">
        <v>75025</v>
      </c>
      <c r="J337" s="22">
        <v>44357</v>
      </c>
      <c r="K337" s="22">
        <v>44383</v>
      </c>
      <c r="L337">
        <v>202106</v>
      </c>
      <c r="M337" s="22">
        <v>44348</v>
      </c>
      <c r="N337">
        <v>77871</v>
      </c>
      <c r="O337" t="s">
        <v>699</v>
      </c>
      <c r="P337" t="s">
        <v>712</v>
      </c>
      <c r="Q337" t="s">
        <v>612</v>
      </c>
      <c r="R337">
        <v>117036</v>
      </c>
      <c r="S337" s="22">
        <v>44736</v>
      </c>
      <c r="T337">
        <v>82720</v>
      </c>
      <c r="U337" t="s">
        <v>356</v>
      </c>
      <c r="V337" s="22">
        <v>44925</v>
      </c>
      <c r="W337" t="s">
        <v>802</v>
      </c>
      <c r="X337" t="s">
        <v>803</v>
      </c>
      <c r="Y337" t="s">
        <v>13</v>
      </c>
      <c r="Z337" t="s">
        <v>366</v>
      </c>
      <c r="AA337">
        <v>-83.69</v>
      </c>
      <c r="AC337" s="2">
        <f t="shared" si="60"/>
        <v>2022</v>
      </c>
      <c r="AD337" s="2">
        <f t="shared" si="61"/>
        <v>12</v>
      </c>
      <c r="AE337" s="2">
        <f t="shared" si="62"/>
        <v>2021</v>
      </c>
      <c r="AF337" s="2">
        <f t="shared" si="63"/>
        <v>6</v>
      </c>
      <c r="AG337" s="2" t="str">
        <f>VLOOKUP(F337,vlookup!$A$2:$E$660,2,0)</f>
        <v>Retained</v>
      </c>
      <c r="AH337" s="2" t="str">
        <f>VLOOKUP(F337,vlookup!$A$2:$E$660,3,0)</f>
        <v>Service Contract</v>
      </c>
      <c r="AI337" s="2" t="str">
        <f>VLOOKUP(F337,vlookup!$A$2:$E$660,4,0)</f>
        <v>Used Car Programs</v>
      </c>
      <c r="AJ337" s="2" t="str">
        <f>VLOOKUP(F337,vlookup!$A$2:$E$660,5,0)</f>
        <v>High Mileage</v>
      </c>
      <c r="AK337" s="2"/>
      <c r="AL337" s="2">
        <f t="shared" si="64"/>
        <v>26</v>
      </c>
      <c r="AM337" s="2">
        <f t="shared" si="65"/>
        <v>560</v>
      </c>
      <c r="AN337" s="2">
        <f t="shared" si="66"/>
        <v>7695</v>
      </c>
      <c r="AO337" s="2" t="str">
        <f t="shared" si="67"/>
        <v/>
      </c>
      <c r="AP337" s="2" t="str">
        <f t="shared" si="68"/>
        <v/>
      </c>
      <c r="AQ337" s="2" t="str">
        <f t="shared" si="69"/>
        <v/>
      </c>
      <c r="AR337" s="2">
        <f t="shared" si="70"/>
        <v>-83.69</v>
      </c>
      <c r="AS337" s="2" t="str">
        <f t="shared" si="71"/>
        <v>SDFFJ249196F21-1</v>
      </c>
      <c r="AT337" s="2" t="str">
        <f>IFERROR(IF(VLOOKUP(Y337,vlookup!$I$2:$J$9,1,0)=Y337,VLOOKUP(Y337,vlookup!$I$2:$J$9,2,0),PROPER(Y337)),PROPER(Y337))</f>
        <v>Sales Tax</v>
      </c>
      <c r="AU337" s="2" t="str">
        <f>IFERROR(IF(B337=VLOOKUP(B337,vlookup!$L$2:$L$10,1,0),"Yes","No"),"No")</f>
        <v>No</v>
      </c>
    </row>
    <row r="338" spans="1:47" x14ac:dyDescent="0.25">
      <c r="A338" t="s">
        <v>800</v>
      </c>
      <c r="B338" t="s">
        <v>801</v>
      </c>
      <c r="C338">
        <v>1</v>
      </c>
      <c r="D338">
        <v>1</v>
      </c>
      <c r="E338" t="s">
        <v>382</v>
      </c>
      <c r="F338" t="s">
        <v>346</v>
      </c>
      <c r="G338" t="s">
        <v>30</v>
      </c>
      <c r="H338" s="11" t="s">
        <v>613</v>
      </c>
      <c r="I338">
        <v>75025</v>
      </c>
      <c r="J338" s="22">
        <v>44357</v>
      </c>
      <c r="K338" s="22">
        <v>44383</v>
      </c>
      <c r="L338">
        <v>202106</v>
      </c>
      <c r="M338" s="22">
        <v>44348</v>
      </c>
      <c r="N338">
        <v>77871</v>
      </c>
      <c r="O338" t="s">
        <v>699</v>
      </c>
      <c r="P338" t="s">
        <v>712</v>
      </c>
      <c r="Q338" t="s">
        <v>612</v>
      </c>
      <c r="R338">
        <v>117036</v>
      </c>
      <c r="S338" s="22">
        <v>44736</v>
      </c>
      <c r="T338">
        <v>82720</v>
      </c>
      <c r="U338" t="s">
        <v>356</v>
      </c>
      <c r="V338" s="22">
        <v>44925</v>
      </c>
      <c r="W338" t="s">
        <v>874</v>
      </c>
      <c r="X338" t="s">
        <v>875</v>
      </c>
      <c r="Y338" t="s">
        <v>13</v>
      </c>
      <c r="Z338" t="s">
        <v>369</v>
      </c>
      <c r="AA338">
        <v>-1.65</v>
      </c>
      <c r="AC338" s="2">
        <f t="shared" si="60"/>
        <v>2022</v>
      </c>
      <c r="AD338" s="2">
        <f t="shared" si="61"/>
        <v>12</v>
      </c>
      <c r="AE338" s="2">
        <f t="shared" si="62"/>
        <v>2021</v>
      </c>
      <c r="AF338" s="2">
        <f t="shared" si="63"/>
        <v>6</v>
      </c>
      <c r="AG338" s="2" t="str">
        <f>VLOOKUP(F338,vlookup!$A$2:$E$660,2,0)</f>
        <v>Retained</v>
      </c>
      <c r="AH338" s="2" t="str">
        <f>VLOOKUP(F338,vlookup!$A$2:$E$660,3,0)</f>
        <v>Service Contract</v>
      </c>
      <c r="AI338" s="2" t="str">
        <f>VLOOKUP(F338,vlookup!$A$2:$E$660,4,0)</f>
        <v>Used Car Programs</v>
      </c>
      <c r="AJ338" s="2" t="str">
        <f>VLOOKUP(F338,vlookup!$A$2:$E$660,5,0)</f>
        <v>High Mileage</v>
      </c>
      <c r="AK338" s="2"/>
      <c r="AL338" s="2">
        <f t="shared" si="64"/>
        <v>26</v>
      </c>
      <c r="AM338" s="2">
        <f t="shared" si="65"/>
        <v>560</v>
      </c>
      <c r="AN338" s="2">
        <f t="shared" si="66"/>
        <v>7695</v>
      </c>
      <c r="AO338" s="2" t="str">
        <f t="shared" si="67"/>
        <v/>
      </c>
      <c r="AP338" s="2" t="str">
        <f t="shared" si="68"/>
        <v/>
      </c>
      <c r="AQ338" s="2" t="str">
        <f t="shared" si="69"/>
        <v/>
      </c>
      <c r="AR338" s="2">
        <f t="shared" si="70"/>
        <v>-1.65</v>
      </c>
      <c r="AS338" s="2" t="str">
        <f t="shared" si="71"/>
        <v>SDFFJ249196F21-1</v>
      </c>
      <c r="AT338" s="2" t="str">
        <f>IFERROR(IF(VLOOKUP(Y338,vlookup!$I$2:$J$9,1,0)=Y338,VLOOKUP(Y338,vlookup!$I$2:$J$9,2,0),PROPER(Y338)),PROPER(Y338))</f>
        <v>Sales Tax</v>
      </c>
      <c r="AU338" s="2" t="str">
        <f>IFERROR(IF(B338=VLOOKUP(B338,vlookup!$L$2:$L$10,1,0),"Yes","No"),"No")</f>
        <v>No</v>
      </c>
    </row>
    <row r="339" spans="1:47" x14ac:dyDescent="0.25">
      <c r="A339" t="s">
        <v>800</v>
      </c>
      <c r="B339" t="s">
        <v>801</v>
      </c>
      <c r="C339">
        <v>1</v>
      </c>
      <c r="D339">
        <v>1</v>
      </c>
      <c r="E339" t="s">
        <v>382</v>
      </c>
      <c r="F339" t="s">
        <v>346</v>
      </c>
      <c r="G339" t="s">
        <v>30</v>
      </c>
      <c r="H339" s="11" t="s">
        <v>613</v>
      </c>
      <c r="I339">
        <v>75025</v>
      </c>
      <c r="J339" s="22">
        <v>44357</v>
      </c>
      <c r="K339" s="22">
        <v>44383</v>
      </c>
      <c r="L339">
        <v>202106</v>
      </c>
      <c r="M339" s="22">
        <v>44348</v>
      </c>
      <c r="N339">
        <v>77871</v>
      </c>
      <c r="O339" t="s">
        <v>699</v>
      </c>
      <c r="P339" t="s">
        <v>712</v>
      </c>
      <c r="Q339" t="s">
        <v>612</v>
      </c>
      <c r="R339">
        <v>117036</v>
      </c>
      <c r="S339" s="22">
        <v>44736</v>
      </c>
      <c r="T339">
        <v>82720</v>
      </c>
      <c r="U339" t="s">
        <v>356</v>
      </c>
      <c r="V339" s="22">
        <v>44925</v>
      </c>
      <c r="W339" t="s">
        <v>665</v>
      </c>
      <c r="X339" t="s">
        <v>666</v>
      </c>
      <c r="Y339" t="s">
        <v>13</v>
      </c>
      <c r="Z339" t="s">
        <v>366</v>
      </c>
      <c r="AA339">
        <v>-9.07</v>
      </c>
      <c r="AC339" s="2">
        <f t="shared" si="60"/>
        <v>2022</v>
      </c>
      <c r="AD339" s="2">
        <f t="shared" si="61"/>
        <v>12</v>
      </c>
      <c r="AE339" s="2">
        <f t="shared" si="62"/>
        <v>2021</v>
      </c>
      <c r="AF339" s="2">
        <f t="shared" si="63"/>
        <v>6</v>
      </c>
      <c r="AG339" s="2" t="str">
        <f>VLOOKUP(F339,vlookup!$A$2:$E$660,2,0)</f>
        <v>Retained</v>
      </c>
      <c r="AH339" s="2" t="str">
        <f>VLOOKUP(F339,vlookup!$A$2:$E$660,3,0)</f>
        <v>Service Contract</v>
      </c>
      <c r="AI339" s="2" t="str">
        <f>VLOOKUP(F339,vlookup!$A$2:$E$660,4,0)</f>
        <v>Used Car Programs</v>
      </c>
      <c r="AJ339" s="2" t="str">
        <f>VLOOKUP(F339,vlookup!$A$2:$E$660,5,0)</f>
        <v>High Mileage</v>
      </c>
      <c r="AK339" s="2"/>
      <c r="AL339" s="2">
        <f t="shared" si="64"/>
        <v>26</v>
      </c>
      <c r="AM339" s="2">
        <f t="shared" si="65"/>
        <v>560</v>
      </c>
      <c r="AN339" s="2">
        <f t="shared" si="66"/>
        <v>7695</v>
      </c>
      <c r="AO339" s="2" t="str">
        <f t="shared" si="67"/>
        <v/>
      </c>
      <c r="AP339" s="2" t="str">
        <f t="shared" si="68"/>
        <v/>
      </c>
      <c r="AQ339" s="2" t="str">
        <f t="shared" si="69"/>
        <v/>
      </c>
      <c r="AR339" s="2">
        <f t="shared" si="70"/>
        <v>-9.07</v>
      </c>
      <c r="AS339" s="2" t="str">
        <f t="shared" si="71"/>
        <v>SDFFJ249196F21-1</v>
      </c>
      <c r="AT339" s="2" t="str">
        <f>IFERROR(IF(VLOOKUP(Y339,vlookup!$I$2:$J$9,1,0)=Y339,VLOOKUP(Y339,vlookup!$I$2:$J$9,2,0),PROPER(Y339)),PROPER(Y339))</f>
        <v>Sales Tax</v>
      </c>
      <c r="AU339" s="2" t="str">
        <f>IFERROR(IF(B339=VLOOKUP(B339,vlookup!$L$2:$L$10,1,0),"Yes","No"),"No")</f>
        <v>No</v>
      </c>
    </row>
    <row r="340" spans="1:47" x14ac:dyDescent="0.25">
      <c r="A340" t="s">
        <v>800</v>
      </c>
      <c r="B340" t="s">
        <v>801</v>
      </c>
      <c r="C340">
        <v>1</v>
      </c>
      <c r="D340">
        <v>1</v>
      </c>
      <c r="E340" t="s">
        <v>382</v>
      </c>
      <c r="F340" t="s">
        <v>346</v>
      </c>
      <c r="G340" t="s">
        <v>30</v>
      </c>
      <c r="H340" s="11" t="s">
        <v>613</v>
      </c>
      <c r="I340">
        <v>75025</v>
      </c>
      <c r="J340" s="22">
        <v>44357</v>
      </c>
      <c r="K340" s="22">
        <v>44383</v>
      </c>
      <c r="L340">
        <v>202106</v>
      </c>
      <c r="M340" s="22">
        <v>44348</v>
      </c>
      <c r="N340">
        <v>77871</v>
      </c>
      <c r="O340" t="s">
        <v>699</v>
      </c>
      <c r="P340" t="s">
        <v>712</v>
      </c>
      <c r="Q340" t="s">
        <v>612</v>
      </c>
      <c r="R340">
        <v>117036</v>
      </c>
      <c r="S340" s="22">
        <v>44736</v>
      </c>
      <c r="T340">
        <v>82720</v>
      </c>
      <c r="U340" t="s">
        <v>356</v>
      </c>
      <c r="V340" s="22">
        <v>44925</v>
      </c>
      <c r="W340" t="s">
        <v>804</v>
      </c>
      <c r="X340" t="s">
        <v>805</v>
      </c>
      <c r="Y340" t="s">
        <v>13</v>
      </c>
      <c r="Z340" t="s">
        <v>366</v>
      </c>
      <c r="AA340">
        <v>-140</v>
      </c>
      <c r="AC340" s="2">
        <f t="shared" si="60"/>
        <v>2022</v>
      </c>
      <c r="AD340" s="2">
        <f t="shared" si="61"/>
        <v>12</v>
      </c>
      <c r="AE340" s="2">
        <f t="shared" si="62"/>
        <v>2021</v>
      </c>
      <c r="AF340" s="2">
        <f t="shared" si="63"/>
        <v>6</v>
      </c>
      <c r="AG340" s="2" t="str">
        <f>VLOOKUP(F340,vlookup!$A$2:$E$660,2,0)</f>
        <v>Retained</v>
      </c>
      <c r="AH340" s="2" t="str">
        <f>VLOOKUP(F340,vlookup!$A$2:$E$660,3,0)</f>
        <v>Service Contract</v>
      </c>
      <c r="AI340" s="2" t="str">
        <f>VLOOKUP(F340,vlookup!$A$2:$E$660,4,0)</f>
        <v>Used Car Programs</v>
      </c>
      <c r="AJ340" s="2" t="str">
        <f>VLOOKUP(F340,vlookup!$A$2:$E$660,5,0)</f>
        <v>High Mileage</v>
      </c>
      <c r="AK340" s="2"/>
      <c r="AL340" s="2">
        <f t="shared" si="64"/>
        <v>26</v>
      </c>
      <c r="AM340" s="2">
        <f t="shared" si="65"/>
        <v>560</v>
      </c>
      <c r="AN340" s="2">
        <f t="shared" si="66"/>
        <v>7695</v>
      </c>
      <c r="AO340" s="2" t="str">
        <f t="shared" si="67"/>
        <v/>
      </c>
      <c r="AP340" s="2" t="str">
        <f t="shared" si="68"/>
        <v/>
      </c>
      <c r="AQ340" s="2" t="str">
        <f t="shared" si="69"/>
        <v/>
      </c>
      <c r="AR340" s="2">
        <f t="shared" si="70"/>
        <v>-140</v>
      </c>
      <c r="AS340" s="2" t="str">
        <f t="shared" si="71"/>
        <v>SDFFJ249196F21-1</v>
      </c>
      <c r="AT340" s="2" t="str">
        <f>IFERROR(IF(VLOOKUP(Y340,vlookup!$I$2:$J$9,1,0)=Y340,VLOOKUP(Y340,vlookup!$I$2:$J$9,2,0),PROPER(Y340)),PROPER(Y340))</f>
        <v>Sales Tax</v>
      </c>
      <c r="AU340" s="2" t="str">
        <f>IFERROR(IF(B340=VLOOKUP(B340,vlookup!$L$2:$L$10,1,0),"Yes","No"),"No")</f>
        <v>No</v>
      </c>
    </row>
    <row r="341" spans="1:47" x14ac:dyDescent="0.25">
      <c r="A341" t="s">
        <v>725</v>
      </c>
      <c r="B341" t="s">
        <v>726</v>
      </c>
      <c r="C341">
        <v>1</v>
      </c>
      <c r="D341">
        <v>1</v>
      </c>
      <c r="E341" t="s">
        <v>382</v>
      </c>
      <c r="F341" t="s">
        <v>346</v>
      </c>
      <c r="G341" t="s">
        <v>610</v>
      </c>
      <c r="H341" s="11" t="s">
        <v>613</v>
      </c>
      <c r="I341">
        <v>74358</v>
      </c>
      <c r="J341" s="22">
        <v>44147</v>
      </c>
      <c r="K341" s="22">
        <v>44168</v>
      </c>
      <c r="L341">
        <v>202011</v>
      </c>
      <c r="M341" s="22">
        <v>44136</v>
      </c>
      <c r="N341">
        <v>77871</v>
      </c>
      <c r="O341" t="s">
        <v>699</v>
      </c>
      <c r="P341" t="s">
        <v>712</v>
      </c>
      <c r="Q341" t="s">
        <v>612</v>
      </c>
      <c r="R341">
        <v>104791</v>
      </c>
      <c r="S341" s="22">
        <v>44489</v>
      </c>
      <c r="T341">
        <v>84307</v>
      </c>
      <c r="U341" t="s">
        <v>356</v>
      </c>
      <c r="V341" s="22">
        <v>44490</v>
      </c>
      <c r="W341" t="s">
        <v>806</v>
      </c>
      <c r="X341" t="s">
        <v>807</v>
      </c>
      <c r="Y341" t="s">
        <v>13</v>
      </c>
      <c r="Z341" t="s">
        <v>365</v>
      </c>
      <c r="AA341">
        <v>-9.59</v>
      </c>
      <c r="AC341" s="2">
        <f t="shared" si="60"/>
        <v>2021</v>
      </c>
      <c r="AD341" s="2">
        <f t="shared" si="61"/>
        <v>10</v>
      </c>
      <c r="AE341" s="2">
        <f t="shared" si="62"/>
        <v>2020</v>
      </c>
      <c r="AF341" s="2">
        <f t="shared" si="63"/>
        <v>11</v>
      </c>
      <c r="AG341" s="2" t="str">
        <f>VLOOKUP(F341,vlookup!$A$2:$E$660,2,0)</f>
        <v>Retained</v>
      </c>
      <c r="AH341" s="2" t="str">
        <f>VLOOKUP(F341,vlookup!$A$2:$E$660,3,0)</f>
        <v>Service Contract</v>
      </c>
      <c r="AI341" s="2" t="str">
        <f>VLOOKUP(F341,vlookup!$A$2:$E$660,4,0)</f>
        <v>Used Car Programs</v>
      </c>
      <c r="AJ341" s="2" t="str">
        <f>VLOOKUP(F341,vlookup!$A$2:$E$660,5,0)</f>
        <v>High Mileage</v>
      </c>
      <c r="AK341" s="2"/>
      <c r="AL341" s="2">
        <f t="shared" si="64"/>
        <v>21</v>
      </c>
      <c r="AM341" s="2">
        <f t="shared" si="65"/>
        <v>339</v>
      </c>
      <c r="AN341" s="2">
        <f t="shared" si="66"/>
        <v>9949</v>
      </c>
      <c r="AO341" s="2" t="str">
        <f t="shared" si="67"/>
        <v/>
      </c>
      <c r="AP341" s="2" t="str">
        <f t="shared" si="68"/>
        <v/>
      </c>
      <c r="AQ341" s="2" t="str">
        <f t="shared" si="69"/>
        <v/>
      </c>
      <c r="AR341" s="2">
        <f t="shared" si="70"/>
        <v>-9.59</v>
      </c>
      <c r="AS341" s="2" t="str">
        <f t="shared" si="71"/>
        <v>SDFHJ139894K20-1</v>
      </c>
      <c r="AT341" s="2" t="str">
        <f>IFERROR(IF(VLOOKUP(Y341,vlookup!$I$2:$J$9,1,0)=Y341,VLOOKUP(Y341,vlookup!$I$2:$J$9,2,0),PROPER(Y341)),PROPER(Y341))</f>
        <v>Sales Tax</v>
      </c>
      <c r="AU341" s="2" t="str">
        <f>IFERROR(IF(B341=VLOOKUP(B341,vlookup!$L$2:$L$10,1,0),"Yes","No"),"No")</f>
        <v>No</v>
      </c>
    </row>
    <row r="342" spans="1:47" x14ac:dyDescent="0.25">
      <c r="A342" t="s">
        <v>725</v>
      </c>
      <c r="B342" t="s">
        <v>726</v>
      </c>
      <c r="C342">
        <v>1</v>
      </c>
      <c r="D342">
        <v>1</v>
      </c>
      <c r="E342" t="s">
        <v>382</v>
      </c>
      <c r="F342" t="s">
        <v>346</v>
      </c>
      <c r="G342" t="s">
        <v>610</v>
      </c>
      <c r="H342" s="11" t="s">
        <v>613</v>
      </c>
      <c r="I342">
        <v>74358</v>
      </c>
      <c r="J342" s="22">
        <v>44147</v>
      </c>
      <c r="K342" s="22">
        <v>44168</v>
      </c>
      <c r="L342">
        <v>202011</v>
      </c>
      <c r="M342" s="22">
        <v>44136</v>
      </c>
      <c r="N342">
        <v>77871</v>
      </c>
      <c r="O342" t="s">
        <v>699</v>
      </c>
      <c r="P342" t="s">
        <v>712</v>
      </c>
      <c r="Q342" t="s">
        <v>612</v>
      </c>
      <c r="R342">
        <v>104791</v>
      </c>
      <c r="S342" s="22">
        <v>44489</v>
      </c>
      <c r="T342">
        <v>84307</v>
      </c>
      <c r="U342" t="s">
        <v>356</v>
      </c>
      <c r="V342" s="22">
        <v>44490</v>
      </c>
      <c r="W342" t="s">
        <v>808</v>
      </c>
      <c r="X342" t="s">
        <v>809</v>
      </c>
      <c r="Y342" t="s">
        <v>13</v>
      </c>
      <c r="Z342" t="s">
        <v>364</v>
      </c>
      <c r="AA342">
        <v>-3.56</v>
      </c>
      <c r="AC342" s="2">
        <f t="shared" si="60"/>
        <v>2021</v>
      </c>
      <c r="AD342" s="2">
        <f t="shared" si="61"/>
        <v>10</v>
      </c>
      <c r="AE342" s="2">
        <f t="shared" si="62"/>
        <v>2020</v>
      </c>
      <c r="AF342" s="2">
        <f t="shared" si="63"/>
        <v>11</v>
      </c>
      <c r="AG342" s="2" t="str">
        <f>VLOOKUP(F342,vlookup!$A$2:$E$660,2,0)</f>
        <v>Retained</v>
      </c>
      <c r="AH342" s="2" t="str">
        <f>VLOOKUP(F342,vlookup!$A$2:$E$660,3,0)</f>
        <v>Service Contract</v>
      </c>
      <c r="AI342" s="2" t="str">
        <f>VLOOKUP(F342,vlookup!$A$2:$E$660,4,0)</f>
        <v>Used Car Programs</v>
      </c>
      <c r="AJ342" s="2" t="str">
        <f>VLOOKUP(F342,vlookup!$A$2:$E$660,5,0)</f>
        <v>High Mileage</v>
      </c>
      <c r="AK342" s="2"/>
      <c r="AL342" s="2">
        <f t="shared" si="64"/>
        <v>21</v>
      </c>
      <c r="AM342" s="2">
        <f t="shared" si="65"/>
        <v>339</v>
      </c>
      <c r="AN342" s="2">
        <f t="shared" si="66"/>
        <v>9949</v>
      </c>
      <c r="AO342" s="2" t="str">
        <f t="shared" si="67"/>
        <v/>
      </c>
      <c r="AP342" s="2" t="str">
        <f t="shared" si="68"/>
        <v/>
      </c>
      <c r="AQ342" s="2" t="str">
        <f t="shared" si="69"/>
        <v/>
      </c>
      <c r="AR342" s="2">
        <f t="shared" si="70"/>
        <v>-3.56</v>
      </c>
      <c r="AS342" s="2" t="str">
        <f t="shared" si="71"/>
        <v>SDFHJ139894K20-1</v>
      </c>
      <c r="AT342" s="2" t="str">
        <f>IFERROR(IF(VLOOKUP(Y342,vlookup!$I$2:$J$9,1,0)=Y342,VLOOKUP(Y342,vlookup!$I$2:$J$9,2,0),PROPER(Y342)),PROPER(Y342))</f>
        <v>Sales Tax</v>
      </c>
      <c r="AU342" s="2" t="str">
        <f>IFERROR(IF(B342=VLOOKUP(B342,vlookup!$L$2:$L$10,1,0),"Yes","No"),"No")</f>
        <v>No</v>
      </c>
    </row>
    <row r="343" spans="1:47" x14ac:dyDescent="0.25">
      <c r="A343" t="s">
        <v>725</v>
      </c>
      <c r="B343" t="s">
        <v>726</v>
      </c>
      <c r="C343">
        <v>1</v>
      </c>
      <c r="D343">
        <v>1</v>
      </c>
      <c r="E343" t="s">
        <v>382</v>
      </c>
      <c r="F343" t="s">
        <v>346</v>
      </c>
      <c r="G343" t="s">
        <v>610</v>
      </c>
      <c r="H343" s="11" t="s">
        <v>613</v>
      </c>
      <c r="I343">
        <v>74358</v>
      </c>
      <c r="J343" s="22">
        <v>44147</v>
      </c>
      <c r="K343" s="22">
        <v>44168</v>
      </c>
      <c r="L343">
        <v>202011</v>
      </c>
      <c r="M343" s="22">
        <v>44136</v>
      </c>
      <c r="N343">
        <v>77871</v>
      </c>
      <c r="O343" t="s">
        <v>699</v>
      </c>
      <c r="P343" t="s">
        <v>712</v>
      </c>
      <c r="Q343" t="s">
        <v>612</v>
      </c>
      <c r="R343">
        <v>104791</v>
      </c>
      <c r="S343" s="22">
        <v>44489</v>
      </c>
      <c r="T343">
        <v>84307</v>
      </c>
      <c r="U343" t="s">
        <v>356</v>
      </c>
      <c r="V343" s="22">
        <v>44490</v>
      </c>
      <c r="W343" t="s">
        <v>367</v>
      </c>
      <c r="X343" t="s">
        <v>368</v>
      </c>
      <c r="Y343" t="s">
        <v>13</v>
      </c>
      <c r="Z343" t="s">
        <v>365</v>
      </c>
      <c r="AA343">
        <v>-1.45</v>
      </c>
      <c r="AC343" s="2">
        <f t="shared" si="60"/>
        <v>2021</v>
      </c>
      <c r="AD343" s="2">
        <f t="shared" si="61"/>
        <v>10</v>
      </c>
      <c r="AE343" s="2">
        <f t="shared" si="62"/>
        <v>2020</v>
      </c>
      <c r="AF343" s="2">
        <f t="shared" si="63"/>
        <v>11</v>
      </c>
      <c r="AG343" s="2" t="str">
        <f>VLOOKUP(F343,vlookup!$A$2:$E$660,2,0)</f>
        <v>Retained</v>
      </c>
      <c r="AH343" s="2" t="str">
        <f>VLOOKUP(F343,vlookup!$A$2:$E$660,3,0)</f>
        <v>Service Contract</v>
      </c>
      <c r="AI343" s="2" t="str">
        <f>VLOOKUP(F343,vlookup!$A$2:$E$660,4,0)</f>
        <v>Used Car Programs</v>
      </c>
      <c r="AJ343" s="2" t="str">
        <f>VLOOKUP(F343,vlookup!$A$2:$E$660,5,0)</f>
        <v>High Mileage</v>
      </c>
      <c r="AK343" s="2"/>
      <c r="AL343" s="2">
        <f t="shared" si="64"/>
        <v>21</v>
      </c>
      <c r="AM343" s="2">
        <f t="shared" si="65"/>
        <v>339</v>
      </c>
      <c r="AN343" s="2">
        <f t="shared" si="66"/>
        <v>9949</v>
      </c>
      <c r="AO343" s="2" t="str">
        <f t="shared" si="67"/>
        <v/>
      </c>
      <c r="AP343" s="2" t="str">
        <f t="shared" si="68"/>
        <v/>
      </c>
      <c r="AQ343" s="2" t="str">
        <f t="shared" si="69"/>
        <v/>
      </c>
      <c r="AR343" s="2">
        <f t="shared" si="70"/>
        <v>-1.45</v>
      </c>
      <c r="AS343" s="2" t="str">
        <f t="shared" si="71"/>
        <v>SDFHJ139894K20-1</v>
      </c>
      <c r="AT343" s="2" t="str">
        <f>IFERROR(IF(VLOOKUP(Y343,vlookup!$I$2:$J$9,1,0)=Y343,VLOOKUP(Y343,vlookup!$I$2:$J$9,2,0),PROPER(Y343)),PROPER(Y343))</f>
        <v>Sales Tax</v>
      </c>
      <c r="AU343" s="2" t="str">
        <f>IFERROR(IF(B343=VLOOKUP(B343,vlookup!$L$2:$L$10,1,0),"Yes","No"),"No")</f>
        <v>No</v>
      </c>
    </row>
    <row r="344" spans="1:47" x14ac:dyDescent="0.25">
      <c r="A344" t="s">
        <v>725</v>
      </c>
      <c r="B344" t="s">
        <v>726</v>
      </c>
      <c r="C344">
        <v>2</v>
      </c>
      <c r="D344">
        <v>1</v>
      </c>
      <c r="E344" t="s">
        <v>382</v>
      </c>
      <c r="F344" t="s">
        <v>346</v>
      </c>
      <c r="G344" t="s">
        <v>610</v>
      </c>
      <c r="H344" s="11" t="s">
        <v>613</v>
      </c>
      <c r="I344">
        <v>74358</v>
      </c>
      <c r="J344" s="22">
        <v>44147</v>
      </c>
      <c r="K344" s="22">
        <v>44168</v>
      </c>
      <c r="L344">
        <v>202011</v>
      </c>
      <c r="M344" s="22">
        <v>44136</v>
      </c>
      <c r="N344">
        <v>77871</v>
      </c>
      <c r="O344" t="s">
        <v>699</v>
      </c>
      <c r="P344" t="s">
        <v>712</v>
      </c>
      <c r="Q344" t="s">
        <v>612</v>
      </c>
      <c r="R344">
        <v>110714</v>
      </c>
      <c r="S344" s="22">
        <v>44608</v>
      </c>
      <c r="T344">
        <v>87608</v>
      </c>
      <c r="U344" t="s">
        <v>356</v>
      </c>
      <c r="V344" s="22">
        <v>44608</v>
      </c>
      <c r="W344" t="s">
        <v>626</v>
      </c>
      <c r="X344" t="s">
        <v>627</v>
      </c>
      <c r="Y344" t="s">
        <v>13</v>
      </c>
      <c r="Z344" t="s">
        <v>358</v>
      </c>
      <c r="AA344">
        <v>-45.83</v>
      </c>
      <c r="AC344" s="2">
        <f t="shared" si="60"/>
        <v>2022</v>
      </c>
      <c r="AD344" s="2">
        <f t="shared" si="61"/>
        <v>2</v>
      </c>
      <c r="AE344" s="2">
        <f t="shared" si="62"/>
        <v>2020</v>
      </c>
      <c r="AF344" s="2">
        <f t="shared" si="63"/>
        <v>11</v>
      </c>
      <c r="AG344" s="2" t="str">
        <f>VLOOKUP(F344,vlookup!$A$2:$E$660,2,0)</f>
        <v>Retained</v>
      </c>
      <c r="AH344" s="2" t="str">
        <f>VLOOKUP(F344,vlookup!$A$2:$E$660,3,0)</f>
        <v>Service Contract</v>
      </c>
      <c r="AI344" s="2" t="str">
        <f>VLOOKUP(F344,vlookup!$A$2:$E$660,4,0)</f>
        <v>Used Car Programs</v>
      </c>
      <c r="AJ344" s="2" t="str">
        <f>VLOOKUP(F344,vlookup!$A$2:$E$660,5,0)</f>
        <v>High Mileage</v>
      </c>
      <c r="AK344" s="2"/>
      <c r="AL344" s="2">
        <f t="shared" si="64"/>
        <v>21</v>
      </c>
      <c r="AM344" s="2">
        <f t="shared" si="65"/>
        <v>454</v>
      </c>
      <c r="AN344" s="2">
        <f t="shared" si="66"/>
        <v>13250</v>
      </c>
      <c r="AO344" s="2" t="str">
        <f t="shared" si="67"/>
        <v/>
      </c>
      <c r="AP344" s="2" t="str">
        <f t="shared" si="68"/>
        <v/>
      </c>
      <c r="AQ344" s="2" t="str">
        <f t="shared" si="69"/>
        <v/>
      </c>
      <c r="AR344" s="2">
        <f t="shared" si="70"/>
        <v>-45.83</v>
      </c>
      <c r="AS344" s="2" t="str">
        <f t="shared" si="71"/>
        <v>SDFHJ139894K20-2</v>
      </c>
      <c r="AT344" s="2" t="str">
        <f>IFERROR(IF(VLOOKUP(Y344,vlookup!$I$2:$J$9,1,0)=Y344,VLOOKUP(Y344,vlookup!$I$2:$J$9,2,0),PROPER(Y344)),PROPER(Y344))</f>
        <v>Sales Tax</v>
      </c>
      <c r="AU344" s="2" t="str">
        <f>IFERROR(IF(B344=VLOOKUP(B344,vlookup!$L$2:$L$10,1,0),"Yes","No"),"No")</f>
        <v>No</v>
      </c>
    </row>
    <row r="345" spans="1:47" x14ac:dyDescent="0.25">
      <c r="A345" t="s">
        <v>727</v>
      </c>
      <c r="B345" t="s">
        <v>728</v>
      </c>
      <c r="C345">
        <v>1</v>
      </c>
      <c r="D345">
        <v>1</v>
      </c>
      <c r="E345" t="s">
        <v>382</v>
      </c>
      <c r="F345" t="s">
        <v>346</v>
      </c>
      <c r="G345" t="s">
        <v>30</v>
      </c>
      <c r="H345" s="11" t="s">
        <v>633</v>
      </c>
      <c r="I345">
        <v>98795</v>
      </c>
      <c r="J345" s="22">
        <v>44313</v>
      </c>
      <c r="K345" s="22">
        <v>44350</v>
      </c>
      <c r="L345">
        <v>202105</v>
      </c>
      <c r="M345" s="22">
        <v>44317</v>
      </c>
      <c r="N345">
        <v>77871</v>
      </c>
      <c r="O345" t="s">
        <v>699</v>
      </c>
      <c r="P345" t="s">
        <v>712</v>
      </c>
      <c r="Q345" t="s">
        <v>612</v>
      </c>
      <c r="R345">
        <v>100719</v>
      </c>
      <c r="S345" s="22">
        <v>44411</v>
      </c>
      <c r="T345">
        <v>103095</v>
      </c>
      <c r="U345" t="s">
        <v>356</v>
      </c>
      <c r="V345" s="22">
        <v>44420</v>
      </c>
      <c r="W345" t="s">
        <v>810</v>
      </c>
      <c r="X345" t="s">
        <v>811</v>
      </c>
      <c r="Y345" t="s">
        <v>13</v>
      </c>
      <c r="Z345" t="s">
        <v>579</v>
      </c>
      <c r="AA345">
        <v>-42.01</v>
      </c>
      <c r="AC345" s="2">
        <f t="shared" si="60"/>
        <v>2021</v>
      </c>
      <c r="AD345" s="2">
        <f t="shared" si="61"/>
        <v>8</v>
      </c>
      <c r="AE345" s="2">
        <f t="shared" si="62"/>
        <v>2021</v>
      </c>
      <c r="AF345" s="2">
        <f t="shared" si="63"/>
        <v>4</v>
      </c>
      <c r="AG345" s="2" t="str">
        <f>VLOOKUP(F345,vlookup!$A$2:$E$660,2,0)</f>
        <v>Retained</v>
      </c>
      <c r="AH345" s="2" t="str">
        <f>VLOOKUP(F345,vlookup!$A$2:$E$660,3,0)</f>
        <v>Service Contract</v>
      </c>
      <c r="AI345" s="2" t="str">
        <f>VLOOKUP(F345,vlookup!$A$2:$E$660,4,0)</f>
        <v>Used Car Programs</v>
      </c>
      <c r="AJ345" s="2" t="str">
        <f>VLOOKUP(F345,vlookup!$A$2:$E$660,5,0)</f>
        <v>High Mileage</v>
      </c>
      <c r="AK345" s="2"/>
      <c r="AL345" s="2">
        <f t="shared" si="64"/>
        <v>36</v>
      </c>
      <c r="AM345" s="2">
        <f t="shared" si="65"/>
        <v>105</v>
      </c>
      <c r="AN345" s="2">
        <f t="shared" si="66"/>
        <v>4300</v>
      </c>
      <c r="AO345" s="2" t="str">
        <f t="shared" si="67"/>
        <v/>
      </c>
      <c r="AP345" s="2" t="str">
        <f t="shared" si="68"/>
        <v/>
      </c>
      <c r="AQ345" s="2" t="str">
        <f t="shared" si="69"/>
        <v/>
      </c>
      <c r="AR345" s="2">
        <f t="shared" si="70"/>
        <v>-42.01</v>
      </c>
      <c r="AS345" s="2" t="str">
        <f t="shared" si="71"/>
        <v>SDFFR144088D21-1</v>
      </c>
      <c r="AT345" s="2" t="str">
        <f>IFERROR(IF(VLOOKUP(Y345,vlookup!$I$2:$J$9,1,0)=Y345,VLOOKUP(Y345,vlookup!$I$2:$J$9,2,0),PROPER(Y345)),PROPER(Y345))</f>
        <v>Sales Tax</v>
      </c>
      <c r="AU345" s="2" t="str">
        <f>IFERROR(IF(B345=VLOOKUP(B345,vlookup!$L$2:$L$10,1,0),"Yes","No"),"No")</f>
        <v>No</v>
      </c>
    </row>
    <row r="346" spans="1:47" x14ac:dyDescent="0.25">
      <c r="A346" t="s">
        <v>727</v>
      </c>
      <c r="B346" t="s">
        <v>728</v>
      </c>
      <c r="C346">
        <v>1</v>
      </c>
      <c r="D346">
        <v>1</v>
      </c>
      <c r="E346" t="s">
        <v>382</v>
      </c>
      <c r="F346" t="s">
        <v>346</v>
      </c>
      <c r="G346" t="s">
        <v>30</v>
      </c>
      <c r="H346" s="11" t="s">
        <v>633</v>
      </c>
      <c r="I346">
        <v>98795</v>
      </c>
      <c r="J346" s="22">
        <v>44313</v>
      </c>
      <c r="K346" s="22">
        <v>44350</v>
      </c>
      <c r="L346">
        <v>202105</v>
      </c>
      <c r="M346" s="22">
        <v>44317</v>
      </c>
      <c r="N346">
        <v>77871</v>
      </c>
      <c r="O346" t="s">
        <v>699</v>
      </c>
      <c r="P346" t="s">
        <v>712</v>
      </c>
      <c r="Q346" t="s">
        <v>612</v>
      </c>
      <c r="R346">
        <v>100719</v>
      </c>
      <c r="S346" s="22">
        <v>44411</v>
      </c>
      <c r="T346">
        <v>103095</v>
      </c>
      <c r="U346" t="s">
        <v>356</v>
      </c>
      <c r="V346" s="22">
        <v>44420</v>
      </c>
      <c r="W346" t="s">
        <v>618</v>
      </c>
      <c r="X346" t="s">
        <v>619</v>
      </c>
      <c r="Y346" t="s">
        <v>13</v>
      </c>
      <c r="Z346" t="s">
        <v>579</v>
      </c>
      <c r="AA346">
        <v>-27.71</v>
      </c>
      <c r="AC346" s="2">
        <f t="shared" ref="AC346:AC409" si="72">YEAR(V346)</f>
        <v>2021</v>
      </c>
      <c r="AD346" s="2">
        <f t="shared" ref="AD346:AD409" si="73">MONTH(V346)</f>
        <v>8</v>
      </c>
      <c r="AE346" s="2">
        <f t="shared" ref="AE346:AE409" si="74">YEAR(J346)</f>
        <v>2021</v>
      </c>
      <c r="AF346" s="2">
        <f t="shared" ref="AF346:AF409" si="75">MONTH(J346)</f>
        <v>4</v>
      </c>
      <c r="AG346" s="2" t="str">
        <f>VLOOKUP(F346,vlookup!$A$2:$E$660,2,0)</f>
        <v>Retained</v>
      </c>
      <c r="AH346" s="2" t="str">
        <f>VLOOKUP(F346,vlookup!$A$2:$E$660,3,0)</f>
        <v>Service Contract</v>
      </c>
      <c r="AI346" s="2" t="str">
        <f>VLOOKUP(F346,vlookup!$A$2:$E$660,4,0)</f>
        <v>Used Car Programs</v>
      </c>
      <c r="AJ346" s="2" t="str">
        <f>VLOOKUP(F346,vlookup!$A$2:$E$660,5,0)</f>
        <v>High Mileage</v>
      </c>
      <c r="AK346" s="2"/>
      <c r="AL346" s="2">
        <f t="shared" ref="AL346:AL409" si="76">DAYS360(J346,K346)</f>
        <v>36</v>
      </c>
      <c r="AM346" s="2">
        <f t="shared" ref="AM346:AM409" si="77">DAYS360(J346,V346)</f>
        <v>105</v>
      </c>
      <c r="AN346" s="2">
        <f t="shared" ref="AN346:AN409" si="78">IF(T346-I346&lt;1,"",T346-I346)</f>
        <v>4300</v>
      </c>
      <c r="AO346" s="2" t="str">
        <f t="shared" ref="AO346:AO409" si="79">IF(AM346&lt;31,AA346,"")</f>
        <v/>
      </c>
      <c r="AP346" s="2" t="str">
        <f t="shared" ref="AP346:AP409" si="80">IF(AND(AM346&gt;30,AM346&lt;61),AA346,"")</f>
        <v/>
      </c>
      <c r="AQ346" s="2" t="str">
        <f t="shared" ref="AQ346:AQ409" si="81">IF(AND(AM346&gt;60,AM346&lt;91),AA346,"")</f>
        <v/>
      </c>
      <c r="AR346" s="2">
        <f t="shared" ref="AR346:AR409" si="82">IF(AM346&gt;90,AA346,"")</f>
        <v>-27.71</v>
      </c>
      <c r="AS346" s="2" t="str">
        <f t="shared" ref="AS346:AS409" si="83">CONCATENATE(B346,"-",C346)</f>
        <v>SDFFR144088D21-1</v>
      </c>
      <c r="AT346" s="2" t="str">
        <f>IFERROR(IF(VLOOKUP(Y346,vlookup!$I$2:$J$9,1,0)=Y346,VLOOKUP(Y346,vlookup!$I$2:$J$9,2,0),PROPER(Y346)),PROPER(Y346))</f>
        <v>Sales Tax</v>
      </c>
      <c r="AU346" s="2" t="str">
        <f>IFERROR(IF(B346=VLOOKUP(B346,vlookup!$L$2:$L$10,1,0),"Yes","No"),"No")</f>
        <v>No</v>
      </c>
    </row>
    <row r="347" spans="1:47" x14ac:dyDescent="0.25">
      <c r="A347" t="s">
        <v>727</v>
      </c>
      <c r="B347" t="s">
        <v>728</v>
      </c>
      <c r="C347">
        <v>2</v>
      </c>
      <c r="D347">
        <v>1</v>
      </c>
      <c r="E347" t="s">
        <v>382</v>
      </c>
      <c r="F347" t="s">
        <v>346</v>
      </c>
      <c r="G347" t="s">
        <v>30</v>
      </c>
      <c r="H347" s="11" t="s">
        <v>633</v>
      </c>
      <c r="I347">
        <v>98795</v>
      </c>
      <c r="J347" s="22">
        <v>44313</v>
      </c>
      <c r="K347" s="22">
        <v>44350</v>
      </c>
      <c r="L347">
        <v>202105</v>
      </c>
      <c r="M347" s="22">
        <v>44317</v>
      </c>
      <c r="N347">
        <v>77871</v>
      </c>
      <c r="O347" t="s">
        <v>699</v>
      </c>
      <c r="P347" t="s">
        <v>712</v>
      </c>
      <c r="Q347" t="s">
        <v>612</v>
      </c>
      <c r="R347">
        <v>115162</v>
      </c>
      <c r="S347" s="22">
        <v>44698</v>
      </c>
      <c r="T347">
        <v>115155</v>
      </c>
      <c r="U347" t="s">
        <v>356</v>
      </c>
      <c r="V347" s="22">
        <v>44700</v>
      </c>
      <c r="W347" t="s">
        <v>650</v>
      </c>
      <c r="X347" t="s">
        <v>651</v>
      </c>
      <c r="Y347" t="s">
        <v>13</v>
      </c>
      <c r="Z347" t="s">
        <v>579</v>
      </c>
      <c r="AA347">
        <v>-7.46</v>
      </c>
      <c r="AC347" s="2">
        <f t="shared" si="72"/>
        <v>2022</v>
      </c>
      <c r="AD347" s="2">
        <f t="shared" si="73"/>
        <v>5</v>
      </c>
      <c r="AE347" s="2">
        <f t="shared" si="74"/>
        <v>2021</v>
      </c>
      <c r="AF347" s="2">
        <f t="shared" si="75"/>
        <v>4</v>
      </c>
      <c r="AG347" s="2" t="str">
        <f>VLOOKUP(F347,vlookup!$A$2:$E$660,2,0)</f>
        <v>Retained</v>
      </c>
      <c r="AH347" s="2" t="str">
        <f>VLOOKUP(F347,vlookup!$A$2:$E$660,3,0)</f>
        <v>Service Contract</v>
      </c>
      <c r="AI347" s="2" t="str">
        <f>VLOOKUP(F347,vlookup!$A$2:$E$660,4,0)</f>
        <v>Used Car Programs</v>
      </c>
      <c r="AJ347" s="2" t="str">
        <f>VLOOKUP(F347,vlookup!$A$2:$E$660,5,0)</f>
        <v>High Mileage</v>
      </c>
      <c r="AK347" s="2"/>
      <c r="AL347" s="2">
        <f t="shared" si="76"/>
        <v>36</v>
      </c>
      <c r="AM347" s="2">
        <f t="shared" si="77"/>
        <v>382</v>
      </c>
      <c r="AN347" s="2">
        <f t="shared" si="78"/>
        <v>16360</v>
      </c>
      <c r="AO347" s="2" t="str">
        <f t="shared" si="79"/>
        <v/>
      </c>
      <c r="AP347" s="2" t="str">
        <f t="shared" si="80"/>
        <v/>
      </c>
      <c r="AQ347" s="2" t="str">
        <f t="shared" si="81"/>
        <v/>
      </c>
      <c r="AR347" s="2">
        <f t="shared" si="82"/>
        <v>-7.46</v>
      </c>
      <c r="AS347" s="2" t="str">
        <f t="shared" si="83"/>
        <v>SDFFR144088D21-2</v>
      </c>
      <c r="AT347" s="2" t="str">
        <f>IFERROR(IF(VLOOKUP(Y347,vlookup!$I$2:$J$9,1,0)=Y347,VLOOKUP(Y347,vlookup!$I$2:$J$9,2,0),PROPER(Y347)),PROPER(Y347))</f>
        <v>Sales Tax</v>
      </c>
      <c r="AU347" s="2" t="str">
        <f>IFERROR(IF(B347=VLOOKUP(B347,vlookup!$L$2:$L$10,1,0),"Yes","No"),"No")</f>
        <v>No</v>
      </c>
    </row>
    <row r="348" spans="1:47" x14ac:dyDescent="0.25">
      <c r="A348" t="s">
        <v>729</v>
      </c>
      <c r="B348" t="s">
        <v>730</v>
      </c>
      <c r="C348">
        <v>1</v>
      </c>
      <c r="D348">
        <v>2</v>
      </c>
      <c r="E348" t="s">
        <v>382</v>
      </c>
      <c r="F348" t="s">
        <v>503</v>
      </c>
      <c r="G348" t="s">
        <v>30</v>
      </c>
      <c r="H348" s="11" t="s">
        <v>731</v>
      </c>
      <c r="I348">
        <v>74246</v>
      </c>
      <c r="J348" s="22">
        <v>44665</v>
      </c>
      <c r="K348" s="22">
        <v>44707</v>
      </c>
      <c r="L348">
        <v>202205</v>
      </c>
      <c r="M348" s="22">
        <v>44682</v>
      </c>
      <c r="N348">
        <v>77871</v>
      </c>
      <c r="O348" t="s">
        <v>699</v>
      </c>
      <c r="P348" t="s">
        <v>712</v>
      </c>
      <c r="Q348" t="s">
        <v>612</v>
      </c>
      <c r="R348">
        <v>120205</v>
      </c>
      <c r="S348" s="22">
        <v>44804</v>
      </c>
      <c r="T348">
        <v>79600</v>
      </c>
      <c r="U348" t="s">
        <v>356</v>
      </c>
      <c r="V348" s="22">
        <v>44812</v>
      </c>
      <c r="W348" t="s">
        <v>367</v>
      </c>
      <c r="X348" t="s">
        <v>368</v>
      </c>
      <c r="Y348" t="s">
        <v>13</v>
      </c>
      <c r="Z348" t="s">
        <v>365</v>
      </c>
      <c r="AA348">
        <v>-2.79</v>
      </c>
      <c r="AC348" s="2">
        <f t="shared" si="72"/>
        <v>2022</v>
      </c>
      <c r="AD348" s="2">
        <f t="shared" si="73"/>
        <v>9</v>
      </c>
      <c r="AE348" s="2">
        <f t="shared" si="74"/>
        <v>2022</v>
      </c>
      <c r="AF348" s="2">
        <f t="shared" si="75"/>
        <v>4</v>
      </c>
      <c r="AG348" s="2" t="str">
        <f>VLOOKUP(F348,vlookup!$A$2:$E$660,2,0)</f>
        <v>Retained</v>
      </c>
      <c r="AH348" s="2" t="str">
        <f>VLOOKUP(F348,vlookup!$A$2:$E$660,3,0)</f>
        <v>Service Contract</v>
      </c>
      <c r="AI348" s="2" t="str">
        <f>VLOOKUP(F348,vlookup!$A$2:$E$660,4,0)</f>
        <v>Used Car Programs</v>
      </c>
      <c r="AJ348" s="2" t="str">
        <f>VLOOKUP(F348,vlookup!$A$2:$E$660,5,0)</f>
        <v>High Mileage</v>
      </c>
      <c r="AK348" s="2"/>
      <c r="AL348" s="2">
        <f t="shared" si="76"/>
        <v>42</v>
      </c>
      <c r="AM348" s="2">
        <f t="shared" si="77"/>
        <v>144</v>
      </c>
      <c r="AN348" s="2">
        <f t="shared" si="78"/>
        <v>5354</v>
      </c>
      <c r="AO348" s="2" t="str">
        <f t="shared" si="79"/>
        <v/>
      </c>
      <c r="AP348" s="2" t="str">
        <f t="shared" si="80"/>
        <v/>
      </c>
      <c r="AQ348" s="2" t="str">
        <f t="shared" si="81"/>
        <v/>
      </c>
      <c r="AR348" s="2">
        <f t="shared" si="82"/>
        <v>-2.79</v>
      </c>
      <c r="AS348" s="2" t="str">
        <f t="shared" si="83"/>
        <v>PTPGR159369D22-1</v>
      </c>
      <c r="AT348" s="2" t="str">
        <f>IFERROR(IF(VLOOKUP(Y348,vlookup!$I$2:$J$9,1,0)=Y348,VLOOKUP(Y348,vlookup!$I$2:$J$9,2,0),PROPER(Y348)),PROPER(Y348))</f>
        <v>Sales Tax</v>
      </c>
      <c r="AU348" s="2" t="str">
        <f>IFERROR(IF(B348=VLOOKUP(B348,vlookup!$L$2:$L$10,1,0),"Yes","No"),"No")</f>
        <v>No</v>
      </c>
    </row>
    <row r="349" spans="1:47" x14ac:dyDescent="0.25">
      <c r="A349" t="s">
        <v>729</v>
      </c>
      <c r="B349" t="s">
        <v>730</v>
      </c>
      <c r="C349">
        <v>1</v>
      </c>
      <c r="D349">
        <v>2</v>
      </c>
      <c r="E349" t="s">
        <v>382</v>
      </c>
      <c r="F349" t="s">
        <v>503</v>
      </c>
      <c r="G349" t="s">
        <v>30</v>
      </c>
      <c r="H349" s="11" t="s">
        <v>731</v>
      </c>
      <c r="I349">
        <v>74246</v>
      </c>
      <c r="J349" s="22">
        <v>44665</v>
      </c>
      <c r="K349" s="22">
        <v>44707</v>
      </c>
      <c r="L349">
        <v>202205</v>
      </c>
      <c r="M349" s="22">
        <v>44682</v>
      </c>
      <c r="N349">
        <v>77871</v>
      </c>
      <c r="O349" t="s">
        <v>699</v>
      </c>
      <c r="P349" t="s">
        <v>712</v>
      </c>
      <c r="Q349" t="s">
        <v>612</v>
      </c>
      <c r="R349">
        <v>120205</v>
      </c>
      <c r="S349" s="22">
        <v>44804</v>
      </c>
      <c r="T349">
        <v>79600</v>
      </c>
      <c r="U349" t="s">
        <v>356</v>
      </c>
      <c r="V349" s="22">
        <v>44812</v>
      </c>
      <c r="W349" t="s">
        <v>876</v>
      </c>
      <c r="X349" t="s">
        <v>877</v>
      </c>
      <c r="Y349" t="s">
        <v>13</v>
      </c>
      <c r="Z349" t="s">
        <v>364</v>
      </c>
      <c r="AA349">
        <v>-6.83</v>
      </c>
      <c r="AC349" s="2">
        <f t="shared" si="72"/>
        <v>2022</v>
      </c>
      <c r="AD349" s="2">
        <f t="shared" si="73"/>
        <v>9</v>
      </c>
      <c r="AE349" s="2">
        <f t="shared" si="74"/>
        <v>2022</v>
      </c>
      <c r="AF349" s="2">
        <f t="shared" si="75"/>
        <v>4</v>
      </c>
      <c r="AG349" s="2" t="str">
        <f>VLOOKUP(F349,vlookup!$A$2:$E$660,2,0)</f>
        <v>Retained</v>
      </c>
      <c r="AH349" s="2" t="str">
        <f>VLOOKUP(F349,vlookup!$A$2:$E$660,3,0)</f>
        <v>Service Contract</v>
      </c>
      <c r="AI349" s="2" t="str">
        <f>VLOOKUP(F349,vlookup!$A$2:$E$660,4,0)</f>
        <v>Used Car Programs</v>
      </c>
      <c r="AJ349" s="2" t="str">
        <f>VLOOKUP(F349,vlookup!$A$2:$E$660,5,0)</f>
        <v>High Mileage</v>
      </c>
      <c r="AK349" s="2"/>
      <c r="AL349" s="2">
        <f t="shared" si="76"/>
        <v>42</v>
      </c>
      <c r="AM349" s="2">
        <f t="shared" si="77"/>
        <v>144</v>
      </c>
      <c r="AN349" s="2">
        <f t="shared" si="78"/>
        <v>5354</v>
      </c>
      <c r="AO349" s="2" t="str">
        <f t="shared" si="79"/>
        <v/>
      </c>
      <c r="AP349" s="2" t="str">
        <f t="shared" si="80"/>
        <v/>
      </c>
      <c r="AQ349" s="2" t="str">
        <f t="shared" si="81"/>
        <v/>
      </c>
      <c r="AR349" s="2">
        <f t="shared" si="82"/>
        <v>-6.83</v>
      </c>
      <c r="AS349" s="2" t="str">
        <f t="shared" si="83"/>
        <v>PTPGR159369D22-1</v>
      </c>
      <c r="AT349" s="2" t="str">
        <f>IFERROR(IF(VLOOKUP(Y349,vlookup!$I$2:$J$9,1,0)=Y349,VLOOKUP(Y349,vlookup!$I$2:$J$9,2,0),PROPER(Y349)),PROPER(Y349))</f>
        <v>Sales Tax</v>
      </c>
      <c r="AU349" s="2" t="str">
        <f>IFERROR(IF(B349=VLOOKUP(B349,vlookup!$L$2:$L$10,1,0),"Yes","No"),"No")</f>
        <v>No</v>
      </c>
    </row>
    <row r="350" spans="1:47" x14ac:dyDescent="0.25">
      <c r="A350" t="s">
        <v>729</v>
      </c>
      <c r="B350" t="s">
        <v>730</v>
      </c>
      <c r="C350">
        <v>1</v>
      </c>
      <c r="D350">
        <v>2</v>
      </c>
      <c r="E350" t="s">
        <v>382</v>
      </c>
      <c r="F350" t="s">
        <v>503</v>
      </c>
      <c r="G350" t="s">
        <v>30</v>
      </c>
      <c r="H350" s="11" t="s">
        <v>731</v>
      </c>
      <c r="I350">
        <v>74246</v>
      </c>
      <c r="J350" s="22">
        <v>44665</v>
      </c>
      <c r="K350" s="22">
        <v>44707</v>
      </c>
      <c r="L350">
        <v>202205</v>
      </c>
      <c r="M350" s="22">
        <v>44682</v>
      </c>
      <c r="N350">
        <v>77871</v>
      </c>
      <c r="O350" t="s">
        <v>699</v>
      </c>
      <c r="P350" t="s">
        <v>712</v>
      </c>
      <c r="Q350" t="s">
        <v>612</v>
      </c>
      <c r="R350">
        <v>120205</v>
      </c>
      <c r="S350" s="22">
        <v>44804</v>
      </c>
      <c r="T350">
        <v>79600</v>
      </c>
      <c r="U350" t="s">
        <v>356</v>
      </c>
      <c r="V350" s="22">
        <v>44812</v>
      </c>
      <c r="W350" t="s">
        <v>677</v>
      </c>
      <c r="X350" t="s">
        <v>678</v>
      </c>
      <c r="Y350" t="s">
        <v>13</v>
      </c>
      <c r="Z350" t="s">
        <v>364</v>
      </c>
      <c r="AA350">
        <v>-1.95</v>
      </c>
      <c r="AC350" s="2">
        <f t="shared" si="72"/>
        <v>2022</v>
      </c>
      <c r="AD350" s="2">
        <f t="shared" si="73"/>
        <v>9</v>
      </c>
      <c r="AE350" s="2">
        <f t="shared" si="74"/>
        <v>2022</v>
      </c>
      <c r="AF350" s="2">
        <f t="shared" si="75"/>
        <v>4</v>
      </c>
      <c r="AG350" s="2" t="str">
        <f>VLOOKUP(F350,vlookup!$A$2:$E$660,2,0)</f>
        <v>Retained</v>
      </c>
      <c r="AH350" s="2" t="str">
        <f>VLOOKUP(F350,vlookup!$A$2:$E$660,3,0)</f>
        <v>Service Contract</v>
      </c>
      <c r="AI350" s="2" t="str">
        <f>VLOOKUP(F350,vlookup!$A$2:$E$660,4,0)</f>
        <v>Used Car Programs</v>
      </c>
      <c r="AJ350" s="2" t="str">
        <f>VLOOKUP(F350,vlookup!$A$2:$E$660,5,0)</f>
        <v>High Mileage</v>
      </c>
      <c r="AK350" s="2"/>
      <c r="AL350" s="2">
        <f t="shared" si="76"/>
        <v>42</v>
      </c>
      <c r="AM350" s="2">
        <f t="shared" si="77"/>
        <v>144</v>
      </c>
      <c r="AN350" s="2">
        <f t="shared" si="78"/>
        <v>5354</v>
      </c>
      <c r="AO350" s="2" t="str">
        <f t="shared" si="79"/>
        <v/>
      </c>
      <c r="AP350" s="2" t="str">
        <f t="shared" si="80"/>
        <v/>
      </c>
      <c r="AQ350" s="2" t="str">
        <f t="shared" si="81"/>
        <v/>
      </c>
      <c r="AR350" s="2">
        <f t="shared" si="82"/>
        <v>-1.95</v>
      </c>
      <c r="AS350" s="2" t="str">
        <f t="shared" si="83"/>
        <v>PTPGR159369D22-1</v>
      </c>
      <c r="AT350" s="2" t="str">
        <f>IFERROR(IF(VLOOKUP(Y350,vlookup!$I$2:$J$9,1,0)=Y350,VLOOKUP(Y350,vlookup!$I$2:$J$9,2,0),PROPER(Y350)),PROPER(Y350))</f>
        <v>Sales Tax</v>
      </c>
      <c r="AU350" s="2" t="str">
        <f>IFERROR(IF(B350=VLOOKUP(B350,vlookup!$L$2:$L$10,1,0),"Yes","No"),"No")</f>
        <v>No</v>
      </c>
    </row>
    <row r="351" spans="1:47" x14ac:dyDescent="0.25">
      <c r="A351" t="s">
        <v>729</v>
      </c>
      <c r="B351" t="s">
        <v>730</v>
      </c>
      <c r="C351">
        <v>1</v>
      </c>
      <c r="D351">
        <v>2</v>
      </c>
      <c r="E351" t="s">
        <v>382</v>
      </c>
      <c r="F351" t="s">
        <v>503</v>
      </c>
      <c r="G351" t="s">
        <v>30</v>
      </c>
      <c r="H351" s="11" t="s">
        <v>731</v>
      </c>
      <c r="I351">
        <v>74246</v>
      </c>
      <c r="J351" s="22">
        <v>44665</v>
      </c>
      <c r="K351" s="22">
        <v>44707</v>
      </c>
      <c r="L351">
        <v>202205</v>
      </c>
      <c r="M351" s="22">
        <v>44682</v>
      </c>
      <c r="N351">
        <v>77871</v>
      </c>
      <c r="O351" t="s">
        <v>699</v>
      </c>
      <c r="P351" t="s">
        <v>712</v>
      </c>
      <c r="Q351" t="s">
        <v>612</v>
      </c>
      <c r="R351">
        <v>120205</v>
      </c>
      <c r="S351" s="22">
        <v>44804</v>
      </c>
      <c r="T351">
        <v>79600</v>
      </c>
      <c r="U351" t="s">
        <v>356</v>
      </c>
      <c r="V351" s="22">
        <v>44812</v>
      </c>
      <c r="W351" t="s">
        <v>616</v>
      </c>
      <c r="X351" t="s">
        <v>617</v>
      </c>
      <c r="Y351" t="s">
        <v>13</v>
      </c>
      <c r="Z351" t="s">
        <v>364</v>
      </c>
      <c r="AA351">
        <v>-2.82</v>
      </c>
      <c r="AC351" s="2">
        <f t="shared" si="72"/>
        <v>2022</v>
      </c>
      <c r="AD351" s="2">
        <f t="shared" si="73"/>
        <v>9</v>
      </c>
      <c r="AE351" s="2">
        <f t="shared" si="74"/>
        <v>2022</v>
      </c>
      <c r="AF351" s="2">
        <f t="shared" si="75"/>
        <v>4</v>
      </c>
      <c r="AG351" s="2" t="str">
        <f>VLOOKUP(F351,vlookup!$A$2:$E$660,2,0)</f>
        <v>Retained</v>
      </c>
      <c r="AH351" s="2" t="str">
        <f>VLOOKUP(F351,vlookup!$A$2:$E$660,3,0)</f>
        <v>Service Contract</v>
      </c>
      <c r="AI351" s="2" t="str">
        <f>VLOOKUP(F351,vlookup!$A$2:$E$660,4,0)</f>
        <v>Used Car Programs</v>
      </c>
      <c r="AJ351" s="2" t="str">
        <f>VLOOKUP(F351,vlookup!$A$2:$E$660,5,0)</f>
        <v>High Mileage</v>
      </c>
      <c r="AK351" s="2"/>
      <c r="AL351" s="2">
        <f t="shared" si="76"/>
        <v>42</v>
      </c>
      <c r="AM351" s="2">
        <f t="shared" si="77"/>
        <v>144</v>
      </c>
      <c r="AN351" s="2">
        <f t="shared" si="78"/>
        <v>5354</v>
      </c>
      <c r="AO351" s="2" t="str">
        <f t="shared" si="79"/>
        <v/>
      </c>
      <c r="AP351" s="2" t="str">
        <f t="shared" si="80"/>
        <v/>
      </c>
      <c r="AQ351" s="2" t="str">
        <f t="shared" si="81"/>
        <v/>
      </c>
      <c r="AR351" s="2">
        <f t="shared" si="82"/>
        <v>-2.82</v>
      </c>
      <c r="AS351" s="2" t="str">
        <f t="shared" si="83"/>
        <v>PTPGR159369D22-1</v>
      </c>
      <c r="AT351" s="2" t="str">
        <f>IFERROR(IF(VLOOKUP(Y351,vlookup!$I$2:$J$9,1,0)=Y351,VLOOKUP(Y351,vlookup!$I$2:$J$9,2,0),PROPER(Y351)),PROPER(Y351))</f>
        <v>Sales Tax</v>
      </c>
      <c r="AU351" s="2" t="str">
        <f>IFERROR(IF(B351=VLOOKUP(B351,vlookup!$L$2:$L$10,1,0),"Yes","No"),"No")</f>
        <v>No</v>
      </c>
    </row>
    <row r="352" spans="1:47" x14ac:dyDescent="0.25">
      <c r="A352" t="s">
        <v>729</v>
      </c>
      <c r="B352" t="s">
        <v>730</v>
      </c>
      <c r="C352">
        <v>1</v>
      </c>
      <c r="D352">
        <v>2</v>
      </c>
      <c r="E352" t="s">
        <v>382</v>
      </c>
      <c r="F352" t="s">
        <v>503</v>
      </c>
      <c r="G352" t="s">
        <v>30</v>
      </c>
      <c r="H352" s="11" t="s">
        <v>731</v>
      </c>
      <c r="I352">
        <v>74246</v>
      </c>
      <c r="J352" s="22">
        <v>44665</v>
      </c>
      <c r="K352" s="22">
        <v>44707</v>
      </c>
      <c r="L352">
        <v>202205</v>
      </c>
      <c r="M352" s="22">
        <v>44682</v>
      </c>
      <c r="N352">
        <v>77871</v>
      </c>
      <c r="O352" t="s">
        <v>699</v>
      </c>
      <c r="P352" t="s">
        <v>712</v>
      </c>
      <c r="Q352" t="s">
        <v>612</v>
      </c>
      <c r="R352">
        <v>120205</v>
      </c>
      <c r="S352" s="22">
        <v>44804</v>
      </c>
      <c r="T352">
        <v>79600</v>
      </c>
      <c r="U352" t="s">
        <v>356</v>
      </c>
      <c r="V352" s="22">
        <v>44812</v>
      </c>
      <c r="W352" t="s">
        <v>600</v>
      </c>
      <c r="X352" t="s">
        <v>601</v>
      </c>
      <c r="Y352" t="s">
        <v>13</v>
      </c>
      <c r="Z352" t="s">
        <v>364</v>
      </c>
      <c r="AA352">
        <v>-23.37</v>
      </c>
      <c r="AC352" s="2">
        <f t="shared" si="72"/>
        <v>2022</v>
      </c>
      <c r="AD352" s="2">
        <f t="shared" si="73"/>
        <v>9</v>
      </c>
      <c r="AE352" s="2">
        <f t="shared" si="74"/>
        <v>2022</v>
      </c>
      <c r="AF352" s="2">
        <f t="shared" si="75"/>
        <v>4</v>
      </c>
      <c r="AG352" s="2" t="str">
        <f>VLOOKUP(F352,vlookup!$A$2:$E$660,2,0)</f>
        <v>Retained</v>
      </c>
      <c r="AH352" s="2" t="str">
        <f>VLOOKUP(F352,vlookup!$A$2:$E$660,3,0)</f>
        <v>Service Contract</v>
      </c>
      <c r="AI352" s="2" t="str">
        <f>VLOOKUP(F352,vlookup!$A$2:$E$660,4,0)</f>
        <v>Used Car Programs</v>
      </c>
      <c r="AJ352" s="2" t="str">
        <f>VLOOKUP(F352,vlookup!$A$2:$E$660,5,0)</f>
        <v>High Mileage</v>
      </c>
      <c r="AK352" s="2"/>
      <c r="AL352" s="2">
        <f t="shared" si="76"/>
        <v>42</v>
      </c>
      <c r="AM352" s="2">
        <f t="shared" si="77"/>
        <v>144</v>
      </c>
      <c r="AN352" s="2">
        <f t="shared" si="78"/>
        <v>5354</v>
      </c>
      <c r="AO352" s="2" t="str">
        <f t="shared" si="79"/>
        <v/>
      </c>
      <c r="AP352" s="2" t="str">
        <f t="shared" si="80"/>
        <v/>
      </c>
      <c r="AQ352" s="2" t="str">
        <f t="shared" si="81"/>
        <v/>
      </c>
      <c r="AR352" s="2">
        <f t="shared" si="82"/>
        <v>-23.37</v>
      </c>
      <c r="AS352" s="2" t="str">
        <f t="shared" si="83"/>
        <v>PTPGR159369D22-1</v>
      </c>
      <c r="AT352" s="2" t="str">
        <f>IFERROR(IF(VLOOKUP(Y352,vlookup!$I$2:$J$9,1,0)=Y352,VLOOKUP(Y352,vlookup!$I$2:$J$9,2,0),PROPER(Y352)),PROPER(Y352))</f>
        <v>Sales Tax</v>
      </c>
      <c r="AU352" s="2" t="str">
        <f>IFERROR(IF(B352=VLOOKUP(B352,vlookup!$L$2:$L$10,1,0),"Yes","No"),"No")</f>
        <v>No</v>
      </c>
    </row>
    <row r="353" spans="1:47" x14ac:dyDescent="0.25">
      <c r="A353" t="s">
        <v>729</v>
      </c>
      <c r="B353" t="s">
        <v>730</v>
      </c>
      <c r="C353">
        <v>1</v>
      </c>
      <c r="D353">
        <v>2</v>
      </c>
      <c r="E353" t="s">
        <v>382</v>
      </c>
      <c r="F353" t="s">
        <v>503</v>
      </c>
      <c r="G353" t="s">
        <v>30</v>
      </c>
      <c r="H353" s="11" t="s">
        <v>731</v>
      </c>
      <c r="I353">
        <v>74246</v>
      </c>
      <c r="J353" s="22">
        <v>44665</v>
      </c>
      <c r="K353" s="22">
        <v>44707</v>
      </c>
      <c r="L353">
        <v>202205</v>
      </c>
      <c r="M353" s="22">
        <v>44682</v>
      </c>
      <c r="N353">
        <v>77871</v>
      </c>
      <c r="O353" t="s">
        <v>699</v>
      </c>
      <c r="P353" t="s">
        <v>712</v>
      </c>
      <c r="Q353" t="s">
        <v>612</v>
      </c>
      <c r="R353">
        <v>120205</v>
      </c>
      <c r="S353" s="22">
        <v>44804</v>
      </c>
      <c r="T353">
        <v>79600</v>
      </c>
      <c r="U353" t="s">
        <v>356</v>
      </c>
      <c r="V353" s="22">
        <v>44812</v>
      </c>
      <c r="W353" t="s">
        <v>878</v>
      </c>
      <c r="X353" t="s">
        <v>879</v>
      </c>
      <c r="Y353" t="s">
        <v>13</v>
      </c>
      <c r="Z353" t="s">
        <v>364</v>
      </c>
      <c r="AA353">
        <v>-32.46</v>
      </c>
      <c r="AC353" s="2">
        <f t="shared" si="72"/>
        <v>2022</v>
      </c>
      <c r="AD353" s="2">
        <f t="shared" si="73"/>
        <v>9</v>
      </c>
      <c r="AE353" s="2">
        <f t="shared" si="74"/>
        <v>2022</v>
      </c>
      <c r="AF353" s="2">
        <f t="shared" si="75"/>
        <v>4</v>
      </c>
      <c r="AG353" s="2" t="str">
        <f>VLOOKUP(F353,vlookup!$A$2:$E$660,2,0)</f>
        <v>Retained</v>
      </c>
      <c r="AH353" s="2" t="str">
        <f>VLOOKUP(F353,vlookup!$A$2:$E$660,3,0)</f>
        <v>Service Contract</v>
      </c>
      <c r="AI353" s="2" t="str">
        <f>VLOOKUP(F353,vlookup!$A$2:$E$660,4,0)</f>
        <v>Used Car Programs</v>
      </c>
      <c r="AJ353" s="2" t="str">
        <f>VLOOKUP(F353,vlookup!$A$2:$E$660,5,0)</f>
        <v>High Mileage</v>
      </c>
      <c r="AK353" s="2"/>
      <c r="AL353" s="2">
        <f t="shared" si="76"/>
        <v>42</v>
      </c>
      <c r="AM353" s="2">
        <f t="shared" si="77"/>
        <v>144</v>
      </c>
      <c r="AN353" s="2">
        <f t="shared" si="78"/>
        <v>5354</v>
      </c>
      <c r="AO353" s="2" t="str">
        <f t="shared" si="79"/>
        <v/>
      </c>
      <c r="AP353" s="2" t="str">
        <f t="shared" si="80"/>
        <v/>
      </c>
      <c r="AQ353" s="2" t="str">
        <f t="shared" si="81"/>
        <v/>
      </c>
      <c r="AR353" s="2">
        <f t="shared" si="82"/>
        <v>-32.46</v>
      </c>
      <c r="AS353" s="2" t="str">
        <f t="shared" si="83"/>
        <v>PTPGR159369D22-1</v>
      </c>
      <c r="AT353" s="2" t="str">
        <f>IFERROR(IF(VLOOKUP(Y353,vlookup!$I$2:$J$9,1,0)=Y353,VLOOKUP(Y353,vlookup!$I$2:$J$9,2,0),PROPER(Y353)),PROPER(Y353))</f>
        <v>Sales Tax</v>
      </c>
      <c r="AU353" s="2" t="str">
        <f>IFERROR(IF(B353=VLOOKUP(B353,vlookup!$L$2:$L$10,1,0),"Yes","No"),"No")</f>
        <v>No</v>
      </c>
    </row>
    <row r="354" spans="1:47" x14ac:dyDescent="0.25">
      <c r="A354" t="s">
        <v>729</v>
      </c>
      <c r="B354" t="s">
        <v>730</v>
      </c>
      <c r="C354">
        <v>1</v>
      </c>
      <c r="D354">
        <v>2</v>
      </c>
      <c r="E354" t="s">
        <v>382</v>
      </c>
      <c r="F354" t="s">
        <v>503</v>
      </c>
      <c r="G354" t="s">
        <v>30</v>
      </c>
      <c r="H354" s="11" t="s">
        <v>731</v>
      </c>
      <c r="I354">
        <v>74246</v>
      </c>
      <c r="J354" s="22">
        <v>44665</v>
      </c>
      <c r="K354" s="22">
        <v>44707</v>
      </c>
      <c r="L354">
        <v>202205</v>
      </c>
      <c r="M354" s="22">
        <v>44682</v>
      </c>
      <c r="N354">
        <v>77871</v>
      </c>
      <c r="O354" t="s">
        <v>699</v>
      </c>
      <c r="P354" t="s">
        <v>712</v>
      </c>
      <c r="Q354" t="s">
        <v>612</v>
      </c>
      <c r="R354">
        <v>120205</v>
      </c>
      <c r="S354" s="22">
        <v>44804</v>
      </c>
      <c r="T354">
        <v>79600</v>
      </c>
      <c r="U354" t="s">
        <v>356</v>
      </c>
      <c r="V354" s="22">
        <v>44812</v>
      </c>
      <c r="W354" t="s">
        <v>588</v>
      </c>
      <c r="X354" t="s">
        <v>589</v>
      </c>
      <c r="Y354" t="s">
        <v>13</v>
      </c>
      <c r="Z354" t="s">
        <v>364</v>
      </c>
      <c r="AA354">
        <v>-1.1399999999999999</v>
      </c>
      <c r="AC354" s="2">
        <f t="shared" si="72"/>
        <v>2022</v>
      </c>
      <c r="AD354" s="2">
        <f t="shared" si="73"/>
        <v>9</v>
      </c>
      <c r="AE354" s="2">
        <f t="shared" si="74"/>
        <v>2022</v>
      </c>
      <c r="AF354" s="2">
        <f t="shared" si="75"/>
        <v>4</v>
      </c>
      <c r="AG354" s="2" t="str">
        <f>VLOOKUP(F354,vlookup!$A$2:$E$660,2,0)</f>
        <v>Retained</v>
      </c>
      <c r="AH354" s="2" t="str">
        <f>VLOOKUP(F354,vlookup!$A$2:$E$660,3,0)</f>
        <v>Service Contract</v>
      </c>
      <c r="AI354" s="2" t="str">
        <f>VLOOKUP(F354,vlookup!$A$2:$E$660,4,0)</f>
        <v>Used Car Programs</v>
      </c>
      <c r="AJ354" s="2" t="str">
        <f>VLOOKUP(F354,vlookup!$A$2:$E$660,5,0)</f>
        <v>High Mileage</v>
      </c>
      <c r="AK354" s="2"/>
      <c r="AL354" s="2">
        <f t="shared" si="76"/>
        <v>42</v>
      </c>
      <c r="AM354" s="2">
        <f t="shared" si="77"/>
        <v>144</v>
      </c>
      <c r="AN354" s="2">
        <f t="shared" si="78"/>
        <v>5354</v>
      </c>
      <c r="AO354" s="2" t="str">
        <f t="shared" si="79"/>
        <v/>
      </c>
      <c r="AP354" s="2" t="str">
        <f t="shared" si="80"/>
        <v/>
      </c>
      <c r="AQ354" s="2" t="str">
        <f t="shared" si="81"/>
        <v/>
      </c>
      <c r="AR354" s="2">
        <f t="shared" si="82"/>
        <v>-1.1399999999999999</v>
      </c>
      <c r="AS354" s="2" t="str">
        <f t="shared" si="83"/>
        <v>PTPGR159369D22-1</v>
      </c>
      <c r="AT354" s="2" t="str">
        <f>IFERROR(IF(VLOOKUP(Y354,vlookup!$I$2:$J$9,1,0)=Y354,VLOOKUP(Y354,vlookup!$I$2:$J$9,2,0),PROPER(Y354)),PROPER(Y354))</f>
        <v>Sales Tax</v>
      </c>
      <c r="AU354" s="2" t="str">
        <f>IFERROR(IF(B354=VLOOKUP(B354,vlookup!$L$2:$L$10,1,0),"Yes","No"),"No")</f>
        <v>No</v>
      </c>
    </row>
    <row r="355" spans="1:47" x14ac:dyDescent="0.25">
      <c r="A355" t="s">
        <v>729</v>
      </c>
      <c r="B355" t="s">
        <v>730</v>
      </c>
      <c r="C355">
        <v>1</v>
      </c>
      <c r="D355">
        <v>2</v>
      </c>
      <c r="E355" t="s">
        <v>382</v>
      </c>
      <c r="F355" t="s">
        <v>503</v>
      </c>
      <c r="G355" t="s">
        <v>30</v>
      </c>
      <c r="H355" s="11" t="s">
        <v>731</v>
      </c>
      <c r="I355">
        <v>74246</v>
      </c>
      <c r="J355" s="22">
        <v>44665</v>
      </c>
      <c r="K355" s="22">
        <v>44707</v>
      </c>
      <c r="L355">
        <v>202205</v>
      </c>
      <c r="M355" s="22">
        <v>44682</v>
      </c>
      <c r="N355">
        <v>77871</v>
      </c>
      <c r="O355" t="s">
        <v>699</v>
      </c>
      <c r="P355" t="s">
        <v>712</v>
      </c>
      <c r="Q355" t="s">
        <v>612</v>
      </c>
      <c r="R355">
        <v>120205</v>
      </c>
      <c r="S355" s="22">
        <v>44804</v>
      </c>
      <c r="T355">
        <v>79600</v>
      </c>
      <c r="U355" t="s">
        <v>356</v>
      </c>
      <c r="V355" s="22">
        <v>44812</v>
      </c>
      <c r="W355" t="s">
        <v>642</v>
      </c>
      <c r="X355" t="s">
        <v>643</v>
      </c>
      <c r="Y355" t="s">
        <v>13</v>
      </c>
      <c r="Z355" t="s">
        <v>364</v>
      </c>
      <c r="AA355">
        <v>-60.41</v>
      </c>
      <c r="AC355" s="2">
        <f t="shared" si="72"/>
        <v>2022</v>
      </c>
      <c r="AD355" s="2">
        <f t="shared" si="73"/>
        <v>9</v>
      </c>
      <c r="AE355" s="2">
        <f t="shared" si="74"/>
        <v>2022</v>
      </c>
      <c r="AF355" s="2">
        <f t="shared" si="75"/>
        <v>4</v>
      </c>
      <c r="AG355" s="2" t="str">
        <f>VLOOKUP(F355,vlookup!$A$2:$E$660,2,0)</f>
        <v>Retained</v>
      </c>
      <c r="AH355" s="2" t="str">
        <f>VLOOKUP(F355,vlookup!$A$2:$E$660,3,0)</f>
        <v>Service Contract</v>
      </c>
      <c r="AI355" s="2" t="str">
        <f>VLOOKUP(F355,vlookup!$A$2:$E$660,4,0)</f>
        <v>Used Car Programs</v>
      </c>
      <c r="AJ355" s="2" t="str">
        <f>VLOOKUP(F355,vlookup!$A$2:$E$660,5,0)</f>
        <v>High Mileage</v>
      </c>
      <c r="AK355" s="2"/>
      <c r="AL355" s="2">
        <f t="shared" si="76"/>
        <v>42</v>
      </c>
      <c r="AM355" s="2">
        <f t="shared" si="77"/>
        <v>144</v>
      </c>
      <c r="AN355" s="2">
        <f t="shared" si="78"/>
        <v>5354</v>
      </c>
      <c r="AO355" s="2" t="str">
        <f t="shared" si="79"/>
        <v/>
      </c>
      <c r="AP355" s="2" t="str">
        <f t="shared" si="80"/>
        <v/>
      </c>
      <c r="AQ355" s="2" t="str">
        <f t="shared" si="81"/>
        <v/>
      </c>
      <c r="AR355" s="2">
        <f t="shared" si="82"/>
        <v>-60.41</v>
      </c>
      <c r="AS355" s="2" t="str">
        <f t="shared" si="83"/>
        <v>PTPGR159369D22-1</v>
      </c>
      <c r="AT355" s="2" t="str">
        <f>IFERROR(IF(VLOOKUP(Y355,vlookup!$I$2:$J$9,1,0)=Y355,VLOOKUP(Y355,vlookup!$I$2:$J$9,2,0),PROPER(Y355)),PROPER(Y355))</f>
        <v>Sales Tax</v>
      </c>
      <c r="AU355" s="2" t="str">
        <f>IFERROR(IF(B355=VLOOKUP(B355,vlookup!$L$2:$L$10,1,0),"Yes","No"),"No")</f>
        <v>No</v>
      </c>
    </row>
    <row r="356" spans="1:47" x14ac:dyDescent="0.25">
      <c r="A356" t="s">
        <v>729</v>
      </c>
      <c r="B356" t="s">
        <v>730</v>
      </c>
      <c r="C356">
        <v>1</v>
      </c>
      <c r="D356">
        <v>2</v>
      </c>
      <c r="E356" t="s">
        <v>382</v>
      </c>
      <c r="F356" t="s">
        <v>503</v>
      </c>
      <c r="G356" t="s">
        <v>30</v>
      </c>
      <c r="H356" s="11" t="s">
        <v>731</v>
      </c>
      <c r="I356">
        <v>74246</v>
      </c>
      <c r="J356" s="22">
        <v>44665</v>
      </c>
      <c r="K356" s="22">
        <v>44707</v>
      </c>
      <c r="L356">
        <v>202205</v>
      </c>
      <c r="M356" s="22">
        <v>44682</v>
      </c>
      <c r="N356">
        <v>77871</v>
      </c>
      <c r="O356" t="s">
        <v>699</v>
      </c>
      <c r="P356" t="s">
        <v>712</v>
      </c>
      <c r="Q356" t="s">
        <v>612</v>
      </c>
      <c r="R356">
        <v>120205</v>
      </c>
      <c r="S356" s="22">
        <v>44804</v>
      </c>
      <c r="T356">
        <v>79600</v>
      </c>
      <c r="U356" t="s">
        <v>356</v>
      </c>
      <c r="V356" s="22">
        <v>44812</v>
      </c>
      <c r="W356" t="s">
        <v>880</v>
      </c>
      <c r="X356" t="s">
        <v>881</v>
      </c>
      <c r="Y356" t="s">
        <v>13</v>
      </c>
      <c r="Z356" t="s">
        <v>364</v>
      </c>
      <c r="AA356">
        <v>-6.83</v>
      </c>
      <c r="AC356" s="2">
        <f t="shared" si="72"/>
        <v>2022</v>
      </c>
      <c r="AD356" s="2">
        <f t="shared" si="73"/>
        <v>9</v>
      </c>
      <c r="AE356" s="2">
        <f t="shared" si="74"/>
        <v>2022</v>
      </c>
      <c r="AF356" s="2">
        <f t="shared" si="75"/>
        <v>4</v>
      </c>
      <c r="AG356" s="2" t="str">
        <f>VLOOKUP(F356,vlookup!$A$2:$E$660,2,0)</f>
        <v>Retained</v>
      </c>
      <c r="AH356" s="2" t="str">
        <f>VLOOKUP(F356,vlookup!$A$2:$E$660,3,0)</f>
        <v>Service Contract</v>
      </c>
      <c r="AI356" s="2" t="str">
        <f>VLOOKUP(F356,vlookup!$A$2:$E$660,4,0)</f>
        <v>Used Car Programs</v>
      </c>
      <c r="AJ356" s="2" t="str">
        <f>VLOOKUP(F356,vlookup!$A$2:$E$660,5,0)</f>
        <v>High Mileage</v>
      </c>
      <c r="AK356" s="2"/>
      <c r="AL356" s="2">
        <f t="shared" si="76"/>
        <v>42</v>
      </c>
      <c r="AM356" s="2">
        <f t="shared" si="77"/>
        <v>144</v>
      </c>
      <c r="AN356" s="2">
        <f t="shared" si="78"/>
        <v>5354</v>
      </c>
      <c r="AO356" s="2" t="str">
        <f t="shared" si="79"/>
        <v/>
      </c>
      <c r="AP356" s="2" t="str">
        <f t="shared" si="80"/>
        <v/>
      </c>
      <c r="AQ356" s="2" t="str">
        <f t="shared" si="81"/>
        <v/>
      </c>
      <c r="AR356" s="2">
        <f t="shared" si="82"/>
        <v>-6.83</v>
      </c>
      <c r="AS356" s="2" t="str">
        <f t="shared" si="83"/>
        <v>PTPGR159369D22-1</v>
      </c>
      <c r="AT356" s="2" t="str">
        <f>IFERROR(IF(VLOOKUP(Y356,vlookup!$I$2:$J$9,1,0)=Y356,VLOOKUP(Y356,vlookup!$I$2:$J$9,2,0),PROPER(Y356)),PROPER(Y356))</f>
        <v>Sales Tax</v>
      </c>
      <c r="AU356" s="2" t="str">
        <f>IFERROR(IF(B356=VLOOKUP(B356,vlookup!$L$2:$L$10,1,0),"Yes","No"),"No")</f>
        <v>No</v>
      </c>
    </row>
    <row r="357" spans="1:47" x14ac:dyDescent="0.25">
      <c r="A357" t="s">
        <v>729</v>
      </c>
      <c r="B357" t="s">
        <v>730</v>
      </c>
      <c r="C357">
        <v>1</v>
      </c>
      <c r="D357">
        <v>2</v>
      </c>
      <c r="E357" t="s">
        <v>382</v>
      </c>
      <c r="F357" t="s">
        <v>503</v>
      </c>
      <c r="G357" t="s">
        <v>30</v>
      </c>
      <c r="H357" s="11" t="s">
        <v>731</v>
      </c>
      <c r="I357">
        <v>74246</v>
      </c>
      <c r="J357" s="22">
        <v>44665</v>
      </c>
      <c r="K357" s="22">
        <v>44707</v>
      </c>
      <c r="L357">
        <v>202205</v>
      </c>
      <c r="M357" s="22">
        <v>44682</v>
      </c>
      <c r="N357">
        <v>77871</v>
      </c>
      <c r="O357" t="s">
        <v>699</v>
      </c>
      <c r="P357" t="s">
        <v>712</v>
      </c>
      <c r="Q357" t="s">
        <v>612</v>
      </c>
      <c r="R357">
        <v>120205</v>
      </c>
      <c r="S357" s="22">
        <v>44804</v>
      </c>
      <c r="T357">
        <v>79600</v>
      </c>
      <c r="U357" t="s">
        <v>356</v>
      </c>
      <c r="V357" s="22">
        <v>44812</v>
      </c>
      <c r="W357" t="s">
        <v>673</v>
      </c>
      <c r="X357" t="s">
        <v>674</v>
      </c>
      <c r="Y357" t="s">
        <v>13</v>
      </c>
      <c r="Z357" t="s">
        <v>364</v>
      </c>
      <c r="AA357">
        <v>-69.94</v>
      </c>
      <c r="AC357" s="2">
        <f t="shared" si="72"/>
        <v>2022</v>
      </c>
      <c r="AD357" s="2">
        <f t="shared" si="73"/>
        <v>9</v>
      </c>
      <c r="AE357" s="2">
        <f t="shared" si="74"/>
        <v>2022</v>
      </c>
      <c r="AF357" s="2">
        <f t="shared" si="75"/>
        <v>4</v>
      </c>
      <c r="AG357" s="2" t="str">
        <f>VLOOKUP(F357,vlookup!$A$2:$E$660,2,0)</f>
        <v>Retained</v>
      </c>
      <c r="AH357" s="2" t="str">
        <f>VLOOKUP(F357,vlookup!$A$2:$E$660,3,0)</f>
        <v>Service Contract</v>
      </c>
      <c r="AI357" s="2" t="str">
        <f>VLOOKUP(F357,vlookup!$A$2:$E$660,4,0)</f>
        <v>Used Car Programs</v>
      </c>
      <c r="AJ357" s="2" t="str">
        <f>VLOOKUP(F357,vlookup!$A$2:$E$660,5,0)</f>
        <v>High Mileage</v>
      </c>
      <c r="AK357" s="2"/>
      <c r="AL357" s="2">
        <f t="shared" si="76"/>
        <v>42</v>
      </c>
      <c r="AM357" s="2">
        <f t="shared" si="77"/>
        <v>144</v>
      </c>
      <c r="AN357" s="2">
        <f t="shared" si="78"/>
        <v>5354</v>
      </c>
      <c r="AO357" s="2" t="str">
        <f t="shared" si="79"/>
        <v/>
      </c>
      <c r="AP357" s="2" t="str">
        <f t="shared" si="80"/>
        <v/>
      </c>
      <c r="AQ357" s="2" t="str">
        <f t="shared" si="81"/>
        <v/>
      </c>
      <c r="AR357" s="2">
        <f t="shared" si="82"/>
        <v>-69.94</v>
      </c>
      <c r="AS357" s="2" t="str">
        <f t="shared" si="83"/>
        <v>PTPGR159369D22-1</v>
      </c>
      <c r="AT357" s="2" t="str">
        <f>IFERROR(IF(VLOOKUP(Y357,vlookup!$I$2:$J$9,1,0)=Y357,VLOOKUP(Y357,vlookup!$I$2:$J$9,2,0),PROPER(Y357)),PROPER(Y357))</f>
        <v>Sales Tax</v>
      </c>
      <c r="AU357" s="2" t="str">
        <f>IFERROR(IF(B357=VLOOKUP(B357,vlookup!$L$2:$L$10,1,0),"Yes","No"),"No")</f>
        <v>No</v>
      </c>
    </row>
    <row r="358" spans="1:47" x14ac:dyDescent="0.25">
      <c r="A358" t="s">
        <v>729</v>
      </c>
      <c r="B358" t="s">
        <v>730</v>
      </c>
      <c r="C358">
        <v>1</v>
      </c>
      <c r="D358">
        <v>2</v>
      </c>
      <c r="E358" t="s">
        <v>382</v>
      </c>
      <c r="F358" t="s">
        <v>503</v>
      </c>
      <c r="G358" t="s">
        <v>30</v>
      </c>
      <c r="H358" s="11" t="s">
        <v>731</v>
      </c>
      <c r="I358">
        <v>74246</v>
      </c>
      <c r="J358" s="22">
        <v>44665</v>
      </c>
      <c r="K358" s="22">
        <v>44707</v>
      </c>
      <c r="L358">
        <v>202205</v>
      </c>
      <c r="M358" s="22">
        <v>44682</v>
      </c>
      <c r="N358">
        <v>77871</v>
      </c>
      <c r="O358" t="s">
        <v>699</v>
      </c>
      <c r="P358" t="s">
        <v>712</v>
      </c>
      <c r="Q358" t="s">
        <v>612</v>
      </c>
      <c r="R358">
        <v>120205</v>
      </c>
      <c r="S358" s="22">
        <v>44804</v>
      </c>
      <c r="T358">
        <v>79600</v>
      </c>
      <c r="U358" t="s">
        <v>356</v>
      </c>
      <c r="V358" s="22">
        <v>44812</v>
      </c>
      <c r="W358" t="s">
        <v>882</v>
      </c>
      <c r="X358" t="s">
        <v>883</v>
      </c>
      <c r="Y358" t="s">
        <v>13</v>
      </c>
      <c r="Z358" t="s">
        <v>364</v>
      </c>
      <c r="AA358">
        <v>-7.52</v>
      </c>
      <c r="AC358" s="2">
        <f t="shared" si="72"/>
        <v>2022</v>
      </c>
      <c r="AD358" s="2">
        <f t="shared" si="73"/>
        <v>9</v>
      </c>
      <c r="AE358" s="2">
        <f t="shared" si="74"/>
        <v>2022</v>
      </c>
      <c r="AF358" s="2">
        <f t="shared" si="75"/>
        <v>4</v>
      </c>
      <c r="AG358" s="2" t="str">
        <f>VLOOKUP(F358,vlookup!$A$2:$E$660,2,0)</f>
        <v>Retained</v>
      </c>
      <c r="AH358" s="2" t="str">
        <f>VLOOKUP(F358,vlookup!$A$2:$E$660,3,0)</f>
        <v>Service Contract</v>
      </c>
      <c r="AI358" s="2" t="str">
        <f>VLOOKUP(F358,vlookup!$A$2:$E$660,4,0)</f>
        <v>Used Car Programs</v>
      </c>
      <c r="AJ358" s="2" t="str">
        <f>VLOOKUP(F358,vlookup!$A$2:$E$660,5,0)</f>
        <v>High Mileage</v>
      </c>
      <c r="AK358" s="2"/>
      <c r="AL358" s="2">
        <f t="shared" si="76"/>
        <v>42</v>
      </c>
      <c r="AM358" s="2">
        <f t="shared" si="77"/>
        <v>144</v>
      </c>
      <c r="AN358" s="2">
        <f t="shared" si="78"/>
        <v>5354</v>
      </c>
      <c r="AO358" s="2" t="str">
        <f t="shared" si="79"/>
        <v/>
      </c>
      <c r="AP358" s="2" t="str">
        <f t="shared" si="80"/>
        <v/>
      </c>
      <c r="AQ358" s="2" t="str">
        <f t="shared" si="81"/>
        <v/>
      </c>
      <c r="AR358" s="2">
        <f t="shared" si="82"/>
        <v>-7.52</v>
      </c>
      <c r="AS358" s="2" t="str">
        <f t="shared" si="83"/>
        <v>PTPGR159369D22-1</v>
      </c>
      <c r="AT358" s="2" t="str">
        <f>IFERROR(IF(VLOOKUP(Y358,vlookup!$I$2:$J$9,1,0)=Y358,VLOOKUP(Y358,vlookup!$I$2:$J$9,2,0),PROPER(Y358)),PROPER(Y358))</f>
        <v>Sales Tax</v>
      </c>
      <c r="AU358" s="2" t="str">
        <f>IFERROR(IF(B358=VLOOKUP(B358,vlookup!$L$2:$L$10,1,0),"Yes","No"),"No")</f>
        <v>No</v>
      </c>
    </row>
    <row r="359" spans="1:47" x14ac:dyDescent="0.25">
      <c r="A359" t="s">
        <v>812</v>
      </c>
      <c r="B359" t="s">
        <v>813</v>
      </c>
      <c r="C359">
        <v>2</v>
      </c>
      <c r="D359">
        <v>1</v>
      </c>
      <c r="E359" t="s">
        <v>382</v>
      </c>
      <c r="F359" t="s">
        <v>346</v>
      </c>
      <c r="G359" t="s">
        <v>30</v>
      </c>
      <c r="H359" s="11" t="s">
        <v>633</v>
      </c>
      <c r="I359">
        <v>89241</v>
      </c>
      <c r="J359" s="22">
        <v>44398</v>
      </c>
      <c r="K359" s="22">
        <v>44412</v>
      </c>
      <c r="L359">
        <v>202107</v>
      </c>
      <c r="M359" s="22">
        <v>44378</v>
      </c>
      <c r="N359">
        <v>77871</v>
      </c>
      <c r="O359" t="s">
        <v>699</v>
      </c>
      <c r="P359" t="s">
        <v>712</v>
      </c>
      <c r="Q359" t="s">
        <v>612</v>
      </c>
      <c r="R359">
        <v>124540</v>
      </c>
      <c r="S359" s="22">
        <v>44888</v>
      </c>
      <c r="T359">
        <v>104824</v>
      </c>
      <c r="U359" t="s">
        <v>356</v>
      </c>
      <c r="V359" s="22">
        <v>44896</v>
      </c>
      <c r="W359" t="s">
        <v>814</v>
      </c>
      <c r="X359" t="s">
        <v>815</v>
      </c>
      <c r="Y359" t="s">
        <v>13</v>
      </c>
      <c r="Z359" t="s">
        <v>358</v>
      </c>
      <c r="AA359">
        <v>-15.42</v>
      </c>
      <c r="AC359" s="2">
        <f t="shared" si="72"/>
        <v>2022</v>
      </c>
      <c r="AD359" s="2">
        <f t="shared" si="73"/>
        <v>12</v>
      </c>
      <c r="AE359" s="2">
        <f t="shared" si="74"/>
        <v>2021</v>
      </c>
      <c r="AF359" s="2">
        <f t="shared" si="75"/>
        <v>7</v>
      </c>
      <c r="AG359" s="2" t="str">
        <f>VLOOKUP(F359,vlookup!$A$2:$E$660,2,0)</f>
        <v>Retained</v>
      </c>
      <c r="AH359" s="2" t="str">
        <f>VLOOKUP(F359,vlookup!$A$2:$E$660,3,0)</f>
        <v>Service Contract</v>
      </c>
      <c r="AI359" s="2" t="str">
        <f>VLOOKUP(F359,vlookup!$A$2:$E$660,4,0)</f>
        <v>Used Car Programs</v>
      </c>
      <c r="AJ359" s="2" t="str">
        <f>VLOOKUP(F359,vlookup!$A$2:$E$660,5,0)</f>
        <v>High Mileage</v>
      </c>
      <c r="AK359" s="2"/>
      <c r="AL359" s="2">
        <f t="shared" si="76"/>
        <v>13</v>
      </c>
      <c r="AM359" s="2">
        <f t="shared" si="77"/>
        <v>490</v>
      </c>
      <c r="AN359" s="2">
        <f t="shared" si="78"/>
        <v>15583</v>
      </c>
      <c r="AO359" s="2" t="str">
        <f t="shared" si="79"/>
        <v/>
      </c>
      <c r="AP359" s="2" t="str">
        <f t="shared" si="80"/>
        <v/>
      </c>
      <c r="AQ359" s="2" t="str">
        <f t="shared" si="81"/>
        <v/>
      </c>
      <c r="AR359" s="2">
        <f t="shared" si="82"/>
        <v>-15.42</v>
      </c>
      <c r="AS359" s="2" t="str">
        <f t="shared" si="83"/>
        <v>SDFFR140328G21-2</v>
      </c>
      <c r="AT359" s="2" t="str">
        <f>IFERROR(IF(VLOOKUP(Y359,vlookup!$I$2:$J$9,1,0)=Y359,VLOOKUP(Y359,vlookup!$I$2:$J$9,2,0),PROPER(Y359)),PROPER(Y359))</f>
        <v>Sales Tax</v>
      </c>
      <c r="AU359" s="2" t="str">
        <f>IFERROR(IF(B359=VLOOKUP(B359,vlookup!$L$2:$L$10,1,0),"Yes","No"),"No")</f>
        <v>No</v>
      </c>
    </row>
    <row r="360" spans="1:47" x14ac:dyDescent="0.25">
      <c r="A360" t="s">
        <v>816</v>
      </c>
      <c r="B360" t="s">
        <v>817</v>
      </c>
      <c r="C360">
        <v>1</v>
      </c>
      <c r="D360">
        <v>1</v>
      </c>
      <c r="E360" t="s">
        <v>382</v>
      </c>
      <c r="F360" t="s">
        <v>207</v>
      </c>
      <c r="G360" t="s">
        <v>30</v>
      </c>
      <c r="H360" s="11" t="s">
        <v>633</v>
      </c>
      <c r="I360">
        <v>102020</v>
      </c>
      <c r="J360" s="22">
        <v>44203</v>
      </c>
      <c r="K360" s="22">
        <v>44258</v>
      </c>
      <c r="L360">
        <v>202102</v>
      </c>
      <c r="M360" s="22">
        <v>44228</v>
      </c>
      <c r="N360">
        <v>77871</v>
      </c>
      <c r="O360" t="s">
        <v>699</v>
      </c>
      <c r="P360" t="s">
        <v>712</v>
      </c>
      <c r="Q360" t="s">
        <v>612</v>
      </c>
      <c r="R360">
        <v>905492</v>
      </c>
      <c r="S360" s="22">
        <v>44333</v>
      </c>
      <c r="T360">
        <v>107921</v>
      </c>
      <c r="U360" t="s">
        <v>356</v>
      </c>
      <c r="V360" s="22">
        <v>44333</v>
      </c>
      <c r="W360" t="s">
        <v>584</v>
      </c>
      <c r="X360" t="s">
        <v>585</v>
      </c>
      <c r="Y360" t="s">
        <v>13</v>
      </c>
      <c r="Z360" t="s">
        <v>576</v>
      </c>
      <c r="AA360">
        <v>-3.68</v>
      </c>
      <c r="AC360" s="2">
        <f t="shared" si="72"/>
        <v>2021</v>
      </c>
      <c r="AD360" s="2">
        <f t="shared" si="73"/>
        <v>5</v>
      </c>
      <c r="AE360" s="2">
        <f t="shared" si="74"/>
        <v>2021</v>
      </c>
      <c r="AF360" s="2">
        <f t="shared" si="75"/>
        <v>1</v>
      </c>
      <c r="AG360" s="2" t="str">
        <f>VLOOKUP(F360,vlookup!$A$2:$E$660,2,0)</f>
        <v>Retained</v>
      </c>
      <c r="AH360" s="2" t="str">
        <f>VLOOKUP(F360,vlookup!$A$2:$E$660,3,0)</f>
        <v>Service Contract</v>
      </c>
      <c r="AI360" s="2" t="str">
        <f>VLOOKUP(F360,vlookup!$A$2:$E$660,4,0)</f>
        <v>Used Car Programs</v>
      </c>
      <c r="AJ360" s="2" t="str">
        <f>VLOOKUP(F360,vlookup!$A$2:$E$660,5,0)</f>
        <v>High Mileage</v>
      </c>
      <c r="AK360" s="2"/>
      <c r="AL360" s="2">
        <f t="shared" si="76"/>
        <v>56</v>
      </c>
      <c r="AM360" s="2">
        <f t="shared" si="77"/>
        <v>130</v>
      </c>
      <c r="AN360" s="2">
        <f t="shared" si="78"/>
        <v>5901</v>
      </c>
      <c r="AO360" s="2" t="str">
        <f t="shared" si="79"/>
        <v/>
      </c>
      <c r="AP360" s="2" t="str">
        <f t="shared" si="80"/>
        <v/>
      </c>
      <c r="AQ360" s="2" t="str">
        <f t="shared" si="81"/>
        <v/>
      </c>
      <c r="AR360" s="2">
        <f t="shared" si="82"/>
        <v>-3.68</v>
      </c>
      <c r="AS360" s="2" t="str">
        <f t="shared" si="83"/>
        <v>APC500272-1</v>
      </c>
      <c r="AT360" s="2" t="str">
        <f>IFERROR(IF(VLOOKUP(Y360,vlookup!$I$2:$J$9,1,0)=Y360,VLOOKUP(Y360,vlookup!$I$2:$J$9,2,0),PROPER(Y360)),PROPER(Y360))</f>
        <v>Sales Tax</v>
      </c>
      <c r="AU360" s="2" t="str">
        <f>IFERROR(IF(B360=VLOOKUP(B360,vlookup!$L$2:$L$10,1,0),"Yes","No"),"No")</f>
        <v>No</v>
      </c>
    </row>
    <row r="361" spans="1:47" x14ac:dyDescent="0.25">
      <c r="A361" t="s">
        <v>816</v>
      </c>
      <c r="B361" t="s">
        <v>817</v>
      </c>
      <c r="C361">
        <v>1</v>
      </c>
      <c r="D361">
        <v>1</v>
      </c>
      <c r="E361" t="s">
        <v>382</v>
      </c>
      <c r="F361" t="s">
        <v>207</v>
      </c>
      <c r="G361" t="s">
        <v>30</v>
      </c>
      <c r="H361" s="11" t="s">
        <v>633</v>
      </c>
      <c r="I361">
        <v>102020</v>
      </c>
      <c r="J361" s="22">
        <v>44203</v>
      </c>
      <c r="K361" s="22">
        <v>44258</v>
      </c>
      <c r="L361">
        <v>202102</v>
      </c>
      <c r="M361" s="22">
        <v>44228</v>
      </c>
      <c r="N361">
        <v>77871</v>
      </c>
      <c r="O361" t="s">
        <v>699</v>
      </c>
      <c r="P361" t="s">
        <v>712</v>
      </c>
      <c r="Q361" t="s">
        <v>612</v>
      </c>
      <c r="R361">
        <v>905492</v>
      </c>
      <c r="S361" s="22">
        <v>44333</v>
      </c>
      <c r="T361">
        <v>107921</v>
      </c>
      <c r="U361" t="s">
        <v>356</v>
      </c>
      <c r="V361" s="22">
        <v>44333</v>
      </c>
      <c r="W361" t="s">
        <v>586</v>
      </c>
      <c r="X361" t="s">
        <v>587</v>
      </c>
      <c r="Y361" t="s">
        <v>13</v>
      </c>
      <c r="Z361" t="s">
        <v>576</v>
      </c>
      <c r="AA361">
        <v>-28.92</v>
      </c>
      <c r="AC361" s="2">
        <f t="shared" si="72"/>
        <v>2021</v>
      </c>
      <c r="AD361" s="2">
        <f t="shared" si="73"/>
        <v>5</v>
      </c>
      <c r="AE361" s="2">
        <f t="shared" si="74"/>
        <v>2021</v>
      </c>
      <c r="AF361" s="2">
        <f t="shared" si="75"/>
        <v>1</v>
      </c>
      <c r="AG361" s="2" t="str">
        <f>VLOOKUP(F361,vlookup!$A$2:$E$660,2,0)</f>
        <v>Retained</v>
      </c>
      <c r="AH361" s="2" t="str">
        <f>VLOOKUP(F361,vlookup!$A$2:$E$660,3,0)</f>
        <v>Service Contract</v>
      </c>
      <c r="AI361" s="2" t="str">
        <f>VLOOKUP(F361,vlookup!$A$2:$E$660,4,0)</f>
        <v>Used Car Programs</v>
      </c>
      <c r="AJ361" s="2" t="str">
        <f>VLOOKUP(F361,vlookup!$A$2:$E$660,5,0)</f>
        <v>High Mileage</v>
      </c>
      <c r="AK361" s="2"/>
      <c r="AL361" s="2">
        <f t="shared" si="76"/>
        <v>56</v>
      </c>
      <c r="AM361" s="2">
        <f t="shared" si="77"/>
        <v>130</v>
      </c>
      <c r="AN361" s="2">
        <f t="shared" si="78"/>
        <v>5901</v>
      </c>
      <c r="AO361" s="2" t="str">
        <f t="shared" si="79"/>
        <v/>
      </c>
      <c r="AP361" s="2" t="str">
        <f t="shared" si="80"/>
        <v/>
      </c>
      <c r="AQ361" s="2" t="str">
        <f t="shared" si="81"/>
        <v/>
      </c>
      <c r="AR361" s="2">
        <f t="shared" si="82"/>
        <v>-28.92</v>
      </c>
      <c r="AS361" s="2" t="str">
        <f t="shared" si="83"/>
        <v>APC500272-1</v>
      </c>
      <c r="AT361" s="2" t="str">
        <f>IFERROR(IF(VLOOKUP(Y361,vlookup!$I$2:$J$9,1,0)=Y361,VLOOKUP(Y361,vlookup!$I$2:$J$9,2,0),PROPER(Y361)),PROPER(Y361))</f>
        <v>Sales Tax</v>
      </c>
      <c r="AU361" s="2" t="str">
        <f>IFERROR(IF(B361=VLOOKUP(B361,vlookup!$L$2:$L$10,1,0),"Yes","No"),"No")</f>
        <v>No</v>
      </c>
    </row>
    <row r="362" spans="1:47" x14ac:dyDescent="0.25">
      <c r="A362" t="s">
        <v>816</v>
      </c>
      <c r="B362" t="s">
        <v>817</v>
      </c>
      <c r="C362">
        <v>1</v>
      </c>
      <c r="D362">
        <v>1</v>
      </c>
      <c r="E362" t="s">
        <v>382</v>
      </c>
      <c r="F362" t="s">
        <v>207</v>
      </c>
      <c r="G362" t="s">
        <v>30</v>
      </c>
      <c r="H362" s="11" t="s">
        <v>633</v>
      </c>
      <c r="I362">
        <v>102020</v>
      </c>
      <c r="J362" s="22">
        <v>44203</v>
      </c>
      <c r="K362" s="22">
        <v>44258</v>
      </c>
      <c r="L362">
        <v>202102</v>
      </c>
      <c r="M362" s="22">
        <v>44228</v>
      </c>
      <c r="N362">
        <v>77871</v>
      </c>
      <c r="O362" t="s">
        <v>699</v>
      </c>
      <c r="P362" t="s">
        <v>712</v>
      </c>
      <c r="Q362" t="s">
        <v>612</v>
      </c>
      <c r="R362">
        <v>905492</v>
      </c>
      <c r="S362" s="22">
        <v>44333</v>
      </c>
      <c r="T362">
        <v>107921</v>
      </c>
      <c r="U362" t="s">
        <v>356</v>
      </c>
      <c r="V362" s="22">
        <v>44333</v>
      </c>
      <c r="W362" t="s">
        <v>667</v>
      </c>
      <c r="X362" t="s">
        <v>668</v>
      </c>
      <c r="Y362" t="s">
        <v>13</v>
      </c>
      <c r="Z362" t="s">
        <v>576</v>
      </c>
      <c r="AA362">
        <v>-1.91</v>
      </c>
      <c r="AC362" s="2">
        <f t="shared" si="72"/>
        <v>2021</v>
      </c>
      <c r="AD362" s="2">
        <f t="shared" si="73"/>
        <v>5</v>
      </c>
      <c r="AE362" s="2">
        <f t="shared" si="74"/>
        <v>2021</v>
      </c>
      <c r="AF362" s="2">
        <f t="shared" si="75"/>
        <v>1</v>
      </c>
      <c r="AG362" s="2" t="str">
        <f>VLOOKUP(F362,vlookup!$A$2:$E$660,2,0)</f>
        <v>Retained</v>
      </c>
      <c r="AH362" s="2" t="str">
        <f>VLOOKUP(F362,vlookup!$A$2:$E$660,3,0)</f>
        <v>Service Contract</v>
      </c>
      <c r="AI362" s="2" t="str">
        <f>VLOOKUP(F362,vlookup!$A$2:$E$660,4,0)</f>
        <v>Used Car Programs</v>
      </c>
      <c r="AJ362" s="2" t="str">
        <f>VLOOKUP(F362,vlookup!$A$2:$E$660,5,0)</f>
        <v>High Mileage</v>
      </c>
      <c r="AK362" s="2"/>
      <c r="AL362" s="2">
        <f t="shared" si="76"/>
        <v>56</v>
      </c>
      <c r="AM362" s="2">
        <f t="shared" si="77"/>
        <v>130</v>
      </c>
      <c r="AN362" s="2">
        <f t="shared" si="78"/>
        <v>5901</v>
      </c>
      <c r="AO362" s="2" t="str">
        <f t="shared" si="79"/>
        <v/>
      </c>
      <c r="AP362" s="2" t="str">
        <f t="shared" si="80"/>
        <v/>
      </c>
      <c r="AQ362" s="2" t="str">
        <f t="shared" si="81"/>
        <v/>
      </c>
      <c r="AR362" s="2">
        <f t="shared" si="82"/>
        <v>-1.91</v>
      </c>
      <c r="AS362" s="2" t="str">
        <f t="shared" si="83"/>
        <v>APC500272-1</v>
      </c>
      <c r="AT362" s="2" t="str">
        <f>IFERROR(IF(VLOOKUP(Y362,vlookup!$I$2:$J$9,1,0)=Y362,VLOOKUP(Y362,vlookup!$I$2:$J$9,2,0),PROPER(Y362)),PROPER(Y362))</f>
        <v>Sales Tax</v>
      </c>
      <c r="AU362" s="2" t="str">
        <f>IFERROR(IF(B362=VLOOKUP(B362,vlookup!$L$2:$L$10,1,0),"Yes","No"),"No")</f>
        <v>No</v>
      </c>
    </row>
    <row r="363" spans="1:47" x14ac:dyDescent="0.25">
      <c r="A363" t="s">
        <v>816</v>
      </c>
      <c r="B363" t="s">
        <v>817</v>
      </c>
      <c r="C363">
        <v>1</v>
      </c>
      <c r="D363">
        <v>1</v>
      </c>
      <c r="E363" t="s">
        <v>382</v>
      </c>
      <c r="F363" t="s">
        <v>207</v>
      </c>
      <c r="G363" t="s">
        <v>30</v>
      </c>
      <c r="H363" s="11" t="s">
        <v>633</v>
      </c>
      <c r="I363">
        <v>102020</v>
      </c>
      <c r="J363" s="22">
        <v>44203</v>
      </c>
      <c r="K363" s="22">
        <v>44258</v>
      </c>
      <c r="L363">
        <v>202102</v>
      </c>
      <c r="M363" s="22">
        <v>44228</v>
      </c>
      <c r="N363">
        <v>77871</v>
      </c>
      <c r="O363" t="s">
        <v>699</v>
      </c>
      <c r="P363" t="s">
        <v>712</v>
      </c>
      <c r="Q363" t="s">
        <v>612</v>
      </c>
      <c r="R363">
        <v>905492</v>
      </c>
      <c r="S363" s="22">
        <v>44333</v>
      </c>
      <c r="T363">
        <v>107921</v>
      </c>
      <c r="U363" t="s">
        <v>356</v>
      </c>
      <c r="V363" s="22">
        <v>44333</v>
      </c>
      <c r="W363" t="s">
        <v>669</v>
      </c>
      <c r="X363" t="s">
        <v>670</v>
      </c>
      <c r="Y363" t="s">
        <v>13</v>
      </c>
      <c r="Z363" t="s">
        <v>576</v>
      </c>
      <c r="AA363">
        <v>-1.81</v>
      </c>
      <c r="AC363" s="2">
        <f t="shared" si="72"/>
        <v>2021</v>
      </c>
      <c r="AD363" s="2">
        <f t="shared" si="73"/>
        <v>5</v>
      </c>
      <c r="AE363" s="2">
        <f t="shared" si="74"/>
        <v>2021</v>
      </c>
      <c r="AF363" s="2">
        <f t="shared" si="75"/>
        <v>1</v>
      </c>
      <c r="AG363" s="2" t="str">
        <f>VLOOKUP(F363,vlookup!$A$2:$E$660,2,0)</f>
        <v>Retained</v>
      </c>
      <c r="AH363" s="2" t="str">
        <f>VLOOKUP(F363,vlookup!$A$2:$E$660,3,0)</f>
        <v>Service Contract</v>
      </c>
      <c r="AI363" s="2" t="str">
        <f>VLOOKUP(F363,vlookup!$A$2:$E$660,4,0)</f>
        <v>Used Car Programs</v>
      </c>
      <c r="AJ363" s="2" t="str">
        <f>VLOOKUP(F363,vlookup!$A$2:$E$660,5,0)</f>
        <v>High Mileage</v>
      </c>
      <c r="AK363" s="2"/>
      <c r="AL363" s="2">
        <f t="shared" si="76"/>
        <v>56</v>
      </c>
      <c r="AM363" s="2">
        <f t="shared" si="77"/>
        <v>130</v>
      </c>
      <c r="AN363" s="2">
        <f t="shared" si="78"/>
        <v>5901</v>
      </c>
      <c r="AO363" s="2" t="str">
        <f t="shared" si="79"/>
        <v/>
      </c>
      <c r="AP363" s="2" t="str">
        <f t="shared" si="80"/>
        <v/>
      </c>
      <c r="AQ363" s="2" t="str">
        <f t="shared" si="81"/>
        <v/>
      </c>
      <c r="AR363" s="2">
        <f t="shared" si="82"/>
        <v>-1.81</v>
      </c>
      <c r="AS363" s="2" t="str">
        <f t="shared" si="83"/>
        <v>APC500272-1</v>
      </c>
      <c r="AT363" s="2" t="str">
        <f>IFERROR(IF(VLOOKUP(Y363,vlookup!$I$2:$J$9,1,0)=Y363,VLOOKUP(Y363,vlookup!$I$2:$J$9,2,0),PROPER(Y363)),PROPER(Y363))</f>
        <v>Sales Tax</v>
      </c>
      <c r="AU363" s="2" t="str">
        <f>IFERROR(IF(B363=VLOOKUP(B363,vlookup!$L$2:$L$10,1,0),"Yes","No"),"No")</f>
        <v>No</v>
      </c>
    </row>
    <row r="364" spans="1:47" x14ac:dyDescent="0.25">
      <c r="A364" t="s">
        <v>816</v>
      </c>
      <c r="B364" t="s">
        <v>817</v>
      </c>
      <c r="C364">
        <v>2</v>
      </c>
      <c r="D364">
        <v>1</v>
      </c>
      <c r="E364" t="s">
        <v>382</v>
      </c>
      <c r="F364" t="s">
        <v>207</v>
      </c>
      <c r="G364" t="s">
        <v>30</v>
      </c>
      <c r="H364" s="11" t="s">
        <v>633</v>
      </c>
      <c r="I364">
        <v>102020</v>
      </c>
      <c r="J364" s="22">
        <v>44203</v>
      </c>
      <c r="K364" s="22">
        <v>44258</v>
      </c>
      <c r="L364">
        <v>202102</v>
      </c>
      <c r="M364" s="22">
        <v>44228</v>
      </c>
      <c r="N364">
        <v>77871</v>
      </c>
      <c r="O364" t="s">
        <v>699</v>
      </c>
      <c r="P364" t="s">
        <v>818</v>
      </c>
      <c r="Q364" t="s">
        <v>819</v>
      </c>
      <c r="R364">
        <v>28015</v>
      </c>
      <c r="S364" s="22">
        <v>44482</v>
      </c>
      <c r="T364">
        <v>115042</v>
      </c>
      <c r="U364" t="s">
        <v>356</v>
      </c>
      <c r="V364" s="22">
        <v>44482</v>
      </c>
      <c r="W364" t="s">
        <v>820</v>
      </c>
      <c r="X364" t="s">
        <v>821</v>
      </c>
      <c r="Y364" t="s">
        <v>13</v>
      </c>
      <c r="Z364" t="s">
        <v>364</v>
      </c>
      <c r="AA364">
        <v>-2.13</v>
      </c>
      <c r="AC364" s="2">
        <f t="shared" si="72"/>
        <v>2021</v>
      </c>
      <c r="AD364" s="2">
        <f t="shared" si="73"/>
        <v>10</v>
      </c>
      <c r="AE364" s="2">
        <f t="shared" si="74"/>
        <v>2021</v>
      </c>
      <c r="AF364" s="2">
        <f t="shared" si="75"/>
        <v>1</v>
      </c>
      <c r="AG364" s="2" t="str">
        <f>VLOOKUP(F364,vlookup!$A$2:$E$660,2,0)</f>
        <v>Retained</v>
      </c>
      <c r="AH364" s="2" t="str">
        <f>VLOOKUP(F364,vlookup!$A$2:$E$660,3,0)</f>
        <v>Service Contract</v>
      </c>
      <c r="AI364" s="2" t="str">
        <f>VLOOKUP(F364,vlookup!$A$2:$E$660,4,0)</f>
        <v>Used Car Programs</v>
      </c>
      <c r="AJ364" s="2" t="str">
        <f>VLOOKUP(F364,vlookup!$A$2:$E$660,5,0)</f>
        <v>High Mileage</v>
      </c>
      <c r="AK364" s="2"/>
      <c r="AL364" s="2">
        <f t="shared" si="76"/>
        <v>56</v>
      </c>
      <c r="AM364" s="2">
        <f t="shared" si="77"/>
        <v>276</v>
      </c>
      <c r="AN364" s="2">
        <f t="shared" si="78"/>
        <v>13022</v>
      </c>
      <c r="AO364" s="2" t="str">
        <f t="shared" si="79"/>
        <v/>
      </c>
      <c r="AP364" s="2" t="str">
        <f t="shared" si="80"/>
        <v/>
      </c>
      <c r="AQ364" s="2" t="str">
        <f t="shared" si="81"/>
        <v/>
      </c>
      <c r="AR364" s="2">
        <f t="shared" si="82"/>
        <v>-2.13</v>
      </c>
      <c r="AS364" s="2" t="str">
        <f t="shared" si="83"/>
        <v>APC500272-2</v>
      </c>
      <c r="AT364" s="2" t="str">
        <f>IFERROR(IF(VLOOKUP(Y364,vlookup!$I$2:$J$9,1,0)=Y364,VLOOKUP(Y364,vlookup!$I$2:$J$9,2,0),PROPER(Y364)),PROPER(Y364))</f>
        <v>Sales Tax</v>
      </c>
      <c r="AU364" s="2" t="str">
        <f>IFERROR(IF(B364=VLOOKUP(B364,vlookup!$L$2:$L$10,1,0),"Yes","No"),"No")</f>
        <v>No</v>
      </c>
    </row>
    <row r="365" spans="1:47" x14ac:dyDescent="0.25">
      <c r="A365" t="s">
        <v>816</v>
      </c>
      <c r="B365" t="s">
        <v>817</v>
      </c>
      <c r="C365">
        <v>3</v>
      </c>
      <c r="D365">
        <v>1</v>
      </c>
      <c r="E365" t="s">
        <v>382</v>
      </c>
      <c r="F365" t="s">
        <v>207</v>
      </c>
      <c r="G365" t="s">
        <v>30</v>
      </c>
      <c r="H365" s="11" t="s">
        <v>633</v>
      </c>
      <c r="I365">
        <v>102020</v>
      </c>
      <c r="J365" s="22">
        <v>44203</v>
      </c>
      <c r="K365" s="22">
        <v>44258</v>
      </c>
      <c r="L365">
        <v>202102</v>
      </c>
      <c r="M365" s="22">
        <v>44228</v>
      </c>
      <c r="N365">
        <v>77871</v>
      </c>
      <c r="O365" t="s">
        <v>699</v>
      </c>
      <c r="P365" t="s">
        <v>818</v>
      </c>
      <c r="Q365" t="s">
        <v>819</v>
      </c>
      <c r="R365">
        <v>5363</v>
      </c>
      <c r="S365" s="22">
        <v>44578</v>
      </c>
      <c r="T365">
        <v>118885</v>
      </c>
      <c r="U365" t="s">
        <v>356</v>
      </c>
      <c r="V365" s="22">
        <v>44579</v>
      </c>
      <c r="W365" t="s">
        <v>646</v>
      </c>
      <c r="X365" t="s">
        <v>647</v>
      </c>
      <c r="Y365" t="s">
        <v>13</v>
      </c>
      <c r="Z365" t="s">
        <v>579</v>
      </c>
      <c r="AA365">
        <v>-97.6</v>
      </c>
      <c r="AC365" s="2">
        <f t="shared" si="72"/>
        <v>2022</v>
      </c>
      <c r="AD365" s="2">
        <f t="shared" si="73"/>
        <v>1</v>
      </c>
      <c r="AE365" s="2">
        <f t="shared" si="74"/>
        <v>2021</v>
      </c>
      <c r="AF365" s="2">
        <f t="shared" si="75"/>
        <v>1</v>
      </c>
      <c r="AG365" s="2" t="str">
        <f>VLOOKUP(F365,vlookup!$A$2:$E$660,2,0)</f>
        <v>Retained</v>
      </c>
      <c r="AH365" s="2" t="str">
        <f>VLOOKUP(F365,vlookup!$A$2:$E$660,3,0)</f>
        <v>Service Contract</v>
      </c>
      <c r="AI365" s="2" t="str">
        <f>VLOOKUP(F365,vlookup!$A$2:$E$660,4,0)</f>
        <v>Used Car Programs</v>
      </c>
      <c r="AJ365" s="2" t="str">
        <f>VLOOKUP(F365,vlookup!$A$2:$E$660,5,0)</f>
        <v>High Mileage</v>
      </c>
      <c r="AK365" s="2"/>
      <c r="AL365" s="2">
        <f t="shared" si="76"/>
        <v>56</v>
      </c>
      <c r="AM365" s="2">
        <f t="shared" si="77"/>
        <v>371</v>
      </c>
      <c r="AN365" s="2">
        <f t="shared" si="78"/>
        <v>16865</v>
      </c>
      <c r="AO365" s="2" t="str">
        <f t="shared" si="79"/>
        <v/>
      </c>
      <c r="AP365" s="2" t="str">
        <f t="shared" si="80"/>
        <v/>
      </c>
      <c r="AQ365" s="2" t="str">
        <f t="shared" si="81"/>
        <v/>
      </c>
      <c r="AR365" s="2">
        <f t="shared" si="82"/>
        <v>-97.6</v>
      </c>
      <c r="AS365" s="2" t="str">
        <f t="shared" si="83"/>
        <v>APC500272-3</v>
      </c>
      <c r="AT365" s="2" t="str">
        <f>IFERROR(IF(VLOOKUP(Y365,vlookup!$I$2:$J$9,1,0)=Y365,VLOOKUP(Y365,vlookup!$I$2:$J$9,2,0),PROPER(Y365)),PROPER(Y365))</f>
        <v>Sales Tax</v>
      </c>
      <c r="AU365" s="2" t="str">
        <f>IFERROR(IF(B365=VLOOKUP(B365,vlookup!$L$2:$L$10,1,0),"Yes","No"),"No")</f>
        <v>No</v>
      </c>
    </row>
    <row r="366" spans="1:47" x14ac:dyDescent="0.25">
      <c r="A366" t="s">
        <v>816</v>
      </c>
      <c r="B366" t="s">
        <v>817</v>
      </c>
      <c r="C366">
        <v>3</v>
      </c>
      <c r="D366">
        <v>1</v>
      </c>
      <c r="E366" t="s">
        <v>382</v>
      </c>
      <c r="F366" t="s">
        <v>207</v>
      </c>
      <c r="G366" t="s">
        <v>30</v>
      </c>
      <c r="H366" s="11" t="s">
        <v>633</v>
      </c>
      <c r="I366">
        <v>102020</v>
      </c>
      <c r="J366" s="22">
        <v>44203</v>
      </c>
      <c r="K366" s="22">
        <v>44258</v>
      </c>
      <c r="L366">
        <v>202102</v>
      </c>
      <c r="M366" s="22">
        <v>44228</v>
      </c>
      <c r="N366">
        <v>77871</v>
      </c>
      <c r="O366" t="s">
        <v>699</v>
      </c>
      <c r="P366" t="s">
        <v>818</v>
      </c>
      <c r="Q366" t="s">
        <v>819</v>
      </c>
      <c r="R366">
        <v>5363</v>
      </c>
      <c r="S366" s="22">
        <v>44578</v>
      </c>
      <c r="T366">
        <v>118885</v>
      </c>
      <c r="U366" t="s">
        <v>356</v>
      </c>
      <c r="V366" s="22">
        <v>44579</v>
      </c>
      <c r="W366" t="s">
        <v>822</v>
      </c>
      <c r="X366" t="s">
        <v>823</v>
      </c>
      <c r="Y366" t="s">
        <v>13</v>
      </c>
      <c r="Z366" t="s">
        <v>579</v>
      </c>
      <c r="AA366">
        <v>-50.39</v>
      </c>
      <c r="AC366" s="2">
        <f t="shared" si="72"/>
        <v>2022</v>
      </c>
      <c r="AD366" s="2">
        <f t="shared" si="73"/>
        <v>1</v>
      </c>
      <c r="AE366" s="2">
        <f t="shared" si="74"/>
        <v>2021</v>
      </c>
      <c r="AF366" s="2">
        <f t="shared" si="75"/>
        <v>1</v>
      </c>
      <c r="AG366" s="2" t="str">
        <f>VLOOKUP(F366,vlookup!$A$2:$E$660,2,0)</f>
        <v>Retained</v>
      </c>
      <c r="AH366" s="2" t="str">
        <f>VLOOKUP(F366,vlookup!$A$2:$E$660,3,0)</f>
        <v>Service Contract</v>
      </c>
      <c r="AI366" s="2" t="str">
        <f>VLOOKUP(F366,vlookup!$A$2:$E$660,4,0)</f>
        <v>Used Car Programs</v>
      </c>
      <c r="AJ366" s="2" t="str">
        <f>VLOOKUP(F366,vlookup!$A$2:$E$660,5,0)</f>
        <v>High Mileage</v>
      </c>
      <c r="AK366" s="2"/>
      <c r="AL366" s="2">
        <f t="shared" si="76"/>
        <v>56</v>
      </c>
      <c r="AM366" s="2">
        <f t="shared" si="77"/>
        <v>371</v>
      </c>
      <c r="AN366" s="2">
        <f t="shared" si="78"/>
        <v>16865</v>
      </c>
      <c r="AO366" s="2" t="str">
        <f t="shared" si="79"/>
        <v/>
      </c>
      <c r="AP366" s="2" t="str">
        <f t="shared" si="80"/>
        <v/>
      </c>
      <c r="AQ366" s="2" t="str">
        <f t="shared" si="81"/>
        <v/>
      </c>
      <c r="AR366" s="2">
        <f t="shared" si="82"/>
        <v>-50.39</v>
      </c>
      <c r="AS366" s="2" t="str">
        <f t="shared" si="83"/>
        <v>APC500272-3</v>
      </c>
      <c r="AT366" s="2" t="str">
        <f>IFERROR(IF(VLOOKUP(Y366,vlookup!$I$2:$J$9,1,0)=Y366,VLOOKUP(Y366,vlookup!$I$2:$J$9,2,0),PROPER(Y366)),PROPER(Y366))</f>
        <v>Sales Tax</v>
      </c>
      <c r="AU366" s="2" t="str">
        <f>IFERROR(IF(B366=VLOOKUP(B366,vlookup!$L$2:$L$10,1,0),"Yes","No"),"No")</f>
        <v>No</v>
      </c>
    </row>
    <row r="367" spans="1:47" x14ac:dyDescent="0.25">
      <c r="A367" t="s">
        <v>732</v>
      </c>
      <c r="B367" t="s">
        <v>733</v>
      </c>
      <c r="C367">
        <v>1</v>
      </c>
      <c r="D367">
        <v>1</v>
      </c>
      <c r="E367" t="s">
        <v>382</v>
      </c>
      <c r="F367" t="s">
        <v>257</v>
      </c>
      <c r="G367" t="s">
        <v>610</v>
      </c>
      <c r="H367" s="11" t="s">
        <v>633</v>
      </c>
      <c r="I367">
        <v>43130</v>
      </c>
      <c r="J367" s="22">
        <v>44147</v>
      </c>
      <c r="K367" s="22">
        <v>44229</v>
      </c>
      <c r="L367">
        <v>202101</v>
      </c>
      <c r="M367" s="22">
        <v>44197</v>
      </c>
      <c r="N367">
        <v>77871</v>
      </c>
      <c r="O367" t="s">
        <v>699</v>
      </c>
      <c r="P367" t="s">
        <v>712</v>
      </c>
      <c r="Q367" t="s">
        <v>612</v>
      </c>
      <c r="R367">
        <v>101389</v>
      </c>
      <c r="S367" s="22">
        <v>44424</v>
      </c>
      <c r="T367">
        <v>43753</v>
      </c>
      <c r="U367" t="s">
        <v>356</v>
      </c>
      <c r="V367" s="22">
        <v>44426</v>
      </c>
      <c r="W367" t="s">
        <v>824</v>
      </c>
      <c r="X367" t="s">
        <v>825</v>
      </c>
      <c r="Y367" t="s">
        <v>13</v>
      </c>
      <c r="Z367" t="s">
        <v>358</v>
      </c>
      <c r="AA367">
        <v>-63</v>
      </c>
      <c r="AC367" s="2">
        <f t="shared" si="72"/>
        <v>2021</v>
      </c>
      <c r="AD367" s="2">
        <f t="shared" si="73"/>
        <v>8</v>
      </c>
      <c r="AE367" s="2">
        <f t="shared" si="74"/>
        <v>2020</v>
      </c>
      <c r="AF367" s="2">
        <f t="shared" si="75"/>
        <v>11</v>
      </c>
      <c r="AG367" s="2" t="str">
        <f>VLOOKUP(F367,vlookup!$A$2:$E$660,2,0)</f>
        <v>Retained</v>
      </c>
      <c r="AH367" s="2" t="str">
        <f>VLOOKUP(F367,vlookup!$A$2:$E$660,3,0)</f>
        <v>Service Contract</v>
      </c>
      <c r="AI367" s="2" t="str">
        <f>VLOOKUP(F367,vlookup!$A$2:$E$660,4,0)</f>
        <v>Used Car Programs</v>
      </c>
      <c r="AJ367" s="2" t="str">
        <f>VLOOKUP(F367,vlookup!$A$2:$E$660,5,0)</f>
        <v>High Mileage</v>
      </c>
      <c r="AK367" s="2"/>
      <c r="AL367" s="2">
        <f t="shared" si="76"/>
        <v>80</v>
      </c>
      <c r="AM367" s="2">
        <f t="shared" si="77"/>
        <v>276</v>
      </c>
      <c r="AN367" s="2">
        <f t="shared" si="78"/>
        <v>623</v>
      </c>
      <c r="AO367" s="2" t="str">
        <f t="shared" si="79"/>
        <v/>
      </c>
      <c r="AP367" s="2" t="str">
        <f t="shared" si="80"/>
        <v/>
      </c>
      <c r="AQ367" s="2" t="str">
        <f t="shared" si="81"/>
        <v/>
      </c>
      <c r="AR367" s="2">
        <f t="shared" si="82"/>
        <v>-63</v>
      </c>
      <c r="AS367" s="2" t="str">
        <f t="shared" si="83"/>
        <v>SNFJR295989K20-1</v>
      </c>
      <c r="AT367" s="2" t="str">
        <f>IFERROR(IF(VLOOKUP(Y367,vlookup!$I$2:$J$9,1,0)=Y367,VLOOKUP(Y367,vlookup!$I$2:$J$9,2,0),PROPER(Y367)),PROPER(Y367))</f>
        <v>Sales Tax</v>
      </c>
      <c r="AU367" s="2" t="str">
        <f>IFERROR(IF(B367=VLOOKUP(B367,vlookup!$L$2:$L$10,1,0),"Yes","No"),"No")</f>
        <v>No</v>
      </c>
    </row>
    <row r="368" spans="1:47" x14ac:dyDescent="0.25">
      <c r="A368" t="s">
        <v>759</v>
      </c>
      <c r="B368" t="s">
        <v>760</v>
      </c>
      <c r="C368">
        <v>1</v>
      </c>
      <c r="D368">
        <v>1</v>
      </c>
      <c r="E368" t="s">
        <v>572</v>
      </c>
      <c r="F368" t="s">
        <v>207</v>
      </c>
      <c r="G368" t="s">
        <v>543</v>
      </c>
      <c r="H368" s="11" t="s">
        <v>609</v>
      </c>
      <c r="I368">
        <v>100055</v>
      </c>
      <c r="J368" s="22">
        <v>44275</v>
      </c>
      <c r="K368" s="22">
        <v>44342</v>
      </c>
      <c r="L368">
        <v>202105</v>
      </c>
      <c r="M368" s="22">
        <v>44317</v>
      </c>
      <c r="N368">
        <v>77871</v>
      </c>
      <c r="O368" t="s">
        <v>699</v>
      </c>
      <c r="P368" t="s">
        <v>712</v>
      </c>
      <c r="Q368" t="s">
        <v>612</v>
      </c>
      <c r="R368">
        <v>907991</v>
      </c>
      <c r="S368" s="22">
        <v>44375</v>
      </c>
      <c r="T368">
        <v>104913</v>
      </c>
      <c r="U368" t="s">
        <v>356</v>
      </c>
      <c r="V368" s="22">
        <v>44375</v>
      </c>
      <c r="W368" t="s">
        <v>810</v>
      </c>
      <c r="X368" t="s">
        <v>811</v>
      </c>
      <c r="Y368" t="s">
        <v>13</v>
      </c>
      <c r="Z368" t="s">
        <v>579</v>
      </c>
      <c r="AA368">
        <v>-42.01</v>
      </c>
      <c r="AC368" s="2">
        <f t="shared" si="72"/>
        <v>2021</v>
      </c>
      <c r="AD368" s="2">
        <f t="shared" si="73"/>
        <v>6</v>
      </c>
      <c r="AE368" s="2">
        <f t="shared" si="74"/>
        <v>2021</v>
      </c>
      <c r="AF368" s="2">
        <f t="shared" si="75"/>
        <v>3</v>
      </c>
      <c r="AG368" s="2" t="str">
        <f>VLOOKUP(F368,vlookup!$A$2:$E$660,2,0)</f>
        <v>Retained</v>
      </c>
      <c r="AH368" s="2" t="str">
        <f>VLOOKUP(F368,vlookup!$A$2:$E$660,3,0)</f>
        <v>Service Contract</v>
      </c>
      <c r="AI368" s="2" t="str">
        <f>VLOOKUP(F368,vlookup!$A$2:$E$660,4,0)</f>
        <v>Used Car Programs</v>
      </c>
      <c r="AJ368" s="2" t="str">
        <f>VLOOKUP(F368,vlookup!$A$2:$E$660,5,0)</f>
        <v>High Mileage</v>
      </c>
      <c r="AK368" s="2"/>
      <c r="AL368" s="2">
        <f t="shared" si="76"/>
        <v>66</v>
      </c>
      <c r="AM368" s="2">
        <f t="shared" si="77"/>
        <v>98</v>
      </c>
      <c r="AN368" s="2">
        <f t="shared" si="78"/>
        <v>4858</v>
      </c>
      <c r="AO368" s="2" t="str">
        <f t="shared" si="79"/>
        <v/>
      </c>
      <c r="AP368" s="2" t="str">
        <f t="shared" si="80"/>
        <v/>
      </c>
      <c r="AQ368" s="2" t="str">
        <f t="shared" si="81"/>
        <v/>
      </c>
      <c r="AR368" s="2">
        <f t="shared" si="82"/>
        <v>-42.01</v>
      </c>
      <c r="AS368" s="2" t="str">
        <f t="shared" si="83"/>
        <v>APC500369-1</v>
      </c>
      <c r="AT368" s="2" t="str">
        <f>IFERROR(IF(VLOOKUP(Y368,vlookup!$I$2:$J$9,1,0)=Y368,VLOOKUP(Y368,vlookup!$I$2:$J$9,2,0),PROPER(Y368)),PROPER(Y368))</f>
        <v>Sales Tax</v>
      </c>
      <c r="AU368" s="2" t="str">
        <f>IFERROR(IF(B368=VLOOKUP(B368,vlookup!$L$2:$L$10,1,0),"Yes","No"),"No")</f>
        <v>No</v>
      </c>
    </row>
    <row r="369" spans="1:47" x14ac:dyDescent="0.25">
      <c r="A369" t="s">
        <v>759</v>
      </c>
      <c r="B369" t="s">
        <v>760</v>
      </c>
      <c r="C369">
        <v>2</v>
      </c>
      <c r="D369">
        <v>1</v>
      </c>
      <c r="E369" t="s">
        <v>572</v>
      </c>
      <c r="F369" t="s">
        <v>207</v>
      </c>
      <c r="G369" t="s">
        <v>543</v>
      </c>
      <c r="H369" s="11" t="s">
        <v>609</v>
      </c>
      <c r="I369">
        <v>100055</v>
      </c>
      <c r="J369" s="22">
        <v>44275</v>
      </c>
      <c r="K369" s="22">
        <v>44342</v>
      </c>
      <c r="L369">
        <v>202105</v>
      </c>
      <c r="M369" s="22">
        <v>44317</v>
      </c>
      <c r="N369">
        <v>77871</v>
      </c>
      <c r="O369" t="s">
        <v>699</v>
      </c>
      <c r="P369" t="s">
        <v>712</v>
      </c>
      <c r="Q369" t="s">
        <v>612</v>
      </c>
      <c r="R369">
        <v>101341</v>
      </c>
      <c r="S369" s="22">
        <v>44422</v>
      </c>
      <c r="T369">
        <v>106194</v>
      </c>
      <c r="U369" t="s">
        <v>356</v>
      </c>
      <c r="V369" s="22">
        <v>44426</v>
      </c>
      <c r="W369" t="s">
        <v>596</v>
      </c>
      <c r="X369" t="s">
        <v>597</v>
      </c>
      <c r="Y369" t="s">
        <v>13</v>
      </c>
      <c r="Z369" t="s">
        <v>358</v>
      </c>
      <c r="AA369">
        <v>-18.350000000000001</v>
      </c>
      <c r="AC369" s="2">
        <f t="shared" si="72"/>
        <v>2021</v>
      </c>
      <c r="AD369" s="2">
        <f t="shared" si="73"/>
        <v>8</v>
      </c>
      <c r="AE369" s="2">
        <f t="shared" si="74"/>
        <v>2021</v>
      </c>
      <c r="AF369" s="2">
        <f t="shared" si="75"/>
        <v>3</v>
      </c>
      <c r="AG369" s="2" t="str">
        <f>VLOOKUP(F369,vlookup!$A$2:$E$660,2,0)</f>
        <v>Retained</v>
      </c>
      <c r="AH369" s="2" t="str">
        <f>VLOOKUP(F369,vlookup!$A$2:$E$660,3,0)</f>
        <v>Service Contract</v>
      </c>
      <c r="AI369" s="2" t="str">
        <f>VLOOKUP(F369,vlookup!$A$2:$E$660,4,0)</f>
        <v>Used Car Programs</v>
      </c>
      <c r="AJ369" s="2" t="str">
        <f>VLOOKUP(F369,vlookup!$A$2:$E$660,5,0)</f>
        <v>High Mileage</v>
      </c>
      <c r="AK369" s="2"/>
      <c r="AL369" s="2">
        <f t="shared" si="76"/>
        <v>66</v>
      </c>
      <c r="AM369" s="2">
        <f t="shared" si="77"/>
        <v>148</v>
      </c>
      <c r="AN369" s="2">
        <f t="shared" si="78"/>
        <v>6139</v>
      </c>
      <c r="AO369" s="2" t="str">
        <f t="shared" si="79"/>
        <v/>
      </c>
      <c r="AP369" s="2" t="str">
        <f t="shared" si="80"/>
        <v/>
      </c>
      <c r="AQ369" s="2" t="str">
        <f t="shared" si="81"/>
        <v/>
      </c>
      <c r="AR369" s="2">
        <f t="shared" si="82"/>
        <v>-18.350000000000001</v>
      </c>
      <c r="AS369" s="2" t="str">
        <f t="shared" si="83"/>
        <v>APC500369-2</v>
      </c>
      <c r="AT369" s="2" t="str">
        <f>IFERROR(IF(VLOOKUP(Y369,vlookup!$I$2:$J$9,1,0)=Y369,VLOOKUP(Y369,vlookup!$I$2:$J$9,2,0),PROPER(Y369)),PROPER(Y369))</f>
        <v>Sales Tax</v>
      </c>
      <c r="AU369" s="2" t="str">
        <f>IFERROR(IF(B369=VLOOKUP(B369,vlookup!$L$2:$L$10,1,0),"Yes","No"),"No")</f>
        <v>No</v>
      </c>
    </row>
    <row r="370" spans="1:47" x14ac:dyDescent="0.25">
      <c r="A370" t="s">
        <v>759</v>
      </c>
      <c r="B370" t="s">
        <v>760</v>
      </c>
      <c r="C370">
        <v>2</v>
      </c>
      <c r="D370">
        <v>1</v>
      </c>
      <c r="E370" t="s">
        <v>572</v>
      </c>
      <c r="F370" t="s">
        <v>207</v>
      </c>
      <c r="G370" t="s">
        <v>543</v>
      </c>
      <c r="H370" s="11" t="s">
        <v>609</v>
      </c>
      <c r="I370">
        <v>100055</v>
      </c>
      <c r="J370" s="22">
        <v>44275</v>
      </c>
      <c r="K370" s="22">
        <v>44342</v>
      </c>
      <c r="L370">
        <v>202105</v>
      </c>
      <c r="M370" s="22">
        <v>44317</v>
      </c>
      <c r="N370">
        <v>77871</v>
      </c>
      <c r="O370" t="s">
        <v>699</v>
      </c>
      <c r="P370" t="s">
        <v>712</v>
      </c>
      <c r="Q370" t="s">
        <v>612</v>
      </c>
      <c r="R370">
        <v>101341</v>
      </c>
      <c r="S370" s="22">
        <v>44422</v>
      </c>
      <c r="T370">
        <v>106194</v>
      </c>
      <c r="U370" t="s">
        <v>356</v>
      </c>
      <c r="V370" s="22">
        <v>44426</v>
      </c>
      <c r="W370" t="s">
        <v>692</v>
      </c>
      <c r="X370" t="s">
        <v>693</v>
      </c>
      <c r="Y370" t="s">
        <v>13</v>
      </c>
      <c r="Z370" t="s">
        <v>579</v>
      </c>
      <c r="AA370">
        <v>-28.38</v>
      </c>
      <c r="AC370" s="2">
        <f t="shared" si="72"/>
        <v>2021</v>
      </c>
      <c r="AD370" s="2">
        <f t="shared" si="73"/>
        <v>8</v>
      </c>
      <c r="AE370" s="2">
        <f t="shared" si="74"/>
        <v>2021</v>
      </c>
      <c r="AF370" s="2">
        <f t="shared" si="75"/>
        <v>3</v>
      </c>
      <c r="AG370" s="2" t="str">
        <f>VLOOKUP(F370,vlookup!$A$2:$E$660,2,0)</f>
        <v>Retained</v>
      </c>
      <c r="AH370" s="2" t="str">
        <f>VLOOKUP(F370,vlookup!$A$2:$E$660,3,0)</f>
        <v>Service Contract</v>
      </c>
      <c r="AI370" s="2" t="str">
        <f>VLOOKUP(F370,vlookup!$A$2:$E$660,4,0)</f>
        <v>Used Car Programs</v>
      </c>
      <c r="AJ370" s="2" t="str">
        <f>VLOOKUP(F370,vlookup!$A$2:$E$660,5,0)</f>
        <v>High Mileage</v>
      </c>
      <c r="AK370" s="2"/>
      <c r="AL370" s="2">
        <f t="shared" si="76"/>
        <v>66</v>
      </c>
      <c r="AM370" s="2">
        <f t="shared" si="77"/>
        <v>148</v>
      </c>
      <c r="AN370" s="2">
        <f t="shared" si="78"/>
        <v>6139</v>
      </c>
      <c r="AO370" s="2" t="str">
        <f t="shared" si="79"/>
        <v/>
      </c>
      <c r="AP370" s="2" t="str">
        <f t="shared" si="80"/>
        <v/>
      </c>
      <c r="AQ370" s="2" t="str">
        <f t="shared" si="81"/>
        <v/>
      </c>
      <c r="AR370" s="2">
        <f t="shared" si="82"/>
        <v>-28.38</v>
      </c>
      <c r="AS370" s="2" t="str">
        <f t="shared" si="83"/>
        <v>APC500369-2</v>
      </c>
      <c r="AT370" s="2" t="str">
        <f>IFERROR(IF(VLOOKUP(Y370,vlookup!$I$2:$J$9,1,0)=Y370,VLOOKUP(Y370,vlookup!$I$2:$J$9,2,0),PROPER(Y370)),PROPER(Y370))</f>
        <v>Sales Tax</v>
      </c>
      <c r="AU370" s="2" t="str">
        <f>IFERROR(IF(B370=VLOOKUP(B370,vlookup!$L$2:$L$10,1,0),"Yes","No"),"No")</f>
        <v>No</v>
      </c>
    </row>
    <row r="371" spans="1:47" x14ac:dyDescent="0.25">
      <c r="A371" t="s">
        <v>759</v>
      </c>
      <c r="B371" t="s">
        <v>760</v>
      </c>
      <c r="C371">
        <v>2</v>
      </c>
      <c r="D371">
        <v>1</v>
      </c>
      <c r="E371" t="s">
        <v>572</v>
      </c>
      <c r="F371" t="s">
        <v>207</v>
      </c>
      <c r="G371" t="s">
        <v>543</v>
      </c>
      <c r="H371" s="11" t="s">
        <v>609</v>
      </c>
      <c r="I371">
        <v>100055</v>
      </c>
      <c r="J371" s="22">
        <v>44275</v>
      </c>
      <c r="K371" s="22">
        <v>44342</v>
      </c>
      <c r="L371">
        <v>202105</v>
      </c>
      <c r="M371" s="22">
        <v>44317</v>
      </c>
      <c r="N371">
        <v>77871</v>
      </c>
      <c r="O371" t="s">
        <v>699</v>
      </c>
      <c r="P371" t="s">
        <v>712</v>
      </c>
      <c r="Q371" t="s">
        <v>612</v>
      </c>
      <c r="R371">
        <v>101341</v>
      </c>
      <c r="S371" s="22">
        <v>44422</v>
      </c>
      <c r="T371">
        <v>106194</v>
      </c>
      <c r="U371" t="s">
        <v>356</v>
      </c>
      <c r="V371" s="22">
        <v>44426</v>
      </c>
      <c r="W371" t="s">
        <v>638</v>
      </c>
      <c r="X371" t="s">
        <v>639</v>
      </c>
      <c r="Y371" t="s">
        <v>13</v>
      </c>
      <c r="Z371" t="s">
        <v>579</v>
      </c>
      <c r="AA371">
        <v>-4.54</v>
      </c>
      <c r="AC371" s="2">
        <f t="shared" si="72"/>
        <v>2021</v>
      </c>
      <c r="AD371" s="2">
        <f t="shared" si="73"/>
        <v>8</v>
      </c>
      <c r="AE371" s="2">
        <f t="shared" si="74"/>
        <v>2021</v>
      </c>
      <c r="AF371" s="2">
        <f t="shared" si="75"/>
        <v>3</v>
      </c>
      <c r="AG371" s="2" t="str">
        <f>VLOOKUP(F371,vlookup!$A$2:$E$660,2,0)</f>
        <v>Retained</v>
      </c>
      <c r="AH371" s="2" t="str">
        <f>VLOOKUP(F371,vlookup!$A$2:$E$660,3,0)</f>
        <v>Service Contract</v>
      </c>
      <c r="AI371" s="2" t="str">
        <f>VLOOKUP(F371,vlookup!$A$2:$E$660,4,0)</f>
        <v>Used Car Programs</v>
      </c>
      <c r="AJ371" s="2" t="str">
        <f>VLOOKUP(F371,vlookup!$A$2:$E$660,5,0)</f>
        <v>High Mileage</v>
      </c>
      <c r="AK371" s="2"/>
      <c r="AL371" s="2">
        <f t="shared" si="76"/>
        <v>66</v>
      </c>
      <c r="AM371" s="2">
        <f t="shared" si="77"/>
        <v>148</v>
      </c>
      <c r="AN371" s="2">
        <f t="shared" si="78"/>
        <v>6139</v>
      </c>
      <c r="AO371" s="2" t="str">
        <f t="shared" si="79"/>
        <v/>
      </c>
      <c r="AP371" s="2" t="str">
        <f t="shared" si="80"/>
        <v/>
      </c>
      <c r="AQ371" s="2" t="str">
        <f t="shared" si="81"/>
        <v/>
      </c>
      <c r="AR371" s="2">
        <f t="shared" si="82"/>
        <v>-4.54</v>
      </c>
      <c r="AS371" s="2" t="str">
        <f t="shared" si="83"/>
        <v>APC500369-2</v>
      </c>
      <c r="AT371" s="2" t="str">
        <f>IFERROR(IF(VLOOKUP(Y371,vlookup!$I$2:$J$9,1,0)=Y371,VLOOKUP(Y371,vlookup!$I$2:$J$9,2,0),PROPER(Y371)),PROPER(Y371))</f>
        <v>Sales Tax</v>
      </c>
      <c r="AU371" s="2" t="str">
        <f>IFERROR(IF(B371=VLOOKUP(B371,vlookup!$L$2:$L$10,1,0),"Yes","No"),"No")</f>
        <v>No</v>
      </c>
    </row>
    <row r="372" spans="1:47" x14ac:dyDescent="0.25">
      <c r="A372" t="s">
        <v>734</v>
      </c>
      <c r="B372" t="s">
        <v>735</v>
      </c>
      <c r="C372">
        <v>1</v>
      </c>
      <c r="D372">
        <v>1</v>
      </c>
      <c r="E372" t="s">
        <v>382</v>
      </c>
      <c r="F372" t="s">
        <v>257</v>
      </c>
      <c r="G372" t="s">
        <v>543</v>
      </c>
      <c r="H372" s="11" t="s">
        <v>687</v>
      </c>
      <c r="I372">
        <v>67203</v>
      </c>
      <c r="J372" s="22">
        <v>44175</v>
      </c>
      <c r="K372" s="22">
        <v>44229</v>
      </c>
      <c r="L372">
        <v>202101</v>
      </c>
      <c r="M372" s="22">
        <v>44197</v>
      </c>
      <c r="N372">
        <v>77871</v>
      </c>
      <c r="O372" t="s">
        <v>699</v>
      </c>
      <c r="P372" t="s">
        <v>712</v>
      </c>
      <c r="Q372" t="s">
        <v>612</v>
      </c>
      <c r="R372">
        <v>904658</v>
      </c>
      <c r="S372" s="22">
        <v>44317</v>
      </c>
      <c r="T372">
        <v>71300</v>
      </c>
      <c r="U372" t="s">
        <v>356</v>
      </c>
      <c r="V372" s="22">
        <v>44336</v>
      </c>
      <c r="W372" t="s">
        <v>826</v>
      </c>
      <c r="X372" t="s">
        <v>827</v>
      </c>
      <c r="Y372" t="s">
        <v>13</v>
      </c>
      <c r="Z372" t="s">
        <v>358</v>
      </c>
      <c r="AA372">
        <v>-28.03</v>
      </c>
      <c r="AC372" s="2">
        <f t="shared" si="72"/>
        <v>2021</v>
      </c>
      <c r="AD372" s="2">
        <f t="shared" si="73"/>
        <v>5</v>
      </c>
      <c r="AE372" s="2">
        <f t="shared" si="74"/>
        <v>2020</v>
      </c>
      <c r="AF372" s="2">
        <f t="shared" si="75"/>
        <v>12</v>
      </c>
      <c r="AG372" s="2" t="str">
        <f>VLOOKUP(F372,vlookup!$A$2:$E$660,2,0)</f>
        <v>Retained</v>
      </c>
      <c r="AH372" s="2" t="str">
        <f>VLOOKUP(F372,vlookup!$A$2:$E$660,3,0)</f>
        <v>Service Contract</v>
      </c>
      <c r="AI372" s="2" t="str">
        <f>VLOOKUP(F372,vlookup!$A$2:$E$660,4,0)</f>
        <v>Used Car Programs</v>
      </c>
      <c r="AJ372" s="2" t="str">
        <f>VLOOKUP(F372,vlookup!$A$2:$E$660,5,0)</f>
        <v>High Mileage</v>
      </c>
      <c r="AK372" s="2"/>
      <c r="AL372" s="2">
        <f t="shared" si="76"/>
        <v>52</v>
      </c>
      <c r="AM372" s="2">
        <f t="shared" si="77"/>
        <v>160</v>
      </c>
      <c r="AN372" s="2">
        <f t="shared" si="78"/>
        <v>4097</v>
      </c>
      <c r="AO372" s="2" t="str">
        <f t="shared" si="79"/>
        <v/>
      </c>
      <c r="AP372" s="2" t="str">
        <f t="shared" si="80"/>
        <v/>
      </c>
      <c r="AQ372" s="2" t="str">
        <f t="shared" si="81"/>
        <v/>
      </c>
      <c r="AR372" s="2">
        <f t="shared" si="82"/>
        <v>-28.03</v>
      </c>
      <c r="AS372" s="2" t="str">
        <f t="shared" si="83"/>
        <v>SNFJR174307L20-1</v>
      </c>
      <c r="AT372" s="2" t="str">
        <f>IFERROR(IF(VLOOKUP(Y372,vlookup!$I$2:$J$9,1,0)=Y372,VLOOKUP(Y372,vlookup!$I$2:$J$9,2,0),PROPER(Y372)),PROPER(Y372))</f>
        <v>Sales Tax</v>
      </c>
      <c r="AU372" s="2" t="str">
        <f>IFERROR(IF(B372=VLOOKUP(B372,vlookup!$L$2:$L$10,1,0),"Yes","No"),"No")</f>
        <v>No</v>
      </c>
    </row>
    <row r="373" spans="1:47" x14ac:dyDescent="0.25">
      <c r="A373" t="s">
        <v>734</v>
      </c>
      <c r="B373" t="s">
        <v>735</v>
      </c>
      <c r="C373">
        <v>2</v>
      </c>
      <c r="D373">
        <v>1</v>
      </c>
      <c r="E373" t="s">
        <v>382</v>
      </c>
      <c r="F373" t="s">
        <v>257</v>
      </c>
      <c r="G373" t="s">
        <v>543</v>
      </c>
      <c r="H373" s="11" t="s">
        <v>687</v>
      </c>
      <c r="I373">
        <v>67203</v>
      </c>
      <c r="J373" s="22">
        <v>44175</v>
      </c>
      <c r="K373" s="22">
        <v>44229</v>
      </c>
      <c r="L373">
        <v>202101</v>
      </c>
      <c r="M373" s="22">
        <v>44197</v>
      </c>
      <c r="N373">
        <v>77871</v>
      </c>
      <c r="O373" t="s">
        <v>699</v>
      </c>
      <c r="P373" t="s">
        <v>712</v>
      </c>
      <c r="Q373" t="s">
        <v>612</v>
      </c>
      <c r="R373">
        <v>102365</v>
      </c>
      <c r="S373" s="22">
        <v>44442</v>
      </c>
      <c r="T373">
        <v>74639</v>
      </c>
      <c r="U373" t="s">
        <v>356</v>
      </c>
      <c r="V373" s="22">
        <v>44449</v>
      </c>
      <c r="W373" t="s">
        <v>584</v>
      </c>
      <c r="X373" t="s">
        <v>585</v>
      </c>
      <c r="Y373" t="s">
        <v>13</v>
      </c>
      <c r="Z373" t="s">
        <v>576</v>
      </c>
      <c r="AA373">
        <v>-18.04</v>
      </c>
      <c r="AC373" s="2">
        <f t="shared" si="72"/>
        <v>2021</v>
      </c>
      <c r="AD373" s="2">
        <f t="shared" si="73"/>
        <v>9</v>
      </c>
      <c r="AE373" s="2">
        <f t="shared" si="74"/>
        <v>2020</v>
      </c>
      <c r="AF373" s="2">
        <f t="shared" si="75"/>
        <v>12</v>
      </c>
      <c r="AG373" s="2" t="str">
        <f>VLOOKUP(F373,vlookup!$A$2:$E$660,2,0)</f>
        <v>Retained</v>
      </c>
      <c r="AH373" s="2" t="str">
        <f>VLOOKUP(F373,vlookup!$A$2:$E$660,3,0)</f>
        <v>Service Contract</v>
      </c>
      <c r="AI373" s="2" t="str">
        <f>VLOOKUP(F373,vlookup!$A$2:$E$660,4,0)</f>
        <v>Used Car Programs</v>
      </c>
      <c r="AJ373" s="2" t="str">
        <f>VLOOKUP(F373,vlookup!$A$2:$E$660,5,0)</f>
        <v>High Mileage</v>
      </c>
      <c r="AK373" s="2"/>
      <c r="AL373" s="2">
        <f t="shared" si="76"/>
        <v>52</v>
      </c>
      <c r="AM373" s="2">
        <f t="shared" si="77"/>
        <v>270</v>
      </c>
      <c r="AN373" s="2">
        <f t="shared" si="78"/>
        <v>7436</v>
      </c>
      <c r="AO373" s="2" t="str">
        <f t="shared" si="79"/>
        <v/>
      </c>
      <c r="AP373" s="2" t="str">
        <f t="shared" si="80"/>
        <v/>
      </c>
      <c r="AQ373" s="2" t="str">
        <f t="shared" si="81"/>
        <v/>
      </c>
      <c r="AR373" s="2">
        <f t="shared" si="82"/>
        <v>-18.04</v>
      </c>
      <c r="AS373" s="2" t="str">
        <f t="shared" si="83"/>
        <v>SNFJR174307L20-2</v>
      </c>
      <c r="AT373" s="2" t="str">
        <f>IFERROR(IF(VLOOKUP(Y373,vlookup!$I$2:$J$9,1,0)=Y373,VLOOKUP(Y373,vlookup!$I$2:$J$9,2,0),PROPER(Y373)),PROPER(Y373))</f>
        <v>Sales Tax</v>
      </c>
      <c r="AU373" s="2" t="str">
        <f>IFERROR(IF(B373=VLOOKUP(B373,vlookup!$L$2:$L$10,1,0),"Yes","No"),"No")</f>
        <v>No</v>
      </c>
    </row>
    <row r="374" spans="1:47" x14ac:dyDescent="0.25">
      <c r="A374" t="s">
        <v>734</v>
      </c>
      <c r="B374" t="s">
        <v>735</v>
      </c>
      <c r="C374">
        <v>2</v>
      </c>
      <c r="D374">
        <v>1</v>
      </c>
      <c r="E374" t="s">
        <v>382</v>
      </c>
      <c r="F374" t="s">
        <v>257</v>
      </c>
      <c r="G374" t="s">
        <v>543</v>
      </c>
      <c r="H374" s="11" t="s">
        <v>687</v>
      </c>
      <c r="I374">
        <v>67203</v>
      </c>
      <c r="J374" s="22">
        <v>44175</v>
      </c>
      <c r="K374" s="22">
        <v>44229</v>
      </c>
      <c r="L374">
        <v>202101</v>
      </c>
      <c r="M374" s="22">
        <v>44197</v>
      </c>
      <c r="N374">
        <v>77871</v>
      </c>
      <c r="O374" t="s">
        <v>699</v>
      </c>
      <c r="P374" t="s">
        <v>712</v>
      </c>
      <c r="Q374" t="s">
        <v>612</v>
      </c>
      <c r="R374">
        <v>102365</v>
      </c>
      <c r="S374" s="22">
        <v>44442</v>
      </c>
      <c r="T374">
        <v>74639</v>
      </c>
      <c r="U374" t="s">
        <v>356</v>
      </c>
      <c r="V374" s="22">
        <v>44449</v>
      </c>
      <c r="W374" t="s">
        <v>586</v>
      </c>
      <c r="X374" t="s">
        <v>587</v>
      </c>
      <c r="Y374" t="s">
        <v>13</v>
      </c>
      <c r="Z374" t="s">
        <v>576</v>
      </c>
      <c r="AA374">
        <v>-28.92</v>
      </c>
      <c r="AC374" s="2">
        <f t="shared" si="72"/>
        <v>2021</v>
      </c>
      <c r="AD374" s="2">
        <f t="shared" si="73"/>
        <v>9</v>
      </c>
      <c r="AE374" s="2">
        <f t="shared" si="74"/>
        <v>2020</v>
      </c>
      <c r="AF374" s="2">
        <f t="shared" si="75"/>
        <v>12</v>
      </c>
      <c r="AG374" s="2" t="str">
        <f>VLOOKUP(F374,vlookup!$A$2:$E$660,2,0)</f>
        <v>Retained</v>
      </c>
      <c r="AH374" s="2" t="str">
        <f>VLOOKUP(F374,vlookup!$A$2:$E$660,3,0)</f>
        <v>Service Contract</v>
      </c>
      <c r="AI374" s="2" t="str">
        <f>VLOOKUP(F374,vlookup!$A$2:$E$660,4,0)</f>
        <v>Used Car Programs</v>
      </c>
      <c r="AJ374" s="2" t="str">
        <f>VLOOKUP(F374,vlookup!$A$2:$E$660,5,0)</f>
        <v>High Mileage</v>
      </c>
      <c r="AK374" s="2"/>
      <c r="AL374" s="2">
        <f t="shared" si="76"/>
        <v>52</v>
      </c>
      <c r="AM374" s="2">
        <f t="shared" si="77"/>
        <v>270</v>
      </c>
      <c r="AN374" s="2">
        <f t="shared" si="78"/>
        <v>7436</v>
      </c>
      <c r="AO374" s="2" t="str">
        <f t="shared" si="79"/>
        <v/>
      </c>
      <c r="AP374" s="2" t="str">
        <f t="shared" si="80"/>
        <v/>
      </c>
      <c r="AQ374" s="2" t="str">
        <f t="shared" si="81"/>
        <v/>
      </c>
      <c r="AR374" s="2">
        <f t="shared" si="82"/>
        <v>-28.92</v>
      </c>
      <c r="AS374" s="2" t="str">
        <f t="shared" si="83"/>
        <v>SNFJR174307L20-2</v>
      </c>
      <c r="AT374" s="2" t="str">
        <f>IFERROR(IF(VLOOKUP(Y374,vlookup!$I$2:$J$9,1,0)=Y374,VLOOKUP(Y374,vlookup!$I$2:$J$9,2,0),PROPER(Y374)),PROPER(Y374))</f>
        <v>Sales Tax</v>
      </c>
      <c r="AU374" s="2" t="str">
        <f>IFERROR(IF(B374=VLOOKUP(B374,vlookup!$L$2:$L$10,1,0),"Yes","No"),"No")</f>
        <v>No</v>
      </c>
    </row>
    <row r="375" spans="1:47" x14ac:dyDescent="0.25">
      <c r="A375" t="s">
        <v>734</v>
      </c>
      <c r="B375" t="s">
        <v>735</v>
      </c>
      <c r="C375">
        <v>2</v>
      </c>
      <c r="D375">
        <v>1</v>
      </c>
      <c r="E375" t="s">
        <v>382</v>
      </c>
      <c r="F375" t="s">
        <v>257</v>
      </c>
      <c r="G375" t="s">
        <v>543</v>
      </c>
      <c r="H375" s="11" t="s">
        <v>687</v>
      </c>
      <c r="I375">
        <v>67203</v>
      </c>
      <c r="J375" s="22">
        <v>44175</v>
      </c>
      <c r="K375" s="22">
        <v>44229</v>
      </c>
      <c r="L375">
        <v>202101</v>
      </c>
      <c r="M375" s="22">
        <v>44197</v>
      </c>
      <c r="N375">
        <v>77871</v>
      </c>
      <c r="O375" t="s">
        <v>699</v>
      </c>
      <c r="P375" t="s">
        <v>712</v>
      </c>
      <c r="Q375" t="s">
        <v>612</v>
      </c>
      <c r="R375">
        <v>102365</v>
      </c>
      <c r="S375" s="22">
        <v>44442</v>
      </c>
      <c r="T375">
        <v>74639</v>
      </c>
      <c r="U375" t="s">
        <v>356</v>
      </c>
      <c r="V375" s="22">
        <v>44449</v>
      </c>
      <c r="W375" t="s">
        <v>669</v>
      </c>
      <c r="X375" t="s">
        <v>670</v>
      </c>
      <c r="Y375" t="s">
        <v>13</v>
      </c>
      <c r="Z375" t="s">
        <v>576</v>
      </c>
      <c r="AA375">
        <v>-2.35</v>
      </c>
      <c r="AC375" s="2">
        <f t="shared" si="72"/>
        <v>2021</v>
      </c>
      <c r="AD375" s="2">
        <f t="shared" si="73"/>
        <v>9</v>
      </c>
      <c r="AE375" s="2">
        <f t="shared" si="74"/>
        <v>2020</v>
      </c>
      <c r="AF375" s="2">
        <f t="shared" si="75"/>
        <v>12</v>
      </c>
      <c r="AG375" s="2" t="str">
        <f>VLOOKUP(F375,vlookup!$A$2:$E$660,2,0)</f>
        <v>Retained</v>
      </c>
      <c r="AH375" s="2" t="str">
        <f>VLOOKUP(F375,vlookup!$A$2:$E$660,3,0)</f>
        <v>Service Contract</v>
      </c>
      <c r="AI375" s="2" t="str">
        <f>VLOOKUP(F375,vlookup!$A$2:$E$660,4,0)</f>
        <v>Used Car Programs</v>
      </c>
      <c r="AJ375" s="2" t="str">
        <f>VLOOKUP(F375,vlookup!$A$2:$E$660,5,0)</f>
        <v>High Mileage</v>
      </c>
      <c r="AK375" s="2"/>
      <c r="AL375" s="2">
        <f t="shared" si="76"/>
        <v>52</v>
      </c>
      <c r="AM375" s="2">
        <f t="shared" si="77"/>
        <v>270</v>
      </c>
      <c r="AN375" s="2">
        <f t="shared" si="78"/>
        <v>7436</v>
      </c>
      <c r="AO375" s="2" t="str">
        <f t="shared" si="79"/>
        <v/>
      </c>
      <c r="AP375" s="2" t="str">
        <f t="shared" si="80"/>
        <v/>
      </c>
      <c r="AQ375" s="2" t="str">
        <f t="shared" si="81"/>
        <v/>
      </c>
      <c r="AR375" s="2">
        <f t="shared" si="82"/>
        <v>-2.35</v>
      </c>
      <c r="AS375" s="2" t="str">
        <f t="shared" si="83"/>
        <v>SNFJR174307L20-2</v>
      </c>
      <c r="AT375" s="2" t="str">
        <f>IFERROR(IF(VLOOKUP(Y375,vlookup!$I$2:$J$9,1,0)=Y375,VLOOKUP(Y375,vlookup!$I$2:$J$9,2,0),PROPER(Y375)),PROPER(Y375))</f>
        <v>Sales Tax</v>
      </c>
      <c r="AU375" s="2" t="str">
        <f>IFERROR(IF(B375=VLOOKUP(B375,vlookup!$L$2:$L$10,1,0),"Yes","No"),"No")</f>
        <v>No</v>
      </c>
    </row>
    <row r="376" spans="1:47" x14ac:dyDescent="0.25">
      <c r="A376" t="s">
        <v>734</v>
      </c>
      <c r="B376" t="s">
        <v>735</v>
      </c>
      <c r="C376">
        <v>3</v>
      </c>
      <c r="D376">
        <v>1</v>
      </c>
      <c r="E376" t="s">
        <v>382</v>
      </c>
      <c r="F376" t="s">
        <v>257</v>
      </c>
      <c r="G376" t="s">
        <v>543</v>
      </c>
      <c r="H376" s="11" t="s">
        <v>687</v>
      </c>
      <c r="I376">
        <v>67203</v>
      </c>
      <c r="J376" s="22">
        <v>44175</v>
      </c>
      <c r="K376" s="22">
        <v>44229</v>
      </c>
      <c r="L376">
        <v>202101</v>
      </c>
      <c r="M376" s="22">
        <v>44197</v>
      </c>
      <c r="N376">
        <v>77871</v>
      </c>
      <c r="O376" t="s">
        <v>699</v>
      </c>
      <c r="P376" t="s">
        <v>712</v>
      </c>
      <c r="Q376" t="s">
        <v>612</v>
      </c>
      <c r="R376">
        <v>118193</v>
      </c>
      <c r="S376" s="22">
        <v>44760</v>
      </c>
      <c r="T376">
        <v>85310</v>
      </c>
      <c r="U376" t="s">
        <v>356</v>
      </c>
      <c r="V376" s="22">
        <v>44763</v>
      </c>
      <c r="W376" t="s">
        <v>621</v>
      </c>
      <c r="X376" t="s">
        <v>622</v>
      </c>
      <c r="Y376" t="s">
        <v>13</v>
      </c>
      <c r="Z376" t="s">
        <v>579</v>
      </c>
      <c r="AA376">
        <v>-125</v>
      </c>
      <c r="AC376" s="2">
        <f t="shared" si="72"/>
        <v>2022</v>
      </c>
      <c r="AD376" s="2">
        <f t="shared" si="73"/>
        <v>7</v>
      </c>
      <c r="AE376" s="2">
        <f t="shared" si="74"/>
        <v>2020</v>
      </c>
      <c r="AF376" s="2">
        <f t="shared" si="75"/>
        <v>12</v>
      </c>
      <c r="AG376" s="2" t="str">
        <f>VLOOKUP(F376,vlookup!$A$2:$E$660,2,0)</f>
        <v>Retained</v>
      </c>
      <c r="AH376" s="2" t="str">
        <f>VLOOKUP(F376,vlookup!$A$2:$E$660,3,0)</f>
        <v>Service Contract</v>
      </c>
      <c r="AI376" s="2" t="str">
        <f>VLOOKUP(F376,vlookup!$A$2:$E$660,4,0)</f>
        <v>Used Car Programs</v>
      </c>
      <c r="AJ376" s="2" t="str">
        <f>VLOOKUP(F376,vlookup!$A$2:$E$660,5,0)</f>
        <v>High Mileage</v>
      </c>
      <c r="AK376" s="2"/>
      <c r="AL376" s="2">
        <f t="shared" si="76"/>
        <v>52</v>
      </c>
      <c r="AM376" s="2">
        <f t="shared" si="77"/>
        <v>581</v>
      </c>
      <c r="AN376" s="2">
        <f t="shared" si="78"/>
        <v>18107</v>
      </c>
      <c r="AO376" s="2" t="str">
        <f t="shared" si="79"/>
        <v/>
      </c>
      <c r="AP376" s="2" t="str">
        <f t="shared" si="80"/>
        <v/>
      </c>
      <c r="AQ376" s="2" t="str">
        <f t="shared" si="81"/>
        <v/>
      </c>
      <c r="AR376" s="2">
        <f t="shared" si="82"/>
        <v>-125</v>
      </c>
      <c r="AS376" s="2" t="str">
        <f t="shared" si="83"/>
        <v>SNFJR174307L20-3</v>
      </c>
      <c r="AT376" s="2" t="str">
        <f>IFERROR(IF(VLOOKUP(Y376,vlookup!$I$2:$J$9,1,0)=Y376,VLOOKUP(Y376,vlookup!$I$2:$J$9,2,0),PROPER(Y376)),PROPER(Y376))</f>
        <v>Sales Tax</v>
      </c>
      <c r="AU376" s="2" t="str">
        <f>IFERROR(IF(B376=VLOOKUP(B376,vlookup!$L$2:$L$10,1,0),"Yes","No"),"No")</f>
        <v>No</v>
      </c>
    </row>
    <row r="377" spans="1:47" x14ac:dyDescent="0.25">
      <c r="A377" t="s">
        <v>828</v>
      </c>
      <c r="B377" t="s">
        <v>829</v>
      </c>
      <c r="C377">
        <v>1</v>
      </c>
      <c r="D377">
        <v>1</v>
      </c>
      <c r="E377" t="s">
        <v>382</v>
      </c>
      <c r="F377" t="s">
        <v>207</v>
      </c>
      <c r="G377" t="s">
        <v>30</v>
      </c>
      <c r="H377" s="11" t="s">
        <v>830</v>
      </c>
      <c r="I377">
        <v>17403</v>
      </c>
      <c r="J377" s="22">
        <v>44642</v>
      </c>
      <c r="K377" s="22">
        <v>44712</v>
      </c>
      <c r="L377">
        <v>202205</v>
      </c>
      <c r="M377" s="22">
        <v>44682</v>
      </c>
      <c r="N377">
        <v>77871</v>
      </c>
      <c r="O377" t="s">
        <v>699</v>
      </c>
      <c r="P377" t="s">
        <v>831</v>
      </c>
      <c r="Q377" t="s">
        <v>612</v>
      </c>
      <c r="R377">
        <v>3050724</v>
      </c>
      <c r="S377" s="22">
        <v>44865</v>
      </c>
      <c r="T377">
        <v>24170</v>
      </c>
      <c r="U377" t="s">
        <v>356</v>
      </c>
      <c r="V377" s="22">
        <v>44876</v>
      </c>
      <c r="W377" t="s">
        <v>832</v>
      </c>
      <c r="X377" t="s">
        <v>833</v>
      </c>
      <c r="Y377" t="s">
        <v>13</v>
      </c>
      <c r="Z377" t="s">
        <v>583</v>
      </c>
      <c r="AA377">
        <v>-6.44</v>
      </c>
      <c r="AC377" s="2">
        <f t="shared" si="72"/>
        <v>2022</v>
      </c>
      <c r="AD377" s="2">
        <f t="shared" si="73"/>
        <v>11</v>
      </c>
      <c r="AE377" s="2">
        <f t="shared" si="74"/>
        <v>2022</v>
      </c>
      <c r="AF377" s="2">
        <f t="shared" si="75"/>
        <v>3</v>
      </c>
      <c r="AG377" s="2" t="str">
        <f>VLOOKUP(F377,vlookup!$A$2:$E$660,2,0)</f>
        <v>Retained</v>
      </c>
      <c r="AH377" s="2" t="str">
        <f>VLOOKUP(F377,vlookup!$A$2:$E$660,3,0)</f>
        <v>Service Contract</v>
      </c>
      <c r="AI377" s="2" t="str">
        <f>VLOOKUP(F377,vlookup!$A$2:$E$660,4,0)</f>
        <v>Used Car Programs</v>
      </c>
      <c r="AJ377" s="2" t="str">
        <f>VLOOKUP(F377,vlookup!$A$2:$E$660,5,0)</f>
        <v>High Mileage</v>
      </c>
      <c r="AK377" s="2"/>
      <c r="AL377" s="2">
        <f t="shared" si="76"/>
        <v>69</v>
      </c>
      <c r="AM377" s="2">
        <f t="shared" si="77"/>
        <v>229</v>
      </c>
      <c r="AN377" s="2">
        <f t="shared" si="78"/>
        <v>6767</v>
      </c>
      <c r="AO377" s="2" t="str">
        <f t="shared" si="79"/>
        <v/>
      </c>
      <c r="AP377" s="2" t="str">
        <f t="shared" si="80"/>
        <v/>
      </c>
      <c r="AQ377" s="2" t="str">
        <f t="shared" si="81"/>
        <v/>
      </c>
      <c r="AR377" s="2">
        <f t="shared" si="82"/>
        <v>-6.44</v>
      </c>
      <c r="AS377" s="2" t="str">
        <f t="shared" si="83"/>
        <v>APC500709-1</v>
      </c>
      <c r="AT377" s="2" t="str">
        <f>IFERROR(IF(VLOOKUP(Y377,vlookup!$I$2:$J$9,1,0)=Y377,VLOOKUP(Y377,vlookup!$I$2:$J$9,2,0),PROPER(Y377)),PROPER(Y377))</f>
        <v>Sales Tax</v>
      </c>
      <c r="AU377" s="2" t="str">
        <f>IFERROR(IF(B377=VLOOKUP(B377,vlookup!$L$2:$L$10,1,0),"Yes","No"),"No")</f>
        <v>No</v>
      </c>
    </row>
    <row r="378" spans="1:47" x14ac:dyDescent="0.25">
      <c r="A378" t="s">
        <v>736</v>
      </c>
      <c r="B378" t="s">
        <v>737</v>
      </c>
      <c r="C378">
        <v>1</v>
      </c>
      <c r="D378">
        <v>1</v>
      </c>
      <c r="E378" t="s">
        <v>382</v>
      </c>
      <c r="F378" t="s">
        <v>257</v>
      </c>
      <c r="G378" t="s">
        <v>697</v>
      </c>
      <c r="H378" s="11" t="s">
        <v>738</v>
      </c>
      <c r="I378">
        <v>78148</v>
      </c>
      <c r="J378" s="22">
        <v>44158</v>
      </c>
      <c r="K378" s="22">
        <v>44229</v>
      </c>
      <c r="L378">
        <v>202101</v>
      </c>
      <c r="M378" s="22">
        <v>44197</v>
      </c>
      <c r="N378">
        <v>77871</v>
      </c>
      <c r="O378" t="s">
        <v>699</v>
      </c>
      <c r="P378" t="s">
        <v>712</v>
      </c>
      <c r="Q378" t="s">
        <v>612</v>
      </c>
      <c r="R378">
        <v>106331</v>
      </c>
      <c r="S378" s="22">
        <v>44518</v>
      </c>
      <c r="T378">
        <v>89464</v>
      </c>
      <c r="U378" t="s">
        <v>356</v>
      </c>
      <c r="V378" s="22">
        <v>44524</v>
      </c>
      <c r="W378" t="s">
        <v>838</v>
      </c>
      <c r="X378" t="s">
        <v>839</v>
      </c>
      <c r="Y378" t="s">
        <v>13</v>
      </c>
      <c r="Z378" t="s">
        <v>358</v>
      </c>
      <c r="AA378">
        <v>-17.77</v>
      </c>
      <c r="AC378" s="2">
        <f t="shared" si="72"/>
        <v>2021</v>
      </c>
      <c r="AD378" s="2">
        <f t="shared" si="73"/>
        <v>11</v>
      </c>
      <c r="AE378" s="2">
        <f t="shared" si="74"/>
        <v>2020</v>
      </c>
      <c r="AF378" s="2">
        <f t="shared" si="75"/>
        <v>11</v>
      </c>
      <c r="AG378" s="2" t="str">
        <f>VLOOKUP(F378,vlookup!$A$2:$E$660,2,0)</f>
        <v>Retained</v>
      </c>
      <c r="AH378" s="2" t="str">
        <f>VLOOKUP(F378,vlookup!$A$2:$E$660,3,0)</f>
        <v>Service Contract</v>
      </c>
      <c r="AI378" s="2" t="str">
        <f>VLOOKUP(F378,vlookup!$A$2:$E$660,4,0)</f>
        <v>Used Car Programs</v>
      </c>
      <c r="AJ378" s="2" t="str">
        <f>VLOOKUP(F378,vlookup!$A$2:$E$660,5,0)</f>
        <v>High Mileage</v>
      </c>
      <c r="AK378" s="2"/>
      <c r="AL378" s="2">
        <f t="shared" si="76"/>
        <v>69</v>
      </c>
      <c r="AM378" s="2">
        <f t="shared" si="77"/>
        <v>361</v>
      </c>
      <c r="AN378" s="2">
        <f t="shared" si="78"/>
        <v>11316</v>
      </c>
      <c r="AO378" s="2" t="str">
        <f t="shared" si="79"/>
        <v/>
      </c>
      <c r="AP378" s="2" t="str">
        <f t="shared" si="80"/>
        <v/>
      </c>
      <c r="AQ378" s="2" t="str">
        <f t="shared" si="81"/>
        <v/>
      </c>
      <c r="AR378" s="2">
        <f t="shared" si="82"/>
        <v>-17.77</v>
      </c>
      <c r="AS378" s="2" t="str">
        <f t="shared" si="83"/>
        <v>SNFFR299688K20-1</v>
      </c>
      <c r="AT378" s="2" t="str">
        <f>IFERROR(IF(VLOOKUP(Y378,vlookup!$I$2:$J$9,1,0)=Y378,VLOOKUP(Y378,vlookup!$I$2:$J$9,2,0),PROPER(Y378)),PROPER(Y378))</f>
        <v>Sales Tax</v>
      </c>
      <c r="AU378" s="2" t="str">
        <f>IFERROR(IF(B378=VLOOKUP(B378,vlookup!$L$2:$L$10,1,0),"Yes","No"),"No")</f>
        <v>No</v>
      </c>
    </row>
    <row r="379" spans="1:47" x14ac:dyDescent="0.25">
      <c r="A379" t="s">
        <v>736</v>
      </c>
      <c r="B379" t="s">
        <v>737</v>
      </c>
      <c r="C379">
        <v>2</v>
      </c>
      <c r="D379">
        <v>1</v>
      </c>
      <c r="E379" t="s">
        <v>382</v>
      </c>
      <c r="F379" t="s">
        <v>257</v>
      </c>
      <c r="G379" t="s">
        <v>697</v>
      </c>
      <c r="H379" s="11" t="s">
        <v>738</v>
      </c>
      <c r="I379">
        <v>78148</v>
      </c>
      <c r="J379" s="22">
        <v>44158</v>
      </c>
      <c r="K379" s="22">
        <v>44229</v>
      </c>
      <c r="L379">
        <v>202101</v>
      </c>
      <c r="M379" s="22">
        <v>44197</v>
      </c>
      <c r="N379">
        <v>77871</v>
      </c>
      <c r="O379" t="s">
        <v>699</v>
      </c>
      <c r="P379" t="s">
        <v>712</v>
      </c>
      <c r="Q379" t="s">
        <v>612</v>
      </c>
      <c r="R379">
        <v>110766</v>
      </c>
      <c r="S379" s="22">
        <v>44609</v>
      </c>
      <c r="T379">
        <v>92331</v>
      </c>
      <c r="U379" t="s">
        <v>356</v>
      </c>
      <c r="V379" s="22">
        <v>44620</v>
      </c>
      <c r="W379" t="s">
        <v>840</v>
      </c>
      <c r="X379" t="s">
        <v>841</v>
      </c>
      <c r="Y379" t="s">
        <v>13</v>
      </c>
      <c r="Z379" t="s">
        <v>358</v>
      </c>
      <c r="AA379">
        <v>-16.36</v>
      </c>
      <c r="AC379" s="2">
        <f t="shared" si="72"/>
        <v>2022</v>
      </c>
      <c r="AD379" s="2">
        <f t="shared" si="73"/>
        <v>2</v>
      </c>
      <c r="AE379" s="2">
        <f t="shared" si="74"/>
        <v>2020</v>
      </c>
      <c r="AF379" s="2">
        <f t="shared" si="75"/>
        <v>11</v>
      </c>
      <c r="AG379" s="2" t="str">
        <f>VLOOKUP(F379,vlookup!$A$2:$E$660,2,0)</f>
        <v>Retained</v>
      </c>
      <c r="AH379" s="2" t="str">
        <f>VLOOKUP(F379,vlookup!$A$2:$E$660,3,0)</f>
        <v>Service Contract</v>
      </c>
      <c r="AI379" s="2" t="str">
        <f>VLOOKUP(F379,vlookup!$A$2:$E$660,4,0)</f>
        <v>Used Car Programs</v>
      </c>
      <c r="AJ379" s="2" t="str">
        <f>VLOOKUP(F379,vlookup!$A$2:$E$660,5,0)</f>
        <v>High Mileage</v>
      </c>
      <c r="AK379" s="2"/>
      <c r="AL379" s="2">
        <f t="shared" si="76"/>
        <v>69</v>
      </c>
      <c r="AM379" s="2">
        <f t="shared" si="77"/>
        <v>455</v>
      </c>
      <c r="AN379" s="2">
        <f t="shared" si="78"/>
        <v>14183</v>
      </c>
      <c r="AO379" s="2" t="str">
        <f t="shared" si="79"/>
        <v/>
      </c>
      <c r="AP379" s="2" t="str">
        <f t="shared" si="80"/>
        <v/>
      </c>
      <c r="AQ379" s="2" t="str">
        <f t="shared" si="81"/>
        <v/>
      </c>
      <c r="AR379" s="2">
        <f t="shared" si="82"/>
        <v>-16.36</v>
      </c>
      <c r="AS379" s="2" t="str">
        <f t="shared" si="83"/>
        <v>SNFFR299688K20-2</v>
      </c>
      <c r="AT379" s="2" t="str">
        <f>IFERROR(IF(VLOOKUP(Y379,vlookup!$I$2:$J$9,1,0)=Y379,VLOOKUP(Y379,vlookup!$I$2:$J$9,2,0),PROPER(Y379)),PROPER(Y379))</f>
        <v>Sales Tax</v>
      </c>
      <c r="AU379" s="2" t="str">
        <f>IFERROR(IF(B379=VLOOKUP(B379,vlookup!$L$2:$L$10,1,0),"Yes","No"),"No")</f>
        <v>No</v>
      </c>
    </row>
    <row r="380" spans="1:47" x14ac:dyDescent="0.25">
      <c r="A380" t="s">
        <v>736</v>
      </c>
      <c r="B380" t="s">
        <v>737</v>
      </c>
      <c r="C380">
        <v>2</v>
      </c>
      <c r="D380">
        <v>1</v>
      </c>
      <c r="E380" t="s">
        <v>382</v>
      </c>
      <c r="F380" t="s">
        <v>257</v>
      </c>
      <c r="G380" t="s">
        <v>697</v>
      </c>
      <c r="H380" s="11" t="s">
        <v>738</v>
      </c>
      <c r="I380">
        <v>78148</v>
      </c>
      <c r="J380" s="22">
        <v>44158</v>
      </c>
      <c r="K380" s="22">
        <v>44229</v>
      </c>
      <c r="L380">
        <v>202101</v>
      </c>
      <c r="M380" s="22">
        <v>44197</v>
      </c>
      <c r="N380">
        <v>77871</v>
      </c>
      <c r="O380" t="s">
        <v>699</v>
      </c>
      <c r="P380" t="s">
        <v>712</v>
      </c>
      <c r="Q380" t="s">
        <v>612</v>
      </c>
      <c r="R380">
        <v>110766</v>
      </c>
      <c r="S380" s="22">
        <v>44609</v>
      </c>
      <c r="T380">
        <v>92331</v>
      </c>
      <c r="U380" t="s">
        <v>356</v>
      </c>
      <c r="V380" s="22">
        <v>44620</v>
      </c>
      <c r="W380" t="s">
        <v>842</v>
      </c>
      <c r="X380" t="s">
        <v>843</v>
      </c>
      <c r="Y380" t="s">
        <v>13</v>
      </c>
      <c r="Z380" t="s">
        <v>358</v>
      </c>
      <c r="AA380">
        <v>-96.63</v>
      </c>
      <c r="AC380" s="2">
        <f t="shared" si="72"/>
        <v>2022</v>
      </c>
      <c r="AD380" s="2">
        <f t="shared" si="73"/>
        <v>2</v>
      </c>
      <c r="AE380" s="2">
        <f t="shared" si="74"/>
        <v>2020</v>
      </c>
      <c r="AF380" s="2">
        <f t="shared" si="75"/>
        <v>11</v>
      </c>
      <c r="AG380" s="2" t="str">
        <f>VLOOKUP(F380,vlookup!$A$2:$E$660,2,0)</f>
        <v>Retained</v>
      </c>
      <c r="AH380" s="2" t="str">
        <f>VLOOKUP(F380,vlookup!$A$2:$E$660,3,0)</f>
        <v>Service Contract</v>
      </c>
      <c r="AI380" s="2" t="str">
        <f>VLOOKUP(F380,vlookup!$A$2:$E$660,4,0)</f>
        <v>Used Car Programs</v>
      </c>
      <c r="AJ380" s="2" t="str">
        <f>VLOOKUP(F380,vlookup!$A$2:$E$660,5,0)</f>
        <v>High Mileage</v>
      </c>
      <c r="AK380" s="2"/>
      <c r="AL380" s="2">
        <f t="shared" si="76"/>
        <v>69</v>
      </c>
      <c r="AM380" s="2">
        <f t="shared" si="77"/>
        <v>455</v>
      </c>
      <c r="AN380" s="2">
        <f t="shared" si="78"/>
        <v>14183</v>
      </c>
      <c r="AO380" s="2" t="str">
        <f t="shared" si="79"/>
        <v/>
      </c>
      <c r="AP380" s="2" t="str">
        <f t="shared" si="80"/>
        <v/>
      </c>
      <c r="AQ380" s="2" t="str">
        <f t="shared" si="81"/>
        <v/>
      </c>
      <c r="AR380" s="2">
        <f t="shared" si="82"/>
        <v>-96.63</v>
      </c>
      <c r="AS380" s="2" t="str">
        <f t="shared" si="83"/>
        <v>SNFFR299688K20-2</v>
      </c>
      <c r="AT380" s="2" t="str">
        <f>IFERROR(IF(VLOOKUP(Y380,vlookup!$I$2:$J$9,1,0)=Y380,VLOOKUP(Y380,vlookup!$I$2:$J$9,2,0),PROPER(Y380)),PROPER(Y380))</f>
        <v>Sales Tax</v>
      </c>
      <c r="AU380" s="2" t="str">
        <f>IFERROR(IF(B380=VLOOKUP(B380,vlookup!$L$2:$L$10,1,0),"Yes","No"),"No")</f>
        <v>No</v>
      </c>
    </row>
    <row r="381" spans="1:47" x14ac:dyDescent="0.25">
      <c r="A381" t="s">
        <v>736</v>
      </c>
      <c r="B381" t="s">
        <v>737</v>
      </c>
      <c r="C381">
        <v>3</v>
      </c>
      <c r="D381">
        <v>1</v>
      </c>
      <c r="E381" t="s">
        <v>382</v>
      </c>
      <c r="F381" t="s">
        <v>257</v>
      </c>
      <c r="G381" t="s">
        <v>697</v>
      </c>
      <c r="H381" s="11" t="s">
        <v>738</v>
      </c>
      <c r="I381">
        <v>78148</v>
      </c>
      <c r="J381" s="22">
        <v>44158</v>
      </c>
      <c r="K381" s="22">
        <v>44229</v>
      </c>
      <c r="L381">
        <v>202101</v>
      </c>
      <c r="M381" s="22">
        <v>44197</v>
      </c>
      <c r="N381">
        <v>77871</v>
      </c>
      <c r="O381" t="s">
        <v>699</v>
      </c>
      <c r="P381" t="s">
        <v>712</v>
      </c>
      <c r="Q381" t="s">
        <v>612</v>
      </c>
      <c r="R381">
        <v>111677</v>
      </c>
      <c r="S381" s="22">
        <v>44628</v>
      </c>
      <c r="T381">
        <v>92746</v>
      </c>
      <c r="U381" t="s">
        <v>356</v>
      </c>
      <c r="V381" s="22">
        <v>44629</v>
      </c>
      <c r="W381" t="s">
        <v>844</v>
      </c>
      <c r="X381" t="s">
        <v>845</v>
      </c>
      <c r="Y381" t="s">
        <v>13</v>
      </c>
      <c r="Z381" t="s">
        <v>583</v>
      </c>
      <c r="AA381">
        <v>-35.299999999999997</v>
      </c>
      <c r="AC381" s="2">
        <f t="shared" si="72"/>
        <v>2022</v>
      </c>
      <c r="AD381" s="2">
        <f t="shared" si="73"/>
        <v>3</v>
      </c>
      <c r="AE381" s="2">
        <f t="shared" si="74"/>
        <v>2020</v>
      </c>
      <c r="AF381" s="2">
        <f t="shared" si="75"/>
        <v>11</v>
      </c>
      <c r="AG381" s="2" t="str">
        <f>VLOOKUP(F381,vlookup!$A$2:$E$660,2,0)</f>
        <v>Retained</v>
      </c>
      <c r="AH381" s="2" t="str">
        <f>VLOOKUP(F381,vlookup!$A$2:$E$660,3,0)</f>
        <v>Service Contract</v>
      </c>
      <c r="AI381" s="2" t="str">
        <f>VLOOKUP(F381,vlookup!$A$2:$E$660,4,0)</f>
        <v>Used Car Programs</v>
      </c>
      <c r="AJ381" s="2" t="str">
        <f>VLOOKUP(F381,vlookup!$A$2:$E$660,5,0)</f>
        <v>High Mileage</v>
      </c>
      <c r="AK381" s="2"/>
      <c r="AL381" s="2">
        <f t="shared" si="76"/>
        <v>69</v>
      </c>
      <c r="AM381" s="2">
        <f t="shared" si="77"/>
        <v>466</v>
      </c>
      <c r="AN381" s="2">
        <f t="shared" si="78"/>
        <v>14598</v>
      </c>
      <c r="AO381" s="2" t="str">
        <f t="shared" si="79"/>
        <v/>
      </c>
      <c r="AP381" s="2" t="str">
        <f t="shared" si="80"/>
        <v/>
      </c>
      <c r="AQ381" s="2" t="str">
        <f t="shared" si="81"/>
        <v/>
      </c>
      <c r="AR381" s="2">
        <f t="shared" si="82"/>
        <v>-35.299999999999997</v>
      </c>
      <c r="AS381" s="2" t="str">
        <f t="shared" si="83"/>
        <v>SNFFR299688K20-3</v>
      </c>
      <c r="AT381" s="2" t="str">
        <f>IFERROR(IF(VLOOKUP(Y381,vlookup!$I$2:$J$9,1,0)=Y381,VLOOKUP(Y381,vlookup!$I$2:$J$9,2,0),PROPER(Y381)),PROPER(Y381))</f>
        <v>Sales Tax</v>
      </c>
      <c r="AU381" s="2" t="str">
        <f>IFERROR(IF(B381=VLOOKUP(B381,vlookup!$L$2:$L$10,1,0),"Yes","No"),"No")</f>
        <v>No</v>
      </c>
    </row>
    <row r="382" spans="1:47" x14ac:dyDescent="0.25">
      <c r="A382" t="s">
        <v>736</v>
      </c>
      <c r="B382" t="s">
        <v>737</v>
      </c>
      <c r="C382">
        <v>3</v>
      </c>
      <c r="D382">
        <v>1</v>
      </c>
      <c r="E382" t="s">
        <v>382</v>
      </c>
      <c r="F382" t="s">
        <v>257</v>
      </c>
      <c r="G382" t="s">
        <v>697</v>
      </c>
      <c r="H382" s="11" t="s">
        <v>738</v>
      </c>
      <c r="I382">
        <v>78148</v>
      </c>
      <c r="J382" s="22">
        <v>44158</v>
      </c>
      <c r="K382" s="22">
        <v>44229</v>
      </c>
      <c r="L382">
        <v>202101</v>
      </c>
      <c r="M382" s="22">
        <v>44197</v>
      </c>
      <c r="N382">
        <v>77871</v>
      </c>
      <c r="O382" t="s">
        <v>699</v>
      </c>
      <c r="P382" t="s">
        <v>712</v>
      </c>
      <c r="Q382" t="s">
        <v>612</v>
      </c>
      <c r="R382">
        <v>111677</v>
      </c>
      <c r="S382" s="22">
        <v>44628</v>
      </c>
      <c r="T382">
        <v>92746</v>
      </c>
      <c r="U382" t="s">
        <v>356</v>
      </c>
      <c r="V382" s="22">
        <v>44629</v>
      </c>
      <c r="W382" t="s">
        <v>616</v>
      </c>
      <c r="X382" t="s">
        <v>617</v>
      </c>
      <c r="Y382" t="s">
        <v>13</v>
      </c>
      <c r="Z382" t="s">
        <v>364</v>
      </c>
      <c r="AA382">
        <v>-2.82</v>
      </c>
      <c r="AC382" s="2">
        <f t="shared" si="72"/>
        <v>2022</v>
      </c>
      <c r="AD382" s="2">
        <f t="shared" si="73"/>
        <v>3</v>
      </c>
      <c r="AE382" s="2">
        <f t="shared" si="74"/>
        <v>2020</v>
      </c>
      <c r="AF382" s="2">
        <f t="shared" si="75"/>
        <v>11</v>
      </c>
      <c r="AG382" s="2" t="str">
        <f>VLOOKUP(F382,vlookup!$A$2:$E$660,2,0)</f>
        <v>Retained</v>
      </c>
      <c r="AH382" s="2" t="str">
        <f>VLOOKUP(F382,vlookup!$A$2:$E$660,3,0)</f>
        <v>Service Contract</v>
      </c>
      <c r="AI382" s="2" t="str">
        <f>VLOOKUP(F382,vlookup!$A$2:$E$660,4,0)</f>
        <v>Used Car Programs</v>
      </c>
      <c r="AJ382" s="2" t="str">
        <f>VLOOKUP(F382,vlookup!$A$2:$E$660,5,0)</f>
        <v>High Mileage</v>
      </c>
      <c r="AK382" s="2"/>
      <c r="AL382" s="2">
        <f t="shared" si="76"/>
        <v>69</v>
      </c>
      <c r="AM382" s="2">
        <f t="shared" si="77"/>
        <v>466</v>
      </c>
      <c r="AN382" s="2">
        <f t="shared" si="78"/>
        <v>14598</v>
      </c>
      <c r="AO382" s="2" t="str">
        <f t="shared" si="79"/>
        <v/>
      </c>
      <c r="AP382" s="2" t="str">
        <f t="shared" si="80"/>
        <v/>
      </c>
      <c r="AQ382" s="2" t="str">
        <f t="shared" si="81"/>
        <v/>
      </c>
      <c r="AR382" s="2">
        <f t="shared" si="82"/>
        <v>-2.82</v>
      </c>
      <c r="AS382" s="2" t="str">
        <f t="shared" si="83"/>
        <v>SNFFR299688K20-3</v>
      </c>
      <c r="AT382" s="2" t="str">
        <f>IFERROR(IF(VLOOKUP(Y382,vlookup!$I$2:$J$9,1,0)=Y382,VLOOKUP(Y382,vlookup!$I$2:$J$9,2,0),PROPER(Y382)),PROPER(Y382))</f>
        <v>Sales Tax</v>
      </c>
      <c r="AU382" s="2" t="str">
        <f>IFERROR(IF(B382=VLOOKUP(B382,vlookup!$L$2:$L$10,1,0),"Yes","No"),"No")</f>
        <v>No</v>
      </c>
    </row>
    <row r="383" spans="1:47" x14ac:dyDescent="0.25">
      <c r="A383" t="s">
        <v>736</v>
      </c>
      <c r="B383" t="s">
        <v>737</v>
      </c>
      <c r="C383">
        <v>3</v>
      </c>
      <c r="D383">
        <v>1</v>
      </c>
      <c r="E383" t="s">
        <v>382</v>
      </c>
      <c r="F383" t="s">
        <v>257</v>
      </c>
      <c r="G383" t="s">
        <v>697</v>
      </c>
      <c r="H383" s="11" t="s">
        <v>738</v>
      </c>
      <c r="I383">
        <v>78148</v>
      </c>
      <c r="J383" s="22">
        <v>44158</v>
      </c>
      <c r="K383" s="22">
        <v>44229</v>
      </c>
      <c r="L383">
        <v>202101</v>
      </c>
      <c r="M383" s="22">
        <v>44197</v>
      </c>
      <c r="N383">
        <v>77871</v>
      </c>
      <c r="O383" t="s">
        <v>699</v>
      </c>
      <c r="P383" t="s">
        <v>712</v>
      </c>
      <c r="Q383" t="s">
        <v>612</v>
      </c>
      <c r="R383">
        <v>111677</v>
      </c>
      <c r="S383" s="22">
        <v>44628</v>
      </c>
      <c r="T383">
        <v>92746</v>
      </c>
      <c r="U383" t="s">
        <v>356</v>
      </c>
      <c r="V383" s="22">
        <v>44629</v>
      </c>
      <c r="W383" t="s">
        <v>600</v>
      </c>
      <c r="X383" t="s">
        <v>601</v>
      </c>
      <c r="Y383" t="s">
        <v>13</v>
      </c>
      <c r="Z383" t="s">
        <v>364</v>
      </c>
      <c r="AA383">
        <v>-3.78</v>
      </c>
      <c r="AC383" s="2">
        <f t="shared" si="72"/>
        <v>2022</v>
      </c>
      <c r="AD383" s="2">
        <f t="shared" si="73"/>
        <v>3</v>
      </c>
      <c r="AE383" s="2">
        <f t="shared" si="74"/>
        <v>2020</v>
      </c>
      <c r="AF383" s="2">
        <f t="shared" si="75"/>
        <v>11</v>
      </c>
      <c r="AG383" s="2" t="str">
        <f>VLOOKUP(F383,vlookup!$A$2:$E$660,2,0)</f>
        <v>Retained</v>
      </c>
      <c r="AH383" s="2" t="str">
        <f>VLOOKUP(F383,vlookup!$A$2:$E$660,3,0)</f>
        <v>Service Contract</v>
      </c>
      <c r="AI383" s="2" t="str">
        <f>VLOOKUP(F383,vlookup!$A$2:$E$660,4,0)</f>
        <v>Used Car Programs</v>
      </c>
      <c r="AJ383" s="2" t="str">
        <f>VLOOKUP(F383,vlookup!$A$2:$E$660,5,0)</f>
        <v>High Mileage</v>
      </c>
      <c r="AK383" s="2"/>
      <c r="AL383" s="2">
        <f t="shared" si="76"/>
        <v>69</v>
      </c>
      <c r="AM383" s="2">
        <f t="shared" si="77"/>
        <v>466</v>
      </c>
      <c r="AN383" s="2">
        <f t="shared" si="78"/>
        <v>14598</v>
      </c>
      <c r="AO383" s="2" t="str">
        <f t="shared" si="79"/>
        <v/>
      </c>
      <c r="AP383" s="2" t="str">
        <f t="shared" si="80"/>
        <v/>
      </c>
      <c r="AQ383" s="2" t="str">
        <f t="shared" si="81"/>
        <v/>
      </c>
      <c r="AR383" s="2">
        <f t="shared" si="82"/>
        <v>-3.78</v>
      </c>
      <c r="AS383" s="2" t="str">
        <f t="shared" si="83"/>
        <v>SNFFR299688K20-3</v>
      </c>
      <c r="AT383" s="2" t="str">
        <f>IFERROR(IF(VLOOKUP(Y383,vlookup!$I$2:$J$9,1,0)=Y383,VLOOKUP(Y383,vlookup!$I$2:$J$9,2,0),PROPER(Y383)),PROPER(Y383))</f>
        <v>Sales Tax</v>
      </c>
      <c r="AU383" s="2" t="str">
        <f>IFERROR(IF(B383=VLOOKUP(B383,vlookup!$L$2:$L$10,1,0),"Yes","No"),"No")</f>
        <v>No</v>
      </c>
    </row>
    <row r="384" spans="1:47" x14ac:dyDescent="0.25">
      <c r="A384" t="s">
        <v>736</v>
      </c>
      <c r="B384" t="s">
        <v>737</v>
      </c>
      <c r="C384">
        <v>4</v>
      </c>
      <c r="D384">
        <v>1</v>
      </c>
      <c r="E384" t="s">
        <v>382</v>
      </c>
      <c r="F384" t="s">
        <v>257</v>
      </c>
      <c r="G384" t="s">
        <v>697</v>
      </c>
      <c r="H384" s="11" t="s">
        <v>738</v>
      </c>
      <c r="I384">
        <v>78148</v>
      </c>
      <c r="J384" s="22">
        <v>44158</v>
      </c>
      <c r="K384" s="22">
        <v>44229</v>
      </c>
      <c r="L384">
        <v>202101</v>
      </c>
      <c r="M384" s="22">
        <v>44197</v>
      </c>
      <c r="N384">
        <v>77871</v>
      </c>
      <c r="O384" t="s">
        <v>699</v>
      </c>
      <c r="P384" t="s">
        <v>712</v>
      </c>
      <c r="Q384" t="s">
        <v>612</v>
      </c>
      <c r="R384">
        <v>112392</v>
      </c>
      <c r="S384" s="22">
        <v>44642</v>
      </c>
      <c r="T384">
        <v>93176</v>
      </c>
      <c r="U384" t="s">
        <v>356</v>
      </c>
      <c r="V384" s="22">
        <v>44643</v>
      </c>
      <c r="W384" t="s">
        <v>584</v>
      </c>
      <c r="X384" t="s">
        <v>585</v>
      </c>
      <c r="Y384" t="s">
        <v>13</v>
      </c>
      <c r="Z384" t="s">
        <v>576</v>
      </c>
      <c r="AA384">
        <v>-4.9000000000000004</v>
      </c>
      <c r="AC384" s="2">
        <f t="shared" si="72"/>
        <v>2022</v>
      </c>
      <c r="AD384" s="2">
        <f t="shared" si="73"/>
        <v>3</v>
      </c>
      <c r="AE384" s="2">
        <f t="shared" si="74"/>
        <v>2020</v>
      </c>
      <c r="AF384" s="2">
        <f t="shared" si="75"/>
        <v>11</v>
      </c>
      <c r="AG384" s="2" t="str">
        <f>VLOOKUP(F384,vlookup!$A$2:$E$660,2,0)</f>
        <v>Retained</v>
      </c>
      <c r="AH384" s="2" t="str">
        <f>VLOOKUP(F384,vlookup!$A$2:$E$660,3,0)</f>
        <v>Service Contract</v>
      </c>
      <c r="AI384" s="2" t="str">
        <f>VLOOKUP(F384,vlookup!$A$2:$E$660,4,0)</f>
        <v>Used Car Programs</v>
      </c>
      <c r="AJ384" s="2" t="str">
        <f>VLOOKUP(F384,vlookup!$A$2:$E$660,5,0)</f>
        <v>High Mileage</v>
      </c>
      <c r="AK384" s="2"/>
      <c r="AL384" s="2">
        <f t="shared" si="76"/>
        <v>69</v>
      </c>
      <c r="AM384" s="2">
        <f t="shared" si="77"/>
        <v>480</v>
      </c>
      <c r="AN384" s="2">
        <f t="shared" si="78"/>
        <v>15028</v>
      </c>
      <c r="AO384" s="2" t="str">
        <f t="shared" si="79"/>
        <v/>
      </c>
      <c r="AP384" s="2" t="str">
        <f t="shared" si="80"/>
        <v/>
      </c>
      <c r="AQ384" s="2" t="str">
        <f t="shared" si="81"/>
        <v/>
      </c>
      <c r="AR384" s="2">
        <f t="shared" si="82"/>
        <v>-4.9000000000000004</v>
      </c>
      <c r="AS384" s="2" t="str">
        <f t="shared" si="83"/>
        <v>SNFFR299688K20-4</v>
      </c>
      <c r="AT384" s="2" t="str">
        <f>IFERROR(IF(VLOOKUP(Y384,vlookup!$I$2:$J$9,1,0)=Y384,VLOOKUP(Y384,vlookup!$I$2:$J$9,2,0),PROPER(Y384)),PROPER(Y384))</f>
        <v>Sales Tax</v>
      </c>
      <c r="AU384" s="2" t="str">
        <f>IFERROR(IF(B384=VLOOKUP(B384,vlookup!$L$2:$L$10,1,0),"Yes","No"),"No")</f>
        <v>No</v>
      </c>
    </row>
    <row r="385" spans="1:47" x14ac:dyDescent="0.25">
      <c r="A385" t="s">
        <v>736</v>
      </c>
      <c r="B385" t="s">
        <v>737</v>
      </c>
      <c r="C385">
        <v>4</v>
      </c>
      <c r="D385">
        <v>1</v>
      </c>
      <c r="E385" t="s">
        <v>382</v>
      </c>
      <c r="F385" t="s">
        <v>257</v>
      </c>
      <c r="G385" t="s">
        <v>697</v>
      </c>
      <c r="H385" s="11" t="s">
        <v>738</v>
      </c>
      <c r="I385">
        <v>78148</v>
      </c>
      <c r="J385" s="22">
        <v>44158</v>
      </c>
      <c r="K385" s="22">
        <v>44229</v>
      </c>
      <c r="L385">
        <v>202101</v>
      </c>
      <c r="M385" s="22">
        <v>44197</v>
      </c>
      <c r="N385">
        <v>77871</v>
      </c>
      <c r="O385" t="s">
        <v>699</v>
      </c>
      <c r="P385" t="s">
        <v>712</v>
      </c>
      <c r="Q385" t="s">
        <v>612</v>
      </c>
      <c r="R385">
        <v>112392</v>
      </c>
      <c r="S385" s="22">
        <v>44642</v>
      </c>
      <c r="T385">
        <v>93176</v>
      </c>
      <c r="U385" t="s">
        <v>356</v>
      </c>
      <c r="V385" s="22">
        <v>44643</v>
      </c>
      <c r="W385" t="s">
        <v>586</v>
      </c>
      <c r="X385" t="s">
        <v>587</v>
      </c>
      <c r="Y385" t="s">
        <v>13</v>
      </c>
      <c r="Z385" t="s">
        <v>576</v>
      </c>
      <c r="AA385">
        <v>-19.5</v>
      </c>
      <c r="AC385" s="2">
        <f t="shared" si="72"/>
        <v>2022</v>
      </c>
      <c r="AD385" s="2">
        <f t="shared" si="73"/>
        <v>3</v>
      </c>
      <c r="AE385" s="2">
        <f t="shared" si="74"/>
        <v>2020</v>
      </c>
      <c r="AF385" s="2">
        <f t="shared" si="75"/>
        <v>11</v>
      </c>
      <c r="AG385" s="2" t="str">
        <f>VLOOKUP(F385,vlookup!$A$2:$E$660,2,0)</f>
        <v>Retained</v>
      </c>
      <c r="AH385" s="2" t="str">
        <f>VLOOKUP(F385,vlookup!$A$2:$E$660,3,0)</f>
        <v>Service Contract</v>
      </c>
      <c r="AI385" s="2" t="str">
        <f>VLOOKUP(F385,vlookup!$A$2:$E$660,4,0)</f>
        <v>Used Car Programs</v>
      </c>
      <c r="AJ385" s="2" t="str">
        <f>VLOOKUP(F385,vlookup!$A$2:$E$660,5,0)</f>
        <v>High Mileage</v>
      </c>
      <c r="AK385" s="2"/>
      <c r="AL385" s="2">
        <f t="shared" si="76"/>
        <v>69</v>
      </c>
      <c r="AM385" s="2">
        <f t="shared" si="77"/>
        <v>480</v>
      </c>
      <c r="AN385" s="2">
        <f t="shared" si="78"/>
        <v>15028</v>
      </c>
      <c r="AO385" s="2" t="str">
        <f t="shared" si="79"/>
        <v/>
      </c>
      <c r="AP385" s="2" t="str">
        <f t="shared" si="80"/>
        <v/>
      </c>
      <c r="AQ385" s="2" t="str">
        <f t="shared" si="81"/>
        <v/>
      </c>
      <c r="AR385" s="2">
        <f t="shared" si="82"/>
        <v>-19.5</v>
      </c>
      <c r="AS385" s="2" t="str">
        <f t="shared" si="83"/>
        <v>SNFFR299688K20-4</v>
      </c>
      <c r="AT385" s="2" t="str">
        <f>IFERROR(IF(VLOOKUP(Y385,vlookup!$I$2:$J$9,1,0)=Y385,VLOOKUP(Y385,vlookup!$I$2:$J$9,2,0),PROPER(Y385)),PROPER(Y385))</f>
        <v>Sales Tax</v>
      </c>
      <c r="AU385" s="2" t="str">
        <f>IFERROR(IF(B385=VLOOKUP(B385,vlookup!$L$2:$L$10,1,0),"Yes","No"),"No")</f>
        <v>No</v>
      </c>
    </row>
    <row r="386" spans="1:47" x14ac:dyDescent="0.25">
      <c r="A386" t="s">
        <v>736</v>
      </c>
      <c r="B386" t="s">
        <v>737</v>
      </c>
      <c r="C386">
        <v>5</v>
      </c>
      <c r="D386">
        <v>1</v>
      </c>
      <c r="E386" t="s">
        <v>382</v>
      </c>
      <c r="F386" t="s">
        <v>257</v>
      </c>
      <c r="G386" t="s">
        <v>697</v>
      </c>
      <c r="H386" s="11" t="s">
        <v>738</v>
      </c>
      <c r="I386">
        <v>78148</v>
      </c>
      <c r="J386" s="22">
        <v>44158</v>
      </c>
      <c r="K386" s="22">
        <v>44229</v>
      </c>
      <c r="L386">
        <v>202101</v>
      </c>
      <c r="M386" s="22">
        <v>44197</v>
      </c>
      <c r="N386">
        <v>77871</v>
      </c>
      <c r="O386" t="s">
        <v>699</v>
      </c>
      <c r="P386" t="s">
        <v>712</v>
      </c>
      <c r="Q386" t="s">
        <v>612</v>
      </c>
      <c r="R386">
        <v>142378</v>
      </c>
      <c r="S386" s="22">
        <v>44886</v>
      </c>
      <c r="T386">
        <v>100749</v>
      </c>
      <c r="U386" t="s">
        <v>356</v>
      </c>
      <c r="V386" s="22">
        <v>44895</v>
      </c>
      <c r="W386" t="s">
        <v>618</v>
      </c>
      <c r="X386" t="s">
        <v>619</v>
      </c>
      <c r="Y386" t="s">
        <v>13</v>
      </c>
      <c r="Z386" t="s">
        <v>579</v>
      </c>
      <c r="AA386">
        <v>-155</v>
      </c>
      <c r="AC386" s="2">
        <f t="shared" si="72"/>
        <v>2022</v>
      </c>
      <c r="AD386" s="2">
        <f t="shared" si="73"/>
        <v>11</v>
      </c>
      <c r="AE386" s="2">
        <f t="shared" si="74"/>
        <v>2020</v>
      </c>
      <c r="AF386" s="2">
        <f t="shared" si="75"/>
        <v>11</v>
      </c>
      <c r="AG386" s="2" t="str">
        <f>VLOOKUP(F386,vlookup!$A$2:$E$660,2,0)</f>
        <v>Retained</v>
      </c>
      <c r="AH386" s="2" t="str">
        <f>VLOOKUP(F386,vlookup!$A$2:$E$660,3,0)</f>
        <v>Service Contract</v>
      </c>
      <c r="AI386" s="2" t="str">
        <f>VLOOKUP(F386,vlookup!$A$2:$E$660,4,0)</f>
        <v>Used Car Programs</v>
      </c>
      <c r="AJ386" s="2" t="str">
        <f>VLOOKUP(F386,vlookup!$A$2:$E$660,5,0)</f>
        <v>High Mileage</v>
      </c>
      <c r="AK386" s="2"/>
      <c r="AL386" s="2">
        <f t="shared" si="76"/>
        <v>69</v>
      </c>
      <c r="AM386" s="2">
        <f t="shared" si="77"/>
        <v>727</v>
      </c>
      <c r="AN386" s="2">
        <f t="shared" si="78"/>
        <v>22601</v>
      </c>
      <c r="AO386" s="2" t="str">
        <f t="shared" si="79"/>
        <v/>
      </c>
      <c r="AP386" s="2" t="str">
        <f t="shared" si="80"/>
        <v/>
      </c>
      <c r="AQ386" s="2" t="str">
        <f t="shared" si="81"/>
        <v/>
      </c>
      <c r="AR386" s="2">
        <f t="shared" si="82"/>
        <v>-155</v>
      </c>
      <c r="AS386" s="2" t="str">
        <f t="shared" si="83"/>
        <v>SNFFR299688K20-5</v>
      </c>
      <c r="AT386" s="2" t="str">
        <f>IFERROR(IF(VLOOKUP(Y386,vlookup!$I$2:$J$9,1,0)=Y386,VLOOKUP(Y386,vlookup!$I$2:$J$9,2,0),PROPER(Y386)),PROPER(Y386))</f>
        <v>Sales Tax</v>
      </c>
      <c r="AU386" s="2" t="str">
        <f>IFERROR(IF(B386=VLOOKUP(B386,vlookup!$L$2:$L$10,1,0),"Yes","No"),"No")</f>
        <v>No</v>
      </c>
    </row>
    <row r="387" spans="1:47" x14ac:dyDescent="0.25">
      <c r="A387" t="s">
        <v>739</v>
      </c>
      <c r="B387" t="s">
        <v>740</v>
      </c>
      <c r="C387">
        <v>1</v>
      </c>
      <c r="D387">
        <v>1</v>
      </c>
      <c r="E387" t="s">
        <v>572</v>
      </c>
      <c r="F387" t="s">
        <v>346</v>
      </c>
      <c r="G387" t="s">
        <v>697</v>
      </c>
      <c r="H387" s="11" t="s">
        <v>738</v>
      </c>
      <c r="I387">
        <v>65533</v>
      </c>
      <c r="J387" s="22">
        <v>44141</v>
      </c>
      <c r="K387" s="22">
        <v>44168</v>
      </c>
      <c r="L387">
        <v>202011</v>
      </c>
      <c r="M387" s="22">
        <v>44136</v>
      </c>
      <c r="N387">
        <v>77871</v>
      </c>
      <c r="O387" t="s">
        <v>699</v>
      </c>
      <c r="P387" t="s">
        <v>712</v>
      </c>
      <c r="Q387" t="s">
        <v>612</v>
      </c>
      <c r="R387">
        <v>905856</v>
      </c>
      <c r="S387" s="22">
        <v>44337</v>
      </c>
      <c r="T387">
        <v>76841</v>
      </c>
      <c r="U387" t="s">
        <v>356</v>
      </c>
      <c r="V387" s="22">
        <v>44348</v>
      </c>
      <c r="W387" t="s">
        <v>584</v>
      </c>
      <c r="X387" t="s">
        <v>585</v>
      </c>
      <c r="Y387" t="s">
        <v>13</v>
      </c>
      <c r="Z387" t="s">
        <v>576</v>
      </c>
      <c r="AA387">
        <v>-3.68</v>
      </c>
      <c r="AC387" s="2">
        <f t="shared" si="72"/>
        <v>2021</v>
      </c>
      <c r="AD387" s="2">
        <f t="shared" si="73"/>
        <v>6</v>
      </c>
      <c r="AE387" s="2">
        <f t="shared" si="74"/>
        <v>2020</v>
      </c>
      <c r="AF387" s="2">
        <f t="shared" si="75"/>
        <v>11</v>
      </c>
      <c r="AG387" s="2" t="str">
        <f>VLOOKUP(F387,vlookup!$A$2:$E$660,2,0)</f>
        <v>Retained</v>
      </c>
      <c r="AH387" s="2" t="str">
        <f>VLOOKUP(F387,vlookup!$A$2:$E$660,3,0)</f>
        <v>Service Contract</v>
      </c>
      <c r="AI387" s="2" t="str">
        <f>VLOOKUP(F387,vlookup!$A$2:$E$660,4,0)</f>
        <v>Used Car Programs</v>
      </c>
      <c r="AJ387" s="2" t="str">
        <f>VLOOKUP(F387,vlookup!$A$2:$E$660,5,0)</f>
        <v>High Mileage</v>
      </c>
      <c r="AK387" s="2"/>
      <c r="AL387" s="2">
        <f t="shared" si="76"/>
        <v>27</v>
      </c>
      <c r="AM387" s="2">
        <f t="shared" si="77"/>
        <v>205</v>
      </c>
      <c r="AN387" s="2">
        <f t="shared" si="78"/>
        <v>11308</v>
      </c>
      <c r="AO387" s="2" t="str">
        <f t="shared" si="79"/>
        <v/>
      </c>
      <c r="AP387" s="2" t="str">
        <f t="shared" si="80"/>
        <v/>
      </c>
      <c r="AQ387" s="2" t="str">
        <f t="shared" si="81"/>
        <v/>
      </c>
      <c r="AR387" s="2">
        <f t="shared" si="82"/>
        <v>-3.68</v>
      </c>
      <c r="AS387" s="2" t="str">
        <f t="shared" si="83"/>
        <v>SDFGR356895K20-1</v>
      </c>
      <c r="AT387" s="2" t="str">
        <f>IFERROR(IF(VLOOKUP(Y387,vlookup!$I$2:$J$9,1,0)=Y387,VLOOKUP(Y387,vlookup!$I$2:$J$9,2,0),PROPER(Y387)),PROPER(Y387))</f>
        <v>Sales Tax</v>
      </c>
      <c r="AU387" s="2" t="str">
        <f>IFERROR(IF(B387=VLOOKUP(B387,vlookup!$L$2:$L$10,1,0),"Yes","No"),"No")</f>
        <v>No</v>
      </c>
    </row>
    <row r="388" spans="1:47" x14ac:dyDescent="0.25">
      <c r="A388" t="s">
        <v>739</v>
      </c>
      <c r="B388" t="s">
        <v>740</v>
      </c>
      <c r="C388">
        <v>1</v>
      </c>
      <c r="D388">
        <v>1</v>
      </c>
      <c r="E388" t="s">
        <v>572</v>
      </c>
      <c r="F388" t="s">
        <v>346</v>
      </c>
      <c r="G388" t="s">
        <v>697</v>
      </c>
      <c r="H388" s="11" t="s">
        <v>738</v>
      </c>
      <c r="I388">
        <v>65533</v>
      </c>
      <c r="J388" s="22">
        <v>44141</v>
      </c>
      <c r="K388" s="22">
        <v>44168</v>
      </c>
      <c r="L388">
        <v>202011</v>
      </c>
      <c r="M388" s="22">
        <v>44136</v>
      </c>
      <c r="N388">
        <v>77871</v>
      </c>
      <c r="O388" t="s">
        <v>699</v>
      </c>
      <c r="P388" t="s">
        <v>712</v>
      </c>
      <c r="Q388" t="s">
        <v>612</v>
      </c>
      <c r="R388">
        <v>905856</v>
      </c>
      <c r="S388" s="22">
        <v>44337</v>
      </c>
      <c r="T388">
        <v>76841</v>
      </c>
      <c r="U388" t="s">
        <v>356</v>
      </c>
      <c r="V388" s="22">
        <v>44348</v>
      </c>
      <c r="W388" t="s">
        <v>586</v>
      </c>
      <c r="X388" t="s">
        <v>587</v>
      </c>
      <c r="Y388" t="s">
        <v>13</v>
      </c>
      <c r="Z388" t="s">
        <v>576</v>
      </c>
      <c r="AA388">
        <v>-28.92</v>
      </c>
      <c r="AC388" s="2">
        <f t="shared" si="72"/>
        <v>2021</v>
      </c>
      <c r="AD388" s="2">
        <f t="shared" si="73"/>
        <v>6</v>
      </c>
      <c r="AE388" s="2">
        <f t="shared" si="74"/>
        <v>2020</v>
      </c>
      <c r="AF388" s="2">
        <f t="shared" si="75"/>
        <v>11</v>
      </c>
      <c r="AG388" s="2" t="str">
        <f>VLOOKUP(F388,vlookup!$A$2:$E$660,2,0)</f>
        <v>Retained</v>
      </c>
      <c r="AH388" s="2" t="str">
        <f>VLOOKUP(F388,vlookup!$A$2:$E$660,3,0)</f>
        <v>Service Contract</v>
      </c>
      <c r="AI388" s="2" t="str">
        <f>VLOOKUP(F388,vlookup!$A$2:$E$660,4,0)</f>
        <v>Used Car Programs</v>
      </c>
      <c r="AJ388" s="2" t="str">
        <f>VLOOKUP(F388,vlookup!$A$2:$E$660,5,0)</f>
        <v>High Mileage</v>
      </c>
      <c r="AK388" s="2"/>
      <c r="AL388" s="2">
        <f t="shared" si="76"/>
        <v>27</v>
      </c>
      <c r="AM388" s="2">
        <f t="shared" si="77"/>
        <v>205</v>
      </c>
      <c r="AN388" s="2">
        <f t="shared" si="78"/>
        <v>11308</v>
      </c>
      <c r="AO388" s="2" t="str">
        <f t="shared" si="79"/>
        <v/>
      </c>
      <c r="AP388" s="2" t="str">
        <f t="shared" si="80"/>
        <v/>
      </c>
      <c r="AQ388" s="2" t="str">
        <f t="shared" si="81"/>
        <v/>
      </c>
      <c r="AR388" s="2">
        <f t="shared" si="82"/>
        <v>-28.92</v>
      </c>
      <c r="AS388" s="2" t="str">
        <f t="shared" si="83"/>
        <v>SDFGR356895K20-1</v>
      </c>
      <c r="AT388" s="2" t="str">
        <f>IFERROR(IF(VLOOKUP(Y388,vlookup!$I$2:$J$9,1,0)=Y388,VLOOKUP(Y388,vlookup!$I$2:$J$9,2,0),PROPER(Y388)),PROPER(Y388))</f>
        <v>Sales Tax</v>
      </c>
      <c r="AU388" s="2" t="str">
        <f>IFERROR(IF(B388=VLOOKUP(B388,vlookup!$L$2:$L$10,1,0),"Yes","No"),"No")</f>
        <v>No</v>
      </c>
    </row>
    <row r="389" spans="1:47" x14ac:dyDescent="0.25">
      <c r="A389" t="s">
        <v>739</v>
      </c>
      <c r="B389" t="s">
        <v>740</v>
      </c>
      <c r="C389">
        <v>1</v>
      </c>
      <c r="D389">
        <v>1</v>
      </c>
      <c r="E389" t="s">
        <v>572</v>
      </c>
      <c r="F389" t="s">
        <v>346</v>
      </c>
      <c r="G389" t="s">
        <v>697</v>
      </c>
      <c r="H389" s="11" t="s">
        <v>738</v>
      </c>
      <c r="I389">
        <v>65533</v>
      </c>
      <c r="J389" s="22">
        <v>44141</v>
      </c>
      <c r="K389" s="22">
        <v>44168</v>
      </c>
      <c r="L389">
        <v>202011</v>
      </c>
      <c r="M389" s="22">
        <v>44136</v>
      </c>
      <c r="N389">
        <v>77871</v>
      </c>
      <c r="O389" t="s">
        <v>699</v>
      </c>
      <c r="P389" t="s">
        <v>712</v>
      </c>
      <c r="Q389" t="s">
        <v>612</v>
      </c>
      <c r="R389">
        <v>905856</v>
      </c>
      <c r="S389" s="22">
        <v>44337</v>
      </c>
      <c r="T389">
        <v>76841</v>
      </c>
      <c r="U389" t="s">
        <v>356</v>
      </c>
      <c r="V389" s="22">
        <v>44348</v>
      </c>
      <c r="W389" t="s">
        <v>669</v>
      </c>
      <c r="X389" t="s">
        <v>670</v>
      </c>
      <c r="Y389" t="s">
        <v>13</v>
      </c>
      <c r="Z389" t="s">
        <v>576</v>
      </c>
      <c r="AA389">
        <v>-3.72</v>
      </c>
      <c r="AC389" s="2">
        <f t="shared" si="72"/>
        <v>2021</v>
      </c>
      <c r="AD389" s="2">
        <f t="shared" si="73"/>
        <v>6</v>
      </c>
      <c r="AE389" s="2">
        <f t="shared" si="74"/>
        <v>2020</v>
      </c>
      <c r="AF389" s="2">
        <f t="shared" si="75"/>
        <v>11</v>
      </c>
      <c r="AG389" s="2" t="str">
        <f>VLOOKUP(F389,vlookup!$A$2:$E$660,2,0)</f>
        <v>Retained</v>
      </c>
      <c r="AH389" s="2" t="str">
        <f>VLOOKUP(F389,vlookup!$A$2:$E$660,3,0)</f>
        <v>Service Contract</v>
      </c>
      <c r="AI389" s="2" t="str">
        <f>VLOOKUP(F389,vlookup!$A$2:$E$660,4,0)</f>
        <v>Used Car Programs</v>
      </c>
      <c r="AJ389" s="2" t="str">
        <f>VLOOKUP(F389,vlookup!$A$2:$E$660,5,0)</f>
        <v>High Mileage</v>
      </c>
      <c r="AK389" s="2"/>
      <c r="AL389" s="2">
        <f t="shared" si="76"/>
        <v>27</v>
      </c>
      <c r="AM389" s="2">
        <f t="shared" si="77"/>
        <v>205</v>
      </c>
      <c r="AN389" s="2">
        <f t="shared" si="78"/>
        <v>11308</v>
      </c>
      <c r="AO389" s="2" t="str">
        <f t="shared" si="79"/>
        <v/>
      </c>
      <c r="AP389" s="2" t="str">
        <f t="shared" si="80"/>
        <v/>
      </c>
      <c r="AQ389" s="2" t="str">
        <f t="shared" si="81"/>
        <v/>
      </c>
      <c r="AR389" s="2">
        <f t="shared" si="82"/>
        <v>-3.72</v>
      </c>
      <c r="AS389" s="2" t="str">
        <f t="shared" si="83"/>
        <v>SDFGR356895K20-1</v>
      </c>
      <c r="AT389" s="2" t="str">
        <f>IFERROR(IF(VLOOKUP(Y389,vlookup!$I$2:$J$9,1,0)=Y389,VLOOKUP(Y389,vlookup!$I$2:$J$9,2,0),PROPER(Y389)),PROPER(Y389))</f>
        <v>Sales Tax</v>
      </c>
      <c r="AU389" s="2" t="str">
        <f>IFERROR(IF(B389=VLOOKUP(B389,vlookup!$L$2:$L$10,1,0),"Yes","No"),"No")</f>
        <v>No</v>
      </c>
    </row>
    <row r="390" spans="1:47" x14ac:dyDescent="0.25">
      <c r="A390" t="s">
        <v>695</v>
      </c>
      <c r="B390" t="s">
        <v>696</v>
      </c>
      <c r="C390">
        <v>1</v>
      </c>
      <c r="D390">
        <v>1</v>
      </c>
      <c r="E390" t="s">
        <v>382</v>
      </c>
      <c r="F390" t="s">
        <v>207</v>
      </c>
      <c r="G390" t="s">
        <v>697</v>
      </c>
      <c r="H390" s="11" t="s">
        <v>698</v>
      </c>
      <c r="I390">
        <v>56598</v>
      </c>
      <c r="J390" s="22">
        <v>44119</v>
      </c>
      <c r="K390" s="22">
        <v>44200</v>
      </c>
      <c r="L390">
        <v>202012</v>
      </c>
      <c r="M390" s="22">
        <v>44166</v>
      </c>
      <c r="N390">
        <v>77871</v>
      </c>
      <c r="O390" t="s">
        <v>699</v>
      </c>
      <c r="P390" t="s">
        <v>831</v>
      </c>
      <c r="Q390" t="s">
        <v>612</v>
      </c>
      <c r="R390">
        <v>3047953</v>
      </c>
      <c r="S390" s="22">
        <v>44636</v>
      </c>
      <c r="T390">
        <v>80252</v>
      </c>
      <c r="U390" t="s">
        <v>356</v>
      </c>
      <c r="V390" s="22">
        <v>44643</v>
      </c>
      <c r="W390" t="s">
        <v>614</v>
      </c>
      <c r="X390" t="s">
        <v>615</v>
      </c>
      <c r="Y390" t="s">
        <v>13</v>
      </c>
      <c r="Z390" t="s">
        <v>365</v>
      </c>
      <c r="AA390">
        <v>-7.1</v>
      </c>
      <c r="AC390" s="2">
        <f t="shared" si="72"/>
        <v>2022</v>
      </c>
      <c r="AD390" s="2">
        <f t="shared" si="73"/>
        <v>3</v>
      </c>
      <c r="AE390" s="2">
        <f t="shared" si="74"/>
        <v>2020</v>
      </c>
      <c r="AF390" s="2">
        <f t="shared" si="75"/>
        <v>10</v>
      </c>
      <c r="AG390" s="2" t="str">
        <f>VLOOKUP(F390,vlookup!$A$2:$E$660,2,0)</f>
        <v>Retained</v>
      </c>
      <c r="AH390" s="2" t="str">
        <f>VLOOKUP(F390,vlookup!$A$2:$E$660,3,0)</f>
        <v>Service Contract</v>
      </c>
      <c r="AI390" s="2" t="str">
        <f>VLOOKUP(F390,vlookup!$A$2:$E$660,4,0)</f>
        <v>Used Car Programs</v>
      </c>
      <c r="AJ390" s="2" t="str">
        <f>VLOOKUP(F390,vlookup!$A$2:$E$660,5,0)</f>
        <v>High Mileage</v>
      </c>
      <c r="AK390" s="2"/>
      <c r="AL390" s="2">
        <f t="shared" si="76"/>
        <v>79</v>
      </c>
      <c r="AM390" s="2">
        <f t="shared" si="77"/>
        <v>518</v>
      </c>
      <c r="AN390" s="2">
        <f t="shared" si="78"/>
        <v>23654</v>
      </c>
      <c r="AO390" s="2" t="str">
        <f t="shared" si="79"/>
        <v/>
      </c>
      <c r="AP390" s="2" t="str">
        <f t="shared" si="80"/>
        <v/>
      </c>
      <c r="AQ390" s="2" t="str">
        <f t="shared" si="81"/>
        <v/>
      </c>
      <c r="AR390" s="2">
        <f t="shared" si="82"/>
        <v>-7.1</v>
      </c>
      <c r="AS390" s="2" t="str">
        <f t="shared" si="83"/>
        <v>APC500205-1</v>
      </c>
      <c r="AT390" s="2" t="str">
        <f>IFERROR(IF(VLOOKUP(Y390,vlookup!$I$2:$J$9,1,0)=Y390,VLOOKUP(Y390,vlookup!$I$2:$J$9,2,0),PROPER(Y390)),PROPER(Y390))</f>
        <v>Sales Tax</v>
      </c>
      <c r="AU390" s="2" t="str">
        <f>IFERROR(IF(B390=VLOOKUP(B390,vlookup!$L$2:$L$10,1,0),"Yes","No"),"No")</f>
        <v>No</v>
      </c>
    </row>
    <row r="391" spans="1:47" x14ac:dyDescent="0.25">
      <c r="A391" t="s">
        <v>695</v>
      </c>
      <c r="B391" t="s">
        <v>696</v>
      </c>
      <c r="C391">
        <v>1</v>
      </c>
      <c r="D391">
        <v>1</v>
      </c>
      <c r="E391" t="s">
        <v>382</v>
      </c>
      <c r="F391" t="s">
        <v>207</v>
      </c>
      <c r="G391" t="s">
        <v>697</v>
      </c>
      <c r="H391" s="11" t="s">
        <v>698</v>
      </c>
      <c r="I391">
        <v>56598</v>
      </c>
      <c r="J391" s="22">
        <v>44119</v>
      </c>
      <c r="K391" s="22">
        <v>44200</v>
      </c>
      <c r="L391">
        <v>202012</v>
      </c>
      <c r="M391" s="22">
        <v>44166</v>
      </c>
      <c r="N391">
        <v>77871</v>
      </c>
      <c r="O391" t="s">
        <v>699</v>
      </c>
      <c r="P391" t="s">
        <v>831</v>
      </c>
      <c r="Q391" t="s">
        <v>612</v>
      </c>
      <c r="R391">
        <v>3047953</v>
      </c>
      <c r="S391" s="22">
        <v>44636</v>
      </c>
      <c r="T391">
        <v>80252</v>
      </c>
      <c r="U391" t="s">
        <v>356</v>
      </c>
      <c r="V391" s="22">
        <v>44643</v>
      </c>
      <c r="W391" t="s">
        <v>367</v>
      </c>
      <c r="X391" t="s">
        <v>368</v>
      </c>
      <c r="Y391" t="s">
        <v>13</v>
      </c>
      <c r="Z391" t="s">
        <v>365</v>
      </c>
      <c r="AA391">
        <v>-2.74</v>
      </c>
      <c r="AC391" s="2">
        <f t="shared" si="72"/>
        <v>2022</v>
      </c>
      <c r="AD391" s="2">
        <f t="shared" si="73"/>
        <v>3</v>
      </c>
      <c r="AE391" s="2">
        <f t="shared" si="74"/>
        <v>2020</v>
      </c>
      <c r="AF391" s="2">
        <f t="shared" si="75"/>
        <v>10</v>
      </c>
      <c r="AG391" s="2" t="str">
        <f>VLOOKUP(F391,vlookup!$A$2:$E$660,2,0)</f>
        <v>Retained</v>
      </c>
      <c r="AH391" s="2" t="str">
        <f>VLOOKUP(F391,vlookup!$A$2:$E$660,3,0)</f>
        <v>Service Contract</v>
      </c>
      <c r="AI391" s="2" t="str">
        <f>VLOOKUP(F391,vlookup!$A$2:$E$660,4,0)</f>
        <v>Used Car Programs</v>
      </c>
      <c r="AJ391" s="2" t="str">
        <f>VLOOKUP(F391,vlookup!$A$2:$E$660,5,0)</f>
        <v>High Mileage</v>
      </c>
      <c r="AK391" s="2"/>
      <c r="AL391" s="2">
        <f t="shared" si="76"/>
        <v>79</v>
      </c>
      <c r="AM391" s="2">
        <f t="shared" si="77"/>
        <v>518</v>
      </c>
      <c r="AN391" s="2">
        <f t="shared" si="78"/>
        <v>23654</v>
      </c>
      <c r="AO391" s="2" t="str">
        <f t="shared" si="79"/>
        <v/>
      </c>
      <c r="AP391" s="2" t="str">
        <f t="shared" si="80"/>
        <v/>
      </c>
      <c r="AQ391" s="2" t="str">
        <f t="shared" si="81"/>
        <v/>
      </c>
      <c r="AR391" s="2">
        <f t="shared" si="82"/>
        <v>-2.74</v>
      </c>
      <c r="AS391" s="2" t="str">
        <f t="shared" si="83"/>
        <v>APC500205-1</v>
      </c>
      <c r="AT391" s="2" t="str">
        <f>IFERROR(IF(VLOOKUP(Y391,vlookup!$I$2:$J$9,1,0)=Y391,VLOOKUP(Y391,vlookup!$I$2:$J$9,2,0),PROPER(Y391)),PROPER(Y391))</f>
        <v>Sales Tax</v>
      </c>
      <c r="AU391" s="2" t="str">
        <f>IFERROR(IF(B391=VLOOKUP(B391,vlookup!$L$2:$L$10,1,0),"Yes","No"),"No")</f>
        <v>No</v>
      </c>
    </row>
    <row r="392" spans="1:47" x14ac:dyDescent="0.25">
      <c r="A392" t="s">
        <v>846</v>
      </c>
      <c r="B392" t="s">
        <v>847</v>
      </c>
      <c r="C392">
        <v>2</v>
      </c>
      <c r="D392">
        <v>1</v>
      </c>
      <c r="E392" t="s">
        <v>382</v>
      </c>
      <c r="F392" t="s">
        <v>207</v>
      </c>
      <c r="G392" t="s">
        <v>697</v>
      </c>
      <c r="H392" s="11" t="s">
        <v>738</v>
      </c>
      <c r="I392">
        <v>78864</v>
      </c>
      <c r="J392" s="22">
        <v>44344</v>
      </c>
      <c r="K392" s="22">
        <v>44399</v>
      </c>
      <c r="L392">
        <v>202107</v>
      </c>
      <c r="M392" s="22">
        <v>44378</v>
      </c>
      <c r="N392">
        <v>77871</v>
      </c>
      <c r="O392" t="s">
        <v>699</v>
      </c>
      <c r="P392" t="s">
        <v>712</v>
      </c>
      <c r="Q392" t="s">
        <v>612</v>
      </c>
      <c r="R392">
        <v>110098</v>
      </c>
      <c r="S392" s="22">
        <v>44596</v>
      </c>
      <c r="T392">
        <v>87392</v>
      </c>
      <c r="U392" t="s">
        <v>356</v>
      </c>
      <c r="V392" s="22">
        <v>44601</v>
      </c>
      <c r="W392" t="s">
        <v>367</v>
      </c>
      <c r="X392" t="s">
        <v>368</v>
      </c>
      <c r="Y392" t="s">
        <v>13</v>
      </c>
      <c r="Z392" t="s">
        <v>365</v>
      </c>
      <c r="AA392">
        <v>-1.59</v>
      </c>
      <c r="AC392" s="2">
        <f t="shared" si="72"/>
        <v>2022</v>
      </c>
      <c r="AD392" s="2">
        <f t="shared" si="73"/>
        <v>2</v>
      </c>
      <c r="AE392" s="2">
        <f t="shared" si="74"/>
        <v>2021</v>
      </c>
      <c r="AF392" s="2">
        <f t="shared" si="75"/>
        <v>5</v>
      </c>
      <c r="AG392" s="2" t="str">
        <f>VLOOKUP(F392,vlookup!$A$2:$E$660,2,0)</f>
        <v>Retained</v>
      </c>
      <c r="AH392" s="2" t="str">
        <f>VLOOKUP(F392,vlookup!$A$2:$E$660,3,0)</f>
        <v>Service Contract</v>
      </c>
      <c r="AI392" s="2" t="str">
        <f>VLOOKUP(F392,vlookup!$A$2:$E$660,4,0)</f>
        <v>Used Car Programs</v>
      </c>
      <c r="AJ392" s="2" t="str">
        <f>VLOOKUP(F392,vlookup!$A$2:$E$660,5,0)</f>
        <v>High Mileage</v>
      </c>
      <c r="AK392" s="2"/>
      <c r="AL392" s="2">
        <f t="shared" si="76"/>
        <v>54</v>
      </c>
      <c r="AM392" s="2">
        <f t="shared" si="77"/>
        <v>251</v>
      </c>
      <c r="AN392" s="2">
        <f t="shared" si="78"/>
        <v>8528</v>
      </c>
      <c r="AO392" s="2" t="str">
        <f t="shared" si="79"/>
        <v/>
      </c>
      <c r="AP392" s="2" t="str">
        <f t="shared" si="80"/>
        <v/>
      </c>
      <c r="AQ392" s="2" t="str">
        <f t="shared" si="81"/>
        <v/>
      </c>
      <c r="AR392" s="2">
        <f t="shared" si="82"/>
        <v>-1.59</v>
      </c>
      <c r="AS392" s="2" t="str">
        <f t="shared" si="83"/>
        <v>APC500425-2</v>
      </c>
      <c r="AT392" s="2" t="str">
        <f>IFERROR(IF(VLOOKUP(Y392,vlookup!$I$2:$J$9,1,0)=Y392,VLOOKUP(Y392,vlookup!$I$2:$J$9,2,0),PROPER(Y392)),PROPER(Y392))</f>
        <v>Sales Tax</v>
      </c>
      <c r="AU392" s="2" t="str">
        <f>IFERROR(IF(B392=VLOOKUP(B392,vlookup!$L$2:$L$10,1,0),"Yes","No"),"No")</f>
        <v>No</v>
      </c>
    </row>
    <row r="393" spans="1:47" x14ac:dyDescent="0.25">
      <c r="A393" t="s">
        <v>846</v>
      </c>
      <c r="B393" t="s">
        <v>847</v>
      </c>
      <c r="C393">
        <v>2</v>
      </c>
      <c r="D393">
        <v>1</v>
      </c>
      <c r="E393" t="s">
        <v>382</v>
      </c>
      <c r="F393" t="s">
        <v>207</v>
      </c>
      <c r="G393" t="s">
        <v>697</v>
      </c>
      <c r="H393" s="11" t="s">
        <v>738</v>
      </c>
      <c r="I393">
        <v>78864</v>
      </c>
      <c r="J393" s="22">
        <v>44344</v>
      </c>
      <c r="K393" s="22">
        <v>44399</v>
      </c>
      <c r="L393">
        <v>202107</v>
      </c>
      <c r="M393" s="22">
        <v>44378</v>
      </c>
      <c r="N393">
        <v>77871</v>
      </c>
      <c r="O393" t="s">
        <v>699</v>
      </c>
      <c r="P393" t="s">
        <v>712</v>
      </c>
      <c r="Q393" t="s">
        <v>612</v>
      </c>
      <c r="R393">
        <v>110098</v>
      </c>
      <c r="S393" s="22">
        <v>44596</v>
      </c>
      <c r="T393">
        <v>87392</v>
      </c>
      <c r="U393" t="s">
        <v>356</v>
      </c>
      <c r="V393" s="22">
        <v>44601</v>
      </c>
      <c r="W393" t="s">
        <v>616</v>
      </c>
      <c r="X393" t="s">
        <v>617</v>
      </c>
      <c r="Y393" t="s">
        <v>13</v>
      </c>
      <c r="Z393" t="s">
        <v>364</v>
      </c>
      <c r="AA393">
        <v>-0.35</v>
      </c>
      <c r="AC393" s="2">
        <f t="shared" si="72"/>
        <v>2022</v>
      </c>
      <c r="AD393" s="2">
        <f t="shared" si="73"/>
        <v>2</v>
      </c>
      <c r="AE393" s="2">
        <f t="shared" si="74"/>
        <v>2021</v>
      </c>
      <c r="AF393" s="2">
        <f t="shared" si="75"/>
        <v>5</v>
      </c>
      <c r="AG393" s="2" t="str">
        <f>VLOOKUP(F393,vlookup!$A$2:$E$660,2,0)</f>
        <v>Retained</v>
      </c>
      <c r="AH393" s="2" t="str">
        <f>VLOOKUP(F393,vlookup!$A$2:$E$660,3,0)</f>
        <v>Service Contract</v>
      </c>
      <c r="AI393" s="2" t="str">
        <f>VLOOKUP(F393,vlookup!$A$2:$E$660,4,0)</f>
        <v>Used Car Programs</v>
      </c>
      <c r="AJ393" s="2" t="str">
        <f>VLOOKUP(F393,vlookup!$A$2:$E$660,5,0)</f>
        <v>High Mileage</v>
      </c>
      <c r="AK393" s="2"/>
      <c r="AL393" s="2">
        <f t="shared" si="76"/>
        <v>54</v>
      </c>
      <c r="AM393" s="2">
        <f t="shared" si="77"/>
        <v>251</v>
      </c>
      <c r="AN393" s="2">
        <f t="shared" si="78"/>
        <v>8528</v>
      </c>
      <c r="AO393" s="2" t="str">
        <f t="shared" si="79"/>
        <v/>
      </c>
      <c r="AP393" s="2" t="str">
        <f t="shared" si="80"/>
        <v/>
      </c>
      <c r="AQ393" s="2" t="str">
        <f t="shared" si="81"/>
        <v/>
      </c>
      <c r="AR393" s="2">
        <f t="shared" si="82"/>
        <v>-0.35</v>
      </c>
      <c r="AS393" s="2" t="str">
        <f t="shared" si="83"/>
        <v>APC500425-2</v>
      </c>
      <c r="AT393" s="2" t="str">
        <f>IFERROR(IF(VLOOKUP(Y393,vlookup!$I$2:$J$9,1,0)=Y393,VLOOKUP(Y393,vlookup!$I$2:$J$9,2,0),PROPER(Y393)),PROPER(Y393))</f>
        <v>Sales Tax</v>
      </c>
      <c r="AU393" s="2" t="str">
        <f>IFERROR(IF(B393=VLOOKUP(B393,vlookup!$L$2:$L$10,1,0),"Yes","No"),"No")</f>
        <v>No</v>
      </c>
    </row>
    <row r="394" spans="1:47" x14ac:dyDescent="0.25">
      <c r="A394" t="s">
        <v>846</v>
      </c>
      <c r="B394" t="s">
        <v>847</v>
      </c>
      <c r="C394">
        <v>2</v>
      </c>
      <c r="D394">
        <v>1</v>
      </c>
      <c r="E394" t="s">
        <v>382</v>
      </c>
      <c r="F394" t="s">
        <v>207</v>
      </c>
      <c r="G394" t="s">
        <v>697</v>
      </c>
      <c r="H394" s="11" t="s">
        <v>738</v>
      </c>
      <c r="I394">
        <v>78864</v>
      </c>
      <c r="J394" s="22">
        <v>44344</v>
      </c>
      <c r="K394" s="22">
        <v>44399</v>
      </c>
      <c r="L394">
        <v>202107</v>
      </c>
      <c r="M394" s="22">
        <v>44378</v>
      </c>
      <c r="N394">
        <v>77871</v>
      </c>
      <c r="O394" t="s">
        <v>699</v>
      </c>
      <c r="P394" t="s">
        <v>712</v>
      </c>
      <c r="Q394" t="s">
        <v>612</v>
      </c>
      <c r="R394">
        <v>110098</v>
      </c>
      <c r="S394" s="22">
        <v>44596</v>
      </c>
      <c r="T394">
        <v>87392</v>
      </c>
      <c r="U394" t="s">
        <v>356</v>
      </c>
      <c r="V394" s="22">
        <v>44601</v>
      </c>
      <c r="W394" t="s">
        <v>886</v>
      </c>
      <c r="X394" t="s">
        <v>887</v>
      </c>
      <c r="Y394" t="s">
        <v>13</v>
      </c>
      <c r="Z394" t="s">
        <v>364</v>
      </c>
      <c r="AA394">
        <v>-0.86</v>
      </c>
      <c r="AC394" s="2">
        <f t="shared" si="72"/>
        <v>2022</v>
      </c>
      <c r="AD394" s="2">
        <f t="shared" si="73"/>
        <v>2</v>
      </c>
      <c r="AE394" s="2">
        <f t="shared" si="74"/>
        <v>2021</v>
      </c>
      <c r="AF394" s="2">
        <f t="shared" si="75"/>
        <v>5</v>
      </c>
      <c r="AG394" s="2" t="str">
        <f>VLOOKUP(F394,vlookup!$A$2:$E$660,2,0)</f>
        <v>Retained</v>
      </c>
      <c r="AH394" s="2" t="str">
        <f>VLOOKUP(F394,vlookup!$A$2:$E$660,3,0)</f>
        <v>Service Contract</v>
      </c>
      <c r="AI394" s="2" t="str">
        <f>VLOOKUP(F394,vlookup!$A$2:$E$660,4,0)</f>
        <v>Used Car Programs</v>
      </c>
      <c r="AJ394" s="2" t="str">
        <f>VLOOKUP(F394,vlookup!$A$2:$E$660,5,0)</f>
        <v>High Mileage</v>
      </c>
      <c r="AK394" s="2"/>
      <c r="AL394" s="2">
        <f t="shared" si="76"/>
        <v>54</v>
      </c>
      <c r="AM394" s="2">
        <f t="shared" si="77"/>
        <v>251</v>
      </c>
      <c r="AN394" s="2">
        <f t="shared" si="78"/>
        <v>8528</v>
      </c>
      <c r="AO394" s="2" t="str">
        <f t="shared" si="79"/>
        <v/>
      </c>
      <c r="AP394" s="2" t="str">
        <f t="shared" si="80"/>
        <v/>
      </c>
      <c r="AQ394" s="2" t="str">
        <f t="shared" si="81"/>
        <v/>
      </c>
      <c r="AR394" s="2">
        <f t="shared" si="82"/>
        <v>-0.86</v>
      </c>
      <c r="AS394" s="2" t="str">
        <f t="shared" si="83"/>
        <v>APC500425-2</v>
      </c>
      <c r="AT394" s="2" t="str">
        <f>IFERROR(IF(VLOOKUP(Y394,vlookup!$I$2:$J$9,1,0)=Y394,VLOOKUP(Y394,vlookup!$I$2:$J$9,2,0),PROPER(Y394)),PROPER(Y394))</f>
        <v>Sales Tax</v>
      </c>
      <c r="AU394" s="2" t="str">
        <f>IFERROR(IF(B394=VLOOKUP(B394,vlookup!$L$2:$L$10,1,0),"Yes","No"),"No")</f>
        <v>No</v>
      </c>
    </row>
    <row r="395" spans="1:47" x14ac:dyDescent="0.25">
      <c r="A395" t="s">
        <v>846</v>
      </c>
      <c r="B395" t="s">
        <v>847</v>
      </c>
      <c r="C395">
        <v>2</v>
      </c>
      <c r="D395">
        <v>1</v>
      </c>
      <c r="E395" t="s">
        <v>382</v>
      </c>
      <c r="F395" t="s">
        <v>207</v>
      </c>
      <c r="G395" t="s">
        <v>697</v>
      </c>
      <c r="H395" s="11" t="s">
        <v>738</v>
      </c>
      <c r="I395">
        <v>78864</v>
      </c>
      <c r="J395" s="22">
        <v>44344</v>
      </c>
      <c r="K395" s="22">
        <v>44399</v>
      </c>
      <c r="L395">
        <v>202107</v>
      </c>
      <c r="M395" s="22">
        <v>44378</v>
      </c>
      <c r="N395">
        <v>77871</v>
      </c>
      <c r="O395" t="s">
        <v>699</v>
      </c>
      <c r="P395" t="s">
        <v>712</v>
      </c>
      <c r="Q395" t="s">
        <v>612</v>
      </c>
      <c r="R395">
        <v>110098</v>
      </c>
      <c r="S395" s="22">
        <v>44596</v>
      </c>
      <c r="T395">
        <v>87392</v>
      </c>
      <c r="U395" t="s">
        <v>356</v>
      </c>
      <c r="V395" s="22">
        <v>44601</v>
      </c>
      <c r="W395" t="s">
        <v>888</v>
      </c>
      <c r="X395" t="s">
        <v>889</v>
      </c>
      <c r="Y395" t="s">
        <v>13</v>
      </c>
      <c r="Z395" t="s">
        <v>364</v>
      </c>
      <c r="AA395">
        <v>-1.04</v>
      </c>
      <c r="AC395" s="2">
        <f t="shared" si="72"/>
        <v>2022</v>
      </c>
      <c r="AD395" s="2">
        <f t="shared" si="73"/>
        <v>2</v>
      </c>
      <c r="AE395" s="2">
        <f t="shared" si="74"/>
        <v>2021</v>
      </c>
      <c r="AF395" s="2">
        <f t="shared" si="75"/>
        <v>5</v>
      </c>
      <c r="AG395" s="2" t="str">
        <f>VLOOKUP(F395,vlookup!$A$2:$E$660,2,0)</f>
        <v>Retained</v>
      </c>
      <c r="AH395" s="2" t="str">
        <f>VLOOKUP(F395,vlookup!$A$2:$E$660,3,0)</f>
        <v>Service Contract</v>
      </c>
      <c r="AI395" s="2" t="str">
        <f>VLOOKUP(F395,vlookup!$A$2:$E$660,4,0)</f>
        <v>Used Car Programs</v>
      </c>
      <c r="AJ395" s="2" t="str">
        <f>VLOOKUP(F395,vlookup!$A$2:$E$660,5,0)</f>
        <v>High Mileage</v>
      </c>
      <c r="AK395" s="2"/>
      <c r="AL395" s="2">
        <f t="shared" si="76"/>
        <v>54</v>
      </c>
      <c r="AM395" s="2">
        <f t="shared" si="77"/>
        <v>251</v>
      </c>
      <c r="AN395" s="2">
        <f t="shared" si="78"/>
        <v>8528</v>
      </c>
      <c r="AO395" s="2" t="str">
        <f t="shared" si="79"/>
        <v/>
      </c>
      <c r="AP395" s="2" t="str">
        <f t="shared" si="80"/>
        <v/>
      </c>
      <c r="AQ395" s="2" t="str">
        <f t="shared" si="81"/>
        <v/>
      </c>
      <c r="AR395" s="2">
        <f t="shared" si="82"/>
        <v>-1.04</v>
      </c>
      <c r="AS395" s="2" t="str">
        <f t="shared" si="83"/>
        <v>APC500425-2</v>
      </c>
      <c r="AT395" s="2" t="str">
        <f>IFERROR(IF(VLOOKUP(Y395,vlookup!$I$2:$J$9,1,0)=Y395,VLOOKUP(Y395,vlookup!$I$2:$J$9,2,0),PROPER(Y395)),PROPER(Y395))</f>
        <v>Sales Tax</v>
      </c>
      <c r="AU395" s="2" t="str">
        <f>IFERROR(IF(B395=VLOOKUP(B395,vlookup!$L$2:$L$10,1,0),"Yes","No"),"No")</f>
        <v>No</v>
      </c>
    </row>
    <row r="396" spans="1:47" x14ac:dyDescent="0.25">
      <c r="A396" t="s">
        <v>846</v>
      </c>
      <c r="B396" t="s">
        <v>847</v>
      </c>
      <c r="C396">
        <v>2</v>
      </c>
      <c r="D396">
        <v>1</v>
      </c>
      <c r="E396" t="s">
        <v>382</v>
      </c>
      <c r="F396" t="s">
        <v>207</v>
      </c>
      <c r="G396" t="s">
        <v>697</v>
      </c>
      <c r="H396" s="11" t="s">
        <v>738</v>
      </c>
      <c r="I396">
        <v>78864</v>
      </c>
      <c r="J396" s="22">
        <v>44344</v>
      </c>
      <c r="K396" s="22">
        <v>44399</v>
      </c>
      <c r="L396">
        <v>202107</v>
      </c>
      <c r="M396" s="22">
        <v>44378</v>
      </c>
      <c r="N396">
        <v>77871</v>
      </c>
      <c r="O396" t="s">
        <v>699</v>
      </c>
      <c r="P396" t="s">
        <v>712</v>
      </c>
      <c r="Q396" t="s">
        <v>612</v>
      </c>
      <c r="R396">
        <v>110098</v>
      </c>
      <c r="S396" s="22">
        <v>44596</v>
      </c>
      <c r="T396">
        <v>87392</v>
      </c>
      <c r="U396" t="s">
        <v>356</v>
      </c>
      <c r="V396" s="22">
        <v>44601</v>
      </c>
      <c r="W396" t="s">
        <v>878</v>
      </c>
      <c r="X396" t="s">
        <v>879</v>
      </c>
      <c r="Y396" t="s">
        <v>13</v>
      </c>
      <c r="Z396" t="s">
        <v>364</v>
      </c>
      <c r="AA396">
        <v>-30.92</v>
      </c>
      <c r="AC396" s="2">
        <f t="shared" si="72"/>
        <v>2022</v>
      </c>
      <c r="AD396" s="2">
        <f t="shared" si="73"/>
        <v>2</v>
      </c>
      <c r="AE396" s="2">
        <f t="shared" si="74"/>
        <v>2021</v>
      </c>
      <c r="AF396" s="2">
        <f t="shared" si="75"/>
        <v>5</v>
      </c>
      <c r="AG396" s="2" t="str">
        <f>VLOOKUP(F396,vlookup!$A$2:$E$660,2,0)</f>
        <v>Retained</v>
      </c>
      <c r="AH396" s="2" t="str">
        <f>VLOOKUP(F396,vlookup!$A$2:$E$660,3,0)</f>
        <v>Service Contract</v>
      </c>
      <c r="AI396" s="2" t="str">
        <f>VLOOKUP(F396,vlookup!$A$2:$E$660,4,0)</f>
        <v>Used Car Programs</v>
      </c>
      <c r="AJ396" s="2" t="str">
        <f>VLOOKUP(F396,vlookup!$A$2:$E$660,5,0)</f>
        <v>High Mileage</v>
      </c>
      <c r="AK396" s="2"/>
      <c r="AL396" s="2">
        <f t="shared" si="76"/>
        <v>54</v>
      </c>
      <c r="AM396" s="2">
        <f t="shared" si="77"/>
        <v>251</v>
      </c>
      <c r="AN396" s="2">
        <f t="shared" si="78"/>
        <v>8528</v>
      </c>
      <c r="AO396" s="2" t="str">
        <f t="shared" si="79"/>
        <v/>
      </c>
      <c r="AP396" s="2" t="str">
        <f t="shared" si="80"/>
        <v/>
      </c>
      <c r="AQ396" s="2" t="str">
        <f t="shared" si="81"/>
        <v/>
      </c>
      <c r="AR396" s="2">
        <f t="shared" si="82"/>
        <v>-30.92</v>
      </c>
      <c r="AS396" s="2" t="str">
        <f t="shared" si="83"/>
        <v>APC500425-2</v>
      </c>
      <c r="AT396" s="2" t="str">
        <f>IFERROR(IF(VLOOKUP(Y396,vlookup!$I$2:$J$9,1,0)=Y396,VLOOKUP(Y396,vlookup!$I$2:$J$9,2,0),PROPER(Y396)),PROPER(Y396))</f>
        <v>Sales Tax</v>
      </c>
      <c r="AU396" s="2" t="str">
        <f>IFERROR(IF(B396=VLOOKUP(B396,vlookup!$L$2:$L$10,1,0),"Yes","No"),"No")</f>
        <v>No</v>
      </c>
    </row>
    <row r="397" spans="1:47" x14ac:dyDescent="0.25">
      <c r="A397" t="s">
        <v>846</v>
      </c>
      <c r="B397" t="s">
        <v>847</v>
      </c>
      <c r="C397">
        <v>2</v>
      </c>
      <c r="D397">
        <v>1</v>
      </c>
      <c r="E397" t="s">
        <v>382</v>
      </c>
      <c r="F397" t="s">
        <v>207</v>
      </c>
      <c r="G397" t="s">
        <v>697</v>
      </c>
      <c r="H397" s="11" t="s">
        <v>738</v>
      </c>
      <c r="I397">
        <v>78864</v>
      </c>
      <c r="J397" s="22">
        <v>44344</v>
      </c>
      <c r="K397" s="22">
        <v>44399</v>
      </c>
      <c r="L397">
        <v>202107</v>
      </c>
      <c r="M397" s="22">
        <v>44378</v>
      </c>
      <c r="N397">
        <v>77871</v>
      </c>
      <c r="O397" t="s">
        <v>699</v>
      </c>
      <c r="P397" t="s">
        <v>712</v>
      </c>
      <c r="Q397" t="s">
        <v>612</v>
      </c>
      <c r="R397">
        <v>110098</v>
      </c>
      <c r="S397" s="22">
        <v>44596</v>
      </c>
      <c r="T397">
        <v>87392</v>
      </c>
      <c r="U397" t="s">
        <v>356</v>
      </c>
      <c r="V397" s="22">
        <v>44601</v>
      </c>
      <c r="W397" t="s">
        <v>642</v>
      </c>
      <c r="X397" t="s">
        <v>643</v>
      </c>
      <c r="Y397" t="s">
        <v>13</v>
      </c>
      <c r="Z397" t="s">
        <v>364</v>
      </c>
      <c r="AA397">
        <v>-57.1</v>
      </c>
      <c r="AC397" s="2">
        <f t="shared" si="72"/>
        <v>2022</v>
      </c>
      <c r="AD397" s="2">
        <f t="shared" si="73"/>
        <v>2</v>
      </c>
      <c r="AE397" s="2">
        <f t="shared" si="74"/>
        <v>2021</v>
      </c>
      <c r="AF397" s="2">
        <f t="shared" si="75"/>
        <v>5</v>
      </c>
      <c r="AG397" s="2" t="str">
        <f>VLOOKUP(F397,vlookup!$A$2:$E$660,2,0)</f>
        <v>Retained</v>
      </c>
      <c r="AH397" s="2" t="str">
        <f>VLOOKUP(F397,vlookup!$A$2:$E$660,3,0)</f>
        <v>Service Contract</v>
      </c>
      <c r="AI397" s="2" t="str">
        <f>VLOOKUP(F397,vlookup!$A$2:$E$660,4,0)</f>
        <v>Used Car Programs</v>
      </c>
      <c r="AJ397" s="2" t="str">
        <f>VLOOKUP(F397,vlookup!$A$2:$E$660,5,0)</f>
        <v>High Mileage</v>
      </c>
      <c r="AK397" s="2"/>
      <c r="AL397" s="2">
        <f t="shared" si="76"/>
        <v>54</v>
      </c>
      <c r="AM397" s="2">
        <f t="shared" si="77"/>
        <v>251</v>
      </c>
      <c r="AN397" s="2">
        <f t="shared" si="78"/>
        <v>8528</v>
      </c>
      <c r="AO397" s="2" t="str">
        <f t="shared" si="79"/>
        <v/>
      </c>
      <c r="AP397" s="2" t="str">
        <f t="shared" si="80"/>
        <v/>
      </c>
      <c r="AQ397" s="2" t="str">
        <f t="shared" si="81"/>
        <v/>
      </c>
      <c r="AR397" s="2">
        <f t="shared" si="82"/>
        <v>-57.1</v>
      </c>
      <c r="AS397" s="2" t="str">
        <f t="shared" si="83"/>
        <v>APC500425-2</v>
      </c>
      <c r="AT397" s="2" t="str">
        <f>IFERROR(IF(VLOOKUP(Y397,vlookup!$I$2:$J$9,1,0)=Y397,VLOOKUP(Y397,vlookup!$I$2:$J$9,2,0),PROPER(Y397)),PROPER(Y397))</f>
        <v>Sales Tax</v>
      </c>
      <c r="AU397" s="2" t="str">
        <f>IFERROR(IF(B397=VLOOKUP(B397,vlookup!$L$2:$L$10,1,0),"Yes","No"),"No")</f>
        <v>No</v>
      </c>
    </row>
    <row r="398" spans="1:47" x14ac:dyDescent="0.25">
      <c r="A398" t="s">
        <v>846</v>
      </c>
      <c r="B398" t="s">
        <v>847</v>
      </c>
      <c r="C398">
        <v>2</v>
      </c>
      <c r="D398">
        <v>1</v>
      </c>
      <c r="E398" t="s">
        <v>382</v>
      </c>
      <c r="F398" t="s">
        <v>207</v>
      </c>
      <c r="G398" t="s">
        <v>697</v>
      </c>
      <c r="H398" s="11" t="s">
        <v>738</v>
      </c>
      <c r="I398">
        <v>78864</v>
      </c>
      <c r="J398" s="22">
        <v>44344</v>
      </c>
      <c r="K398" s="22">
        <v>44399</v>
      </c>
      <c r="L398">
        <v>202107</v>
      </c>
      <c r="M398" s="22">
        <v>44378</v>
      </c>
      <c r="N398">
        <v>77871</v>
      </c>
      <c r="O398" t="s">
        <v>699</v>
      </c>
      <c r="P398" t="s">
        <v>712</v>
      </c>
      <c r="Q398" t="s">
        <v>612</v>
      </c>
      <c r="R398">
        <v>110098</v>
      </c>
      <c r="S398" s="22">
        <v>44596</v>
      </c>
      <c r="T398">
        <v>87392</v>
      </c>
      <c r="U398" t="s">
        <v>356</v>
      </c>
      <c r="V398" s="22">
        <v>44601</v>
      </c>
      <c r="W398" t="s">
        <v>671</v>
      </c>
      <c r="X398" t="s">
        <v>672</v>
      </c>
      <c r="Y398" t="s">
        <v>13</v>
      </c>
      <c r="Z398" t="s">
        <v>364</v>
      </c>
      <c r="AA398">
        <v>-19.05</v>
      </c>
      <c r="AC398" s="2">
        <f t="shared" si="72"/>
        <v>2022</v>
      </c>
      <c r="AD398" s="2">
        <f t="shared" si="73"/>
        <v>2</v>
      </c>
      <c r="AE398" s="2">
        <f t="shared" si="74"/>
        <v>2021</v>
      </c>
      <c r="AF398" s="2">
        <f t="shared" si="75"/>
        <v>5</v>
      </c>
      <c r="AG398" s="2" t="str">
        <f>VLOOKUP(F398,vlookup!$A$2:$E$660,2,0)</f>
        <v>Retained</v>
      </c>
      <c r="AH398" s="2" t="str">
        <f>VLOOKUP(F398,vlookup!$A$2:$E$660,3,0)</f>
        <v>Service Contract</v>
      </c>
      <c r="AI398" s="2" t="str">
        <f>VLOOKUP(F398,vlookup!$A$2:$E$660,4,0)</f>
        <v>Used Car Programs</v>
      </c>
      <c r="AJ398" s="2" t="str">
        <f>VLOOKUP(F398,vlookup!$A$2:$E$660,5,0)</f>
        <v>High Mileage</v>
      </c>
      <c r="AK398" s="2"/>
      <c r="AL398" s="2">
        <f t="shared" si="76"/>
        <v>54</v>
      </c>
      <c r="AM398" s="2">
        <f t="shared" si="77"/>
        <v>251</v>
      </c>
      <c r="AN398" s="2">
        <f t="shared" si="78"/>
        <v>8528</v>
      </c>
      <c r="AO398" s="2" t="str">
        <f t="shared" si="79"/>
        <v/>
      </c>
      <c r="AP398" s="2" t="str">
        <f t="shared" si="80"/>
        <v/>
      </c>
      <c r="AQ398" s="2" t="str">
        <f t="shared" si="81"/>
        <v/>
      </c>
      <c r="AR398" s="2">
        <f t="shared" si="82"/>
        <v>-19.05</v>
      </c>
      <c r="AS398" s="2" t="str">
        <f t="shared" si="83"/>
        <v>APC500425-2</v>
      </c>
      <c r="AT398" s="2" t="str">
        <f>IFERROR(IF(VLOOKUP(Y398,vlookup!$I$2:$J$9,1,0)=Y398,VLOOKUP(Y398,vlookup!$I$2:$J$9,2,0),PROPER(Y398)),PROPER(Y398))</f>
        <v>Sales Tax</v>
      </c>
      <c r="AU398" s="2" t="str">
        <f>IFERROR(IF(B398=VLOOKUP(B398,vlookup!$L$2:$L$10,1,0),"Yes","No"),"No")</f>
        <v>No</v>
      </c>
    </row>
    <row r="399" spans="1:47" x14ac:dyDescent="0.25">
      <c r="A399" t="s">
        <v>846</v>
      </c>
      <c r="B399" t="s">
        <v>847</v>
      </c>
      <c r="C399">
        <v>2</v>
      </c>
      <c r="D399">
        <v>1</v>
      </c>
      <c r="E399" t="s">
        <v>382</v>
      </c>
      <c r="F399" t="s">
        <v>207</v>
      </c>
      <c r="G399" t="s">
        <v>697</v>
      </c>
      <c r="H399" s="11" t="s">
        <v>738</v>
      </c>
      <c r="I399">
        <v>78864</v>
      </c>
      <c r="J399" s="22">
        <v>44344</v>
      </c>
      <c r="K399" s="22">
        <v>44399</v>
      </c>
      <c r="L399">
        <v>202107</v>
      </c>
      <c r="M399" s="22">
        <v>44378</v>
      </c>
      <c r="N399">
        <v>77871</v>
      </c>
      <c r="O399" t="s">
        <v>699</v>
      </c>
      <c r="P399" t="s">
        <v>712</v>
      </c>
      <c r="Q399" t="s">
        <v>612</v>
      </c>
      <c r="R399">
        <v>110098</v>
      </c>
      <c r="S399" s="22">
        <v>44596</v>
      </c>
      <c r="T399">
        <v>87392</v>
      </c>
      <c r="U399" t="s">
        <v>356</v>
      </c>
      <c r="V399" s="22">
        <v>44601</v>
      </c>
      <c r="W399" t="s">
        <v>673</v>
      </c>
      <c r="X399" t="s">
        <v>674</v>
      </c>
      <c r="Y399" t="s">
        <v>13</v>
      </c>
      <c r="Z399" t="s">
        <v>364</v>
      </c>
      <c r="AA399">
        <v>-66.61</v>
      </c>
      <c r="AC399" s="2">
        <f t="shared" si="72"/>
        <v>2022</v>
      </c>
      <c r="AD399" s="2">
        <f t="shared" si="73"/>
        <v>2</v>
      </c>
      <c r="AE399" s="2">
        <f t="shared" si="74"/>
        <v>2021</v>
      </c>
      <c r="AF399" s="2">
        <f t="shared" si="75"/>
        <v>5</v>
      </c>
      <c r="AG399" s="2" t="str">
        <f>VLOOKUP(F399,vlookup!$A$2:$E$660,2,0)</f>
        <v>Retained</v>
      </c>
      <c r="AH399" s="2" t="str">
        <f>VLOOKUP(F399,vlookup!$A$2:$E$660,3,0)</f>
        <v>Service Contract</v>
      </c>
      <c r="AI399" s="2" t="str">
        <f>VLOOKUP(F399,vlookup!$A$2:$E$660,4,0)</f>
        <v>Used Car Programs</v>
      </c>
      <c r="AJ399" s="2" t="str">
        <f>VLOOKUP(F399,vlookup!$A$2:$E$660,5,0)</f>
        <v>High Mileage</v>
      </c>
      <c r="AK399" s="2"/>
      <c r="AL399" s="2">
        <f t="shared" si="76"/>
        <v>54</v>
      </c>
      <c r="AM399" s="2">
        <f t="shared" si="77"/>
        <v>251</v>
      </c>
      <c r="AN399" s="2">
        <f t="shared" si="78"/>
        <v>8528</v>
      </c>
      <c r="AO399" s="2" t="str">
        <f t="shared" si="79"/>
        <v/>
      </c>
      <c r="AP399" s="2" t="str">
        <f t="shared" si="80"/>
        <v/>
      </c>
      <c r="AQ399" s="2" t="str">
        <f t="shared" si="81"/>
        <v/>
      </c>
      <c r="AR399" s="2">
        <f t="shared" si="82"/>
        <v>-66.61</v>
      </c>
      <c r="AS399" s="2" t="str">
        <f t="shared" si="83"/>
        <v>APC500425-2</v>
      </c>
      <c r="AT399" s="2" t="str">
        <f>IFERROR(IF(VLOOKUP(Y399,vlookup!$I$2:$J$9,1,0)=Y399,VLOOKUP(Y399,vlookup!$I$2:$J$9,2,0),PROPER(Y399)),PROPER(Y399))</f>
        <v>Sales Tax</v>
      </c>
      <c r="AU399" s="2" t="str">
        <f>IFERROR(IF(B399=VLOOKUP(B399,vlookup!$L$2:$L$10,1,0),"Yes","No"),"No")</f>
        <v>No</v>
      </c>
    </row>
    <row r="400" spans="1:47" x14ac:dyDescent="0.25">
      <c r="A400" t="s">
        <v>846</v>
      </c>
      <c r="B400" t="s">
        <v>847</v>
      </c>
      <c r="C400">
        <v>3</v>
      </c>
      <c r="D400">
        <v>1</v>
      </c>
      <c r="E400" t="s">
        <v>382</v>
      </c>
      <c r="F400" t="s">
        <v>207</v>
      </c>
      <c r="G400" t="s">
        <v>697</v>
      </c>
      <c r="H400" s="11" t="s">
        <v>738</v>
      </c>
      <c r="I400">
        <v>78864</v>
      </c>
      <c r="J400" s="22">
        <v>44344</v>
      </c>
      <c r="K400" s="22">
        <v>44399</v>
      </c>
      <c r="L400">
        <v>202107</v>
      </c>
      <c r="M400" s="22">
        <v>44378</v>
      </c>
      <c r="N400">
        <v>77871</v>
      </c>
      <c r="O400" t="s">
        <v>699</v>
      </c>
      <c r="P400" t="s">
        <v>712</v>
      </c>
      <c r="Q400" t="s">
        <v>612</v>
      </c>
      <c r="R400">
        <v>120222</v>
      </c>
      <c r="S400" s="22">
        <v>44802</v>
      </c>
      <c r="T400">
        <v>92994</v>
      </c>
      <c r="U400" t="s">
        <v>356</v>
      </c>
      <c r="V400" s="22">
        <v>44805</v>
      </c>
      <c r="W400" t="s">
        <v>598</v>
      </c>
      <c r="X400" t="s">
        <v>599</v>
      </c>
      <c r="Y400" t="s">
        <v>13</v>
      </c>
      <c r="Z400" t="s">
        <v>582</v>
      </c>
      <c r="AA400">
        <v>-12.6</v>
      </c>
      <c r="AC400" s="2">
        <f t="shared" si="72"/>
        <v>2022</v>
      </c>
      <c r="AD400" s="2">
        <f t="shared" si="73"/>
        <v>9</v>
      </c>
      <c r="AE400" s="2">
        <f t="shared" si="74"/>
        <v>2021</v>
      </c>
      <c r="AF400" s="2">
        <f t="shared" si="75"/>
        <v>5</v>
      </c>
      <c r="AG400" s="2" t="str">
        <f>VLOOKUP(F400,vlookup!$A$2:$E$660,2,0)</f>
        <v>Retained</v>
      </c>
      <c r="AH400" s="2" t="str">
        <f>VLOOKUP(F400,vlookup!$A$2:$E$660,3,0)</f>
        <v>Service Contract</v>
      </c>
      <c r="AI400" s="2" t="str">
        <f>VLOOKUP(F400,vlookup!$A$2:$E$660,4,0)</f>
        <v>Used Car Programs</v>
      </c>
      <c r="AJ400" s="2" t="str">
        <f>VLOOKUP(F400,vlookup!$A$2:$E$660,5,0)</f>
        <v>High Mileage</v>
      </c>
      <c r="AK400" s="2"/>
      <c r="AL400" s="2">
        <f t="shared" si="76"/>
        <v>54</v>
      </c>
      <c r="AM400" s="2">
        <f t="shared" si="77"/>
        <v>453</v>
      </c>
      <c r="AN400" s="2">
        <f t="shared" si="78"/>
        <v>14130</v>
      </c>
      <c r="AO400" s="2" t="str">
        <f t="shared" si="79"/>
        <v/>
      </c>
      <c r="AP400" s="2" t="str">
        <f t="shared" si="80"/>
        <v/>
      </c>
      <c r="AQ400" s="2" t="str">
        <f t="shared" si="81"/>
        <v/>
      </c>
      <c r="AR400" s="2">
        <f t="shared" si="82"/>
        <v>-12.6</v>
      </c>
      <c r="AS400" s="2" t="str">
        <f t="shared" si="83"/>
        <v>APC500425-3</v>
      </c>
      <c r="AT400" s="2" t="str">
        <f>IFERROR(IF(VLOOKUP(Y400,vlookup!$I$2:$J$9,1,0)=Y400,VLOOKUP(Y400,vlookup!$I$2:$J$9,2,0),PROPER(Y400)),PROPER(Y400))</f>
        <v>Sales Tax</v>
      </c>
      <c r="AU400" s="2" t="str">
        <f>IFERROR(IF(B400=VLOOKUP(B400,vlookup!$L$2:$L$10,1,0),"Yes","No"),"No")</f>
        <v>No</v>
      </c>
    </row>
    <row r="401" spans="1:47" x14ac:dyDescent="0.25">
      <c r="A401" t="s">
        <v>846</v>
      </c>
      <c r="B401" t="s">
        <v>847</v>
      </c>
      <c r="C401">
        <v>3</v>
      </c>
      <c r="D401">
        <v>1</v>
      </c>
      <c r="E401" t="s">
        <v>382</v>
      </c>
      <c r="F401" t="s">
        <v>207</v>
      </c>
      <c r="G401" t="s">
        <v>697</v>
      </c>
      <c r="H401" s="11" t="s">
        <v>738</v>
      </c>
      <c r="I401">
        <v>78864</v>
      </c>
      <c r="J401" s="22">
        <v>44344</v>
      </c>
      <c r="K401" s="22">
        <v>44399</v>
      </c>
      <c r="L401">
        <v>202107</v>
      </c>
      <c r="M401" s="22">
        <v>44378</v>
      </c>
      <c r="N401">
        <v>77871</v>
      </c>
      <c r="O401" t="s">
        <v>699</v>
      </c>
      <c r="P401" t="s">
        <v>712</v>
      </c>
      <c r="Q401" t="s">
        <v>612</v>
      </c>
      <c r="R401">
        <v>120222</v>
      </c>
      <c r="S401" s="22">
        <v>44802</v>
      </c>
      <c r="T401">
        <v>92994</v>
      </c>
      <c r="U401" t="s">
        <v>356</v>
      </c>
      <c r="V401" s="22">
        <v>44805</v>
      </c>
      <c r="W401" t="s">
        <v>890</v>
      </c>
      <c r="X401" t="s">
        <v>891</v>
      </c>
      <c r="Y401" t="s">
        <v>13</v>
      </c>
      <c r="Z401" t="s">
        <v>603</v>
      </c>
      <c r="AA401">
        <v>-0.17</v>
      </c>
      <c r="AC401" s="2">
        <f t="shared" si="72"/>
        <v>2022</v>
      </c>
      <c r="AD401" s="2">
        <f t="shared" si="73"/>
        <v>9</v>
      </c>
      <c r="AE401" s="2">
        <f t="shared" si="74"/>
        <v>2021</v>
      </c>
      <c r="AF401" s="2">
        <f t="shared" si="75"/>
        <v>5</v>
      </c>
      <c r="AG401" s="2" t="str">
        <f>VLOOKUP(F401,vlookup!$A$2:$E$660,2,0)</f>
        <v>Retained</v>
      </c>
      <c r="AH401" s="2" t="str">
        <f>VLOOKUP(F401,vlookup!$A$2:$E$660,3,0)</f>
        <v>Service Contract</v>
      </c>
      <c r="AI401" s="2" t="str">
        <f>VLOOKUP(F401,vlookup!$A$2:$E$660,4,0)</f>
        <v>Used Car Programs</v>
      </c>
      <c r="AJ401" s="2" t="str">
        <f>VLOOKUP(F401,vlookup!$A$2:$E$660,5,0)</f>
        <v>High Mileage</v>
      </c>
      <c r="AK401" s="2"/>
      <c r="AL401" s="2">
        <f t="shared" si="76"/>
        <v>54</v>
      </c>
      <c r="AM401" s="2">
        <f t="shared" si="77"/>
        <v>453</v>
      </c>
      <c r="AN401" s="2">
        <f t="shared" si="78"/>
        <v>14130</v>
      </c>
      <c r="AO401" s="2" t="str">
        <f t="shared" si="79"/>
        <v/>
      </c>
      <c r="AP401" s="2" t="str">
        <f t="shared" si="80"/>
        <v/>
      </c>
      <c r="AQ401" s="2" t="str">
        <f t="shared" si="81"/>
        <v/>
      </c>
      <c r="AR401" s="2">
        <f t="shared" si="82"/>
        <v>-0.17</v>
      </c>
      <c r="AS401" s="2" t="str">
        <f t="shared" si="83"/>
        <v>APC500425-3</v>
      </c>
      <c r="AT401" s="2" t="str">
        <f>IFERROR(IF(VLOOKUP(Y401,vlookup!$I$2:$J$9,1,0)=Y401,VLOOKUP(Y401,vlookup!$I$2:$J$9,2,0),PROPER(Y401)),PROPER(Y401))</f>
        <v>Sales Tax</v>
      </c>
      <c r="AU401" s="2" t="str">
        <f>IFERROR(IF(B401=VLOOKUP(B401,vlookup!$L$2:$L$10,1,0),"Yes","No"),"No")</f>
        <v>No</v>
      </c>
    </row>
    <row r="402" spans="1:47" x14ac:dyDescent="0.25">
      <c r="A402" t="s">
        <v>846</v>
      </c>
      <c r="B402" t="s">
        <v>847</v>
      </c>
      <c r="C402">
        <v>3</v>
      </c>
      <c r="D402">
        <v>1</v>
      </c>
      <c r="E402" t="s">
        <v>382</v>
      </c>
      <c r="F402" t="s">
        <v>207</v>
      </c>
      <c r="G402" t="s">
        <v>697</v>
      </c>
      <c r="H402" s="11" t="s">
        <v>738</v>
      </c>
      <c r="I402">
        <v>78864</v>
      </c>
      <c r="J402" s="22">
        <v>44344</v>
      </c>
      <c r="K402" s="22">
        <v>44399</v>
      </c>
      <c r="L402">
        <v>202107</v>
      </c>
      <c r="M402" s="22">
        <v>44378</v>
      </c>
      <c r="N402">
        <v>77871</v>
      </c>
      <c r="O402" t="s">
        <v>699</v>
      </c>
      <c r="P402" t="s">
        <v>712</v>
      </c>
      <c r="Q402" t="s">
        <v>612</v>
      </c>
      <c r="R402">
        <v>120222</v>
      </c>
      <c r="S402" s="22">
        <v>44802</v>
      </c>
      <c r="T402">
        <v>92994</v>
      </c>
      <c r="U402" t="s">
        <v>356</v>
      </c>
      <c r="V402" s="22">
        <v>44805</v>
      </c>
      <c r="W402" t="s">
        <v>618</v>
      </c>
      <c r="X402" t="s">
        <v>619</v>
      </c>
      <c r="Y402" t="s">
        <v>13</v>
      </c>
      <c r="Z402" t="s">
        <v>579</v>
      </c>
      <c r="AA402">
        <v>-113.1</v>
      </c>
      <c r="AC402" s="2">
        <f t="shared" si="72"/>
        <v>2022</v>
      </c>
      <c r="AD402" s="2">
        <f t="shared" si="73"/>
        <v>9</v>
      </c>
      <c r="AE402" s="2">
        <f t="shared" si="74"/>
        <v>2021</v>
      </c>
      <c r="AF402" s="2">
        <f t="shared" si="75"/>
        <v>5</v>
      </c>
      <c r="AG402" s="2" t="str">
        <f>VLOOKUP(F402,vlookup!$A$2:$E$660,2,0)</f>
        <v>Retained</v>
      </c>
      <c r="AH402" s="2" t="str">
        <f>VLOOKUP(F402,vlookup!$A$2:$E$660,3,0)</f>
        <v>Service Contract</v>
      </c>
      <c r="AI402" s="2" t="str">
        <f>VLOOKUP(F402,vlookup!$A$2:$E$660,4,0)</f>
        <v>Used Car Programs</v>
      </c>
      <c r="AJ402" s="2" t="str">
        <f>VLOOKUP(F402,vlookup!$A$2:$E$660,5,0)</f>
        <v>High Mileage</v>
      </c>
      <c r="AK402" s="2"/>
      <c r="AL402" s="2">
        <f t="shared" si="76"/>
        <v>54</v>
      </c>
      <c r="AM402" s="2">
        <f t="shared" si="77"/>
        <v>453</v>
      </c>
      <c r="AN402" s="2">
        <f t="shared" si="78"/>
        <v>14130</v>
      </c>
      <c r="AO402" s="2" t="str">
        <f t="shared" si="79"/>
        <v/>
      </c>
      <c r="AP402" s="2" t="str">
        <f t="shared" si="80"/>
        <v/>
      </c>
      <c r="AQ402" s="2" t="str">
        <f t="shared" si="81"/>
        <v/>
      </c>
      <c r="AR402" s="2">
        <f t="shared" si="82"/>
        <v>-113.1</v>
      </c>
      <c r="AS402" s="2" t="str">
        <f t="shared" si="83"/>
        <v>APC500425-3</v>
      </c>
      <c r="AT402" s="2" t="str">
        <f>IFERROR(IF(VLOOKUP(Y402,vlookup!$I$2:$J$9,1,0)=Y402,VLOOKUP(Y402,vlookup!$I$2:$J$9,2,0),PROPER(Y402)),PROPER(Y402))</f>
        <v>Sales Tax</v>
      </c>
      <c r="AU402" s="2" t="str">
        <f>IFERROR(IF(B402=VLOOKUP(B402,vlookup!$L$2:$L$10,1,0),"Yes","No"),"No")</f>
        <v>No</v>
      </c>
    </row>
    <row r="403" spans="1:47" x14ac:dyDescent="0.25">
      <c r="A403" t="s">
        <v>741</v>
      </c>
      <c r="B403" t="s">
        <v>742</v>
      </c>
      <c r="C403">
        <v>1</v>
      </c>
      <c r="D403">
        <v>1</v>
      </c>
      <c r="E403" t="s">
        <v>382</v>
      </c>
      <c r="F403" t="s">
        <v>191</v>
      </c>
      <c r="G403" t="s">
        <v>543</v>
      </c>
      <c r="H403" s="11" t="s">
        <v>611</v>
      </c>
      <c r="I403">
        <v>41200</v>
      </c>
      <c r="J403" s="22">
        <v>44524</v>
      </c>
      <c r="K403" s="22">
        <v>44582</v>
      </c>
      <c r="L403">
        <v>202201</v>
      </c>
      <c r="M403" s="22">
        <v>44562</v>
      </c>
      <c r="N403">
        <v>77871</v>
      </c>
      <c r="O403" t="s">
        <v>699</v>
      </c>
      <c r="P403" t="s">
        <v>712</v>
      </c>
      <c r="Q403" t="s">
        <v>612</v>
      </c>
      <c r="R403">
        <v>116582</v>
      </c>
      <c r="S403" s="22">
        <v>44727</v>
      </c>
      <c r="T403">
        <v>47223</v>
      </c>
      <c r="U403" t="s">
        <v>356</v>
      </c>
      <c r="V403" s="22">
        <v>44733</v>
      </c>
      <c r="W403" t="s">
        <v>688</v>
      </c>
      <c r="X403" t="s">
        <v>689</v>
      </c>
      <c r="Y403" t="s">
        <v>13</v>
      </c>
      <c r="Z403" t="s">
        <v>576</v>
      </c>
      <c r="AA403">
        <v>-25.22</v>
      </c>
      <c r="AC403" s="2">
        <f t="shared" si="72"/>
        <v>2022</v>
      </c>
      <c r="AD403" s="2">
        <f t="shared" si="73"/>
        <v>6</v>
      </c>
      <c r="AE403" s="2">
        <f t="shared" si="74"/>
        <v>2021</v>
      </c>
      <c r="AF403" s="2">
        <f t="shared" si="75"/>
        <v>11</v>
      </c>
      <c r="AG403" s="2" t="str">
        <f>VLOOKUP(F403,vlookup!$A$2:$E$660,2,0)</f>
        <v>Retained</v>
      </c>
      <c r="AH403" s="2" t="str">
        <f>VLOOKUP(F403,vlookup!$A$2:$E$660,3,0)</f>
        <v>Service Contract</v>
      </c>
      <c r="AI403" s="2" t="str">
        <f>VLOOKUP(F403,vlookup!$A$2:$E$660,4,0)</f>
        <v>New Car Programs</v>
      </c>
      <c r="AJ403" s="2" t="str">
        <f>VLOOKUP(F403,vlookup!$A$2:$E$660,5,0)</f>
        <v>High Mileage</v>
      </c>
      <c r="AK403" s="2"/>
      <c r="AL403" s="2">
        <f t="shared" si="76"/>
        <v>57</v>
      </c>
      <c r="AM403" s="2">
        <f t="shared" si="77"/>
        <v>207</v>
      </c>
      <c r="AN403" s="2">
        <f t="shared" si="78"/>
        <v>6023</v>
      </c>
      <c r="AO403" s="2" t="str">
        <f t="shared" si="79"/>
        <v/>
      </c>
      <c r="AP403" s="2" t="str">
        <f t="shared" si="80"/>
        <v/>
      </c>
      <c r="AQ403" s="2" t="str">
        <f t="shared" si="81"/>
        <v/>
      </c>
      <c r="AR403" s="2">
        <f t="shared" si="82"/>
        <v>-25.22</v>
      </c>
      <c r="AS403" s="2" t="str">
        <f t="shared" si="83"/>
        <v>APC100463-1</v>
      </c>
      <c r="AT403" s="2" t="str">
        <f>IFERROR(IF(VLOOKUP(Y403,vlookup!$I$2:$J$9,1,0)=Y403,VLOOKUP(Y403,vlookup!$I$2:$J$9,2,0),PROPER(Y403)),PROPER(Y403))</f>
        <v>Sales Tax</v>
      </c>
      <c r="AU403" s="2" t="str">
        <f>IFERROR(IF(B403=VLOOKUP(B403,vlookup!$L$2:$L$10,1,0),"Yes","No"),"No")</f>
        <v>No</v>
      </c>
    </row>
    <row r="404" spans="1:47" x14ac:dyDescent="0.25">
      <c r="A404" t="s">
        <v>741</v>
      </c>
      <c r="B404" t="s">
        <v>742</v>
      </c>
      <c r="C404">
        <v>1</v>
      </c>
      <c r="D404">
        <v>1</v>
      </c>
      <c r="E404" t="s">
        <v>382</v>
      </c>
      <c r="F404" t="s">
        <v>191</v>
      </c>
      <c r="G404" t="s">
        <v>543</v>
      </c>
      <c r="H404" s="11" t="s">
        <v>611</v>
      </c>
      <c r="I404">
        <v>41200</v>
      </c>
      <c r="J404" s="22">
        <v>44524</v>
      </c>
      <c r="K404" s="22">
        <v>44582</v>
      </c>
      <c r="L404">
        <v>202201</v>
      </c>
      <c r="M404" s="22">
        <v>44562</v>
      </c>
      <c r="N404">
        <v>77871</v>
      </c>
      <c r="O404" t="s">
        <v>699</v>
      </c>
      <c r="P404" t="s">
        <v>712</v>
      </c>
      <c r="Q404" t="s">
        <v>612</v>
      </c>
      <c r="R404">
        <v>116582</v>
      </c>
      <c r="S404" s="22">
        <v>44727</v>
      </c>
      <c r="T404">
        <v>47223</v>
      </c>
      <c r="U404" t="s">
        <v>356</v>
      </c>
      <c r="V404" s="22">
        <v>44733</v>
      </c>
      <c r="W404" t="s">
        <v>584</v>
      </c>
      <c r="X404" t="s">
        <v>585</v>
      </c>
      <c r="Y404" t="s">
        <v>13</v>
      </c>
      <c r="Z404" t="s">
        <v>576</v>
      </c>
      <c r="AA404">
        <v>-4.5</v>
      </c>
      <c r="AC404" s="2">
        <f t="shared" si="72"/>
        <v>2022</v>
      </c>
      <c r="AD404" s="2">
        <f t="shared" si="73"/>
        <v>6</v>
      </c>
      <c r="AE404" s="2">
        <f t="shared" si="74"/>
        <v>2021</v>
      </c>
      <c r="AF404" s="2">
        <f t="shared" si="75"/>
        <v>11</v>
      </c>
      <c r="AG404" s="2" t="str">
        <f>VLOOKUP(F404,vlookup!$A$2:$E$660,2,0)</f>
        <v>Retained</v>
      </c>
      <c r="AH404" s="2" t="str">
        <f>VLOOKUP(F404,vlookup!$A$2:$E$660,3,0)</f>
        <v>Service Contract</v>
      </c>
      <c r="AI404" s="2" t="str">
        <f>VLOOKUP(F404,vlookup!$A$2:$E$660,4,0)</f>
        <v>New Car Programs</v>
      </c>
      <c r="AJ404" s="2" t="str">
        <f>VLOOKUP(F404,vlookup!$A$2:$E$660,5,0)</f>
        <v>High Mileage</v>
      </c>
      <c r="AK404" s="2"/>
      <c r="AL404" s="2">
        <f t="shared" si="76"/>
        <v>57</v>
      </c>
      <c r="AM404" s="2">
        <f t="shared" si="77"/>
        <v>207</v>
      </c>
      <c r="AN404" s="2">
        <f t="shared" si="78"/>
        <v>6023</v>
      </c>
      <c r="AO404" s="2" t="str">
        <f t="shared" si="79"/>
        <v/>
      </c>
      <c r="AP404" s="2" t="str">
        <f t="shared" si="80"/>
        <v/>
      </c>
      <c r="AQ404" s="2" t="str">
        <f t="shared" si="81"/>
        <v/>
      </c>
      <c r="AR404" s="2">
        <f t="shared" si="82"/>
        <v>-4.5</v>
      </c>
      <c r="AS404" s="2" t="str">
        <f t="shared" si="83"/>
        <v>APC100463-1</v>
      </c>
      <c r="AT404" s="2" t="str">
        <f>IFERROR(IF(VLOOKUP(Y404,vlookup!$I$2:$J$9,1,0)=Y404,VLOOKUP(Y404,vlookup!$I$2:$J$9,2,0),PROPER(Y404)),PROPER(Y404))</f>
        <v>Sales Tax</v>
      </c>
      <c r="AU404" s="2" t="str">
        <f>IFERROR(IF(B404=VLOOKUP(B404,vlookup!$L$2:$L$10,1,0),"Yes","No"),"No")</f>
        <v>No</v>
      </c>
    </row>
    <row r="405" spans="1:47" x14ac:dyDescent="0.25">
      <c r="A405" t="s">
        <v>741</v>
      </c>
      <c r="B405" t="s">
        <v>742</v>
      </c>
      <c r="C405">
        <v>1</v>
      </c>
      <c r="D405">
        <v>1</v>
      </c>
      <c r="E405" t="s">
        <v>382</v>
      </c>
      <c r="F405" t="s">
        <v>191</v>
      </c>
      <c r="G405" t="s">
        <v>543</v>
      </c>
      <c r="H405" s="11" t="s">
        <v>611</v>
      </c>
      <c r="I405">
        <v>41200</v>
      </c>
      <c r="J405" s="22">
        <v>44524</v>
      </c>
      <c r="K405" s="22">
        <v>44582</v>
      </c>
      <c r="L405">
        <v>202201</v>
      </c>
      <c r="M405" s="22">
        <v>44562</v>
      </c>
      <c r="N405">
        <v>77871</v>
      </c>
      <c r="O405" t="s">
        <v>699</v>
      </c>
      <c r="P405" t="s">
        <v>712</v>
      </c>
      <c r="Q405" t="s">
        <v>612</v>
      </c>
      <c r="R405">
        <v>116582</v>
      </c>
      <c r="S405" s="22">
        <v>44727</v>
      </c>
      <c r="T405">
        <v>47223</v>
      </c>
      <c r="U405" t="s">
        <v>356</v>
      </c>
      <c r="V405" s="22">
        <v>44733</v>
      </c>
      <c r="W405" t="s">
        <v>367</v>
      </c>
      <c r="X405" t="s">
        <v>368</v>
      </c>
      <c r="Y405" t="s">
        <v>13</v>
      </c>
      <c r="Z405" t="s">
        <v>365</v>
      </c>
      <c r="AA405">
        <v>-5.47</v>
      </c>
      <c r="AC405" s="2">
        <f t="shared" si="72"/>
        <v>2022</v>
      </c>
      <c r="AD405" s="2">
        <f t="shared" si="73"/>
        <v>6</v>
      </c>
      <c r="AE405" s="2">
        <f t="shared" si="74"/>
        <v>2021</v>
      </c>
      <c r="AF405" s="2">
        <f t="shared" si="75"/>
        <v>11</v>
      </c>
      <c r="AG405" s="2" t="str">
        <f>VLOOKUP(F405,vlookup!$A$2:$E$660,2,0)</f>
        <v>Retained</v>
      </c>
      <c r="AH405" s="2" t="str">
        <f>VLOOKUP(F405,vlookup!$A$2:$E$660,3,0)</f>
        <v>Service Contract</v>
      </c>
      <c r="AI405" s="2" t="str">
        <f>VLOOKUP(F405,vlookup!$A$2:$E$660,4,0)</f>
        <v>New Car Programs</v>
      </c>
      <c r="AJ405" s="2" t="str">
        <f>VLOOKUP(F405,vlookup!$A$2:$E$660,5,0)</f>
        <v>High Mileage</v>
      </c>
      <c r="AK405" s="2"/>
      <c r="AL405" s="2">
        <f t="shared" si="76"/>
        <v>57</v>
      </c>
      <c r="AM405" s="2">
        <f t="shared" si="77"/>
        <v>207</v>
      </c>
      <c r="AN405" s="2">
        <f t="shared" si="78"/>
        <v>6023</v>
      </c>
      <c r="AO405" s="2" t="str">
        <f t="shared" si="79"/>
        <v/>
      </c>
      <c r="AP405" s="2" t="str">
        <f t="shared" si="80"/>
        <v/>
      </c>
      <c r="AQ405" s="2" t="str">
        <f t="shared" si="81"/>
        <v/>
      </c>
      <c r="AR405" s="2">
        <f t="shared" si="82"/>
        <v>-5.47</v>
      </c>
      <c r="AS405" s="2" t="str">
        <f t="shared" si="83"/>
        <v>APC100463-1</v>
      </c>
      <c r="AT405" s="2" t="str">
        <f>IFERROR(IF(VLOOKUP(Y405,vlookup!$I$2:$J$9,1,0)=Y405,VLOOKUP(Y405,vlookup!$I$2:$J$9,2,0),PROPER(Y405)),PROPER(Y405))</f>
        <v>Sales Tax</v>
      </c>
      <c r="AU405" s="2" t="str">
        <f>IFERROR(IF(B405=VLOOKUP(B405,vlookup!$L$2:$L$10,1,0),"Yes","No"),"No")</f>
        <v>No</v>
      </c>
    </row>
    <row r="406" spans="1:47" x14ac:dyDescent="0.25">
      <c r="A406" t="s">
        <v>743</v>
      </c>
      <c r="B406" t="s">
        <v>744</v>
      </c>
      <c r="C406">
        <v>1</v>
      </c>
      <c r="D406">
        <v>1</v>
      </c>
      <c r="E406" t="s">
        <v>382</v>
      </c>
      <c r="F406" t="s">
        <v>346</v>
      </c>
      <c r="G406" t="s">
        <v>683</v>
      </c>
      <c r="H406" s="11" t="s">
        <v>745</v>
      </c>
      <c r="I406">
        <v>47900</v>
      </c>
      <c r="J406" s="22">
        <v>44221</v>
      </c>
      <c r="K406" s="22">
        <v>44281</v>
      </c>
      <c r="L406">
        <v>202103</v>
      </c>
      <c r="M406" s="22">
        <v>44256</v>
      </c>
      <c r="N406">
        <v>77871</v>
      </c>
      <c r="O406" t="s">
        <v>699</v>
      </c>
      <c r="P406" t="s">
        <v>712</v>
      </c>
      <c r="Q406" t="s">
        <v>612</v>
      </c>
      <c r="R406">
        <v>907278</v>
      </c>
      <c r="S406" s="22">
        <v>44363</v>
      </c>
      <c r="T406">
        <v>53206</v>
      </c>
      <c r="U406" t="s">
        <v>356</v>
      </c>
      <c r="V406" s="22">
        <v>44363</v>
      </c>
      <c r="W406" t="s">
        <v>623</v>
      </c>
      <c r="X406" t="s">
        <v>624</v>
      </c>
      <c r="Y406" t="s">
        <v>13</v>
      </c>
      <c r="Z406" t="s">
        <v>366</v>
      </c>
      <c r="AA406">
        <v>-4.05</v>
      </c>
      <c r="AC406" s="2">
        <f t="shared" si="72"/>
        <v>2021</v>
      </c>
      <c r="AD406" s="2">
        <f t="shared" si="73"/>
        <v>6</v>
      </c>
      <c r="AE406" s="2">
        <f t="shared" si="74"/>
        <v>2021</v>
      </c>
      <c r="AF406" s="2">
        <f t="shared" si="75"/>
        <v>1</v>
      </c>
      <c r="AG406" s="2" t="str">
        <f>VLOOKUP(F406,vlookup!$A$2:$E$660,2,0)</f>
        <v>Retained</v>
      </c>
      <c r="AH406" s="2" t="str">
        <f>VLOOKUP(F406,vlookup!$A$2:$E$660,3,0)</f>
        <v>Service Contract</v>
      </c>
      <c r="AI406" s="2" t="str">
        <f>VLOOKUP(F406,vlookup!$A$2:$E$660,4,0)</f>
        <v>Used Car Programs</v>
      </c>
      <c r="AJ406" s="2" t="str">
        <f>VLOOKUP(F406,vlookup!$A$2:$E$660,5,0)</f>
        <v>High Mileage</v>
      </c>
      <c r="AK406" s="2"/>
      <c r="AL406" s="2">
        <f t="shared" si="76"/>
        <v>61</v>
      </c>
      <c r="AM406" s="2">
        <f t="shared" si="77"/>
        <v>141</v>
      </c>
      <c r="AN406" s="2">
        <f t="shared" si="78"/>
        <v>5306</v>
      </c>
      <c r="AO406" s="2" t="str">
        <f t="shared" si="79"/>
        <v/>
      </c>
      <c r="AP406" s="2" t="str">
        <f t="shared" si="80"/>
        <v/>
      </c>
      <c r="AQ406" s="2" t="str">
        <f t="shared" si="81"/>
        <v/>
      </c>
      <c r="AR406" s="2">
        <f t="shared" si="82"/>
        <v>-4.05</v>
      </c>
      <c r="AS406" s="2" t="str">
        <f t="shared" si="83"/>
        <v>SDFC9147361A21-1</v>
      </c>
      <c r="AT406" s="2" t="str">
        <f>IFERROR(IF(VLOOKUP(Y406,vlookup!$I$2:$J$9,1,0)=Y406,VLOOKUP(Y406,vlookup!$I$2:$J$9,2,0),PROPER(Y406)),PROPER(Y406))</f>
        <v>Sales Tax</v>
      </c>
      <c r="AU406" s="2" t="str">
        <f>IFERROR(IF(B406=VLOOKUP(B406,vlookup!$L$2:$L$10,1,0),"Yes","No"),"No")</f>
        <v>No</v>
      </c>
    </row>
    <row r="407" spans="1:47" x14ac:dyDescent="0.25">
      <c r="A407" t="s">
        <v>743</v>
      </c>
      <c r="B407" t="s">
        <v>744</v>
      </c>
      <c r="C407">
        <v>1</v>
      </c>
      <c r="D407">
        <v>1</v>
      </c>
      <c r="E407" t="s">
        <v>382</v>
      </c>
      <c r="F407" t="s">
        <v>346</v>
      </c>
      <c r="G407" t="s">
        <v>683</v>
      </c>
      <c r="H407" s="11" t="s">
        <v>745</v>
      </c>
      <c r="I407">
        <v>47900</v>
      </c>
      <c r="J407" s="22">
        <v>44221</v>
      </c>
      <c r="K407" s="22">
        <v>44281</v>
      </c>
      <c r="L407">
        <v>202103</v>
      </c>
      <c r="M407" s="22">
        <v>44256</v>
      </c>
      <c r="N407">
        <v>77871</v>
      </c>
      <c r="O407" t="s">
        <v>699</v>
      </c>
      <c r="P407" t="s">
        <v>712</v>
      </c>
      <c r="Q407" t="s">
        <v>612</v>
      </c>
      <c r="R407">
        <v>907278</v>
      </c>
      <c r="S407" s="22">
        <v>44363</v>
      </c>
      <c r="T407">
        <v>53206</v>
      </c>
      <c r="U407" t="s">
        <v>356</v>
      </c>
      <c r="V407" s="22">
        <v>44363</v>
      </c>
      <c r="W407" t="s">
        <v>596</v>
      </c>
      <c r="X407" t="s">
        <v>597</v>
      </c>
      <c r="Y407" t="s">
        <v>13</v>
      </c>
      <c r="Z407" t="s">
        <v>358</v>
      </c>
      <c r="AA407">
        <v>-41.34</v>
      </c>
      <c r="AC407" s="2">
        <f t="shared" si="72"/>
        <v>2021</v>
      </c>
      <c r="AD407" s="2">
        <f t="shared" si="73"/>
        <v>6</v>
      </c>
      <c r="AE407" s="2">
        <f t="shared" si="74"/>
        <v>2021</v>
      </c>
      <c r="AF407" s="2">
        <f t="shared" si="75"/>
        <v>1</v>
      </c>
      <c r="AG407" s="2" t="str">
        <f>VLOOKUP(F407,vlookup!$A$2:$E$660,2,0)</f>
        <v>Retained</v>
      </c>
      <c r="AH407" s="2" t="str">
        <f>VLOOKUP(F407,vlookup!$A$2:$E$660,3,0)</f>
        <v>Service Contract</v>
      </c>
      <c r="AI407" s="2" t="str">
        <f>VLOOKUP(F407,vlookup!$A$2:$E$660,4,0)</f>
        <v>Used Car Programs</v>
      </c>
      <c r="AJ407" s="2" t="str">
        <f>VLOOKUP(F407,vlookup!$A$2:$E$660,5,0)</f>
        <v>High Mileage</v>
      </c>
      <c r="AK407" s="2"/>
      <c r="AL407" s="2">
        <f t="shared" si="76"/>
        <v>61</v>
      </c>
      <c r="AM407" s="2">
        <f t="shared" si="77"/>
        <v>141</v>
      </c>
      <c r="AN407" s="2">
        <f t="shared" si="78"/>
        <v>5306</v>
      </c>
      <c r="AO407" s="2" t="str">
        <f t="shared" si="79"/>
        <v/>
      </c>
      <c r="AP407" s="2" t="str">
        <f t="shared" si="80"/>
        <v/>
      </c>
      <c r="AQ407" s="2" t="str">
        <f t="shared" si="81"/>
        <v/>
      </c>
      <c r="AR407" s="2">
        <f t="shared" si="82"/>
        <v>-41.34</v>
      </c>
      <c r="AS407" s="2" t="str">
        <f t="shared" si="83"/>
        <v>SDFC9147361A21-1</v>
      </c>
      <c r="AT407" s="2" t="str">
        <f>IFERROR(IF(VLOOKUP(Y407,vlookup!$I$2:$J$9,1,0)=Y407,VLOOKUP(Y407,vlookup!$I$2:$J$9,2,0),PROPER(Y407)),PROPER(Y407))</f>
        <v>Sales Tax</v>
      </c>
      <c r="AU407" s="2" t="str">
        <f>IFERROR(IF(B407=VLOOKUP(B407,vlookup!$L$2:$L$10,1,0),"Yes","No"),"No")</f>
        <v>No</v>
      </c>
    </row>
    <row r="408" spans="1:47" x14ac:dyDescent="0.25">
      <c r="A408" t="s">
        <v>743</v>
      </c>
      <c r="B408" t="s">
        <v>744</v>
      </c>
      <c r="C408">
        <v>3</v>
      </c>
      <c r="D408">
        <v>1</v>
      </c>
      <c r="E408" t="s">
        <v>382</v>
      </c>
      <c r="F408" t="s">
        <v>346</v>
      </c>
      <c r="G408" t="s">
        <v>683</v>
      </c>
      <c r="H408" s="11" t="s">
        <v>745</v>
      </c>
      <c r="I408">
        <v>47900</v>
      </c>
      <c r="J408" s="22">
        <v>44221</v>
      </c>
      <c r="K408" s="22">
        <v>44281</v>
      </c>
      <c r="L408">
        <v>202103</v>
      </c>
      <c r="M408" s="22">
        <v>44256</v>
      </c>
      <c r="N408">
        <v>77871</v>
      </c>
      <c r="O408" t="s">
        <v>699</v>
      </c>
      <c r="P408" t="s">
        <v>746</v>
      </c>
      <c r="Q408" t="s">
        <v>544</v>
      </c>
      <c r="R408">
        <v>122387</v>
      </c>
      <c r="S408" s="22">
        <v>44845</v>
      </c>
      <c r="T408">
        <v>58347</v>
      </c>
      <c r="U408" t="s">
        <v>356</v>
      </c>
      <c r="V408" s="22">
        <v>44846</v>
      </c>
      <c r="W408" t="s">
        <v>629</v>
      </c>
      <c r="X408" t="s">
        <v>630</v>
      </c>
      <c r="Y408" t="s">
        <v>13</v>
      </c>
      <c r="Z408" t="s">
        <v>364</v>
      </c>
      <c r="AA408">
        <v>-12.02</v>
      </c>
      <c r="AC408" s="2">
        <f t="shared" si="72"/>
        <v>2022</v>
      </c>
      <c r="AD408" s="2">
        <f t="shared" si="73"/>
        <v>10</v>
      </c>
      <c r="AE408" s="2">
        <f t="shared" si="74"/>
        <v>2021</v>
      </c>
      <c r="AF408" s="2">
        <f t="shared" si="75"/>
        <v>1</v>
      </c>
      <c r="AG408" s="2" t="str">
        <f>VLOOKUP(F408,vlookup!$A$2:$E$660,2,0)</f>
        <v>Retained</v>
      </c>
      <c r="AH408" s="2" t="str">
        <f>VLOOKUP(F408,vlookup!$A$2:$E$660,3,0)</f>
        <v>Service Contract</v>
      </c>
      <c r="AI408" s="2" t="str">
        <f>VLOOKUP(F408,vlookup!$A$2:$E$660,4,0)</f>
        <v>Used Car Programs</v>
      </c>
      <c r="AJ408" s="2" t="str">
        <f>VLOOKUP(F408,vlookup!$A$2:$E$660,5,0)</f>
        <v>High Mileage</v>
      </c>
      <c r="AK408" s="2"/>
      <c r="AL408" s="2">
        <f t="shared" si="76"/>
        <v>61</v>
      </c>
      <c r="AM408" s="2">
        <f t="shared" si="77"/>
        <v>617</v>
      </c>
      <c r="AN408" s="2">
        <f t="shared" si="78"/>
        <v>10447</v>
      </c>
      <c r="AO408" s="2" t="str">
        <f t="shared" si="79"/>
        <v/>
      </c>
      <c r="AP408" s="2" t="str">
        <f t="shared" si="80"/>
        <v/>
      </c>
      <c r="AQ408" s="2" t="str">
        <f t="shared" si="81"/>
        <v/>
      </c>
      <c r="AR408" s="2">
        <f t="shared" si="82"/>
        <v>-12.02</v>
      </c>
      <c r="AS408" s="2" t="str">
        <f t="shared" si="83"/>
        <v>SDFC9147361A21-3</v>
      </c>
      <c r="AT408" s="2" t="str">
        <f>IFERROR(IF(VLOOKUP(Y408,vlookup!$I$2:$J$9,1,0)=Y408,VLOOKUP(Y408,vlookup!$I$2:$J$9,2,0),PROPER(Y408)),PROPER(Y408))</f>
        <v>Sales Tax</v>
      </c>
      <c r="AU408" s="2" t="str">
        <f>IFERROR(IF(B408=VLOOKUP(B408,vlookup!$L$2:$L$10,1,0),"Yes","No"),"No")</f>
        <v>No</v>
      </c>
    </row>
    <row r="409" spans="1:47" x14ac:dyDescent="0.25">
      <c r="A409" t="s">
        <v>747</v>
      </c>
      <c r="B409" t="s">
        <v>748</v>
      </c>
      <c r="C409">
        <v>1</v>
      </c>
      <c r="D409">
        <v>1</v>
      </c>
      <c r="E409" t="s">
        <v>382</v>
      </c>
      <c r="F409" t="s">
        <v>257</v>
      </c>
      <c r="G409" t="s">
        <v>543</v>
      </c>
      <c r="H409" s="11" t="s">
        <v>602</v>
      </c>
      <c r="I409">
        <v>29281</v>
      </c>
      <c r="J409" s="22">
        <v>44193</v>
      </c>
      <c r="K409" s="22">
        <v>44229</v>
      </c>
      <c r="L409">
        <v>202101</v>
      </c>
      <c r="M409" s="22">
        <v>44197</v>
      </c>
      <c r="N409">
        <v>77871</v>
      </c>
      <c r="O409" t="s">
        <v>699</v>
      </c>
      <c r="P409" t="s">
        <v>712</v>
      </c>
      <c r="Q409" t="s">
        <v>612</v>
      </c>
      <c r="R409">
        <v>124532</v>
      </c>
      <c r="S409" s="22">
        <v>44888</v>
      </c>
      <c r="T409">
        <v>60817</v>
      </c>
      <c r="U409" t="s">
        <v>356</v>
      </c>
      <c r="V409" s="22">
        <v>44888</v>
      </c>
      <c r="W409" t="s">
        <v>629</v>
      </c>
      <c r="X409" t="s">
        <v>630</v>
      </c>
      <c r="Y409" t="s">
        <v>13</v>
      </c>
      <c r="Z409" t="s">
        <v>364</v>
      </c>
      <c r="AA409">
        <v>-12.02</v>
      </c>
      <c r="AC409" s="2">
        <f t="shared" si="72"/>
        <v>2022</v>
      </c>
      <c r="AD409" s="2">
        <f t="shared" si="73"/>
        <v>11</v>
      </c>
      <c r="AE409" s="2">
        <f t="shared" si="74"/>
        <v>2020</v>
      </c>
      <c r="AF409" s="2">
        <f t="shared" si="75"/>
        <v>12</v>
      </c>
      <c r="AG409" s="2" t="str">
        <f>VLOOKUP(F409,vlookup!$A$2:$E$660,2,0)</f>
        <v>Retained</v>
      </c>
      <c r="AH409" s="2" t="str">
        <f>VLOOKUP(F409,vlookup!$A$2:$E$660,3,0)</f>
        <v>Service Contract</v>
      </c>
      <c r="AI409" s="2" t="str">
        <f>VLOOKUP(F409,vlookup!$A$2:$E$660,4,0)</f>
        <v>Used Car Programs</v>
      </c>
      <c r="AJ409" s="2" t="str">
        <f>VLOOKUP(F409,vlookup!$A$2:$E$660,5,0)</f>
        <v>High Mileage</v>
      </c>
      <c r="AK409" s="2"/>
      <c r="AL409" s="2">
        <f t="shared" si="76"/>
        <v>34</v>
      </c>
      <c r="AM409" s="2">
        <f t="shared" si="77"/>
        <v>685</v>
      </c>
      <c r="AN409" s="2">
        <f t="shared" si="78"/>
        <v>31536</v>
      </c>
      <c r="AO409" s="2" t="str">
        <f t="shared" si="79"/>
        <v/>
      </c>
      <c r="AP409" s="2" t="str">
        <f t="shared" si="80"/>
        <v/>
      </c>
      <c r="AQ409" s="2" t="str">
        <f t="shared" si="81"/>
        <v/>
      </c>
      <c r="AR409" s="2">
        <f t="shared" si="82"/>
        <v>-12.02</v>
      </c>
      <c r="AS409" s="2" t="str">
        <f t="shared" si="83"/>
        <v>SNFH1602575L20-1</v>
      </c>
      <c r="AT409" s="2" t="str">
        <f>IFERROR(IF(VLOOKUP(Y409,vlookup!$I$2:$J$9,1,0)=Y409,VLOOKUP(Y409,vlookup!$I$2:$J$9,2,0),PROPER(Y409)),PROPER(Y409))</f>
        <v>Sales Tax</v>
      </c>
      <c r="AU409" s="2" t="str">
        <f>IFERROR(IF(B409=VLOOKUP(B409,vlookup!$L$2:$L$10,1,0),"Yes","No"),"No")</f>
        <v>No</v>
      </c>
    </row>
    <row r="410" spans="1:47" x14ac:dyDescent="0.25">
      <c r="A410" t="s">
        <v>702</v>
      </c>
      <c r="B410" t="s">
        <v>703</v>
      </c>
      <c r="C410">
        <v>2</v>
      </c>
      <c r="D410">
        <v>1</v>
      </c>
      <c r="E410" t="s">
        <v>382</v>
      </c>
      <c r="F410" t="s">
        <v>191</v>
      </c>
      <c r="G410" t="s">
        <v>697</v>
      </c>
      <c r="H410" s="11" t="s">
        <v>704</v>
      </c>
      <c r="I410">
        <v>33397</v>
      </c>
      <c r="J410" s="22">
        <v>44211</v>
      </c>
      <c r="K410" s="22">
        <v>44271</v>
      </c>
      <c r="L410">
        <v>202103</v>
      </c>
      <c r="M410" s="22">
        <v>44256</v>
      </c>
      <c r="N410">
        <v>77871</v>
      </c>
      <c r="O410" t="s">
        <v>699</v>
      </c>
      <c r="P410" t="s">
        <v>712</v>
      </c>
      <c r="Q410" t="s">
        <v>612</v>
      </c>
      <c r="R410">
        <v>119976</v>
      </c>
      <c r="S410" s="22">
        <v>44796</v>
      </c>
      <c r="T410">
        <v>39146</v>
      </c>
      <c r="U410" t="s">
        <v>356</v>
      </c>
      <c r="V410" s="22">
        <v>44799</v>
      </c>
      <c r="W410" t="s">
        <v>842</v>
      </c>
      <c r="X410" t="s">
        <v>843</v>
      </c>
      <c r="Y410" t="s">
        <v>13</v>
      </c>
      <c r="Z410" t="s">
        <v>358</v>
      </c>
      <c r="AA410">
        <v>-82.83</v>
      </c>
      <c r="AC410" s="2">
        <f t="shared" ref="AC410:AC437" si="84">YEAR(V410)</f>
        <v>2022</v>
      </c>
      <c r="AD410" s="2">
        <f t="shared" ref="AD410:AD437" si="85">MONTH(V410)</f>
        <v>8</v>
      </c>
      <c r="AE410" s="2">
        <f t="shared" ref="AE410:AE437" si="86">YEAR(J410)</f>
        <v>2021</v>
      </c>
      <c r="AF410" s="2">
        <f t="shared" ref="AF410:AF437" si="87">MONTH(J410)</f>
        <v>1</v>
      </c>
      <c r="AG410" s="2" t="str">
        <f>VLOOKUP(F410,vlookup!$A$2:$E$660,2,0)</f>
        <v>Retained</v>
      </c>
      <c r="AH410" s="2" t="str">
        <f>VLOOKUP(F410,vlookup!$A$2:$E$660,3,0)</f>
        <v>Service Contract</v>
      </c>
      <c r="AI410" s="2" t="str">
        <f>VLOOKUP(F410,vlookup!$A$2:$E$660,4,0)</f>
        <v>New Car Programs</v>
      </c>
      <c r="AJ410" s="2" t="str">
        <f>VLOOKUP(F410,vlookup!$A$2:$E$660,5,0)</f>
        <v>High Mileage</v>
      </c>
      <c r="AK410" s="2"/>
      <c r="AL410" s="2">
        <f t="shared" ref="AL410:AL437" si="88">DAYS360(J410,K410)</f>
        <v>61</v>
      </c>
      <c r="AM410" s="2">
        <f t="shared" ref="AM410:AM437" si="89">DAYS360(J410,V410)</f>
        <v>581</v>
      </c>
      <c r="AN410" s="2">
        <f t="shared" ref="AN410:AN437" si="90">IF(T410-I410&lt;1,"",T410-I410)</f>
        <v>5749</v>
      </c>
      <c r="AO410" s="2" t="str">
        <f t="shared" ref="AO410:AO437" si="91">IF(AM410&lt;31,AA410,"")</f>
        <v/>
      </c>
      <c r="AP410" s="2" t="str">
        <f t="shared" ref="AP410:AP437" si="92">IF(AND(AM410&gt;30,AM410&lt;61),AA410,"")</f>
        <v/>
      </c>
      <c r="AQ410" s="2" t="str">
        <f t="shared" ref="AQ410:AQ437" si="93">IF(AND(AM410&gt;60,AM410&lt;91),AA410,"")</f>
        <v/>
      </c>
      <c r="AR410" s="2">
        <f t="shared" ref="AR410:AR437" si="94">IF(AM410&gt;90,AA410,"")</f>
        <v>-82.83</v>
      </c>
      <c r="AS410" s="2" t="str">
        <f t="shared" ref="AS410:AS437" si="95">CONCATENATE(B410,"-",C410)</f>
        <v>APC100175-2</v>
      </c>
      <c r="AT410" s="2" t="str">
        <f>IFERROR(IF(VLOOKUP(Y410,vlookup!$I$2:$J$9,1,0)=Y410,VLOOKUP(Y410,vlookup!$I$2:$J$9,2,0),PROPER(Y410)),PROPER(Y410))</f>
        <v>Sales Tax</v>
      </c>
      <c r="AU410" s="2" t="str">
        <f>IFERROR(IF(B410=VLOOKUP(B410,vlookup!$L$2:$L$10,1,0),"Yes","No"),"No")</f>
        <v>No</v>
      </c>
    </row>
    <row r="411" spans="1:47" x14ac:dyDescent="0.25">
      <c r="A411" t="s">
        <v>749</v>
      </c>
      <c r="B411" t="s">
        <v>750</v>
      </c>
      <c r="C411">
        <v>1</v>
      </c>
      <c r="D411">
        <v>1</v>
      </c>
      <c r="E411" t="s">
        <v>382</v>
      </c>
      <c r="F411" t="s">
        <v>346</v>
      </c>
      <c r="G411" t="s">
        <v>697</v>
      </c>
      <c r="H411" s="11" t="s">
        <v>704</v>
      </c>
      <c r="I411">
        <v>102575</v>
      </c>
      <c r="J411" s="22">
        <v>44162</v>
      </c>
      <c r="K411" s="22">
        <v>44202</v>
      </c>
      <c r="L411">
        <v>202012</v>
      </c>
      <c r="M411" s="22">
        <v>44166</v>
      </c>
      <c r="N411">
        <v>77871</v>
      </c>
      <c r="O411" t="s">
        <v>699</v>
      </c>
      <c r="P411" t="s">
        <v>712</v>
      </c>
      <c r="Q411" t="s">
        <v>612</v>
      </c>
      <c r="R411">
        <v>904088</v>
      </c>
      <c r="S411" s="22">
        <v>44307</v>
      </c>
      <c r="T411">
        <v>106443</v>
      </c>
      <c r="U411" t="s">
        <v>356</v>
      </c>
      <c r="V411" s="22">
        <v>44313</v>
      </c>
      <c r="W411" t="s">
        <v>844</v>
      </c>
      <c r="X411" t="s">
        <v>845</v>
      </c>
      <c r="Y411" t="s">
        <v>13</v>
      </c>
      <c r="Z411" t="s">
        <v>583</v>
      </c>
      <c r="AA411">
        <v>-29.05</v>
      </c>
      <c r="AC411" s="2">
        <f t="shared" si="84"/>
        <v>2021</v>
      </c>
      <c r="AD411" s="2">
        <f t="shared" si="85"/>
        <v>4</v>
      </c>
      <c r="AE411" s="2">
        <f t="shared" si="86"/>
        <v>2020</v>
      </c>
      <c r="AF411" s="2">
        <f t="shared" si="87"/>
        <v>11</v>
      </c>
      <c r="AG411" s="2" t="str">
        <f>VLOOKUP(F411,vlookup!$A$2:$E$660,2,0)</f>
        <v>Retained</v>
      </c>
      <c r="AH411" s="2" t="str">
        <f>VLOOKUP(F411,vlookup!$A$2:$E$660,3,0)</f>
        <v>Service Contract</v>
      </c>
      <c r="AI411" s="2" t="str">
        <f>VLOOKUP(F411,vlookup!$A$2:$E$660,4,0)</f>
        <v>Used Car Programs</v>
      </c>
      <c r="AJ411" s="2" t="str">
        <f>VLOOKUP(F411,vlookup!$A$2:$E$660,5,0)</f>
        <v>High Mileage</v>
      </c>
      <c r="AK411" s="2"/>
      <c r="AL411" s="2">
        <f t="shared" si="88"/>
        <v>39</v>
      </c>
      <c r="AM411" s="2">
        <f t="shared" si="89"/>
        <v>150</v>
      </c>
      <c r="AN411" s="2">
        <f t="shared" si="90"/>
        <v>3868</v>
      </c>
      <c r="AO411" s="2" t="str">
        <f t="shared" si="91"/>
        <v/>
      </c>
      <c r="AP411" s="2" t="str">
        <f t="shared" si="92"/>
        <v/>
      </c>
      <c r="AQ411" s="2" t="str">
        <f t="shared" si="93"/>
        <v/>
      </c>
      <c r="AR411" s="2">
        <f t="shared" si="94"/>
        <v>-29.05</v>
      </c>
      <c r="AS411" s="2" t="str">
        <f t="shared" si="95"/>
        <v>SDFBS584439K20-1</v>
      </c>
      <c r="AT411" s="2" t="str">
        <f>IFERROR(IF(VLOOKUP(Y411,vlookup!$I$2:$J$9,1,0)=Y411,VLOOKUP(Y411,vlookup!$I$2:$J$9,2,0),PROPER(Y411)),PROPER(Y411))</f>
        <v>Sales Tax</v>
      </c>
      <c r="AU411" s="2" t="str">
        <f>IFERROR(IF(B411=VLOOKUP(B411,vlookup!$L$2:$L$10,1,0),"Yes","No"),"No")</f>
        <v>No</v>
      </c>
    </row>
    <row r="412" spans="1:47" x14ac:dyDescent="0.25">
      <c r="A412" t="s">
        <v>749</v>
      </c>
      <c r="B412" t="s">
        <v>750</v>
      </c>
      <c r="C412">
        <v>1</v>
      </c>
      <c r="D412">
        <v>1</v>
      </c>
      <c r="E412" t="s">
        <v>382</v>
      </c>
      <c r="F412" t="s">
        <v>346</v>
      </c>
      <c r="G412" t="s">
        <v>697</v>
      </c>
      <c r="H412" s="11" t="s">
        <v>704</v>
      </c>
      <c r="I412">
        <v>102575</v>
      </c>
      <c r="J412" s="22">
        <v>44162</v>
      </c>
      <c r="K412" s="22">
        <v>44202</v>
      </c>
      <c r="L412">
        <v>202012</v>
      </c>
      <c r="M412" s="22">
        <v>44166</v>
      </c>
      <c r="N412">
        <v>77871</v>
      </c>
      <c r="O412" t="s">
        <v>699</v>
      </c>
      <c r="P412" t="s">
        <v>712</v>
      </c>
      <c r="Q412" t="s">
        <v>612</v>
      </c>
      <c r="R412">
        <v>904088</v>
      </c>
      <c r="S412" s="22">
        <v>44307</v>
      </c>
      <c r="T412">
        <v>106443</v>
      </c>
      <c r="U412" t="s">
        <v>356</v>
      </c>
      <c r="V412" s="22">
        <v>44313</v>
      </c>
      <c r="W412" t="s">
        <v>892</v>
      </c>
      <c r="X412" t="s">
        <v>893</v>
      </c>
      <c r="Y412" t="s">
        <v>13</v>
      </c>
      <c r="Z412" t="s">
        <v>364</v>
      </c>
      <c r="AA412">
        <v>-0.47</v>
      </c>
      <c r="AC412" s="2">
        <f t="shared" si="84"/>
        <v>2021</v>
      </c>
      <c r="AD412" s="2">
        <f t="shared" si="85"/>
        <v>4</v>
      </c>
      <c r="AE412" s="2">
        <f t="shared" si="86"/>
        <v>2020</v>
      </c>
      <c r="AF412" s="2">
        <f t="shared" si="87"/>
        <v>11</v>
      </c>
      <c r="AG412" s="2" t="str">
        <f>VLOOKUP(F412,vlookup!$A$2:$E$660,2,0)</f>
        <v>Retained</v>
      </c>
      <c r="AH412" s="2" t="str">
        <f>VLOOKUP(F412,vlookup!$A$2:$E$660,3,0)</f>
        <v>Service Contract</v>
      </c>
      <c r="AI412" s="2" t="str">
        <f>VLOOKUP(F412,vlookup!$A$2:$E$660,4,0)</f>
        <v>Used Car Programs</v>
      </c>
      <c r="AJ412" s="2" t="str">
        <f>VLOOKUP(F412,vlookup!$A$2:$E$660,5,0)</f>
        <v>High Mileage</v>
      </c>
      <c r="AK412" s="2"/>
      <c r="AL412" s="2">
        <f t="shared" si="88"/>
        <v>39</v>
      </c>
      <c r="AM412" s="2">
        <f t="shared" si="89"/>
        <v>150</v>
      </c>
      <c r="AN412" s="2">
        <f t="shared" si="90"/>
        <v>3868</v>
      </c>
      <c r="AO412" s="2" t="str">
        <f t="shared" si="91"/>
        <v/>
      </c>
      <c r="AP412" s="2" t="str">
        <f t="shared" si="92"/>
        <v/>
      </c>
      <c r="AQ412" s="2" t="str">
        <f t="shared" si="93"/>
        <v/>
      </c>
      <c r="AR412" s="2">
        <f t="shared" si="94"/>
        <v>-0.47</v>
      </c>
      <c r="AS412" s="2" t="str">
        <f t="shared" si="95"/>
        <v>SDFBS584439K20-1</v>
      </c>
      <c r="AT412" s="2" t="str">
        <f>IFERROR(IF(VLOOKUP(Y412,vlookup!$I$2:$J$9,1,0)=Y412,VLOOKUP(Y412,vlookup!$I$2:$J$9,2,0),PROPER(Y412)),PROPER(Y412))</f>
        <v>Sales Tax</v>
      </c>
      <c r="AU412" s="2" t="str">
        <f>IFERROR(IF(B412=VLOOKUP(B412,vlookup!$L$2:$L$10,1,0),"Yes","No"),"No")</f>
        <v>No</v>
      </c>
    </row>
    <row r="413" spans="1:47" x14ac:dyDescent="0.25">
      <c r="A413" t="s">
        <v>749</v>
      </c>
      <c r="B413" t="s">
        <v>750</v>
      </c>
      <c r="C413">
        <v>2</v>
      </c>
      <c r="D413">
        <v>1</v>
      </c>
      <c r="E413" t="s">
        <v>382</v>
      </c>
      <c r="F413" t="s">
        <v>346</v>
      </c>
      <c r="G413" t="s">
        <v>697</v>
      </c>
      <c r="H413" s="11" t="s">
        <v>704</v>
      </c>
      <c r="I413">
        <v>102575</v>
      </c>
      <c r="J413" s="22">
        <v>44162</v>
      </c>
      <c r="K413" s="22">
        <v>44202</v>
      </c>
      <c r="L413">
        <v>202012</v>
      </c>
      <c r="M413" s="22">
        <v>44166</v>
      </c>
      <c r="N413">
        <v>77871</v>
      </c>
      <c r="O413" t="s">
        <v>699</v>
      </c>
      <c r="P413" t="s">
        <v>712</v>
      </c>
      <c r="Q413" t="s">
        <v>612</v>
      </c>
      <c r="R413">
        <v>907052</v>
      </c>
      <c r="S413" s="22">
        <v>44359</v>
      </c>
      <c r="T413">
        <v>107857</v>
      </c>
      <c r="U413" t="s">
        <v>356</v>
      </c>
      <c r="V413" s="22">
        <v>44372</v>
      </c>
      <c r="W413" t="s">
        <v>644</v>
      </c>
      <c r="X413" t="s">
        <v>645</v>
      </c>
      <c r="Y413" t="s">
        <v>13</v>
      </c>
      <c r="Z413" t="s">
        <v>579</v>
      </c>
      <c r="AA413">
        <v>-19.079999999999998</v>
      </c>
      <c r="AC413" s="2">
        <f t="shared" si="84"/>
        <v>2021</v>
      </c>
      <c r="AD413" s="2">
        <f t="shared" si="85"/>
        <v>6</v>
      </c>
      <c r="AE413" s="2">
        <f t="shared" si="86"/>
        <v>2020</v>
      </c>
      <c r="AF413" s="2">
        <f t="shared" si="87"/>
        <v>11</v>
      </c>
      <c r="AG413" s="2" t="str">
        <f>VLOOKUP(F413,vlookup!$A$2:$E$660,2,0)</f>
        <v>Retained</v>
      </c>
      <c r="AH413" s="2" t="str">
        <f>VLOOKUP(F413,vlookup!$A$2:$E$660,3,0)</f>
        <v>Service Contract</v>
      </c>
      <c r="AI413" s="2" t="str">
        <f>VLOOKUP(F413,vlookup!$A$2:$E$660,4,0)</f>
        <v>Used Car Programs</v>
      </c>
      <c r="AJ413" s="2" t="str">
        <f>VLOOKUP(F413,vlookup!$A$2:$E$660,5,0)</f>
        <v>High Mileage</v>
      </c>
      <c r="AK413" s="2"/>
      <c r="AL413" s="2">
        <f t="shared" si="88"/>
        <v>39</v>
      </c>
      <c r="AM413" s="2">
        <f t="shared" si="89"/>
        <v>208</v>
      </c>
      <c r="AN413" s="2">
        <f t="shared" si="90"/>
        <v>5282</v>
      </c>
      <c r="AO413" s="2" t="str">
        <f t="shared" si="91"/>
        <v/>
      </c>
      <c r="AP413" s="2" t="str">
        <f t="shared" si="92"/>
        <v/>
      </c>
      <c r="AQ413" s="2" t="str">
        <f t="shared" si="93"/>
        <v/>
      </c>
      <c r="AR413" s="2">
        <f t="shared" si="94"/>
        <v>-19.079999999999998</v>
      </c>
      <c r="AS413" s="2" t="str">
        <f t="shared" si="95"/>
        <v>SDFBS584439K20-2</v>
      </c>
      <c r="AT413" s="2" t="str">
        <f>IFERROR(IF(VLOOKUP(Y413,vlookup!$I$2:$J$9,1,0)=Y413,VLOOKUP(Y413,vlookup!$I$2:$J$9,2,0),PROPER(Y413)),PROPER(Y413))</f>
        <v>Sales Tax</v>
      </c>
      <c r="AU413" s="2" t="str">
        <f>IFERROR(IF(B413=VLOOKUP(B413,vlookup!$L$2:$L$10,1,0),"Yes","No"),"No")</f>
        <v>No</v>
      </c>
    </row>
    <row r="414" spans="1:47" x14ac:dyDescent="0.25">
      <c r="A414" t="s">
        <v>749</v>
      </c>
      <c r="B414" t="s">
        <v>750</v>
      </c>
      <c r="C414">
        <v>3</v>
      </c>
      <c r="D414">
        <v>1</v>
      </c>
      <c r="E414" t="s">
        <v>382</v>
      </c>
      <c r="F414" t="s">
        <v>346</v>
      </c>
      <c r="G414" t="s">
        <v>697</v>
      </c>
      <c r="H414" s="11" t="s">
        <v>704</v>
      </c>
      <c r="I414">
        <v>102575</v>
      </c>
      <c r="J414" s="22">
        <v>44162</v>
      </c>
      <c r="K414" s="22">
        <v>44202</v>
      </c>
      <c r="L414">
        <v>202012</v>
      </c>
      <c r="M414" s="22">
        <v>44166</v>
      </c>
      <c r="N414">
        <v>77871</v>
      </c>
      <c r="O414" t="s">
        <v>699</v>
      </c>
      <c r="P414" t="s">
        <v>712</v>
      </c>
      <c r="Q414" t="s">
        <v>612</v>
      </c>
      <c r="R414">
        <v>109121</v>
      </c>
      <c r="S414" s="22">
        <v>44575</v>
      </c>
      <c r="T414">
        <v>113199</v>
      </c>
      <c r="U414" t="s">
        <v>356</v>
      </c>
      <c r="V414" s="22">
        <v>44582</v>
      </c>
      <c r="W414" t="s">
        <v>848</v>
      </c>
      <c r="X414" t="s">
        <v>849</v>
      </c>
      <c r="Y414" t="s">
        <v>13</v>
      </c>
      <c r="Z414" t="s">
        <v>662</v>
      </c>
      <c r="AA414">
        <v>-39.700000000000003</v>
      </c>
      <c r="AC414" s="2">
        <f t="shared" si="84"/>
        <v>2022</v>
      </c>
      <c r="AD414" s="2">
        <f t="shared" si="85"/>
        <v>1</v>
      </c>
      <c r="AE414" s="2">
        <f t="shared" si="86"/>
        <v>2020</v>
      </c>
      <c r="AF414" s="2">
        <f t="shared" si="87"/>
        <v>11</v>
      </c>
      <c r="AG414" s="2" t="str">
        <f>VLOOKUP(F414,vlookup!$A$2:$E$660,2,0)</f>
        <v>Retained</v>
      </c>
      <c r="AH414" s="2" t="str">
        <f>VLOOKUP(F414,vlookup!$A$2:$E$660,3,0)</f>
        <v>Service Contract</v>
      </c>
      <c r="AI414" s="2" t="str">
        <f>VLOOKUP(F414,vlookup!$A$2:$E$660,4,0)</f>
        <v>Used Car Programs</v>
      </c>
      <c r="AJ414" s="2" t="str">
        <f>VLOOKUP(F414,vlookup!$A$2:$E$660,5,0)</f>
        <v>High Mileage</v>
      </c>
      <c r="AK414" s="2"/>
      <c r="AL414" s="2">
        <f t="shared" si="88"/>
        <v>39</v>
      </c>
      <c r="AM414" s="2">
        <f t="shared" si="89"/>
        <v>414</v>
      </c>
      <c r="AN414" s="2">
        <f t="shared" si="90"/>
        <v>10624</v>
      </c>
      <c r="AO414" s="2" t="str">
        <f t="shared" si="91"/>
        <v/>
      </c>
      <c r="AP414" s="2" t="str">
        <f t="shared" si="92"/>
        <v/>
      </c>
      <c r="AQ414" s="2" t="str">
        <f t="shared" si="93"/>
        <v/>
      </c>
      <c r="AR414" s="2">
        <f t="shared" si="94"/>
        <v>-39.700000000000003</v>
      </c>
      <c r="AS414" s="2" t="str">
        <f t="shared" si="95"/>
        <v>SDFBS584439K20-3</v>
      </c>
      <c r="AT414" s="2" t="str">
        <f>IFERROR(IF(VLOOKUP(Y414,vlookup!$I$2:$J$9,1,0)=Y414,VLOOKUP(Y414,vlookup!$I$2:$J$9,2,0),PROPER(Y414)),PROPER(Y414))</f>
        <v>Sales Tax</v>
      </c>
      <c r="AU414" s="2" t="str">
        <f>IFERROR(IF(B414=VLOOKUP(B414,vlookup!$L$2:$L$10,1,0),"Yes","No"),"No")</f>
        <v>No</v>
      </c>
    </row>
    <row r="415" spans="1:47" x14ac:dyDescent="0.25">
      <c r="A415" t="s">
        <v>751</v>
      </c>
      <c r="B415" t="s">
        <v>752</v>
      </c>
      <c r="C415">
        <v>1</v>
      </c>
      <c r="D415">
        <v>1</v>
      </c>
      <c r="E415" t="s">
        <v>382</v>
      </c>
      <c r="F415" t="s">
        <v>346</v>
      </c>
      <c r="G415" t="s">
        <v>697</v>
      </c>
      <c r="H415" s="11" t="s">
        <v>704</v>
      </c>
      <c r="I415">
        <v>51402</v>
      </c>
      <c r="J415" s="22">
        <v>44357</v>
      </c>
      <c r="K415" s="22">
        <v>44379</v>
      </c>
      <c r="L415">
        <v>202106</v>
      </c>
      <c r="M415" s="22">
        <v>44348</v>
      </c>
      <c r="N415">
        <v>77871</v>
      </c>
      <c r="O415" t="s">
        <v>699</v>
      </c>
      <c r="P415" t="s">
        <v>712</v>
      </c>
      <c r="Q415" t="s">
        <v>612</v>
      </c>
      <c r="R415">
        <v>103223</v>
      </c>
      <c r="S415" s="22">
        <v>44460</v>
      </c>
      <c r="T415">
        <v>52432</v>
      </c>
      <c r="U415" t="s">
        <v>356</v>
      </c>
      <c r="V415" s="22">
        <v>44462</v>
      </c>
      <c r="W415" t="s">
        <v>842</v>
      </c>
      <c r="X415" t="s">
        <v>843</v>
      </c>
      <c r="Y415" t="s">
        <v>13</v>
      </c>
      <c r="Z415" t="s">
        <v>358</v>
      </c>
      <c r="AA415">
        <v>-116.69</v>
      </c>
      <c r="AC415" s="2">
        <f t="shared" si="84"/>
        <v>2021</v>
      </c>
      <c r="AD415" s="2">
        <f t="shared" si="85"/>
        <v>9</v>
      </c>
      <c r="AE415" s="2">
        <f t="shared" si="86"/>
        <v>2021</v>
      </c>
      <c r="AF415" s="2">
        <f t="shared" si="87"/>
        <v>6</v>
      </c>
      <c r="AG415" s="2" t="str">
        <f>VLOOKUP(F415,vlookup!$A$2:$E$660,2,0)</f>
        <v>Retained</v>
      </c>
      <c r="AH415" s="2" t="str">
        <f>VLOOKUP(F415,vlookup!$A$2:$E$660,3,0)</f>
        <v>Service Contract</v>
      </c>
      <c r="AI415" s="2" t="str">
        <f>VLOOKUP(F415,vlookup!$A$2:$E$660,4,0)</f>
        <v>Used Car Programs</v>
      </c>
      <c r="AJ415" s="2" t="str">
        <f>VLOOKUP(F415,vlookup!$A$2:$E$660,5,0)</f>
        <v>High Mileage</v>
      </c>
      <c r="AK415" s="2"/>
      <c r="AL415" s="2">
        <f t="shared" si="88"/>
        <v>22</v>
      </c>
      <c r="AM415" s="2">
        <f t="shared" si="89"/>
        <v>103</v>
      </c>
      <c r="AN415" s="2">
        <f t="shared" si="90"/>
        <v>1030</v>
      </c>
      <c r="AO415" s="2" t="str">
        <f t="shared" si="91"/>
        <v/>
      </c>
      <c r="AP415" s="2" t="str">
        <f t="shared" si="92"/>
        <v/>
      </c>
      <c r="AQ415" s="2" t="str">
        <f t="shared" si="93"/>
        <v/>
      </c>
      <c r="AR415" s="2">
        <f t="shared" si="94"/>
        <v>-116.69</v>
      </c>
      <c r="AS415" s="2" t="str">
        <f t="shared" si="95"/>
        <v>SDFES576785F21-1</v>
      </c>
      <c r="AT415" s="2" t="str">
        <f>IFERROR(IF(VLOOKUP(Y415,vlookup!$I$2:$J$9,1,0)=Y415,VLOOKUP(Y415,vlookup!$I$2:$J$9,2,0),PROPER(Y415)),PROPER(Y415))</f>
        <v>Sales Tax</v>
      </c>
      <c r="AU415" s="2" t="str">
        <f>IFERROR(IF(B415=VLOOKUP(B415,vlookup!$L$2:$L$10,1,0),"Yes","No"),"No")</f>
        <v>No</v>
      </c>
    </row>
    <row r="416" spans="1:47" x14ac:dyDescent="0.25">
      <c r="A416" t="s">
        <v>850</v>
      </c>
      <c r="B416" t="s">
        <v>851</v>
      </c>
      <c r="C416">
        <v>1</v>
      </c>
      <c r="D416">
        <v>1</v>
      </c>
      <c r="E416" t="s">
        <v>382</v>
      </c>
      <c r="F416" t="s">
        <v>191</v>
      </c>
      <c r="G416" t="s">
        <v>683</v>
      </c>
      <c r="H416" s="11" t="s">
        <v>852</v>
      </c>
      <c r="I416">
        <v>25001</v>
      </c>
      <c r="J416" s="22">
        <v>44340</v>
      </c>
      <c r="K416" s="22">
        <v>44399</v>
      </c>
      <c r="L416">
        <v>202107</v>
      </c>
      <c r="M416" s="22">
        <v>44378</v>
      </c>
      <c r="N416">
        <v>77871</v>
      </c>
      <c r="O416" t="s">
        <v>699</v>
      </c>
      <c r="P416" t="s">
        <v>712</v>
      </c>
      <c r="Q416" t="s">
        <v>612</v>
      </c>
      <c r="R416">
        <v>124094</v>
      </c>
      <c r="S416" s="22">
        <v>44880</v>
      </c>
      <c r="T416">
        <v>50073</v>
      </c>
      <c r="U416" t="s">
        <v>356</v>
      </c>
      <c r="V416" s="22">
        <v>44882</v>
      </c>
      <c r="W416" t="s">
        <v>853</v>
      </c>
      <c r="X416" t="s">
        <v>854</v>
      </c>
      <c r="Y416" t="s">
        <v>13</v>
      </c>
      <c r="Z416" t="s">
        <v>358</v>
      </c>
      <c r="AA416">
        <v>-7.88</v>
      </c>
      <c r="AC416" s="2">
        <f t="shared" si="84"/>
        <v>2022</v>
      </c>
      <c r="AD416" s="2">
        <f t="shared" si="85"/>
        <v>11</v>
      </c>
      <c r="AE416" s="2">
        <f t="shared" si="86"/>
        <v>2021</v>
      </c>
      <c r="AF416" s="2">
        <f t="shared" si="87"/>
        <v>5</v>
      </c>
      <c r="AG416" s="2" t="str">
        <f>VLOOKUP(F416,vlookup!$A$2:$E$660,2,0)</f>
        <v>Retained</v>
      </c>
      <c r="AH416" s="2" t="str">
        <f>VLOOKUP(F416,vlookup!$A$2:$E$660,3,0)</f>
        <v>Service Contract</v>
      </c>
      <c r="AI416" s="2" t="str">
        <f>VLOOKUP(F416,vlookup!$A$2:$E$660,4,0)</f>
        <v>New Car Programs</v>
      </c>
      <c r="AJ416" s="2" t="str">
        <f>VLOOKUP(F416,vlookup!$A$2:$E$660,5,0)</f>
        <v>High Mileage</v>
      </c>
      <c r="AK416" s="2"/>
      <c r="AL416" s="2">
        <f t="shared" si="88"/>
        <v>58</v>
      </c>
      <c r="AM416" s="2">
        <f t="shared" si="89"/>
        <v>533</v>
      </c>
      <c r="AN416" s="2">
        <f t="shared" si="90"/>
        <v>25072</v>
      </c>
      <c r="AO416" s="2" t="str">
        <f t="shared" si="91"/>
        <v/>
      </c>
      <c r="AP416" s="2" t="str">
        <f t="shared" si="92"/>
        <v/>
      </c>
      <c r="AQ416" s="2" t="str">
        <f t="shared" si="93"/>
        <v/>
      </c>
      <c r="AR416" s="2">
        <f t="shared" si="94"/>
        <v>-7.88</v>
      </c>
      <c r="AS416" s="2" t="str">
        <f t="shared" si="95"/>
        <v>APC100294-1</v>
      </c>
      <c r="AT416" s="2" t="str">
        <f>IFERROR(IF(VLOOKUP(Y416,vlookup!$I$2:$J$9,1,0)=Y416,VLOOKUP(Y416,vlookup!$I$2:$J$9,2,0),PROPER(Y416)),PROPER(Y416))</f>
        <v>Sales Tax</v>
      </c>
      <c r="AU416" s="2" t="str">
        <f>IFERROR(IF(B416=VLOOKUP(B416,vlookup!$L$2:$L$10,1,0),"Yes","No"),"No")</f>
        <v>No</v>
      </c>
    </row>
    <row r="417" spans="1:47" x14ac:dyDescent="0.25">
      <c r="A417" t="s">
        <v>855</v>
      </c>
      <c r="B417" t="s">
        <v>856</v>
      </c>
      <c r="C417">
        <v>1</v>
      </c>
      <c r="D417">
        <v>1</v>
      </c>
      <c r="E417" t="s">
        <v>382</v>
      </c>
      <c r="F417" t="s">
        <v>207</v>
      </c>
      <c r="G417" t="s">
        <v>683</v>
      </c>
      <c r="H417" s="11" t="s">
        <v>755</v>
      </c>
      <c r="I417">
        <v>57108</v>
      </c>
      <c r="J417" s="22">
        <v>44558</v>
      </c>
      <c r="K417" s="22">
        <v>44623</v>
      </c>
      <c r="L417">
        <v>202202</v>
      </c>
      <c r="M417" s="22">
        <v>44593</v>
      </c>
      <c r="N417">
        <v>77871</v>
      </c>
      <c r="O417" t="s">
        <v>699</v>
      </c>
      <c r="P417" t="s">
        <v>712</v>
      </c>
      <c r="Q417" t="s">
        <v>612</v>
      </c>
      <c r="R417">
        <v>115210</v>
      </c>
      <c r="S417" s="22">
        <v>44698</v>
      </c>
      <c r="T417">
        <v>61724</v>
      </c>
      <c r="U417" t="s">
        <v>356</v>
      </c>
      <c r="V417" s="22">
        <v>44699</v>
      </c>
      <c r="W417" t="s">
        <v>634</v>
      </c>
      <c r="X417" t="s">
        <v>635</v>
      </c>
      <c r="Y417" t="s">
        <v>13</v>
      </c>
      <c r="Z417" t="s">
        <v>583</v>
      </c>
      <c r="AA417">
        <v>-10.56</v>
      </c>
      <c r="AC417" s="2">
        <f t="shared" si="84"/>
        <v>2022</v>
      </c>
      <c r="AD417" s="2">
        <f t="shared" si="85"/>
        <v>5</v>
      </c>
      <c r="AE417" s="2">
        <f t="shared" si="86"/>
        <v>2021</v>
      </c>
      <c r="AF417" s="2">
        <f t="shared" si="87"/>
        <v>12</v>
      </c>
      <c r="AG417" s="2" t="str">
        <f>VLOOKUP(F417,vlookup!$A$2:$E$660,2,0)</f>
        <v>Retained</v>
      </c>
      <c r="AH417" s="2" t="str">
        <f>VLOOKUP(F417,vlookup!$A$2:$E$660,3,0)</f>
        <v>Service Contract</v>
      </c>
      <c r="AI417" s="2" t="str">
        <f>VLOOKUP(F417,vlookup!$A$2:$E$660,4,0)</f>
        <v>Used Car Programs</v>
      </c>
      <c r="AJ417" s="2" t="str">
        <f>VLOOKUP(F417,vlookup!$A$2:$E$660,5,0)</f>
        <v>High Mileage</v>
      </c>
      <c r="AK417" s="2"/>
      <c r="AL417" s="2">
        <f t="shared" si="88"/>
        <v>65</v>
      </c>
      <c r="AM417" s="2">
        <f t="shared" si="89"/>
        <v>140</v>
      </c>
      <c r="AN417" s="2">
        <f t="shared" si="90"/>
        <v>4616</v>
      </c>
      <c r="AO417" s="2" t="str">
        <f t="shared" si="91"/>
        <v/>
      </c>
      <c r="AP417" s="2" t="str">
        <f t="shared" si="92"/>
        <v/>
      </c>
      <c r="AQ417" s="2" t="str">
        <f t="shared" si="93"/>
        <v/>
      </c>
      <c r="AR417" s="2">
        <f t="shared" si="94"/>
        <v>-10.56</v>
      </c>
      <c r="AS417" s="2" t="str">
        <f t="shared" si="95"/>
        <v>APC500645-1</v>
      </c>
      <c r="AT417" s="2" t="str">
        <f>IFERROR(IF(VLOOKUP(Y417,vlookup!$I$2:$J$9,1,0)=Y417,VLOOKUP(Y417,vlookup!$I$2:$J$9,2,0),PROPER(Y417)),PROPER(Y417))</f>
        <v>Sales Tax</v>
      </c>
      <c r="AU417" s="2" t="str">
        <f>IFERROR(IF(B417=VLOOKUP(B417,vlookup!$L$2:$L$10,1,0),"Yes","No"),"No")</f>
        <v>No</v>
      </c>
    </row>
    <row r="418" spans="1:47" x14ac:dyDescent="0.25">
      <c r="A418" t="s">
        <v>855</v>
      </c>
      <c r="B418" t="s">
        <v>856</v>
      </c>
      <c r="C418">
        <v>2</v>
      </c>
      <c r="D418">
        <v>1</v>
      </c>
      <c r="E418" t="s">
        <v>382</v>
      </c>
      <c r="F418" t="s">
        <v>207</v>
      </c>
      <c r="G418" t="s">
        <v>683</v>
      </c>
      <c r="H418" s="11" t="s">
        <v>755</v>
      </c>
      <c r="I418">
        <v>57108</v>
      </c>
      <c r="J418" s="22">
        <v>44558</v>
      </c>
      <c r="K418" s="22">
        <v>44623</v>
      </c>
      <c r="L418">
        <v>202202</v>
      </c>
      <c r="M418" s="22">
        <v>44593</v>
      </c>
      <c r="N418">
        <v>77871</v>
      </c>
      <c r="O418" t="s">
        <v>699</v>
      </c>
      <c r="P418" t="s">
        <v>746</v>
      </c>
      <c r="Q418" t="s">
        <v>544</v>
      </c>
      <c r="R418">
        <v>121041</v>
      </c>
      <c r="S418" s="22">
        <v>44819</v>
      </c>
      <c r="T418">
        <v>65796</v>
      </c>
      <c r="U418" t="s">
        <v>356</v>
      </c>
      <c r="V418" s="22">
        <v>44834</v>
      </c>
      <c r="W418" t="s">
        <v>692</v>
      </c>
      <c r="X418" t="s">
        <v>693</v>
      </c>
      <c r="Y418" t="s">
        <v>13</v>
      </c>
      <c r="Z418" t="s">
        <v>579</v>
      </c>
      <c r="AA418">
        <v>-12.4</v>
      </c>
      <c r="AC418" s="2">
        <f t="shared" si="84"/>
        <v>2022</v>
      </c>
      <c r="AD418" s="2">
        <f t="shared" si="85"/>
        <v>9</v>
      </c>
      <c r="AE418" s="2">
        <f t="shared" si="86"/>
        <v>2021</v>
      </c>
      <c r="AF418" s="2">
        <f t="shared" si="87"/>
        <v>12</v>
      </c>
      <c r="AG418" s="2" t="str">
        <f>VLOOKUP(F418,vlookup!$A$2:$E$660,2,0)</f>
        <v>Retained</v>
      </c>
      <c r="AH418" s="2" t="str">
        <f>VLOOKUP(F418,vlookup!$A$2:$E$660,3,0)</f>
        <v>Service Contract</v>
      </c>
      <c r="AI418" s="2" t="str">
        <f>VLOOKUP(F418,vlookup!$A$2:$E$660,4,0)</f>
        <v>Used Car Programs</v>
      </c>
      <c r="AJ418" s="2" t="str">
        <f>VLOOKUP(F418,vlookup!$A$2:$E$660,5,0)</f>
        <v>High Mileage</v>
      </c>
      <c r="AK418" s="2"/>
      <c r="AL418" s="2">
        <f t="shared" si="88"/>
        <v>65</v>
      </c>
      <c r="AM418" s="2">
        <f t="shared" si="89"/>
        <v>272</v>
      </c>
      <c r="AN418" s="2">
        <f t="shared" si="90"/>
        <v>8688</v>
      </c>
      <c r="AO418" s="2" t="str">
        <f t="shared" si="91"/>
        <v/>
      </c>
      <c r="AP418" s="2" t="str">
        <f t="shared" si="92"/>
        <v/>
      </c>
      <c r="AQ418" s="2" t="str">
        <f t="shared" si="93"/>
        <v/>
      </c>
      <c r="AR418" s="2">
        <f t="shared" si="94"/>
        <v>-12.4</v>
      </c>
      <c r="AS418" s="2" t="str">
        <f t="shared" si="95"/>
        <v>APC500645-2</v>
      </c>
      <c r="AT418" s="2" t="str">
        <f>IFERROR(IF(VLOOKUP(Y418,vlookup!$I$2:$J$9,1,0)=Y418,VLOOKUP(Y418,vlookup!$I$2:$J$9,2,0),PROPER(Y418)),PROPER(Y418))</f>
        <v>Sales Tax</v>
      </c>
      <c r="AU418" s="2" t="str">
        <f>IFERROR(IF(B418=VLOOKUP(B418,vlookup!$L$2:$L$10,1,0),"Yes","No"),"No")</f>
        <v>No</v>
      </c>
    </row>
    <row r="419" spans="1:47" x14ac:dyDescent="0.25">
      <c r="A419" t="s">
        <v>855</v>
      </c>
      <c r="B419" t="s">
        <v>856</v>
      </c>
      <c r="C419">
        <v>2</v>
      </c>
      <c r="D419">
        <v>1</v>
      </c>
      <c r="E419" t="s">
        <v>382</v>
      </c>
      <c r="F419" t="s">
        <v>207</v>
      </c>
      <c r="G419" t="s">
        <v>683</v>
      </c>
      <c r="H419" s="11" t="s">
        <v>755</v>
      </c>
      <c r="I419">
        <v>57108</v>
      </c>
      <c r="J419" s="22">
        <v>44558</v>
      </c>
      <c r="K419" s="22">
        <v>44623</v>
      </c>
      <c r="L419">
        <v>202202</v>
      </c>
      <c r="M419" s="22">
        <v>44593</v>
      </c>
      <c r="N419">
        <v>77871</v>
      </c>
      <c r="O419" t="s">
        <v>699</v>
      </c>
      <c r="P419" t="s">
        <v>746</v>
      </c>
      <c r="Q419" t="s">
        <v>544</v>
      </c>
      <c r="R419">
        <v>121041</v>
      </c>
      <c r="S419" s="22">
        <v>44819</v>
      </c>
      <c r="T419">
        <v>65796</v>
      </c>
      <c r="U419" t="s">
        <v>356</v>
      </c>
      <c r="V419" s="22">
        <v>44834</v>
      </c>
      <c r="W419" t="s">
        <v>654</v>
      </c>
      <c r="X419" t="s">
        <v>655</v>
      </c>
      <c r="Y419" t="s">
        <v>13</v>
      </c>
      <c r="Z419" t="s">
        <v>579</v>
      </c>
      <c r="AA419">
        <v>-12.4</v>
      </c>
      <c r="AC419" s="2">
        <f t="shared" si="84"/>
        <v>2022</v>
      </c>
      <c r="AD419" s="2">
        <f t="shared" si="85"/>
        <v>9</v>
      </c>
      <c r="AE419" s="2">
        <f t="shared" si="86"/>
        <v>2021</v>
      </c>
      <c r="AF419" s="2">
        <f t="shared" si="87"/>
        <v>12</v>
      </c>
      <c r="AG419" s="2" t="str">
        <f>VLOOKUP(F419,vlookup!$A$2:$E$660,2,0)</f>
        <v>Retained</v>
      </c>
      <c r="AH419" s="2" t="str">
        <f>VLOOKUP(F419,vlookup!$A$2:$E$660,3,0)</f>
        <v>Service Contract</v>
      </c>
      <c r="AI419" s="2" t="str">
        <f>VLOOKUP(F419,vlookup!$A$2:$E$660,4,0)</f>
        <v>Used Car Programs</v>
      </c>
      <c r="AJ419" s="2" t="str">
        <f>VLOOKUP(F419,vlookup!$A$2:$E$660,5,0)</f>
        <v>High Mileage</v>
      </c>
      <c r="AK419" s="2"/>
      <c r="AL419" s="2">
        <f t="shared" si="88"/>
        <v>65</v>
      </c>
      <c r="AM419" s="2">
        <f t="shared" si="89"/>
        <v>272</v>
      </c>
      <c r="AN419" s="2">
        <f t="shared" si="90"/>
        <v>8688</v>
      </c>
      <c r="AO419" s="2" t="str">
        <f t="shared" si="91"/>
        <v/>
      </c>
      <c r="AP419" s="2" t="str">
        <f t="shared" si="92"/>
        <v/>
      </c>
      <c r="AQ419" s="2" t="str">
        <f t="shared" si="93"/>
        <v/>
      </c>
      <c r="AR419" s="2">
        <f t="shared" si="94"/>
        <v>-12.4</v>
      </c>
      <c r="AS419" s="2" t="str">
        <f t="shared" si="95"/>
        <v>APC500645-2</v>
      </c>
      <c r="AT419" s="2" t="str">
        <f>IFERROR(IF(VLOOKUP(Y419,vlookup!$I$2:$J$9,1,0)=Y419,VLOOKUP(Y419,vlookup!$I$2:$J$9,2,0),PROPER(Y419)),PROPER(Y419))</f>
        <v>Sales Tax</v>
      </c>
      <c r="AU419" s="2" t="str">
        <f>IFERROR(IF(B419=VLOOKUP(B419,vlookup!$L$2:$L$10,1,0),"Yes","No"),"No")</f>
        <v>No</v>
      </c>
    </row>
    <row r="420" spans="1:47" x14ac:dyDescent="0.25">
      <c r="A420" t="s">
        <v>753</v>
      </c>
      <c r="B420" t="s">
        <v>754</v>
      </c>
      <c r="C420">
        <v>1</v>
      </c>
      <c r="D420">
        <v>1</v>
      </c>
      <c r="E420" t="s">
        <v>382</v>
      </c>
      <c r="F420" t="s">
        <v>346</v>
      </c>
      <c r="G420" t="s">
        <v>683</v>
      </c>
      <c r="H420" s="11" t="s">
        <v>755</v>
      </c>
      <c r="I420">
        <v>51474</v>
      </c>
      <c r="J420" s="22">
        <v>44343</v>
      </c>
      <c r="K420" s="22">
        <v>44383</v>
      </c>
      <c r="L420">
        <v>202106</v>
      </c>
      <c r="M420" s="22">
        <v>44348</v>
      </c>
      <c r="N420">
        <v>77871</v>
      </c>
      <c r="O420" t="s">
        <v>699</v>
      </c>
      <c r="P420" t="s">
        <v>756</v>
      </c>
      <c r="Q420" t="s">
        <v>612</v>
      </c>
      <c r="R420">
        <v>25838</v>
      </c>
      <c r="S420" s="22">
        <v>44453</v>
      </c>
      <c r="T420">
        <v>56387</v>
      </c>
      <c r="U420" t="s">
        <v>357</v>
      </c>
      <c r="V420" s="22">
        <v>44496</v>
      </c>
      <c r="W420" t="s">
        <v>652</v>
      </c>
      <c r="X420" t="s">
        <v>653</v>
      </c>
      <c r="Y420" t="s">
        <v>13</v>
      </c>
      <c r="Z420" t="s">
        <v>365</v>
      </c>
      <c r="AA420">
        <v>-11.2</v>
      </c>
      <c r="AC420" s="2">
        <f t="shared" si="84"/>
        <v>2021</v>
      </c>
      <c r="AD420" s="2">
        <f t="shared" si="85"/>
        <v>10</v>
      </c>
      <c r="AE420" s="2">
        <f t="shared" si="86"/>
        <v>2021</v>
      </c>
      <c r="AF420" s="2">
        <f t="shared" si="87"/>
        <v>5</v>
      </c>
      <c r="AG420" s="2" t="str">
        <f>VLOOKUP(F420,vlookup!$A$2:$E$660,2,0)</f>
        <v>Retained</v>
      </c>
      <c r="AH420" s="2" t="str">
        <f>VLOOKUP(F420,vlookup!$A$2:$E$660,3,0)</f>
        <v>Service Contract</v>
      </c>
      <c r="AI420" s="2" t="str">
        <f>VLOOKUP(F420,vlookup!$A$2:$E$660,4,0)</f>
        <v>Used Car Programs</v>
      </c>
      <c r="AJ420" s="2" t="str">
        <f>VLOOKUP(F420,vlookup!$A$2:$E$660,5,0)</f>
        <v>High Mileage</v>
      </c>
      <c r="AK420" s="2"/>
      <c r="AL420" s="2">
        <f t="shared" si="88"/>
        <v>39</v>
      </c>
      <c r="AM420" s="2">
        <f t="shared" si="89"/>
        <v>150</v>
      </c>
      <c r="AN420" s="2">
        <f t="shared" si="90"/>
        <v>4913</v>
      </c>
      <c r="AO420" s="2" t="str">
        <f t="shared" si="91"/>
        <v/>
      </c>
      <c r="AP420" s="2" t="str">
        <f t="shared" si="92"/>
        <v/>
      </c>
      <c r="AQ420" s="2" t="str">
        <f t="shared" si="93"/>
        <v/>
      </c>
      <c r="AR420" s="2">
        <f t="shared" si="94"/>
        <v>-11.2</v>
      </c>
      <c r="AS420" s="2" t="str">
        <f t="shared" si="95"/>
        <v>SDFGB623095E21-1</v>
      </c>
      <c r="AT420" s="2" t="str">
        <f>IFERROR(IF(VLOOKUP(Y420,vlookup!$I$2:$J$9,1,0)=Y420,VLOOKUP(Y420,vlookup!$I$2:$J$9,2,0),PROPER(Y420)),PROPER(Y420))</f>
        <v>Sales Tax</v>
      </c>
      <c r="AU420" s="2" t="str">
        <f>IFERROR(IF(B420=VLOOKUP(B420,vlookup!$L$2:$L$10,1,0),"Yes","No"),"No")</f>
        <v>No</v>
      </c>
    </row>
    <row r="421" spans="1:47" x14ac:dyDescent="0.25">
      <c r="A421" t="s">
        <v>753</v>
      </c>
      <c r="B421" t="s">
        <v>754</v>
      </c>
      <c r="C421">
        <v>1</v>
      </c>
      <c r="D421">
        <v>1</v>
      </c>
      <c r="E421" t="s">
        <v>382</v>
      </c>
      <c r="F421" t="s">
        <v>346</v>
      </c>
      <c r="G421" t="s">
        <v>683</v>
      </c>
      <c r="H421" s="11" t="s">
        <v>755</v>
      </c>
      <c r="I421">
        <v>51474</v>
      </c>
      <c r="J421" s="22">
        <v>44343</v>
      </c>
      <c r="K421" s="22">
        <v>44383</v>
      </c>
      <c r="L421">
        <v>202106</v>
      </c>
      <c r="M421" s="22">
        <v>44348</v>
      </c>
      <c r="N421">
        <v>77871</v>
      </c>
      <c r="O421" t="s">
        <v>699</v>
      </c>
      <c r="P421" t="s">
        <v>756</v>
      </c>
      <c r="Q421" t="s">
        <v>612</v>
      </c>
      <c r="R421">
        <v>25838</v>
      </c>
      <c r="S421" s="22">
        <v>44453</v>
      </c>
      <c r="T421">
        <v>56387</v>
      </c>
      <c r="U421" t="s">
        <v>357</v>
      </c>
      <c r="V421" s="22">
        <v>44496</v>
      </c>
      <c r="W421" t="s">
        <v>614</v>
      </c>
      <c r="X421" t="s">
        <v>615</v>
      </c>
      <c r="Y421" t="s">
        <v>13</v>
      </c>
      <c r="Z421" t="s">
        <v>365</v>
      </c>
      <c r="AA421">
        <v>-8.68</v>
      </c>
      <c r="AC421" s="2">
        <f t="shared" si="84"/>
        <v>2021</v>
      </c>
      <c r="AD421" s="2">
        <f t="shared" si="85"/>
        <v>10</v>
      </c>
      <c r="AE421" s="2">
        <f t="shared" si="86"/>
        <v>2021</v>
      </c>
      <c r="AF421" s="2">
        <f t="shared" si="87"/>
        <v>5</v>
      </c>
      <c r="AG421" s="2" t="str">
        <f>VLOOKUP(F421,vlookup!$A$2:$E$660,2,0)</f>
        <v>Retained</v>
      </c>
      <c r="AH421" s="2" t="str">
        <f>VLOOKUP(F421,vlookup!$A$2:$E$660,3,0)</f>
        <v>Service Contract</v>
      </c>
      <c r="AI421" s="2" t="str">
        <f>VLOOKUP(F421,vlookup!$A$2:$E$660,4,0)</f>
        <v>Used Car Programs</v>
      </c>
      <c r="AJ421" s="2" t="str">
        <f>VLOOKUP(F421,vlookup!$A$2:$E$660,5,0)</f>
        <v>High Mileage</v>
      </c>
      <c r="AK421" s="2"/>
      <c r="AL421" s="2">
        <f t="shared" si="88"/>
        <v>39</v>
      </c>
      <c r="AM421" s="2">
        <f t="shared" si="89"/>
        <v>150</v>
      </c>
      <c r="AN421" s="2">
        <f t="shared" si="90"/>
        <v>4913</v>
      </c>
      <c r="AO421" s="2" t="str">
        <f t="shared" si="91"/>
        <v/>
      </c>
      <c r="AP421" s="2" t="str">
        <f t="shared" si="92"/>
        <v/>
      </c>
      <c r="AQ421" s="2" t="str">
        <f t="shared" si="93"/>
        <v/>
      </c>
      <c r="AR421" s="2">
        <f t="shared" si="94"/>
        <v>-8.68</v>
      </c>
      <c r="AS421" s="2" t="str">
        <f t="shared" si="95"/>
        <v>SDFGB623095E21-1</v>
      </c>
      <c r="AT421" s="2" t="str">
        <f>IFERROR(IF(VLOOKUP(Y421,vlookup!$I$2:$J$9,1,0)=Y421,VLOOKUP(Y421,vlookup!$I$2:$J$9,2,0),PROPER(Y421)),PROPER(Y421))</f>
        <v>Sales Tax</v>
      </c>
      <c r="AU421" s="2" t="str">
        <f>IFERROR(IF(B421=VLOOKUP(B421,vlookup!$L$2:$L$10,1,0),"Yes","No"),"No")</f>
        <v>No</v>
      </c>
    </row>
    <row r="422" spans="1:47" x14ac:dyDescent="0.25">
      <c r="A422" t="s">
        <v>753</v>
      </c>
      <c r="B422" t="s">
        <v>754</v>
      </c>
      <c r="C422">
        <v>1</v>
      </c>
      <c r="D422">
        <v>1</v>
      </c>
      <c r="E422" t="s">
        <v>382</v>
      </c>
      <c r="F422" t="s">
        <v>346</v>
      </c>
      <c r="G422" t="s">
        <v>683</v>
      </c>
      <c r="H422" s="11" t="s">
        <v>755</v>
      </c>
      <c r="I422">
        <v>51474</v>
      </c>
      <c r="J422" s="22">
        <v>44343</v>
      </c>
      <c r="K422" s="22">
        <v>44383</v>
      </c>
      <c r="L422">
        <v>202106</v>
      </c>
      <c r="M422" s="22">
        <v>44348</v>
      </c>
      <c r="N422">
        <v>77871</v>
      </c>
      <c r="O422" t="s">
        <v>699</v>
      </c>
      <c r="P422" t="s">
        <v>756</v>
      </c>
      <c r="Q422" t="s">
        <v>612</v>
      </c>
      <c r="R422">
        <v>25838</v>
      </c>
      <c r="S422" s="22">
        <v>44453</v>
      </c>
      <c r="T422">
        <v>56387</v>
      </c>
      <c r="U422" t="s">
        <v>357</v>
      </c>
      <c r="V422" s="22">
        <v>44496</v>
      </c>
      <c r="W422" t="s">
        <v>367</v>
      </c>
      <c r="X422" t="s">
        <v>368</v>
      </c>
      <c r="Y422" t="s">
        <v>13</v>
      </c>
      <c r="Z422" t="s">
        <v>365</v>
      </c>
      <c r="AA422">
        <v>-1.54</v>
      </c>
      <c r="AC422" s="2">
        <f t="shared" si="84"/>
        <v>2021</v>
      </c>
      <c r="AD422" s="2">
        <f t="shared" si="85"/>
        <v>10</v>
      </c>
      <c r="AE422" s="2">
        <f t="shared" si="86"/>
        <v>2021</v>
      </c>
      <c r="AF422" s="2">
        <f t="shared" si="87"/>
        <v>5</v>
      </c>
      <c r="AG422" s="2" t="str">
        <f>VLOOKUP(F422,vlookup!$A$2:$E$660,2,0)</f>
        <v>Retained</v>
      </c>
      <c r="AH422" s="2" t="str">
        <f>VLOOKUP(F422,vlookup!$A$2:$E$660,3,0)</f>
        <v>Service Contract</v>
      </c>
      <c r="AI422" s="2" t="str">
        <f>VLOOKUP(F422,vlookup!$A$2:$E$660,4,0)</f>
        <v>Used Car Programs</v>
      </c>
      <c r="AJ422" s="2" t="str">
        <f>VLOOKUP(F422,vlookup!$A$2:$E$660,5,0)</f>
        <v>High Mileage</v>
      </c>
      <c r="AK422" s="2"/>
      <c r="AL422" s="2">
        <f t="shared" si="88"/>
        <v>39</v>
      </c>
      <c r="AM422" s="2">
        <f t="shared" si="89"/>
        <v>150</v>
      </c>
      <c r="AN422" s="2">
        <f t="shared" si="90"/>
        <v>4913</v>
      </c>
      <c r="AO422" s="2" t="str">
        <f t="shared" si="91"/>
        <v/>
      </c>
      <c r="AP422" s="2" t="str">
        <f t="shared" si="92"/>
        <v/>
      </c>
      <c r="AQ422" s="2" t="str">
        <f t="shared" si="93"/>
        <v/>
      </c>
      <c r="AR422" s="2">
        <f t="shared" si="94"/>
        <v>-1.54</v>
      </c>
      <c r="AS422" s="2" t="str">
        <f t="shared" si="95"/>
        <v>SDFGB623095E21-1</v>
      </c>
      <c r="AT422" s="2" t="str">
        <f>IFERROR(IF(VLOOKUP(Y422,vlookup!$I$2:$J$9,1,0)=Y422,VLOOKUP(Y422,vlookup!$I$2:$J$9,2,0),PROPER(Y422)),PROPER(Y422))</f>
        <v>Sales Tax</v>
      </c>
      <c r="AU422" s="2" t="str">
        <f>IFERROR(IF(B422=VLOOKUP(B422,vlookup!$L$2:$L$10,1,0),"Yes","No"),"No")</f>
        <v>No</v>
      </c>
    </row>
    <row r="423" spans="1:47" x14ac:dyDescent="0.25">
      <c r="A423" t="s">
        <v>753</v>
      </c>
      <c r="B423" t="s">
        <v>754</v>
      </c>
      <c r="C423">
        <v>3</v>
      </c>
      <c r="D423">
        <v>1</v>
      </c>
      <c r="E423" t="s">
        <v>382</v>
      </c>
      <c r="F423" t="s">
        <v>346</v>
      </c>
      <c r="G423" t="s">
        <v>683</v>
      </c>
      <c r="H423" s="11" t="s">
        <v>755</v>
      </c>
      <c r="I423">
        <v>51474</v>
      </c>
      <c r="J423" s="22">
        <v>44343</v>
      </c>
      <c r="K423" s="22">
        <v>44383</v>
      </c>
      <c r="L423">
        <v>202106</v>
      </c>
      <c r="M423" s="22">
        <v>44348</v>
      </c>
      <c r="N423">
        <v>77871</v>
      </c>
      <c r="O423" t="s">
        <v>699</v>
      </c>
      <c r="P423" t="s">
        <v>746</v>
      </c>
      <c r="Q423" t="s">
        <v>544</v>
      </c>
      <c r="R423">
        <v>121325</v>
      </c>
      <c r="S423" s="22">
        <v>44825</v>
      </c>
      <c r="T423">
        <v>71996</v>
      </c>
      <c r="U423" t="s">
        <v>356</v>
      </c>
      <c r="V423" s="22">
        <v>44833</v>
      </c>
      <c r="W423" t="s">
        <v>857</v>
      </c>
      <c r="X423" t="s">
        <v>858</v>
      </c>
      <c r="Y423" t="s">
        <v>13</v>
      </c>
      <c r="Z423" t="s">
        <v>365</v>
      </c>
      <c r="AA423">
        <v>-36.72</v>
      </c>
      <c r="AC423" s="2">
        <f t="shared" si="84"/>
        <v>2022</v>
      </c>
      <c r="AD423" s="2">
        <f t="shared" si="85"/>
        <v>9</v>
      </c>
      <c r="AE423" s="2">
        <f t="shared" si="86"/>
        <v>2021</v>
      </c>
      <c r="AF423" s="2">
        <f t="shared" si="87"/>
        <v>5</v>
      </c>
      <c r="AG423" s="2" t="str">
        <f>VLOOKUP(F423,vlookup!$A$2:$E$660,2,0)</f>
        <v>Retained</v>
      </c>
      <c r="AH423" s="2" t="str">
        <f>VLOOKUP(F423,vlookup!$A$2:$E$660,3,0)</f>
        <v>Service Contract</v>
      </c>
      <c r="AI423" s="2" t="str">
        <f>VLOOKUP(F423,vlookup!$A$2:$E$660,4,0)</f>
        <v>Used Car Programs</v>
      </c>
      <c r="AJ423" s="2" t="str">
        <f>VLOOKUP(F423,vlookup!$A$2:$E$660,5,0)</f>
        <v>High Mileage</v>
      </c>
      <c r="AK423" s="2"/>
      <c r="AL423" s="2">
        <f t="shared" si="88"/>
        <v>39</v>
      </c>
      <c r="AM423" s="2">
        <f t="shared" si="89"/>
        <v>482</v>
      </c>
      <c r="AN423" s="2">
        <f t="shared" si="90"/>
        <v>20522</v>
      </c>
      <c r="AO423" s="2" t="str">
        <f t="shared" si="91"/>
        <v/>
      </c>
      <c r="AP423" s="2" t="str">
        <f t="shared" si="92"/>
        <v/>
      </c>
      <c r="AQ423" s="2" t="str">
        <f t="shared" si="93"/>
        <v/>
      </c>
      <c r="AR423" s="2">
        <f t="shared" si="94"/>
        <v>-36.72</v>
      </c>
      <c r="AS423" s="2" t="str">
        <f t="shared" si="95"/>
        <v>SDFGB623095E21-3</v>
      </c>
      <c r="AT423" s="2" t="str">
        <f>IFERROR(IF(VLOOKUP(Y423,vlookup!$I$2:$J$9,1,0)=Y423,VLOOKUP(Y423,vlookup!$I$2:$J$9,2,0),PROPER(Y423)),PROPER(Y423))</f>
        <v>Sales Tax</v>
      </c>
      <c r="AU423" s="2" t="str">
        <f>IFERROR(IF(B423=VLOOKUP(B423,vlookup!$L$2:$L$10,1,0),"Yes","No"),"No")</f>
        <v>No</v>
      </c>
    </row>
    <row r="424" spans="1:47" x14ac:dyDescent="0.25">
      <c r="A424" t="s">
        <v>753</v>
      </c>
      <c r="B424" t="s">
        <v>754</v>
      </c>
      <c r="C424">
        <v>3</v>
      </c>
      <c r="D424">
        <v>1</v>
      </c>
      <c r="E424" t="s">
        <v>382</v>
      </c>
      <c r="F424" t="s">
        <v>346</v>
      </c>
      <c r="G424" t="s">
        <v>683</v>
      </c>
      <c r="H424" s="11" t="s">
        <v>755</v>
      </c>
      <c r="I424">
        <v>51474</v>
      </c>
      <c r="J424" s="22">
        <v>44343</v>
      </c>
      <c r="K424" s="22">
        <v>44383</v>
      </c>
      <c r="L424">
        <v>202106</v>
      </c>
      <c r="M424" s="22">
        <v>44348</v>
      </c>
      <c r="N424">
        <v>77871</v>
      </c>
      <c r="O424" t="s">
        <v>699</v>
      </c>
      <c r="P424" t="s">
        <v>746</v>
      </c>
      <c r="Q424" t="s">
        <v>544</v>
      </c>
      <c r="R424">
        <v>121325</v>
      </c>
      <c r="S424" s="22">
        <v>44825</v>
      </c>
      <c r="T424">
        <v>71996</v>
      </c>
      <c r="U424" t="s">
        <v>356</v>
      </c>
      <c r="V424" s="22">
        <v>44833</v>
      </c>
      <c r="W424" t="s">
        <v>859</v>
      </c>
      <c r="X424" t="s">
        <v>860</v>
      </c>
      <c r="Y424" t="s">
        <v>13</v>
      </c>
      <c r="Z424" t="s">
        <v>358</v>
      </c>
      <c r="AA424">
        <v>-4.71</v>
      </c>
      <c r="AC424" s="2">
        <f t="shared" si="84"/>
        <v>2022</v>
      </c>
      <c r="AD424" s="2">
        <f t="shared" si="85"/>
        <v>9</v>
      </c>
      <c r="AE424" s="2">
        <f t="shared" si="86"/>
        <v>2021</v>
      </c>
      <c r="AF424" s="2">
        <f t="shared" si="87"/>
        <v>5</v>
      </c>
      <c r="AG424" s="2" t="str">
        <f>VLOOKUP(F424,vlookup!$A$2:$E$660,2,0)</f>
        <v>Retained</v>
      </c>
      <c r="AH424" s="2" t="str">
        <f>VLOOKUP(F424,vlookup!$A$2:$E$660,3,0)</f>
        <v>Service Contract</v>
      </c>
      <c r="AI424" s="2" t="str">
        <f>VLOOKUP(F424,vlookup!$A$2:$E$660,4,0)</f>
        <v>Used Car Programs</v>
      </c>
      <c r="AJ424" s="2" t="str">
        <f>VLOOKUP(F424,vlookup!$A$2:$E$660,5,0)</f>
        <v>High Mileage</v>
      </c>
      <c r="AK424" s="2"/>
      <c r="AL424" s="2">
        <f t="shared" si="88"/>
        <v>39</v>
      </c>
      <c r="AM424" s="2">
        <f t="shared" si="89"/>
        <v>482</v>
      </c>
      <c r="AN424" s="2">
        <f t="shared" si="90"/>
        <v>20522</v>
      </c>
      <c r="AO424" s="2" t="str">
        <f t="shared" si="91"/>
        <v/>
      </c>
      <c r="AP424" s="2" t="str">
        <f t="shared" si="92"/>
        <v/>
      </c>
      <c r="AQ424" s="2" t="str">
        <f t="shared" si="93"/>
        <v/>
      </c>
      <c r="AR424" s="2">
        <f t="shared" si="94"/>
        <v>-4.71</v>
      </c>
      <c r="AS424" s="2" t="str">
        <f t="shared" si="95"/>
        <v>SDFGB623095E21-3</v>
      </c>
      <c r="AT424" s="2" t="str">
        <f>IFERROR(IF(VLOOKUP(Y424,vlookup!$I$2:$J$9,1,0)=Y424,VLOOKUP(Y424,vlookup!$I$2:$J$9,2,0),PROPER(Y424)),PROPER(Y424))</f>
        <v>Sales Tax</v>
      </c>
      <c r="AU424" s="2" t="str">
        <f>IFERROR(IF(B424=VLOOKUP(B424,vlookup!$L$2:$L$10,1,0),"Yes","No"),"No")</f>
        <v>No</v>
      </c>
    </row>
    <row r="425" spans="1:47" x14ac:dyDescent="0.25">
      <c r="A425" t="s">
        <v>753</v>
      </c>
      <c r="B425" t="s">
        <v>754</v>
      </c>
      <c r="C425">
        <v>4</v>
      </c>
      <c r="D425">
        <v>1</v>
      </c>
      <c r="E425" t="s">
        <v>382</v>
      </c>
      <c r="F425" t="s">
        <v>346</v>
      </c>
      <c r="G425" t="s">
        <v>683</v>
      </c>
      <c r="H425" s="11" t="s">
        <v>755</v>
      </c>
      <c r="I425">
        <v>51474</v>
      </c>
      <c r="J425" s="22">
        <v>44343</v>
      </c>
      <c r="K425" s="22">
        <v>44383</v>
      </c>
      <c r="L425">
        <v>202106</v>
      </c>
      <c r="M425" s="22">
        <v>44348</v>
      </c>
      <c r="N425">
        <v>77871</v>
      </c>
      <c r="O425" t="s">
        <v>699</v>
      </c>
      <c r="P425" t="s">
        <v>746</v>
      </c>
      <c r="Q425" t="s">
        <v>544</v>
      </c>
      <c r="R425">
        <v>121883</v>
      </c>
      <c r="S425" s="22">
        <v>44834</v>
      </c>
      <c r="T425">
        <v>72002</v>
      </c>
      <c r="U425" t="s">
        <v>356</v>
      </c>
      <c r="V425" s="22">
        <v>44843</v>
      </c>
      <c r="W425" t="s">
        <v>631</v>
      </c>
      <c r="X425" t="s">
        <v>632</v>
      </c>
      <c r="Y425" t="s">
        <v>13</v>
      </c>
      <c r="Z425" t="s">
        <v>576</v>
      </c>
      <c r="AA425">
        <v>-42.09</v>
      </c>
      <c r="AC425" s="2">
        <f t="shared" si="84"/>
        <v>2022</v>
      </c>
      <c r="AD425" s="2">
        <f t="shared" si="85"/>
        <v>10</v>
      </c>
      <c r="AE425" s="2">
        <f t="shared" si="86"/>
        <v>2021</v>
      </c>
      <c r="AF425" s="2">
        <f t="shared" si="87"/>
        <v>5</v>
      </c>
      <c r="AG425" s="2" t="str">
        <f>VLOOKUP(F425,vlookup!$A$2:$E$660,2,0)</f>
        <v>Retained</v>
      </c>
      <c r="AH425" s="2" t="str">
        <f>VLOOKUP(F425,vlookup!$A$2:$E$660,3,0)</f>
        <v>Service Contract</v>
      </c>
      <c r="AI425" s="2" t="str">
        <f>VLOOKUP(F425,vlookup!$A$2:$E$660,4,0)</f>
        <v>Used Car Programs</v>
      </c>
      <c r="AJ425" s="2" t="str">
        <f>VLOOKUP(F425,vlookup!$A$2:$E$660,5,0)</f>
        <v>High Mileage</v>
      </c>
      <c r="AK425" s="2"/>
      <c r="AL425" s="2">
        <f t="shared" si="88"/>
        <v>39</v>
      </c>
      <c r="AM425" s="2">
        <f t="shared" si="89"/>
        <v>492</v>
      </c>
      <c r="AN425" s="2">
        <f t="shared" si="90"/>
        <v>20528</v>
      </c>
      <c r="AO425" s="2" t="str">
        <f t="shared" si="91"/>
        <v/>
      </c>
      <c r="AP425" s="2" t="str">
        <f t="shared" si="92"/>
        <v/>
      </c>
      <c r="AQ425" s="2" t="str">
        <f t="shared" si="93"/>
        <v/>
      </c>
      <c r="AR425" s="2">
        <f t="shared" si="94"/>
        <v>-42.09</v>
      </c>
      <c r="AS425" s="2" t="str">
        <f t="shared" si="95"/>
        <v>SDFGB623095E21-4</v>
      </c>
      <c r="AT425" s="2" t="str">
        <f>IFERROR(IF(VLOOKUP(Y425,vlookup!$I$2:$J$9,1,0)=Y425,VLOOKUP(Y425,vlookup!$I$2:$J$9,2,0),PROPER(Y425)),PROPER(Y425))</f>
        <v>Sales Tax</v>
      </c>
      <c r="AU425" s="2" t="str">
        <f>IFERROR(IF(B425=VLOOKUP(B425,vlookup!$L$2:$L$10,1,0),"Yes","No"),"No")</f>
        <v>No</v>
      </c>
    </row>
    <row r="426" spans="1:47" x14ac:dyDescent="0.25">
      <c r="A426" t="s">
        <v>753</v>
      </c>
      <c r="B426" t="s">
        <v>754</v>
      </c>
      <c r="C426">
        <v>4</v>
      </c>
      <c r="D426">
        <v>1</v>
      </c>
      <c r="E426" t="s">
        <v>382</v>
      </c>
      <c r="F426" t="s">
        <v>346</v>
      </c>
      <c r="G426" t="s">
        <v>683</v>
      </c>
      <c r="H426" s="11" t="s">
        <v>755</v>
      </c>
      <c r="I426">
        <v>51474</v>
      </c>
      <c r="J426" s="22">
        <v>44343</v>
      </c>
      <c r="K426" s="22">
        <v>44383</v>
      </c>
      <c r="L426">
        <v>202106</v>
      </c>
      <c r="M426" s="22">
        <v>44348</v>
      </c>
      <c r="N426">
        <v>77871</v>
      </c>
      <c r="O426" t="s">
        <v>699</v>
      </c>
      <c r="P426" t="s">
        <v>746</v>
      </c>
      <c r="Q426" t="s">
        <v>544</v>
      </c>
      <c r="R426">
        <v>121883</v>
      </c>
      <c r="S426" s="22">
        <v>44834</v>
      </c>
      <c r="T426">
        <v>72002</v>
      </c>
      <c r="U426" t="s">
        <v>356</v>
      </c>
      <c r="V426" s="22">
        <v>44843</v>
      </c>
      <c r="W426" t="s">
        <v>584</v>
      </c>
      <c r="X426" t="s">
        <v>585</v>
      </c>
      <c r="Y426" t="s">
        <v>13</v>
      </c>
      <c r="Z426" t="s">
        <v>576</v>
      </c>
      <c r="AA426">
        <v>-3.37</v>
      </c>
      <c r="AC426" s="2">
        <f t="shared" si="84"/>
        <v>2022</v>
      </c>
      <c r="AD426" s="2">
        <f t="shared" si="85"/>
        <v>10</v>
      </c>
      <c r="AE426" s="2">
        <f t="shared" si="86"/>
        <v>2021</v>
      </c>
      <c r="AF426" s="2">
        <f t="shared" si="87"/>
        <v>5</v>
      </c>
      <c r="AG426" s="2" t="str">
        <f>VLOOKUP(F426,vlookup!$A$2:$E$660,2,0)</f>
        <v>Retained</v>
      </c>
      <c r="AH426" s="2" t="str">
        <f>VLOOKUP(F426,vlookup!$A$2:$E$660,3,0)</f>
        <v>Service Contract</v>
      </c>
      <c r="AI426" s="2" t="str">
        <f>VLOOKUP(F426,vlookup!$A$2:$E$660,4,0)</f>
        <v>Used Car Programs</v>
      </c>
      <c r="AJ426" s="2" t="str">
        <f>VLOOKUP(F426,vlookup!$A$2:$E$660,5,0)</f>
        <v>High Mileage</v>
      </c>
      <c r="AK426" s="2"/>
      <c r="AL426" s="2">
        <f t="shared" si="88"/>
        <v>39</v>
      </c>
      <c r="AM426" s="2">
        <f t="shared" si="89"/>
        <v>492</v>
      </c>
      <c r="AN426" s="2">
        <f t="shared" si="90"/>
        <v>20528</v>
      </c>
      <c r="AO426" s="2" t="str">
        <f t="shared" si="91"/>
        <v/>
      </c>
      <c r="AP426" s="2" t="str">
        <f t="shared" si="92"/>
        <v/>
      </c>
      <c r="AQ426" s="2" t="str">
        <f t="shared" si="93"/>
        <v/>
      </c>
      <c r="AR426" s="2">
        <f t="shared" si="94"/>
        <v>-3.37</v>
      </c>
      <c r="AS426" s="2" t="str">
        <f t="shared" si="95"/>
        <v>SDFGB623095E21-4</v>
      </c>
      <c r="AT426" s="2" t="str">
        <f>IFERROR(IF(VLOOKUP(Y426,vlookup!$I$2:$J$9,1,0)=Y426,VLOOKUP(Y426,vlookup!$I$2:$J$9,2,0),PROPER(Y426)),PROPER(Y426))</f>
        <v>Sales Tax</v>
      </c>
      <c r="AU426" s="2" t="str">
        <f>IFERROR(IF(B426=VLOOKUP(B426,vlookup!$L$2:$L$10,1,0),"Yes","No"),"No")</f>
        <v>No</v>
      </c>
    </row>
    <row r="427" spans="1:47" x14ac:dyDescent="0.25">
      <c r="A427" t="s">
        <v>861</v>
      </c>
      <c r="B427" t="s">
        <v>862</v>
      </c>
      <c r="C427">
        <v>1</v>
      </c>
      <c r="D427">
        <v>1</v>
      </c>
      <c r="E427" t="s">
        <v>382</v>
      </c>
      <c r="F427" t="s">
        <v>191</v>
      </c>
      <c r="G427" t="s">
        <v>683</v>
      </c>
      <c r="H427" s="11" t="s">
        <v>745</v>
      </c>
      <c r="I427">
        <v>23655</v>
      </c>
      <c r="J427" s="22">
        <v>44378</v>
      </c>
      <c r="K427" s="22">
        <v>44442</v>
      </c>
      <c r="L427">
        <v>202108</v>
      </c>
      <c r="M427" s="22">
        <v>44409</v>
      </c>
      <c r="N427">
        <v>77871</v>
      </c>
      <c r="O427" t="s">
        <v>699</v>
      </c>
      <c r="P427" t="s">
        <v>712</v>
      </c>
      <c r="Q427" t="s">
        <v>612</v>
      </c>
      <c r="R427">
        <v>198</v>
      </c>
      <c r="S427" s="22">
        <v>44692</v>
      </c>
      <c r="T427">
        <v>43263</v>
      </c>
      <c r="U427" t="s">
        <v>356</v>
      </c>
      <c r="V427" s="22">
        <v>44693</v>
      </c>
      <c r="W427" t="s">
        <v>584</v>
      </c>
      <c r="X427" t="s">
        <v>585</v>
      </c>
      <c r="Y427" t="s">
        <v>13</v>
      </c>
      <c r="Z427" t="s">
        <v>576</v>
      </c>
      <c r="AA427">
        <v>-12.1</v>
      </c>
      <c r="AC427" s="2">
        <f t="shared" si="84"/>
        <v>2022</v>
      </c>
      <c r="AD427" s="2">
        <f t="shared" si="85"/>
        <v>5</v>
      </c>
      <c r="AE427" s="2">
        <f t="shared" si="86"/>
        <v>2021</v>
      </c>
      <c r="AF427" s="2">
        <f t="shared" si="87"/>
        <v>7</v>
      </c>
      <c r="AG427" s="2" t="str">
        <f>VLOOKUP(F427,vlookup!$A$2:$E$660,2,0)</f>
        <v>Retained</v>
      </c>
      <c r="AH427" s="2" t="str">
        <f>VLOOKUP(F427,vlookup!$A$2:$E$660,3,0)</f>
        <v>Service Contract</v>
      </c>
      <c r="AI427" s="2" t="str">
        <f>VLOOKUP(F427,vlookup!$A$2:$E$660,4,0)</f>
        <v>New Car Programs</v>
      </c>
      <c r="AJ427" s="2" t="str">
        <f>VLOOKUP(F427,vlookup!$A$2:$E$660,5,0)</f>
        <v>High Mileage</v>
      </c>
      <c r="AK427" s="2"/>
      <c r="AL427" s="2">
        <f t="shared" si="88"/>
        <v>62</v>
      </c>
      <c r="AM427" s="2">
        <f t="shared" si="89"/>
        <v>311</v>
      </c>
      <c r="AN427" s="2">
        <f t="shared" si="90"/>
        <v>19608</v>
      </c>
      <c r="AO427" s="2" t="str">
        <f t="shared" si="91"/>
        <v/>
      </c>
      <c r="AP427" s="2" t="str">
        <f t="shared" si="92"/>
        <v/>
      </c>
      <c r="AQ427" s="2" t="str">
        <f t="shared" si="93"/>
        <v/>
      </c>
      <c r="AR427" s="2">
        <f t="shared" si="94"/>
        <v>-12.1</v>
      </c>
      <c r="AS427" s="2" t="str">
        <f t="shared" si="95"/>
        <v>APC100332-1</v>
      </c>
      <c r="AT427" s="2" t="str">
        <f>IFERROR(IF(VLOOKUP(Y427,vlookup!$I$2:$J$9,1,0)=Y427,VLOOKUP(Y427,vlookup!$I$2:$J$9,2,0),PROPER(Y427)),PROPER(Y427))</f>
        <v>Sales Tax</v>
      </c>
      <c r="AU427" s="2" t="str">
        <f>IFERROR(IF(B427=VLOOKUP(B427,vlookup!$L$2:$L$10,1,0),"Yes","No"),"No")</f>
        <v>No</v>
      </c>
    </row>
    <row r="428" spans="1:47" x14ac:dyDescent="0.25">
      <c r="A428" t="s">
        <v>861</v>
      </c>
      <c r="B428" t="s">
        <v>862</v>
      </c>
      <c r="C428">
        <v>1</v>
      </c>
      <c r="D428">
        <v>1</v>
      </c>
      <c r="E428" t="s">
        <v>382</v>
      </c>
      <c r="F428" t="s">
        <v>191</v>
      </c>
      <c r="G428" t="s">
        <v>683</v>
      </c>
      <c r="H428" s="11" t="s">
        <v>745</v>
      </c>
      <c r="I428">
        <v>23655</v>
      </c>
      <c r="J428" s="22">
        <v>44378</v>
      </c>
      <c r="K428" s="22">
        <v>44442</v>
      </c>
      <c r="L428">
        <v>202108</v>
      </c>
      <c r="M428" s="22">
        <v>44409</v>
      </c>
      <c r="N428">
        <v>77871</v>
      </c>
      <c r="O428" t="s">
        <v>699</v>
      </c>
      <c r="P428" t="s">
        <v>712</v>
      </c>
      <c r="Q428" t="s">
        <v>612</v>
      </c>
      <c r="R428">
        <v>198</v>
      </c>
      <c r="S428" s="22">
        <v>44692</v>
      </c>
      <c r="T428">
        <v>43263</v>
      </c>
      <c r="U428" t="s">
        <v>356</v>
      </c>
      <c r="V428" s="22">
        <v>44693</v>
      </c>
      <c r="W428" t="s">
        <v>586</v>
      </c>
      <c r="X428" t="s">
        <v>587</v>
      </c>
      <c r="Y428" t="s">
        <v>13</v>
      </c>
      <c r="Z428" t="s">
        <v>576</v>
      </c>
      <c r="AA428">
        <v>-20.52</v>
      </c>
      <c r="AC428" s="2">
        <f t="shared" si="84"/>
        <v>2022</v>
      </c>
      <c r="AD428" s="2">
        <f t="shared" si="85"/>
        <v>5</v>
      </c>
      <c r="AE428" s="2">
        <f t="shared" si="86"/>
        <v>2021</v>
      </c>
      <c r="AF428" s="2">
        <f t="shared" si="87"/>
        <v>7</v>
      </c>
      <c r="AG428" s="2" t="str">
        <f>VLOOKUP(F428,vlookup!$A$2:$E$660,2,0)</f>
        <v>Retained</v>
      </c>
      <c r="AH428" s="2" t="str">
        <f>VLOOKUP(F428,vlookup!$A$2:$E$660,3,0)</f>
        <v>Service Contract</v>
      </c>
      <c r="AI428" s="2" t="str">
        <f>VLOOKUP(F428,vlookup!$A$2:$E$660,4,0)</f>
        <v>New Car Programs</v>
      </c>
      <c r="AJ428" s="2" t="str">
        <f>VLOOKUP(F428,vlookup!$A$2:$E$660,5,0)</f>
        <v>High Mileage</v>
      </c>
      <c r="AK428" s="2"/>
      <c r="AL428" s="2">
        <f t="shared" si="88"/>
        <v>62</v>
      </c>
      <c r="AM428" s="2">
        <f t="shared" si="89"/>
        <v>311</v>
      </c>
      <c r="AN428" s="2">
        <f t="shared" si="90"/>
        <v>19608</v>
      </c>
      <c r="AO428" s="2" t="str">
        <f t="shared" si="91"/>
        <v/>
      </c>
      <c r="AP428" s="2" t="str">
        <f t="shared" si="92"/>
        <v/>
      </c>
      <c r="AQ428" s="2" t="str">
        <f t="shared" si="93"/>
        <v/>
      </c>
      <c r="AR428" s="2">
        <f t="shared" si="94"/>
        <v>-20.52</v>
      </c>
      <c r="AS428" s="2" t="str">
        <f t="shared" si="95"/>
        <v>APC100332-1</v>
      </c>
      <c r="AT428" s="2" t="str">
        <f>IFERROR(IF(VLOOKUP(Y428,vlookup!$I$2:$J$9,1,0)=Y428,VLOOKUP(Y428,vlookup!$I$2:$J$9,2,0),PROPER(Y428)),PROPER(Y428))</f>
        <v>Sales Tax</v>
      </c>
      <c r="AU428" s="2" t="str">
        <f>IFERROR(IF(B428=VLOOKUP(B428,vlookup!$L$2:$L$10,1,0),"Yes","No"),"No")</f>
        <v>No</v>
      </c>
    </row>
    <row r="429" spans="1:47" x14ac:dyDescent="0.25">
      <c r="A429" t="s">
        <v>861</v>
      </c>
      <c r="B429" t="s">
        <v>862</v>
      </c>
      <c r="C429">
        <v>1</v>
      </c>
      <c r="D429">
        <v>1</v>
      </c>
      <c r="E429" t="s">
        <v>382</v>
      </c>
      <c r="F429" t="s">
        <v>191</v>
      </c>
      <c r="G429" t="s">
        <v>683</v>
      </c>
      <c r="H429" s="11" t="s">
        <v>745</v>
      </c>
      <c r="I429">
        <v>23655</v>
      </c>
      <c r="J429" s="22">
        <v>44378</v>
      </c>
      <c r="K429" s="22">
        <v>44442</v>
      </c>
      <c r="L429">
        <v>202108</v>
      </c>
      <c r="M429" s="22">
        <v>44409</v>
      </c>
      <c r="N429">
        <v>77871</v>
      </c>
      <c r="O429" t="s">
        <v>699</v>
      </c>
      <c r="P429" t="s">
        <v>712</v>
      </c>
      <c r="Q429" t="s">
        <v>612</v>
      </c>
      <c r="R429">
        <v>198</v>
      </c>
      <c r="S429" s="22">
        <v>44692</v>
      </c>
      <c r="T429">
        <v>43263</v>
      </c>
      <c r="U429" t="s">
        <v>356</v>
      </c>
      <c r="V429" s="22">
        <v>44693</v>
      </c>
      <c r="W429" t="s">
        <v>669</v>
      </c>
      <c r="X429" t="s">
        <v>670</v>
      </c>
      <c r="Y429" t="s">
        <v>13</v>
      </c>
      <c r="Z429" t="s">
        <v>576</v>
      </c>
      <c r="AA429">
        <v>-2.27</v>
      </c>
      <c r="AC429" s="2">
        <f t="shared" si="84"/>
        <v>2022</v>
      </c>
      <c r="AD429" s="2">
        <f t="shared" si="85"/>
        <v>5</v>
      </c>
      <c r="AE429" s="2">
        <f t="shared" si="86"/>
        <v>2021</v>
      </c>
      <c r="AF429" s="2">
        <f t="shared" si="87"/>
        <v>7</v>
      </c>
      <c r="AG429" s="2" t="str">
        <f>VLOOKUP(F429,vlookup!$A$2:$E$660,2,0)</f>
        <v>Retained</v>
      </c>
      <c r="AH429" s="2" t="str">
        <f>VLOOKUP(F429,vlookup!$A$2:$E$660,3,0)</f>
        <v>Service Contract</v>
      </c>
      <c r="AI429" s="2" t="str">
        <f>VLOOKUP(F429,vlookup!$A$2:$E$660,4,0)</f>
        <v>New Car Programs</v>
      </c>
      <c r="AJ429" s="2" t="str">
        <f>VLOOKUP(F429,vlookup!$A$2:$E$660,5,0)</f>
        <v>High Mileage</v>
      </c>
      <c r="AK429" s="2"/>
      <c r="AL429" s="2">
        <f t="shared" si="88"/>
        <v>62</v>
      </c>
      <c r="AM429" s="2">
        <f t="shared" si="89"/>
        <v>311</v>
      </c>
      <c r="AN429" s="2">
        <f t="shared" si="90"/>
        <v>19608</v>
      </c>
      <c r="AO429" s="2" t="str">
        <f t="shared" si="91"/>
        <v/>
      </c>
      <c r="AP429" s="2" t="str">
        <f t="shared" si="92"/>
        <v/>
      </c>
      <c r="AQ429" s="2" t="str">
        <f t="shared" si="93"/>
        <v/>
      </c>
      <c r="AR429" s="2">
        <f t="shared" si="94"/>
        <v>-2.27</v>
      </c>
      <c r="AS429" s="2" t="str">
        <f t="shared" si="95"/>
        <v>APC100332-1</v>
      </c>
      <c r="AT429" s="2" t="str">
        <f>IFERROR(IF(VLOOKUP(Y429,vlookup!$I$2:$J$9,1,0)=Y429,VLOOKUP(Y429,vlookup!$I$2:$J$9,2,0),PROPER(Y429)),PROPER(Y429))</f>
        <v>Sales Tax</v>
      </c>
      <c r="AU429" s="2" t="str">
        <f>IFERROR(IF(B429=VLOOKUP(B429,vlookup!$L$2:$L$10,1,0),"Yes","No"),"No")</f>
        <v>No</v>
      </c>
    </row>
    <row r="430" spans="1:47" x14ac:dyDescent="0.25">
      <c r="A430" t="s">
        <v>861</v>
      </c>
      <c r="B430" t="s">
        <v>862</v>
      </c>
      <c r="C430">
        <v>2</v>
      </c>
      <c r="D430">
        <v>1</v>
      </c>
      <c r="E430" t="s">
        <v>382</v>
      </c>
      <c r="F430" t="s">
        <v>191</v>
      </c>
      <c r="G430" t="s">
        <v>683</v>
      </c>
      <c r="H430" s="11" t="s">
        <v>745</v>
      </c>
      <c r="I430">
        <v>23655</v>
      </c>
      <c r="J430" s="22">
        <v>44378</v>
      </c>
      <c r="K430" s="22">
        <v>44442</v>
      </c>
      <c r="L430">
        <v>202108</v>
      </c>
      <c r="M430" s="22">
        <v>44409</v>
      </c>
      <c r="N430">
        <v>77871</v>
      </c>
      <c r="O430" t="s">
        <v>699</v>
      </c>
      <c r="P430" t="s">
        <v>712</v>
      </c>
      <c r="Q430" t="s">
        <v>612</v>
      </c>
      <c r="R430">
        <v>119373</v>
      </c>
      <c r="S430" s="22">
        <v>44784</v>
      </c>
      <c r="T430">
        <v>47664</v>
      </c>
      <c r="U430" t="s">
        <v>356</v>
      </c>
      <c r="V430" s="22">
        <v>44790</v>
      </c>
      <c r="W430" t="s">
        <v>863</v>
      </c>
      <c r="X430" t="s">
        <v>864</v>
      </c>
      <c r="Y430" t="s">
        <v>13</v>
      </c>
      <c r="Z430" t="s">
        <v>358</v>
      </c>
      <c r="AA430">
        <v>-13.23</v>
      </c>
      <c r="AC430" s="2">
        <f t="shared" si="84"/>
        <v>2022</v>
      </c>
      <c r="AD430" s="2">
        <f t="shared" si="85"/>
        <v>8</v>
      </c>
      <c r="AE430" s="2">
        <f t="shared" si="86"/>
        <v>2021</v>
      </c>
      <c r="AF430" s="2">
        <f t="shared" si="87"/>
        <v>7</v>
      </c>
      <c r="AG430" s="2" t="str">
        <f>VLOOKUP(F430,vlookup!$A$2:$E$660,2,0)</f>
        <v>Retained</v>
      </c>
      <c r="AH430" s="2" t="str">
        <f>VLOOKUP(F430,vlookup!$A$2:$E$660,3,0)</f>
        <v>Service Contract</v>
      </c>
      <c r="AI430" s="2" t="str">
        <f>VLOOKUP(F430,vlookup!$A$2:$E$660,4,0)</f>
        <v>New Car Programs</v>
      </c>
      <c r="AJ430" s="2" t="str">
        <f>VLOOKUP(F430,vlookup!$A$2:$E$660,5,0)</f>
        <v>High Mileage</v>
      </c>
      <c r="AK430" s="2"/>
      <c r="AL430" s="2">
        <f t="shared" si="88"/>
        <v>62</v>
      </c>
      <c r="AM430" s="2">
        <f t="shared" si="89"/>
        <v>406</v>
      </c>
      <c r="AN430" s="2">
        <f t="shared" si="90"/>
        <v>24009</v>
      </c>
      <c r="AO430" s="2" t="str">
        <f t="shared" si="91"/>
        <v/>
      </c>
      <c r="AP430" s="2" t="str">
        <f t="shared" si="92"/>
        <v/>
      </c>
      <c r="AQ430" s="2" t="str">
        <f t="shared" si="93"/>
        <v/>
      </c>
      <c r="AR430" s="2">
        <f t="shared" si="94"/>
        <v>-13.23</v>
      </c>
      <c r="AS430" s="2" t="str">
        <f t="shared" si="95"/>
        <v>APC100332-2</v>
      </c>
      <c r="AT430" s="2" t="str">
        <f>IFERROR(IF(VLOOKUP(Y430,vlookup!$I$2:$J$9,1,0)=Y430,VLOOKUP(Y430,vlookup!$I$2:$J$9,2,0),PROPER(Y430)),PROPER(Y430))</f>
        <v>Sales Tax</v>
      </c>
      <c r="AU430" s="2" t="str">
        <f>IFERROR(IF(B430=VLOOKUP(B430,vlookup!$L$2:$L$10,1,0),"Yes","No"),"No")</f>
        <v>No</v>
      </c>
    </row>
    <row r="431" spans="1:47" x14ac:dyDescent="0.25">
      <c r="A431" t="s">
        <v>757</v>
      </c>
      <c r="B431" t="s">
        <v>758</v>
      </c>
      <c r="C431">
        <v>2</v>
      </c>
      <c r="D431">
        <v>2</v>
      </c>
      <c r="E431" t="s">
        <v>382</v>
      </c>
      <c r="F431" t="s">
        <v>207</v>
      </c>
      <c r="G431" t="s">
        <v>683</v>
      </c>
      <c r="H431" s="11" t="s">
        <v>715</v>
      </c>
      <c r="I431">
        <v>114400</v>
      </c>
      <c r="J431" s="22">
        <v>44125</v>
      </c>
      <c r="K431" s="22">
        <v>44200</v>
      </c>
      <c r="L431">
        <v>202012</v>
      </c>
      <c r="M431" s="22">
        <v>44166</v>
      </c>
      <c r="N431">
        <v>77871</v>
      </c>
      <c r="O431" t="s">
        <v>699</v>
      </c>
      <c r="P431" t="s">
        <v>604</v>
      </c>
      <c r="Q431" t="s">
        <v>378</v>
      </c>
      <c r="R431">
        <v>111860201</v>
      </c>
      <c r="S431" s="22">
        <v>44547</v>
      </c>
      <c r="T431">
        <v>127000</v>
      </c>
      <c r="U431" t="s">
        <v>357</v>
      </c>
      <c r="V431" s="22">
        <v>44643</v>
      </c>
      <c r="W431" t="s">
        <v>681</v>
      </c>
      <c r="X431" t="s">
        <v>24</v>
      </c>
      <c r="Y431" t="s">
        <v>682</v>
      </c>
      <c r="Z431" t="s">
        <v>14</v>
      </c>
      <c r="AA431">
        <v>-66.400000000000006</v>
      </c>
      <c r="AC431" s="2">
        <f t="shared" si="84"/>
        <v>2022</v>
      </c>
      <c r="AD431" s="2">
        <f t="shared" si="85"/>
        <v>3</v>
      </c>
      <c r="AE431" s="2">
        <f t="shared" si="86"/>
        <v>2020</v>
      </c>
      <c r="AF431" s="2">
        <f t="shared" si="87"/>
        <v>10</v>
      </c>
      <c r="AG431" s="2" t="str">
        <f>VLOOKUP(F431,vlookup!$A$2:$E$660,2,0)</f>
        <v>Retained</v>
      </c>
      <c r="AH431" s="2" t="str">
        <f>VLOOKUP(F431,vlookup!$A$2:$E$660,3,0)</f>
        <v>Service Contract</v>
      </c>
      <c r="AI431" s="2" t="str">
        <f>VLOOKUP(F431,vlookup!$A$2:$E$660,4,0)</f>
        <v>Used Car Programs</v>
      </c>
      <c r="AJ431" s="2" t="str">
        <f>VLOOKUP(F431,vlookup!$A$2:$E$660,5,0)</f>
        <v>High Mileage</v>
      </c>
      <c r="AK431" s="2"/>
      <c r="AL431" s="2">
        <f t="shared" si="88"/>
        <v>73</v>
      </c>
      <c r="AM431" s="2">
        <f t="shared" si="89"/>
        <v>512</v>
      </c>
      <c r="AN431" s="2">
        <f t="shared" si="90"/>
        <v>12600</v>
      </c>
      <c r="AO431" s="2" t="str">
        <f t="shared" si="91"/>
        <v/>
      </c>
      <c r="AP431" s="2" t="str">
        <f t="shared" si="92"/>
        <v/>
      </c>
      <c r="AQ431" s="2" t="str">
        <f t="shared" si="93"/>
        <v/>
      </c>
      <c r="AR431" s="2">
        <f t="shared" si="94"/>
        <v>-66.400000000000006</v>
      </c>
      <c r="AS431" s="2" t="str">
        <f t="shared" si="95"/>
        <v>APC500213-2</v>
      </c>
      <c r="AT431" s="2" t="str">
        <f>IFERROR(IF(VLOOKUP(Y431,vlookup!$I$2:$J$9,1,0)=Y431,VLOOKUP(Y431,vlookup!$I$2:$J$9,2,0),PROPER(Y431)),PROPER(Y431))</f>
        <v>Towing &amp; Roadside</v>
      </c>
      <c r="AU431" s="2" t="str">
        <f>IFERROR(IF(B431=VLOOKUP(B431,vlookup!$L$2:$L$10,1,0),"Yes","No"),"No")</f>
        <v>No</v>
      </c>
    </row>
    <row r="432" spans="1:47" x14ac:dyDescent="0.25">
      <c r="A432" t="s">
        <v>713</v>
      </c>
      <c r="B432" t="s">
        <v>714</v>
      </c>
      <c r="C432">
        <v>2</v>
      </c>
      <c r="D432">
        <v>2</v>
      </c>
      <c r="E432" t="s">
        <v>382</v>
      </c>
      <c r="F432" t="s">
        <v>346</v>
      </c>
      <c r="G432" t="s">
        <v>683</v>
      </c>
      <c r="H432" s="11" t="s">
        <v>715</v>
      </c>
      <c r="I432">
        <v>68520</v>
      </c>
      <c r="J432" s="22">
        <v>44092</v>
      </c>
      <c r="K432" s="22">
        <v>44139</v>
      </c>
      <c r="L432">
        <v>202010</v>
      </c>
      <c r="M432" s="22">
        <v>44105</v>
      </c>
      <c r="N432">
        <v>77871</v>
      </c>
      <c r="O432" t="s">
        <v>699</v>
      </c>
      <c r="P432" t="s">
        <v>604</v>
      </c>
      <c r="Q432" t="s">
        <v>378</v>
      </c>
      <c r="R432">
        <v>823006987</v>
      </c>
      <c r="S432" s="22">
        <v>44439</v>
      </c>
      <c r="T432">
        <v>76403</v>
      </c>
      <c r="U432" t="s">
        <v>356</v>
      </c>
      <c r="V432" s="22">
        <v>44523</v>
      </c>
      <c r="W432" t="s">
        <v>681</v>
      </c>
      <c r="X432" t="s">
        <v>24</v>
      </c>
      <c r="Y432" t="s">
        <v>682</v>
      </c>
      <c r="Z432" t="s">
        <v>14</v>
      </c>
      <c r="AA432">
        <v>-15</v>
      </c>
      <c r="AC432" s="2">
        <f t="shared" si="84"/>
        <v>2021</v>
      </c>
      <c r="AD432" s="2">
        <f t="shared" si="85"/>
        <v>11</v>
      </c>
      <c r="AE432" s="2">
        <f t="shared" si="86"/>
        <v>2020</v>
      </c>
      <c r="AF432" s="2">
        <f t="shared" si="87"/>
        <v>9</v>
      </c>
      <c r="AG432" s="2" t="str">
        <f>VLOOKUP(F432,vlookup!$A$2:$E$660,2,0)</f>
        <v>Retained</v>
      </c>
      <c r="AH432" s="2" t="str">
        <f>VLOOKUP(F432,vlookup!$A$2:$E$660,3,0)</f>
        <v>Service Contract</v>
      </c>
      <c r="AI432" s="2" t="str">
        <f>VLOOKUP(F432,vlookup!$A$2:$E$660,4,0)</f>
        <v>Used Car Programs</v>
      </c>
      <c r="AJ432" s="2" t="str">
        <f>VLOOKUP(F432,vlookup!$A$2:$E$660,5,0)</f>
        <v>High Mileage</v>
      </c>
      <c r="AK432" s="2"/>
      <c r="AL432" s="2">
        <f t="shared" si="88"/>
        <v>46</v>
      </c>
      <c r="AM432" s="2">
        <f t="shared" si="89"/>
        <v>425</v>
      </c>
      <c r="AN432" s="2">
        <f t="shared" si="90"/>
        <v>7883</v>
      </c>
      <c r="AO432" s="2" t="str">
        <f t="shared" si="91"/>
        <v/>
      </c>
      <c r="AP432" s="2" t="str">
        <f t="shared" si="92"/>
        <v/>
      </c>
      <c r="AQ432" s="2" t="str">
        <f t="shared" si="93"/>
        <v/>
      </c>
      <c r="AR432" s="2">
        <f t="shared" si="94"/>
        <v>-15</v>
      </c>
      <c r="AS432" s="2" t="str">
        <f t="shared" si="95"/>
        <v>SDFBF369586I20-2</v>
      </c>
      <c r="AT432" s="2" t="str">
        <f>IFERROR(IF(VLOOKUP(Y432,vlookup!$I$2:$J$9,1,0)=Y432,VLOOKUP(Y432,vlookup!$I$2:$J$9,2,0),PROPER(Y432)),PROPER(Y432))</f>
        <v>Towing &amp; Roadside</v>
      </c>
      <c r="AU432" s="2" t="str">
        <f>IFERROR(IF(B432=VLOOKUP(B432,vlookup!$L$2:$L$10,1,0),"Yes","No"),"No")</f>
        <v>No</v>
      </c>
    </row>
    <row r="433" spans="1:47" x14ac:dyDescent="0.25">
      <c r="A433" t="s">
        <v>790</v>
      </c>
      <c r="B433" t="s">
        <v>791</v>
      </c>
      <c r="C433">
        <v>1</v>
      </c>
      <c r="D433">
        <v>3</v>
      </c>
      <c r="E433" t="s">
        <v>572</v>
      </c>
      <c r="F433" t="s">
        <v>207</v>
      </c>
      <c r="G433" t="s">
        <v>683</v>
      </c>
      <c r="H433" s="11" t="s">
        <v>792</v>
      </c>
      <c r="I433">
        <v>77001</v>
      </c>
      <c r="J433" s="22">
        <v>44132</v>
      </c>
      <c r="K433" s="22">
        <v>44183</v>
      </c>
      <c r="L433">
        <v>202012</v>
      </c>
      <c r="M433" s="22">
        <v>44166</v>
      </c>
      <c r="N433">
        <v>77871</v>
      </c>
      <c r="O433" t="s">
        <v>699</v>
      </c>
      <c r="P433" t="s">
        <v>894</v>
      </c>
      <c r="Q433" t="s">
        <v>612</v>
      </c>
      <c r="R433" t="s">
        <v>895</v>
      </c>
      <c r="S433" s="22">
        <v>44183</v>
      </c>
      <c r="T433">
        <v>78308</v>
      </c>
      <c r="U433" t="s">
        <v>357</v>
      </c>
      <c r="V433" s="22">
        <v>44183</v>
      </c>
      <c r="W433" t="s">
        <v>681</v>
      </c>
      <c r="X433" t="s">
        <v>24</v>
      </c>
      <c r="Y433" t="s">
        <v>24</v>
      </c>
      <c r="Z433" t="s">
        <v>14</v>
      </c>
      <c r="AA433">
        <v>-143.75</v>
      </c>
      <c r="AC433" s="2">
        <f t="shared" si="84"/>
        <v>2020</v>
      </c>
      <c r="AD433" s="2">
        <f t="shared" si="85"/>
        <v>12</v>
      </c>
      <c r="AE433" s="2">
        <f t="shared" si="86"/>
        <v>2020</v>
      </c>
      <c r="AF433" s="2">
        <f t="shared" si="87"/>
        <v>10</v>
      </c>
      <c r="AG433" s="2" t="str">
        <f>VLOOKUP(F433,vlookup!$A$2:$E$660,2,0)</f>
        <v>Retained</v>
      </c>
      <c r="AH433" s="2" t="str">
        <f>VLOOKUP(F433,vlookup!$A$2:$E$660,3,0)</f>
        <v>Service Contract</v>
      </c>
      <c r="AI433" s="2" t="str">
        <f>VLOOKUP(F433,vlookup!$A$2:$E$660,4,0)</f>
        <v>Used Car Programs</v>
      </c>
      <c r="AJ433" s="2" t="str">
        <f>VLOOKUP(F433,vlookup!$A$2:$E$660,5,0)</f>
        <v>High Mileage</v>
      </c>
      <c r="AK433" s="2"/>
      <c r="AL433" s="2">
        <f t="shared" si="88"/>
        <v>50</v>
      </c>
      <c r="AM433" s="2">
        <f t="shared" si="89"/>
        <v>50</v>
      </c>
      <c r="AN433" s="2">
        <f t="shared" si="90"/>
        <v>1307</v>
      </c>
      <c r="AO433" s="2" t="str">
        <f t="shared" si="91"/>
        <v/>
      </c>
      <c r="AP433" s="2">
        <f t="shared" si="92"/>
        <v>-143.75</v>
      </c>
      <c r="AQ433" s="2" t="str">
        <f t="shared" si="93"/>
        <v/>
      </c>
      <c r="AR433" s="2" t="str">
        <f t="shared" si="94"/>
        <v/>
      </c>
      <c r="AS433" s="2" t="str">
        <f t="shared" si="95"/>
        <v>APC500219-1</v>
      </c>
      <c r="AT433" s="2" t="str">
        <f>IFERROR(IF(VLOOKUP(Y433,vlookup!$I$2:$J$9,1,0)=Y433,VLOOKUP(Y433,vlookup!$I$2:$J$9,2,0),PROPER(Y433)),PROPER(Y433))</f>
        <v>Towing &amp; Roadside</v>
      </c>
      <c r="AU433" s="2" t="str">
        <f>IFERROR(IF(B433=VLOOKUP(B433,vlookup!$L$2:$L$10,1,0),"Yes","No"),"No")</f>
        <v>No</v>
      </c>
    </row>
    <row r="434" spans="1:47" x14ac:dyDescent="0.25">
      <c r="A434" t="s">
        <v>790</v>
      </c>
      <c r="B434" t="s">
        <v>791</v>
      </c>
      <c r="C434">
        <v>2</v>
      </c>
      <c r="D434">
        <v>2</v>
      </c>
      <c r="E434" t="s">
        <v>572</v>
      </c>
      <c r="F434" t="s">
        <v>207</v>
      </c>
      <c r="G434" t="s">
        <v>683</v>
      </c>
      <c r="H434" s="11" t="s">
        <v>792</v>
      </c>
      <c r="I434">
        <v>77001</v>
      </c>
      <c r="J434" s="22">
        <v>44132</v>
      </c>
      <c r="K434" s="22">
        <v>44183</v>
      </c>
      <c r="L434">
        <v>202012</v>
      </c>
      <c r="M434" s="22">
        <v>44166</v>
      </c>
      <c r="N434">
        <v>77871</v>
      </c>
      <c r="O434" t="s">
        <v>699</v>
      </c>
      <c r="P434" t="s">
        <v>604</v>
      </c>
      <c r="Q434" t="s">
        <v>378</v>
      </c>
      <c r="R434" t="s">
        <v>896</v>
      </c>
      <c r="S434" s="22">
        <v>44183</v>
      </c>
      <c r="T434">
        <v>0</v>
      </c>
      <c r="U434" t="s">
        <v>356</v>
      </c>
      <c r="V434" s="22">
        <v>44273</v>
      </c>
      <c r="W434" t="s">
        <v>681</v>
      </c>
      <c r="X434" t="s">
        <v>24</v>
      </c>
      <c r="Y434" t="s">
        <v>682</v>
      </c>
      <c r="Z434" t="s">
        <v>14</v>
      </c>
      <c r="AA434">
        <v>-143.75</v>
      </c>
      <c r="AC434" s="2">
        <f t="shared" si="84"/>
        <v>2021</v>
      </c>
      <c r="AD434" s="2">
        <f t="shared" si="85"/>
        <v>3</v>
      </c>
      <c r="AE434" s="2">
        <f t="shared" si="86"/>
        <v>2020</v>
      </c>
      <c r="AF434" s="2">
        <f t="shared" si="87"/>
        <v>10</v>
      </c>
      <c r="AG434" s="2" t="str">
        <f>VLOOKUP(F434,vlookup!$A$2:$E$660,2,0)</f>
        <v>Retained</v>
      </c>
      <c r="AH434" s="2" t="str">
        <f>VLOOKUP(F434,vlookup!$A$2:$E$660,3,0)</f>
        <v>Service Contract</v>
      </c>
      <c r="AI434" s="2" t="str">
        <f>VLOOKUP(F434,vlookup!$A$2:$E$660,4,0)</f>
        <v>Used Car Programs</v>
      </c>
      <c r="AJ434" s="2" t="str">
        <f>VLOOKUP(F434,vlookup!$A$2:$E$660,5,0)</f>
        <v>High Mileage</v>
      </c>
      <c r="AK434" s="2"/>
      <c r="AL434" s="2">
        <f t="shared" si="88"/>
        <v>50</v>
      </c>
      <c r="AM434" s="2">
        <f t="shared" si="89"/>
        <v>140</v>
      </c>
      <c r="AN434" s="2" t="str">
        <f t="shared" si="90"/>
        <v/>
      </c>
      <c r="AO434" s="2" t="str">
        <f t="shared" si="91"/>
        <v/>
      </c>
      <c r="AP434" s="2" t="str">
        <f t="shared" si="92"/>
        <v/>
      </c>
      <c r="AQ434" s="2" t="str">
        <f t="shared" si="93"/>
        <v/>
      </c>
      <c r="AR434" s="2">
        <f t="shared" si="94"/>
        <v>-143.75</v>
      </c>
      <c r="AS434" s="2" t="str">
        <f t="shared" si="95"/>
        <v>APC500219-2</v>
      </c>
      <c r="AT434" s="2" t="str">
        <f>IFERROR(IF(VLOOKUP(Y434,vlookup!$I$2:$J$9,1,0)=Y434,VLOOKUP(Y434,vlookup!$I$2:$J$9,2,0),PROPER(Y434)),PROPER(Y434))</f>
        <v>Towing &amp; Roadside</v>
      </c>
      <c r="AU434" s="2" t="str">
        <f>IFERROR(IF(B434=VLOOKUP(B434,vlookup!$L$2:$L$10,1,0),"Yes","No"),"No")</f>
        <v>No</v>
      </c>
    </row>
    <row r="435" spans="1:47" x14ac:dyDescent="0.25">
      <c r="A435" t="s">
        <v>695</v>
      </c>
      <c r="B435" t="s">
        <v>696</v>
      </c>
      <c r="C435">
        <v>1</v>
      </c>
      <c r="D435">
        <v>2</v>
      </c>
      <c r="E435" t="s">
        <v>382</v>
      </c>
      <c r="F435" t="s">
        <v>207</v>
      </c>
      <c r="G435" t="s">
        <v>697</v>
      </c>
      <c r="H435" s="11" t="s">
        <v>698</v>
      </c>
      <c r="I435">
        <v>56598</v>
      </c>
      <c r="J435" s="22">
        <v>44119</v>
      </c>
      <c r="K435" s="22">
        <v>44200</v>
      </c>
      <c r="L435">
        <v>202012</v>
      </c>
      <c r="M435" s="22">
        <v>44166</v>
      </c>
      <c r="N435">
        <v>77871</v>
      </c>
      <c r="O435" t="s">
        <v>699</v>
      </c>
      <c r="P435" t="s">
        <v>604</v>
      </c>
      <c r="Q435" t="s">
        <v>378</v>
      </c>
      <c r="R435">
        <v>223851353</v>
      </c>
      <c r="S435" s="22">
        <v>44636</v>
      </c>
      <c r="T435">
        <v>75000</v>
      </c>
      <c r="U435" t="s">
        <v>357</v>
      </c>
      <c r="V435" s="22">
        <v>44736</v>
      </c>
      <c r="W435" t="s">
        <v>681</v>
      </c>
      <c r="X435" t="s">
        <v>24</v>
      </c>
      <c r="Y435" t="s">
        <v>682</v>
      </c>
      <c r="Z435" t="s">
        <v>14</v>
      </c>
      <c r="AA435">
        <v>-93.12</v>
      </c>
      <c r="AC435" s="2">
        <f t="shared" si="84"/>
        <v>2022</v>
      </c>
      <c r="AD435" s="2">
        <f t="shared" si="85"/>
        <v>6</v>
      </c>
      <c r="AE435" s="2">
        <f t="shared" si="86"/>
        <v>2020</v>
      </c>
      <c r="AF435" s="2">
        <f t="shared" si="87"/>
        <v>10</v>
      </c>
      <c r="AG435" s="2" t="str">
        <f>VLOOKUP(F435,vlookup!$A$2:$E$660,2,0)</f>
        <v>Retained</v>
      </c>
      <c r="AH435" s="2" t="str">
        <f>VLOOKUP(F435,vlookup!$A$2:$E$660,3,0)</f>
        <v>Service Contract</v>
      </c>
      <c r="AI435" s="2" t="str">
        <f>VLOOKUP(F435,vlookup!$A$2:$E$660,4,0)</f>
        <v>Used Car Programs</v>
      </c>
      <c r="AJ435" s="2" t="str">
        <f>VLOOKUP(F435,vlookup!$A$2:$E$660,5,0)</f>
        <v>High Mileage</v>
      </c>
      <c r="AK435" s="2"/>
      <c r="AL435" s="2">
        <f t="shared" si="88"/>
        <v>79</v>
      </c>
      <c r="AM435" s="2">
        <f t="shared" si="89"/>
        <v>609</v>
      </c>
      <c r="AN435" s="2">
        <f t="shared" si="90"/>
        <v>18402</v>
      </c>
      <c r="AO435" s="2" t="str">
        <f t="shared" si="91"/>
        <v/>
      </c>
      <c r="AP435" s="2" t="str">
        <f t="shared" si="92"/>
        <v/>
      </c>
      <c r="AQ435" s="2" t="str">
        <f t="shared" si="93"/>
        <v/>
      </c>
      <c r="AR435" s="2">
        <f t="shared" si="94"/>
        <v>-93.12</v>
      </c>
      <c r="AS435" s="2" t="str">
        <f t="shared" si="95"/>
        <v>APC500205-1</v>
      </c>
      <c r="AT435" s="2" t="str">
        <f>IFERROR(IF(VLOOKUP(Y435,vlookup!$I$2:$J$9,1,0)=Y435,VLOOKUP(Y435,vlookup!$I$2:$J$9,2,0),PROPER(Y435)),PROPER(Y435))</f>
        <v>Towing &amp; Roadside</v>
      </c>
      <c r="AU435" s="2" t="str">
        <f>IFERROR(IF(B435=VLOOKUP(B435,vlookup!$L$2:$L$10,1,0),"Yes","No"),"No")</f>
        <v>No</v>
      </c>
    </row>
    <row r="436" spans="1:47" x14ac:dyDescent="0.25">
      <c r="A436" t="s">
        <v>761</v>
      </c>
      <c r="B436" t="s">
        <v>762</v>
      </c>
      <c r="C436">
        <v>2</v>
      </c>
      <c r="D436">
        <v>2</v>
      </c>
      <c r="E436" t="s">
        <v>382</v>
      </c>
      <c r="F436" t="s">
        <v>207</v>
      </c>
      <c r="G436" t="s">
        <v>683</v>
      </c>
      <c r="H436" s="11" t="s">
        <v>715</v>
      </c>
      <c r="I436">
        <v>62972</v>
      </c>
      <c r="J436" s="22">
        <v>44124</v>
      </c>
      <c r="K436" s="22">
        <v>44188</v>
      </c>
      <c r="L436">
        <v>202012</v>
      </c>
      <c r="M436" s="22">
        <v>44166</v>
      </c>
      <c r="N436">
        <v>77871</v>
      </c>
      <c r="O436" t="s">
        <v>699</v>
      </c>
      <c r="P436" t="s">
        <v>604</v>
      </c>
      <c r="Q436" t="s">
        <v>378</v>
      </c>
      <c r="R436">
        <v>483716156</v>
      </c>
      <c r="S436" s="22">
        <v>44768</v>
      </c>
      <c r="T436">
        <v>50000</v>
      </c>
      <c r="U436" t="s">
        <v>357</v>
      </c>
      <c r="V436" s="22">
        <v>44817</v>
      </c>
      <c r="W436" t="s">
        <v>681</v>
      </c>
      <c r="X436" t="s">
        <v>24</v>
      </c>
      <c r="Y436" t="s">
        <v>682</v>
      </c>
      <c r="Z436" t="s">
        <v>14</v>
      </c>
      <c r="AA436">
        <v>-55.12</v>
      </c>
      <c r="AC436" s="2">
        <f t="shared" si="84"/>
        <v>2022</v>
      </c>
      <c r="AD436" s="2">
        <f t="shared" si="85"/>
        <v>9</v>
      </c>
      <c r="AE436" s="2">
        <f t="shared" si="86"/>
        <v>2020</v>
      </c>
      <c r="AF436" s="2">
        <f t="shared" si="87"/>
        <v>10</v>
      </c>
      <c r="AG436" s="2" t="str">
        <f>VLOOKUP(F436,vlookup!$A$2:$E$660,2,0)</f>
        <v>Retained</v>
      </c>
      <c r="AH436" s="2" t="str">
        <f>VLOOKUP(F436,vlookup!$A$2:$E$660,3,0)</f>
        <v>Service Contract</v>
      </c>
      <c r="AI436" s="2" t="str">
        <f>VLOOKUP(F436,vlookup!$A$2:$E$660,4,0)</f>
        <v>Used Car Programs</v>
      </c>
      <c r="AJ436" s="2" t="str">
        <f>VLOOKUP(F436,vlookup!$A$2:$E$660,5,0)</f>
        <v>High Mileage</v>
      </c>
      <c r="AK436" s="2"/>
      <c r="AL436" s="2">
        <f t="shared" si="88"/>
        <v>63</v>
      </c>
      <c r="AM436" s="2">
        <f t="shared" si="89"/>
        <v>683</v>
      </c>
      <c r="AN436" s="2" t="str">
        <f t="shared" si="90"/>
        <v/>
      </c>
      <c r="AO436" s="2" t="str">
        <f t="shared" si="91"/>
        <v/>
      </c>
      <c r="AP436" s="2" t="str">
        <f t="shared" si="92"/>
        <v/>
      </c>
      <c r="AQ436" s="2" t="str">
        <f t="shared" si="93"/>
        <v/>
      </c>
      <c r="AR436" s="2">
        <f t="shared" si="94"/>
        <v>-55.12</v>
      </c>
      <c r="AS436" s="2" t="str">
        <f t="shared" si="95"/>
        <v>APC500211-2</v>
      </c>
      <c r="AT436" s="2" t="str">
        <f>IFERROR(IF(VLOOKUP(Y436,vlookup!$I$2:$J$9,1,0)=Y436,VLOOKUP(Y436,vlookup!$I$2:$J$9,2,0),PROPER(Y436)),PROPER(Y436))</f>
        <v>Towing &amp; Roadside</v>
      </c>
      <c r="AU436" s="2" t="str">
        <f>IFERROR(IF(B436=VLOOKUP(B436,vlookup!$L$2:$L$10,1,0),"Yes","No"),"No")</f>
        <v>No</v>
      </c>
    </row>
    <row r="437" spans="1:47" x14ac:dyDescent="0.25">
      <c r="A437" t="s">
        <v>850</v>
      </c>
      <c r="B437" t="s">
        <v>851</v>
      </c>
      <c r="C437">
        <v>1</v>
      </c>
      <c r="D437">
        <v>1</v>
      </c>
      <c r="E437" t="s">
        <v>382</v>
      </c>
      <c r="F437" t="s">
        <v>191</v>
      </c>
      <c r="G437" t="s">
        <v>683</v>
      </c>
      <c r="H437" s="11" t="s">
        <v>852</v>
      </c>
      <c r="I437">
        <v>25001</v>
      </c>
      <c r="J437" s="22">
        <v>44340</v>
      </c>
      <c r="K437" s="22">
        <v>44399</v>
      </c>
      <c r="L437">
        <v>202107</v>
      </c>
      <c r="M437" s="22">
        <v>44378</v>
      </c>
      <c r="N437">
        <v>77871</v>
      </c>
      <c r="O437" t="s">
        <v>699</v>
      </c>
      <c r="P437" t="s">
        <v>712</v>
      </c>
      <c r="Q437" t="s">
        <v>612</v>
      </c>
      <c r="R437">
        <v>124094</v>
      </c>
      <c r="S437" s="22">
        <v>44880</v>
      </c>
      <c r="T437">
        <v>50073</v>
      </c>
      <c r="U437" t="s">
        <v>356</v>
      </c>
      <c r="V437" s="22">
        <v>44882</v>
      </c>
      <c r="W437" t="s">
        <v>681</v>
      </c>
      <c r="X437" t="s">
        <v>24</v>
      </c>
      <c r="Y437" t="s">
        <v>24</v>
      </c>
      <c r="Z437" t="s">
        <v>14</v>
      </c>
      <c r="AA437">
        <v>-135</v>
      </c>
      <c r="AC437" s="2">
        <f t="shared" si="84"/>
        <v>2022</v>
      </c>
      <c r="AD437" s="2">
        <f t="shared" si="85"/>
        <v>11</v>
      </c>
      <c r="AE437" s="2">
        <f t="shared" si="86"/>
        <v>2021</v>
      </c>
      <c r="AF437" s="2">
        <f t="shared" si="87"/>
        <v>5</v>
      </c>
      <c r="AG437" s="2" t="str">
        <f>VLOOKUP(F437,vlookup!$A$2:$E$660,2,0)</f>
        <v>Retained</v>
      </c>
      <c r="AH437" s="2" t="str">
        <f>VLOOKUP(F437,vlookup!$A$2:$E$660,3,0)</f>
        <v>Service Contract</v>
      </c>
      <c r="AI437" s="2" t="str">
        <f>VLOOKUP(F437,vlookup!$A$2:$E$660,4,0)</f>
        <v>New Car Programs</v>
      </c>
      <c r="AJ437" s="2" t="str">
        <f>VLOOKUP(F437,vlookup!$A$2:$E$660,5,0)</f>
        <v>High Mileage</v>
      </c>
      <c r="AK437" s="2"/>
      <c r="AL437" s="2">
        <f t="shared" si="88"/>
        <v>58</v>
      </c>
      <c r="AM437" s="2">
        <f t="shared" si="89"/>
        <v>533</v>
      </c>
      <c r="AN437" s="2">
        <f t="shared" si="90"/>
        <v>25072</v>
      </c>
      <c r="AO437" s="2" t="str">
        <f t="shared" si="91"/>
        <v/>
      </c>
      <c r="AP437" s="2" t="str">
        <f t="shared" si="92"/>
        <v/>
      </c>
      <c r="AQ437" s="2" t="str">
        <f t="shared" si="93"/>
        <v/>
      </c>
      <c r="AR437" s="2">
        <f t="shared" si="94"/>
        <v>-135</v>
      </c>
      <c r="AS437" s="2" t="str">
        <f t="shared" si="95"/>
        <v>APC100294-1</v>
      </c>
      <c r="AT437" s="2" t="str">
        <f>IFERROR(IF(VLOOKUP(Y437,vlookup!$I$2:$J$9,1,0)=Y437,VLOOKUP(Y437,vlookup!$I$2:$J$9,2,0),PROPER(Y437)),PROPER(Y437))</f>
        <v>Towing &amp; Roadside</v>
      </c>
      <c r="AU437" s="2" t="str">
        <f>IFERROR(IF(B437=VLOOKUP(B437,vlookup!$L$2:$L$10,1,0),"Yes","No"),"No")</f>
        <v>No</v>
      </c>
    </row>
    <row r="438" spans="1:47" x14ac:dyDescent="0.25">
      <c r="I438"/>
      <c r="R438"/>
      <c r="U438"/>
      <c r="AC438" s="2"/>
      <c r="AD438" s="2"/>
      <c r="AE438" s="2"/>
      <c r="AF438" s="2"/>
      <c r="AG438" s="2"/>
      <c r="AH438" s="2" t="e">
        <f>VLOOKUP(F438,vlookup!$A$2:$E$660,3,0)</f>
        <v>#N/A</v>
      </c>
      <c r="AI438" s="2"/>
      <c r="AJ438" s="2"/>
      <c r="AK438" s="2"/>
      <c r="AL438" s="2"/>
      <c r="AM438" s="2"/>
      <c r="AO438" s="2"/>
      <c r="AP438" s="2"/>
      <c r="AQ438" s="2"/>
      <c r="AR438" s="2"/>
      <c r="AS438" s="2"/>
      <c r="AT438" s="2"/>
      <c r="AU438" s="2"/>
    </row>
    <row r="439" spans="1:47" x14ac:dyDescent="0.25">
      <c r="I439"/>
      <c r="R439"/>
      <c r="U439"/>
      <c r="AC439" s="2"/>
      <c r="AD439" s="2"/>
      <c r="AE439" s="2"/>
      <c r="AF439" s="2"/>
      <c r="AG439" s="2"/>
      <c r="AH439" s="2" t="e">
        <f>VLOOKUP(F439,vlookup!$A$2:$E$660,3,0)</f>
        <v>#N/A</v>
      </c>
      <c r="AI439" s="2"/>
      <c r="AJ439" s="2"/>
      <c r="AK439" s="2"/>
      <c r="AL439" s="2"/>
      <c r="AM439" s="2"/>
      <c r="AO439" s="2"/>
      <c r="AP439" s="2"/>
      <c r="AQ439" s="2"/>
      <c r="AR439" s="2"/>
      <c r="AS439" s="2"/>
      <c r="AT439" s="2"/>
      <c r="AU439" s="2"/>
    </row>
    <row r="440" spans="1:47" x14ac:dyDescent="0.25">
      <c r="I440"/>
      <c r="R440"/>
      <c r="U440"/>
      <c r="AC440" s="2"/>
      <c r="AD440" s="2"/>
      <c r="AE440" s="2"/>
      <c r="AF440" s="2"/>
      <c r="AG440" s="2"/>
      <c r="AH440" s="2" t="e">
        <f>VLOOKUP(F440,vlookup!$A$2:$E$660,3,0)</f>
        <v>#N/A</v>
      </c>
      <c r="AI440" s="2"/>
      <c r="AJ440" s="2"/>
      <c r="AK440" s="2"/>
      <c r="AL440" s="2"/>
      <c r="AM440" s="2"/>
      <c r="AO440" s="2"/>
      <c r="AP440" s="2"/>
      <c r="AQ440" s="2"/>
      <c r="AR440" s="2"/>
      <c r="AS440" s="2"/>
      <c r="AT440" s="2"/>
      <c r="AU440" s="2"/>
    </row>
    <row r="441" spans="1:47" x14ac:dyDescent="0.25">
      <c r="I441"/>
      <c r="R441"/>
      <c r="U441"/>
      <c r="AC441" s="2"/>
      <c r="AD441" s="2"/>
      <c r="AE441" s="2"/>
      <c r="AF441" s="2"/>
      <c r="AG441" s="2"/>
      <c r="AH441" s="2" t="e">
        <f>VLOOKUP(F441,vlookup!$A$2:$E$660,3,0)</f>
        <v>#N/A</v>
      </c>
      <c r="AI441" s="2"/>
      <c r="AJ441" s="2"/>
      <c r="AK441" s="2"/>
      <c r="AL441" s="2"/>
      <c r="AM441" s="2"/>
      <c r="AO441" s="2"/>
      <c r="AP441" s="2"/>
      <c r="AQ441" s="2"/>
      <c r="AR441" s="2"/>
      <c r="AS441" s="2"/>
      <c r="AT441" s="2"/>
      <c r="AU441" s="2"/>
    </row>
    <row r="442" spans="1:47" x14ac:dyDescent="0.25">
      <c r="I442"/>
      <c r="R442"/>
      <c r="U442"/>
      <c r="AC442" s="2"/>
      <c r="AD442" s="2"/>
      <c r="AE442" s="2"/>
      <c r="AF442" s="2"/>
      <c r="AG442" s="2"/>
      <c r="AH442" s="2" t="e">
        <f>VLOOKUP(F442,vlookup!$A$2:$E$660,3,0)</f>
        <v>#N/A</v>
      </c>
      <c r="AI442" s="2"/>
      <c r="AJ442" s="2"/>
      <c r="AK442" s="2"/>
      <c r="AL442" s="2"/>
      <c r="AM442" s="2"/>
      <c r="AO442" s="2"/>
      <c r="AP442" s="2"/>
      <c r="AQ442" s="2"/>
      <c r="AR442" s="2"/>
      <c r="AS442" s="2"/>
      <c r="AT442" s="2"/>
      <c r="AU442" s="2"/>
    </row>
    <row r="443" spans="1:47" x14ac:dyDescent="0.25">
      <c r="I443"/>
      <c r="R443"/>
      <c r="U443"/>
      <c r="AC443" s="2"/>
      <c r="AD443" s="2"/>
      <c r="AE443" s="2"/>
      <c r="AF443" s="2"/>
      <c r="AG443" s="2"/>
      <c r="AH443" s="2" t="e">
        <f>VLOOKUP(F443,vlookup!$A$2:$E$660,3,0)</f>
        <v>#N/A</v>
      </c>
      <c r="AI443" s="2"/>
      <c r="AJ443" s="2"/>
      <c r="AK443" s="2"/>
      <c r="AL443" s="2"/>
      <c r="AM443" s="2"/>
      <c r="AO443" s="2"/>
      <c r="AP443" s="2"/>
      <c r="AQ443" s="2"/>
      <c r="AR443" s="2"/>
      <c r="AS443" s="2"/>
      <c r="AT443" s="2"/>
      <c r="AU443" s="2"/>
    </row>
    <row r="444" spans="1:47" x14ac:dyDescent="0.25">
      <c r="I444"/>
      <c r="R444"/>
      <c r="U444"/>
      <c r="AC444" s="2"/>
      <c r="AD444" s="2"/>
      <c r="AE444" s="2"/>
      <c r="AF444" s="2"/>
      <c r="AG444" s="2"/>
      <c r="AH444" s="2" t="e">
        <f>VLOOKUP(F444,vlookup!$A$2:$E$660,3,0)</f>
        <v>#N/A</v>
      </c>
      <c r="AI444" s="2"/>
      <c r="AJ444" s="2"/>
      <c r="AK444" s="2"/>
      <c r="AL444" s="2"/>
      <c r="AM444" s="2"/>
      <c r="AO444" s="2"/>
      <c r="AP444" s="2"/>
      <c r="AQ444" s="2"/>
      <c r="AR444" s="2"/>
      <c r="AS444" s="2"/>
      <c r="AT444" s="2"/>
      <c r="AU444" s="2"/>
    </row>
    <row r="445" spans="1:47" x14ac:dyDescent="0.25">
      <c r="I445"/>
      <c r="R445"/>
      <c r="U445"/>
      <c r="AC445" s="2"/>
      <c r="AD445" s="2"/>
      <c r="AE445" s="2"/>
      <c r="AF445" s="2"/>
      <c r="AG445" s="2"/>
      <c r="AH445" s="2" t="e">
        <f>VLOOKUP(F445,vlookup!$A$2:$E$660,3,0)</f>
        <v>#N/A</v>
      </c>
      <c r="AI445" s="2"/>
      <c r="AJ445" s="2"/>
      <c r="AK445" s="2"/>
      <c r="AL445" s="2"/>
      <c r="AM445" s="2"/>
      <c r="AO445" s="2"/>
      <c r="AP445" s="2"/>
      <c r="AQ445" s="2"/>
      <c r="AR445" s="2"/>
      <c r="AS445" s="2"/>
      <c r="AT445" s="2"/>
      <c r="AU445" s="2"/>
    </row>
    <row r="446" spans="1:47" x14ac:dyDescent="0.25">
      <c r="I446"/>
      <c r="R446"/>
      <c r="U446"/>
      <c r="AC446" s="2"/>
      <c r="AD446" s="2"/>
      <c r="AE446" s="2"/>
      <c r="AF446" s="2"/>
      <c r="AG446" s="2"/>
      <c r="AH446" s="2" t="e">
        <f>VLOOKUP(F446,vlookup!$A$2:$E$660,3,0)</f>
        <v>#N/A</v>
      </c>
      <c r="AI446" s="2"/>
      <c r="AJ446" s="2"/>
      <c r="AK446" s="2"/>
      <c r="AL446" s="2"/>
      <c r="AM446" s="2"/>
      <c r="AO446" s="2"/>
      <c r="AP446" s="2"/>
      <c r="AQ446" s="2"/>
      <c r="AR446" s="2"/>
      <c r="AS446" s="2"/>
      <c r="AT446" s="2"/>
      <c r="AU446" s="2"/>
    </row>
    <row r="447" spans="1:47" x14ac:dyDescent="0.25">
      <c r="I447"/>
      <c r="R447"/>
      <c r="U447"/>
      <c r="AC447" s="2"/>
      <c r="AD447" s="2"/>
      <c r="AE447" s="2"/>
      <c r="AF447" s="2"/>
      <c r="AG447" s="2"/>
      <c r="AH447" s="2" t="e">
        <f>VLOOKUP(F447,vlookup!$A$2:$E$660,3,0)</f>
        <v>#N/A</v>
      </c>
      <c r="AI447" s="2"/>
      <c r="AJ447" s="2"/>
      <c r="AK447" s="2"/>
      <c r="AL447" s="2"/>
      <c r="AM447" s="2"/>
      <c r="AO447" s="2"/>
      <c r="AP447" s="2"/>
      <c r="AQ447" s="2"/>
      <c r="AR447" s="2"/>
      <c r="AS447" s="2"/>
      <c r="AT447" s="2"/>
      <c r="AU447" s="2"/>
    </row>
    <row r="448" spans="1:47" x14ac:dyDescent="0.25">
      <c r="I448"/>
      <c r="R448"/>
      <c r="U448"/>
      <c r="AC448" s="2"/>
      <c r="AD448" s="2"/>
      <c r="AE448" s="2"/>
      <c r="AF448" s="2"/>
      <c r="AG448" s="2"/>
      <c r="AH448" s="2" t="e">
        <f>VLOOKUP(F448,vlookup!$A$2:$E$660,3,0)</f>
        <v>#N/A</v>
      </c>
      <c r="AI448" s="2"/>
      <c r="AJ448" s="2"/>
      <c r="AK448" s="2"/>
      <c r="AL448" s="2"/>
      <c r="AM448" s="2"/>
      <c r="AO448" s="2"/>
      <c r="AP448" s="2"/>
      <c r="AQ448" s="2"/>
      <c r="AR448" s="2"/>
      <c r="AS448" s="2"/>
      <c r="AT448" s="2"/>
      <c r="AU448" s="2"/>
    </row>
    <row r="449" spans="9:47" x14ac:dyDescent="0.25">
      <c r="I449"/>
      <c r="R449"/>
      <c r="U449"/>
      <c r="AC449" s="2"/>
      <c r="AD449" s="2"/>
      <c r="AE449" s="2"/>
      <c r="AF449" s="2"/>
      <c r="AG449" s="2"/>
      <c r="AH449" s="2" t="e">
        <f>VLOOKUP(F449,vlookup!$A$2:$E$660,3,0)</f>
        <v>#N/A</v>
      </c>
      <c r="AI449" s="2"/>
      <c r="AJ449" s="2"/>
      <c r="AK449" s="2"/>
      <c r="AL449" s="2"/>
      <c r="AM449" s="2"/>
      <c r="AO449" s="2"/>
      <c r="AP449" s="2"/>
      <c r="AQ449" s="2"/>
      <c r="AR449" s="2"/>
      <c r="AS449" s="2"/>
      <c r="AT449" s="2"/>
      <c r="AU449" s="2"/>
    </row>
    <row r="450" spans="9:47" x14ac:dyDescent="0.25">
      <c r="I450"/>
      <c r="R450"/>
      <c r="U450"/>
      <c r="AC450" s="2"/>
      <c r="AD450" s="2"/>
      <c r="AE450" s="2"/>
      <c r="AF450" s="2"/>
      <c r="AG450" s="2"/>
      <c r="AH450" s="2" t="e">
        <f>VLOOKUP(F450,vlookup!$A$2:$E$660,3,0)</f>
        <v>#N/A</v>
      </c>
      <c r="AI450" s="2"/>
      <c r="AJ450" s="2"/>
      <c r="AK450" s="2"/>
      <c r="AL450" s="2"/>
      <c r="AM450" s="2"/>
      <c r="AO450" s="2"/>
      <c r="AP450" s="2"/>
      <c r="AQ450" s="2"/>
      <c r="AR450" s="2"/>
      <c r="AS450" s="2"/>
      <c r="AT450" s="2"/>
      <c r="AU450" s="2"/>
    </row>
    <row r="451" spans="9:47" x14ac:dyDescent="0.25">
      <c r="I451"/>
      <c r="R451"/>
      <c r="U451"/>
      <c r="AC451" s="2"/>
      <c r="AD451" s="2"/>
      <c r="AE451" s="2"/>
      <c r="AF451" s="2"/>
      <c r="AG451" s="2"/>
      <c r="AH451" s="2" t="e">
        <f>VLOOKUP(F451,vlookup!$A$2:$E$660,3,0)</f>
        <v>#N/A</v>
      </c>
      <c r="AI451" s="2"/>
      <c r="AJ451" s="2"/>
      <c r="AK451" s="2"/>
      <c r="AL451" s="2"/>
      <c r="AM451" s="2"/>
      <c r="AO451" s="2"/>
      <c r="AP451" s="2"/>
      <c r="AQ451" s="2"/>
      <c r="AR451" s="2"/>
      <c r="AS451" s="2"/>
      <c r="AT451" s="2"/>
      <c r="AU451" s="2"/>
    </row>
    <row r="452" spans="9:47" x14ac:dyDescent="0.25">
      <c r="I452"/>
      <c r="R452"/>
      <c r="U452"/>
      <c r="AC452" s="2"/>
      <c r="AD452" s="2"/>
      <c r="AE452" s="2"/>
      <c r="AF452" s="2"/>
      <c r="AG452" s="2"/>
      <c r="AH452" s="2" t="e">
        <f>VLOOKUP(F452,vlookup!$A$2:$E$660,3,0)</f>
        <v>#N/A</v>
      </c>
      <c r="AI452" s="2"/>
      <c r="AJ452" s="2"/>
      <c r="AK452" s="2"/>
      <c r="AL452" s="2"/>
      <c r="AM452" s="2"/>
      <c r="AO452" s="2"/>
      <c r="AP452" s="2"/>
      <c r="AQ452" s="2"/>
      <c r="AR452" s="2"/>
      <c r="AS452" s="2"/>
      <c r="AT452" s="2"/>
      <c r="AU452" s="2"/>
    </row>
    <row r="453" spans="9:47" x14ac:dyDescent="0.25">
      <c r="I453"/>
      <c r="R453"/>
      <c r="U453"/>
      <c r="AC453" s="2"/>
      <c r="AD453" s="2"/>
      <c r="AE453" s="2"/>
      <c r="AF453" s="2"/>
      <c r="AG453" s="2"/>
      <c r="AH453" s="2" t="e">
        <f>VLOOKUP(F453,vlookup!$A$2:$E$660,3,0)</f>
        <v>#N/A</v>
      </c>
      <c r="AI453" s="2"/>
      <c r="AJ453" s="2"/>
      <c r="AK453" s="2"/>
      <c r="AL453" s="2"/>
      <c r="AM453" s="2"/>
      <c r="AO453" s="2"/>
      <c r="AP453" s="2"/>
      <c r="AQ453" s="2"/>
      <c r="AR453" s="2"/>
      <c r="AS453" s="2"/>
      <c r="AT453" s="2"/>
      <c r="AU453" s="2"/>
    </row>
    <row r="454" spans="9:47" x14ac:dyDescent="0.25">
      <c r="I454"/>
      <c r="R454"/>
      <c r="U454"/>
      <c r="AC454" s="2"/>
      <c r="AD454" s="2"/>
      <c r="AE454" s="2"/>
      <c r="AF454" s="2"/>
      <c r="AG454" s="2"/>
      <c r="AH454" s="2" t="e">
        <f>VLOOKUP(F454,vlookup!$A$2:$E$660,3,0)</f>
        <v>#N/A</v>
      </c>
      <c r="AI454" s="2"/>
      <c r="AJ454" s="2"/>
      <c r="AK454" s="2"/>
      <c r="AL454" s="2"/>
      <c r="AM454" s="2"/>
      <c r="AO454" s="2"/>
      <c r="AP454" s="2"/>
      <c r="AQ454" s="2"/>
      <c r="AR454" s="2"/>
      <c r="AS454" s="2"/>
      <c r="AT454" s="2"/>
      <c r="AU454" s="2"/>
    </row>
    <row r="455" spans="9:47" x14ac:dyDescent="0.25">
      <c r="I455"/>
      <c r="R455"/>
      <c r="U455"/>
      <c r="AC455" s="2"/>
      <c r="AD455" s="2"/>
      <c r="AE455" s="2"/>
      <c r="AF455" s="2"/>
      <c r="AG455" s="2"/>
      <c r="AH455" s="2" t="e">
        <f>VLOOKUP(F455,vlookup!$A$2:$E$660,3,0)</f>
        <v>#N/A</v>
      </c>
      <c r="AI455" s="2"/>
      <c r="AJ455" s="2"/>
      <c r="AK455" s="2"/>
      <c r="AL455" s="2"/>
      <c r="AM455" s="2"/>
      <c r="AO455" s="2"/>
      <c r="AP455" s="2"/>
      <c r="AQ455" s="2"/>
      <c r="AR455" s="2"/>
      <c r="AS455" s="2"/>
      <c r="AT455" s="2"/>
      <c r="AU455" s="2"/>
    </row>
    <row r="456" spans="9:47" x14ac:dyDescent="0.25">
      <c r="I456"/>
      <c r="R456"/>
      <c r="U456"/>
      <c r="AC456" s="2"/>
      <c r="AD456" s="2"/>
      <c r="AE456" s="2"/>
      <c r="AF456" s="2"/>
      <c r="AG456" s="2"/>
      <c r="AH456" s="2" t="e">
        <f>VLOOKUP(F456,vlookup!$A$2:$E$660,3,0)</f>
        <v>#N/A</v>
      </c>
      <c r="AI456" s="2"/>
      <c r="AJ456" s="2"/>
      <c r="AK456" s="2"/>
      <c r="AL456" s="2"/>
      <c r="AM456" s="2"/>
      <c r="AO456" s="2"/>
      <c r="AP456" s="2"/>
      <c r="AQ456" s="2"/>
      <c r="AR456" s="2"/>
      <c r="AS456" s="2"/>
      <c r="AT456" s="2"/>
      <c r="AU456" s="2"/>
    </row>
    <row r="457" spans="9:47" x14ac:dyDescent="0.25">
      <c r="I457"/>
      <c r="R457"/>
      <c r="U457"/>
      <c r="AC457" s="2"/>
      <c r="AD457" s="2"/>
      <c r="AE457" s="2"/>
      <c r="AF457" s="2"/>
      <c r="AG457" s="2"/>
      <c r="AH457" s="2" t="e">
        <f>VLOOKUP(F457,vlookup!$A$2:$E$660,3,0)</f>
        <v>#N/A</v>
      </c>
      <c r="AI457" s="2"/>
      <c r="AJ457" s="2"/>
      <c r="AK457" s="2"/>
      <c r="AL457" s="2"/>
      <c r="AM457" s="2"/>
      <c r="AO457" s="2"/>
      <c r="AP457" s="2"/>
      <c r="AQ457" s="2"/>
      <c r="AR457" s="2"/>
      <c r="AS457" s="2"/>
      <c r="AT457" s="2"/>
      <c r="AU457" s="2"/>
    </row>
    <row r="458" spans="9:47" x14ac:dyDescent="0.25">
      <c r="I458"/>
      <c r="R458"/>
      <c r="U458"/>
      <c r="AC458" s="2"/>
      <c r="AD458" s="2"/>
      <c r="AE458" s="2"/>
      <c r="AF458" s="2"/>
      <c r="AG458" s="2"/>
      <c r="AH458" s="2" t="e">
        <f>VLOOKUP(F458,vlookup!$A$2:$E$660,3,0)</f>
        <v>#N/A</v>
      </c>
      <c r="AI458" s="2"/>
      <c r="AJ458" s="2"/>
      <c r="AK458" s="2"/>
      <c r="AL458" s="2"/>
      <c r="AM458" s="2"/>
      <c r="AO458" s="2"/>
      <c r="AP458" s="2"/>
      <c r="AQ458" s="2"/>
      <c r="AR458" s="2"/>
      <c r="AS458" s="2"/>
      <c r="AT458" s="2"/>
      <c r="AU458" s="2"/>
    </row>
    <row r="459" spans="9:47" x14ac:dyDescent="0.25">
      <c r="I459"/>
      <c r="R459"/>
      <c r="U459"/>
      <c r="AC459" s="2"/>
      <c r="AD459" s="2"/>
      <c r="AE459" s="2"/>
      <c r="AF459" s="2"/>
      <c r="AG459" s="2"/>
      <c r="AH459" s="2" t="e">
        <f>VLOOKUP(F459,vlookup!$A$2:$E$660,3,0)</f>
        <v>#N/A</v>
      </c>
      <c r="AI459" s="2"/>
      <c r="AJ459" s="2"/>
      <c r="AK459" s="2"/>
      <c r="AL459" s="2"/>
      <c r="AM459" s="2"/>
      <c r="AO459" s="2"/>
      <c r="AP459" s="2"/>
      <c r="AQ459" s="2"/>
      <c r="AR459" s="2"/>
      <c r="AS459" s="2"/>
      <c r="AT459" s="2"/>
      <c r="AU459" s="2"/>
    </row>
    <row r="460" spans="9:47" x14ac:dyDescent="0.25">
      <c r="I460"/>
      <c r="R460"/>
      <c r="U460"/>
      <c r="AC460" s="2"/>
      <c r="AD460" s="2"/>
      <c r="AE460" s="2"/>
      <c r="AF460" s="2"/>
      <c r="AG460" s="2"/>
      <c r="AH460" s="2" t="e">
        <f>VLOOKUP(F460,vlookup!$A$2:$E$660,3,0)</f>
        <v>#N/A</v>
      </c>
      <c r="AI460" s="2"/>
      <c r="AJ460" s="2"/>
      <c r="AK460" s="2"/>
      <c r="AL460" s="2"/>
      <c r="AM460" s="2"/>
      <c r="AO460" s="2"/>
      <c r="AP460" s="2"/>
      <c r="AQ460" s="2"/>
      <c r="AR460" s="2"/>
      <c r="AS460" s="2"/>
      <c r="AT460" s="2"/>
      <c r="AU460" s="2"/>
    </row>
    <row r="461" spans="9:47" x14ac:dyDescent="0.25">
      <c r="I461"/>
      <c r="R461"/>
      <c r="U461"/>
      <c r="AC461" s="2"/>
      <c r="AD461" s="2"/>
      <c r="AE461" s="2"/>
      <c r="AF461" s="2"/>
      <c r="AG461" s="2"/>
      <c r="AH461" s="2" t="e">
        <f>VLOOKUP(F461,vlookup!$A$2:$E$660,3,0)</f>
        <v>#N/A</v>
      </c>
      <c r="AI461" s="2"/>
      <c r="AJ461" s="2"/>
      <c r="AK461" s="2"/>
      <c r="AL461" s="2"/>
      <c r="AM461" s="2"/>
      <c r="AO461" s="2"/>
      <c r="AP461" s="2"/>
      <c r="AQ461" s="2"/>
      <c r="AR461" s="2"/>
      <c r="AS461" s="2"/>
      <c r="AT461" s="2"/>
      <c r="AU461" s="2"/>
    </row>
    <row r="462" spans="9:47" x14ac:dyDescent="0.25">
      <c r="I462"/>
      <c r="R462"/>
      <c r="U462"/>
      <c r="AC462" s="2"/>
      <c r="AD462" s="2"/>
      <c r="AE462" s="2"/>
      <c r="AF462" s="2"/>
      <c r="AG462" s="2"/>
      <c r="AH462" s="2" t="e">
        <f>VLOOKUP(F462,vlookup!$A$2:$E$660,3,0)</f>
        <v>#N/A</v>
      </c>
      <c r="AI462" s="2"/>
      <c r="AJ462" s="2"/>
      <c r="AK462" s="2"/>
      <c r="AL462" s="2"/>
      <c r="AM462" s="2"/>
      <c r="AO462" s="2"/>
      <c r="AP462" s="2"/>
      <c r="AQ462" s="2"/>
      <c r="AR462" s="2"/>
      <c r="AS462" s="2"/>
      <c r="AT462" s="2"/>
      <c r="AU462" s="2"/>
    </row>
    <row r="463" spans="9:47" x14ac:dyDescent="0.25">
      <c r="I463"/>
      <c r="R463"/>
      <c r="U463"/>
      <c r="AC463" s="2"/>
      <c r="AD463" s="2"/>
      <c r="AE463" s="2"/>
      <c r="AF463" s="2"/>
      <c r="AG463" s="2"/>
      <c r="AH463" s="2" t="e">
        <f>VLOOKUP(F463,vlookup!$A$2:$E$660,3,0)</f>
        <v>#N/A</v>
      </c>
      <c r="AI463" s="2"/>
      <c r="AJ463" s="2"/>
      <c r="AK463" s="2"/>
      <c r="AL463" s="2"/>
      <c r="AM463" s="2"/>
      <c r="AO463" s="2"/>
      <c r="AP463" s="2"/>
      <c r="AQ463" s="2"/>
      <c r="AR463" s="2"/>
      <c r="AS463" s="2"/>
      <c r="AT463" s="2"/>
      <c r="AU463" s="2"/>
    </row>
    <row r="464" spans="9:47" x14ac:dyDescent="0.25">
      <c r="I464"/>
      <c r="R464"/>
      <c r="U464"/>
      <c r="AC464" s="2"/>
      <c r="AD464" s="2"/>
      <c r="AE464" s="2"/>
      <c r="AF464" s="2"/>
      <c r="AG464" s="2"/>
      <c r="AH464" s="2" t="e">
        <f>VLOOKUP(F464,vlookup!$A$2:$E$660,3,0)</f>
        <v>#N/A</v>
      </c>
      <c r="AI464" s="2"/>
      <c r="AJ464" s="2"/>
      <c r="AK464" s="2"/>
      <c r="AL464" s="2"/>
      <c r="AM464" s="2"/>
      <c r="AO464" s="2"/>
      <c r="AP464" s="2"/>
      <c r="AQ464" s="2"/>
      <c r="AR464" s="2"/>
      <c r="AS464" s="2"/>
      <c r="AT464" s="2"/>
      <c r="AU464" s="2"/>
    </row>
    <row r="465" spans="9:47" x14ac:dyDescent="0.25">
      <c r="I465"/>
      <c r="R465"/>
      <c r="U465"/>
      <c r="AC465" s="2"/>
      <c r="AD465" s="2"/>
      <c r="AE465" s="2"/>
      <c r="AF465" s="2"/>
      <c r="AG465" s="2"/>
      <c r="AH465" s="2" t="e">
        <f>VLOOKUP(F465,vlookup!$A$2:$E$660,3,0)</f>
        <v>#N/A</v>
      </c>
      <c r="AI465" s="2"/>
      <c r="AJ465" s="2"/>
      <c r="AK465" s="2"/>
      <c r="AL465" s="2"/>
      <c r="AM465" s="2"/>
      <c r="AO465" s="2"/>
      <c r="AP465" s="2"/>
      <c r="AQ465" s="2"/>
      <c r="AR465" s="2"/>
      <c r="AS465" s="2"/>
      <c r="AT465" s="2"/>
      <c r="AU465" s="2"/>
    </row>
    <row r="466" spans="9:47" x14ac:dyDescent="0.25">
      <c r="I466"/>
      <c r="R466"/>
      <c r="U466"/>
      <c r="AC466" s="2"/>
      <c r="AD466" s="2"/>
      <c r="AE466" s="2"/>
      <c r="AF466" s="2"/>
      <c r="AG466" s="2"/>
      <c r="AH466" s="2" t="e">
        <f>VLOOKUP(F466,vlookup!$A$2:$E$660,3,0)</f>
        <v>#N/A</v>
      </c>
      <c r="AI466" s="2"/>
      <c r="AJ466" s="2"/>
      <c r="AK466" s="2"/>
      <c r="AL466" s="2"/>
      <c r="AM466" s="2"/>
      <c r="AO466" s="2"/>
      <c r="AP466" s="2"/>
      <c r="AQ466" s="2"/>
      <c r="AR466" s="2"/>
      <c r="AS466" s="2"/>
      <c r="AT466" s="2"/>
      <c r="AU466" s="2"/>
    </row>
    <row r="467" spans="9:47" x14ac:dyDescent="0.25">
      <c r="I467"/>
      <c r="R467"/>
      <c r="U467"/>
      <c r="AC467" s="2"/>
      <c r="AD467" s="2"/>
      <c r="AE467" s="2"/>
      <c r="AF467" s="2"/>
      <c r="AG467" s="2"/>
      <c r="AH467" s="2" t="e">
        <f>VLOOKUP(F467,vlookup!$A$2:$E$660,3,0)</f>
        <v>#N/A</v>
      </c>
      <c r="AI467" s="2"/>
      <c r="AJ467" s="2"/>
      <c r="AK467" s="2"/>
      <c r="AL467" s="2"/>
      <c r="AM467" s="2"/>
      <c r="AO467" s="2"/>
      <c r="AP467" s="2"/>
      <c r="AQ467" s="2"/>
      <c r="AR467" s="2"/>
      <c r="AS467" s="2"/>
      <c r="AT467" s="2"/>
      <c r="AU467" s="2"/>
    </row>
    <row r="468" spans="9:47" x14ac:dyDescent="0.25">
      <c r="I468"/>
      <c r="R468"/>
      <c r="U468"/>
      <c r="AC468" s="2"/>
      <c r="AD468" s="2"/>
      <c r="AE468" s="2"/>
      <c r="AF468" s="2"/>
      <c r="AG468" s="2"/>
      <c r="AH468" s="2" t="e">
        <f>VLOOKUP(F468,vlookup!$A$2:$E$660,3,0)</f>
        <v>#N/A</v>
      </c>
      <c r="AI468" s="2"/>
      <c r="AJ468" s="2"/>
      <c r="AK468" s="2"/>
      <c r="AL468" s="2"/>
      <c r="AM468" s="2"/>
      <c r="AO468" s="2"/>
      <c r="AP468" s="2"/>
      <c r="AQ468" s="2"/>
      <c r="AR468" s="2"/>
      <c r="AS468" s="2"/>
      <c r="AT468" s="2"/>
      <c r="AU468" s="2"/>
    </row>
    <row r="469" spans="9:47" x14ac:dyDescent="0.25">
      <c r="I469"/>
      <c r="R469"/>
      <c r="U469"/>
      <c r="AC469" s="2"/>
      <c r="AD469" s="2"/>
      <c r="AE469" s="2"/>
      <c r="AF469" s="2"/>
      <c r="AG469" s="2"/>
      <c r="AH469" s="2" t="e">
        <f>VLOOKUP(F469,vlookup!$A$2:$E$660,3,0)</f>
        <v>#N/A</v>
      </c>
      <c r="AI469" s="2"/>
      <c r="AJ469" s="2"/>
      <c r="AK469" s="2"/>
      <c r="AL469" s="2"/>
      <c r="AM469" s="2"/>
      <c r="AO469" s="2"/>
      <c r="AP469" s="2"/>
      <c r="AQ469" s="2"/>
      <c r="AR469" s="2"/>
      <c r="AS469" s="2"/>
      <c r="AT469" s="2"/>
      <c r="AU469" s="2"/>
    </row>
    <row r="470" spans="9:47" x14ac:dyDescent="0.25">
      <c r="I470"/>
      <c r="R470"/>
      <c r="U470"/>
      <c r="AC470" s="2"/>
      <c r="AD470" s="2"/>
      <c r="AE470" s="2"/>
      <c r="AF470" s="2"/>
      <c r="AG470" s="2"/>
      <c r="AH470" s="2" t="e">
        <f>VLOOKUP(F470,vlookup!$A$2:$E$660,3,0)</f>
        <v>#N/A</v>
      </c>
      <c r="AI470" s="2"/>
      <c r="AJ470" s="2"/>
      <c r="AK470" s="2"/>
      <c r="AL470" s="2"/>
      <c r="AM470" s="2"/>
      <c r="AO470" s="2"/>
      <c r="AP470" s="2"/>
      <c r="AQ470" s="2"/>
      <c r="AR470" s="2"/>
      <c r="AS470" s="2"/>
      <c r="AT470" s="2"/>
      <c r="AU470" s="2"/>
    </row>
    <row r="471" spans="9:47" x14ac:dyDescent="0.25">
      <c r="I471"/>
      <c r="R471"/>
      <c r="U471"/>
      <c r="AC471" s="2"/>
      <c r="AD471" s="2"/>
      <c r="AE471" s="2"/>
      <c r="AF471" s="2"/>
      <c r="AG471" s="2"/>
      <c r="AH471" s="2" t="e">
        <f>VLOOKUP(F471,vlookup!$A$2:$E$660,3,0)</f>
        <v>#N/A</v>
      </c>
      <c r="AI471" s="2"/>
      <c r="AJ471" s="2"/>
      <c r="AK471" s="2"/>
      <c r="AL471" s="2"/>
      <c r="AM471" s="2"/>
      <c r="AO471" s="2"/>
      <c r="AP471" s="2"/>
      <c r="AQ471" s="2"/>
      <c r="AR471" s="2"/>
      <c r="AS471" s="2"/>
      <c r="AT471" s="2"/>
      <c r="AU471" s="2"/>
    </row>
    <row r="472" spans="9:47" x14ac:dyDescent="0.25">
      <c r="I472"/>
      <c r="R472"/>
      <c r="U472"/>
      <c r="AC472" s="2"/>
      <c r="AD472" s="2"/>
      <c r="AE472" s="2"/>
      <c r="AF472" s="2"/>
      <c r="AG472" s="2"/>
      <c r="AH472" s="2" t="e">
        <f>VLOOKUP(F472,vlookup!$A$2:$E$660,3,0)</f>
        <v>#N/A</v>
      </c>
      <c r="AI472" s="2"/>
      <c r="AJ472" s="2"/>
      <c r="AK472" s="2"/>
      <c r="AL472" s="2"/>
      <c r="AM472" s="2"/>
      <c r="AO472" s="2"/>
      <c r="AP472" s="2"/>
      <c r="AQ472" s="2"/>
      <c r="AR472" s="2"/>
      <c r="AS472" s="2"/>
      <c r="AT472" s="2"/>
      <c r="AU472" s="2"/>
    </row>
    <row r="473" spans="9:47" x14ac:dyDescent="0.25">
      <c r="I473"/>
      <c r="R473"/>
      <c r="U473"/>
      <c r="AC473" s="2"/>
      <c r="AD473" s="2"/>
      <c r="AE473" s="2"/>
      <c r="AF473" s="2"/>
      <c r="AG473" s="2"/>
      <c r="AH473" s="2" t="e">
        <f>VLOOKUP(F473,vlookup!$A$2:$E$660,3,0)</f>
        <v>#N/A</v>
      </c>
      <c r="AI473" s="2"/>
      <c r="AJ473" s="2"/>
      <c r="AK473" s="2"/>
      <c r="AL473" s="2"/>
      <c r="AM473" s="2"/>
      <c r="AO473" s="2"/>
      <c r="AP473" s="2"/>
      <c r="AQ473" s="2"/>
      <c r="AR473" s="2"/>
      <c r="AS473" s="2"/>
      <c r="AT473" s="2"/>
      <c r="AU473" s="2"/>
    </row>
    <row r="474" spans="9:47" x14ac:dyDescent="0.25">
      <c r="I474"/>
      <c r="R474"/>
      <c r="U474"/>
      <c r="AC474" s="2"/>
      <c r="AD474" s="2"/>
      <c r="AE474" s="2"/>
      <c r="AF474" s="2"/>
      <c r="AG474" s="2"/>
      <c r="AH474" s="2" t="e">
        <f>VLOOKUP(F474,vlookup!$A$2:$E$660,3,0)</f>
        <v>#N/A</v>
      </c>
      <c r="AI474" s="2"/>
      <c r="AJ474" s="2"/>
      <c r="AK474" s="2"/>
      <c r="AL474" s="2"/>
      <c r="AM474" s="2"/>
      <c r="AO474" s="2"/>
      <c r="AP474" s="2"/>
      <c r="AQ474" s="2"/>
      <c r="AR474" s="2"/>
      <c r="AS474" s="2"/>
      <c r="AT474" s="2"/>
      <c r="AU474" s="2"/>
    </row>
    <row r="475" spans="9:47" x14ac:dyDescent="0.25">
      <c r="I475"/>
      <c r="R475"/>
      <c r="U475"/>
      <c r="AC475" s="2"/>
      <c r="AD475" s="2"/>
      <c r="AE475" s="2"/>
      <c r="AF475" s="2"/>
      <c r="AG475" s="2"/>
      <c r="AH475" s="2" t="e">
        <f>VLOOKUP(F475,vlookup!$A$2:$E$660,3,0)</f>
        <v>#N/A</v>
      </c>
      <c r="AI475" s="2"/>
      <c r="AJ475" s="2"/>
      <c r="AK475" s="2"/>
      <c r="AL475" s="2"/>
      <c r="AM475" s="2"/>
      <c r="AO475" s="2"/>
      <c r="AP475" s="2"/>
      <c r="AQ475" s="2"/>
      <c r="AR475" s="2"/>
      <c r="AS475" s="2"/>
      <c r="AT475" s="2"/>
      <c r="AU475" s="2"/>
    </row>
    <row r="476" spans="9:47" x14ac:dyDescent="0.25">
      <c r="I476"/>
      <c r="R476"/>
      <c r="U476"/>
      <c r="AC476" s="2"/>
      <c r="AD476" s="2"/>
      <c r="AE476" s="2"/>
      <c r="AF476" s="2"/>
      <c r="AG476" s="2"/>
      <c r="AH476" s="2" t="e">
        <f>VLOOKUP(F476,vlookup!$A$2:$E$660,3,0)</f>
        <v>#N/A</v>
      </c>
      <c r="AI476" s="2"/>
      <c r="AJ476" s="2"/>
      <c r="AK476" s="2"/>
      <c r="AL476" s="2"/>
      <c r="AM476" s="2"/>
      <c r="AO476" s="2"/>
      <c r="AP476" s="2"/>
      <c r="AQ476" s="2"/>
      <c r="AR476" s="2"/>
      <c r="AS476" s="2"/>
      <c r="AT476" s="2"/>
      <c r="AU476" s="2"/>
    </row>
    <row r="477" spans="9:47" x14ac:dyDescent="0.25">
      <c r="I477"/>
      <c r="R477"/>
      <c r="U477"/>
      <c r="AC477" s="2"/>
      <c r="AD477" s="2"/>
      <c r="AE477" s="2"/>
      <c r="AF477" s="2"/>
      <c r="AG477" s="2"/>
      <c r="AH477" s="2" t="e">
        <f>VLOOKUP(F477,vlookup!$A$2:$E$660,3,0)</f>
        <v>#N/A</v>
      </c>
      <c r="AI477" s="2"/>
      <c r="AJ477" s="2"/>
      <c r="AK477" s="2"/>
      <c r="AL477" s="2"/>
      <c r="AM477" s="2"/>
      <c r="AO477" s="2"/>
      <c r="AP477" s="2"/>
      <c r="AQ477" s="2"/>
      <c r="AR477" s="2"/>
      <c r="AS477" s="2"/>
      <c r="AT477" s="2"/>
      <c r="AU477" s="2"/>
    </row>
    <row r="478" spans="9:47" x14ac:dyDescent="0.25">
      <c r="I478"/>
      <c r="R478"/>
      <c r="U478"/>
      <c r="AC478" s="2"/>
      <c r="AD478" s="2"/>
      <c r="AE478" s="2"/>
      <c r="AF478" s="2"/>
      <c r="AG478" s="2"/>
      <c r="AH478" s="2" t="e">
        <f>VLOOKUP(F478,vlookup!$A$2:$E$660,3,0)</f>
        <v>#N/A</v>
      </c>
      <c r="AI478" s="2"/>
      <c r="AJ478" s="2"/>
      <c r="AK478" s="2"/>
      <c r="AL478" s="2"/>
      <c r="AM478" s="2"/>
      <c r="AO478" s="2"/>
      <c r="AP478" s="2"/>
      <c r="AQ478" s="2"/>
      <c r="AR478" s="2"/>
      <c r="AS478" s="2"/>
      <c r="AT478" s="2"/>
      <c r="AU478" s="2"/>
    </row>
    <row r="479" spans="9:47" x14ac:dyDescent="0.25">
      <c r="I479"/>
      <c r="R479"/>
      <c r="U479"/>
      <c r="AC479" s="2"/>
      <c r="AD479" s="2"/>
      <c r="AE479" s="2"/>
      <c r="AF479" s="2"/>
      <c r="AG479" s="2"/>
      <c r="AH479" s="2" t="e">
        <f>VLOOKUP(F479,vlookup!$A$2:$E$660,3,0)</f>
        <v>#N/A</v>
      </c>
      <c r="AI479" s="2"/>
      <c r="AJ479" s="2"/>
      <c r="AK479" s="2"/>
      <c r="AL479" s="2"/>
      <c r="AM479" s="2"/>
      <c r="AO479" s="2"/>
      <c r="AP479" s="2"/>
      <c r="AQ479" s="2"/>
      <c r="AR479" s="2"/>
      <c r="AS479" s="2"/>
      <c r="AT479" s="2"/>
      <c r="AU479" s="2"/>
    </row>
    <row r="480" spans="9:47" x14ac:dyDescent="0.25">
      <c r="I480"/>
      <c r="R480"/>
      <c r="U480"/>
      <c r="AC480" s="2"/>
      <c r="AD480" s="2"/>
      <c r="AE480" s="2"/>
      <c r="AF480" s="2"/>
      <c r="AG480" s="2"/>
      <c r="AH480" s="2" t="e">
        <f>VLOOKUP(F480,vlookup!$A$2:$E$660,3,0)</f>
        <v>#N/A</v>
      </c>
      <c r="AI480" s="2"/>
      <c r="AJ480" s="2"/>
      <c r="AK480" s="2"/>
      <c r="AL480" s="2"/>
      <c r="AM480" s="2"/>
      <c r="AO480" s="2"/>
      <c r="AP480" s="2"/>
      <c r="AQ480" s="2"/>
      <c r="AR480" s="2"/>
      <c r="AS480" s="2"/>
      <c r="AT480" s="2"/>
      <c r="AU480" s="2"/>
    </row>
    <row r="481" spans="9:47" x14ac:dyDescent="0.25">
      <c r="I481"/>
      <c r="R481"/>
      <c r="U481"/>
      <c r="AC481" s="2"/>
      <c r="AD481" s="2"/>
      <c r="AE481" s="2"/>
      <c r="AF481" s="2"/>
      <c r="AG481" s="2"/>
      <c r="AH481" s="2" t="e">
        <f>VLOOKUP(F481,vlookup!$A$2:$E$660,3,0)</f>
        <v>#N/A</v>
      </c>
      <c r="AI481" s="2"/>
      <c r="AJ481" s="2"/>
      <c r="AK481" s="2"/>
      <c r="AL481" s="2"/>
      <c r="AM481" s="2"/>
      <c r="AO481" s="2"/>
      <c r="AP481" s="2"/>
      <c r="AQ481" s="2"/>
      <c r="AR481" s="2"/>
      <c r="AS481" s="2"/>
      <c r="AT481" s="2"/>
      <c r="AU481" s="2"/>
    </row>
    <row r="482" spans="9:47" x14ac:dyDescent="0.25">
      <c r="I482"/>
      <c r="R482"/>
      <c r="U482"/>
      <c r="AC482" s="2"/>
      <c r="AD482" s="2"/>
      <c r="AE482" s="2"/>
      <c r="AF482" s="2"/>
      <c r="AG482" s="2"/>
      <c r="AH482" s="2" t="e">
        <f>VLOOKUP(F482,vlookup!$A$2:$E$660,3,0)</f>
        <v>#N/A</v>
      </c>
      <c r="AI482" s="2"/>
      <c r="AJ482" s="2"/>
      <c r="AK482" s="2"/>
      <c r="AL482" s="2"/>
      <c r="AM482" s="2"/>
      <c r="AO482" s="2"/>
      <c r="AP482" s="2"/>
      <c r="AQ482" s="2"/>
      <c r="AR482" s="2"/>
      <c r="AS482" s="2"/>
      <c r="AT482" s="2"/>
      <c r="AU482" s="2"/>
    </row>
    <row r="483" spans="9:47" x14ac:dyDescent="0.25">
      <c r="I483"/>
      <c r="R483"/>
      <c r="U483"/>
      <c r="AC483" s="2"/>
      <c r="AD483" s="2"/>
      <c r="AE483" s="2"/>
      <c r="AF483" s="2"/>
      <c r="AG483" s="2"/>
      <c r="AH483" s="2" t="e">
        <f>VLOOKUP(F483,vlookup!$A$2:$E$660,3,0)</f>
        <v>#N/A</v>
      </c>
      <c r="AI483" s="2"/>
      <c r="AJ483" s="2"/>
      <c r="AK483" s="2"/>
      <c r="AL483" s="2"/>
      <c r="AM483" s="2"/>
      <c r="AO483" s="2"/>
      <c r="AP483" s="2"/>
      <c r="AQ483" s="2"/>
      <c r="AR483" s="2"/>
      <c r="AS483" s="2"/>
      <c r="AT483" s="2"/>
      <c r="AU483" s="2"/>
    </row>
    <row r="484" spans="9:47" x14ac:dyDescent="0.25">
      <c r="I484"/>
      <c r="R484"/>
      <c r="U484"/>
      <c r="AC484" s="2"/>
      <c r="AD484" s="2"/>
      <c r="AE484" s="2"/>
      <c r="AF484" s="2"/>
      <c r="AG484" s="2"/>
      <c r="AH484" s="2" t="e">
        <f>VLOOKUP(F484,vlookup!$A$2:$E$660,3,0)</f>
        <v>#N/A</v>
      </c>
      <c r="AI484" s="2"/>
      <c r="AJ484" s="2"/>
      <c r="AK484" s="2"/>
      <c r="AL484" s="2"/>
      <c r="AM484" s="2"/>
      <c r="AO484" s="2"/>
      <c r="AP484" s="2"/>
      <c r="AQ484" s="2"/>
      <c r="AR484" s="2"/>
      <c r="AS484" s="2"/>
      <c r="AT484" s="2"/>
      <c r="AU484" s="2"/>
    </row>
    <row r="485" spans="9:47" x14ac:dyDescent="0.25">
      <c r="I485"/>
      <c r="R485"/>
      <c r="U485"/>
      <c r="AC485" s="2"/>
      <c r="AD485" s="2"/>
      <c r="AE485" s="2"/>
      <c r="AF485" s="2"/>
      <c r="AG485" s="2"/>
      <c r="AH485" s="2" t="e">
        <f>VLOOKUP(F485,vlookup!$A$2:$E$660,3,0)</f>
        <v>#N/A</v>
      </c>
      <c r="AI485" s="2"/>
      <c r="AJ485" s="2"/>
      <c r="AK485" s="2"/>
      <c r="AL485" s="2"/>
      <c r="AM485" s="2"/>
      <c r="AO485" s="2"/>
      <c r="AP485" s="2"/>
      <c r="AQ485" s="2"/>
      <c r="AR485" s="2"/>
      <c r="AS485" s="2"/>
      <c r="AT485" s="2"/>
      <c r="AU485" s="2"/>
    </row>
    <row r="486" spans="9:47" x14ac:dyDescent="0.25">
      <c r="I486"/>
      <c r="R486"/>
      <c r="U486"/>
      <c r="AC486" s="2"/>
      <c r="AD486" s="2"/>
      <c r="AE486" s="2"/>
      <c r="AF486" s="2"/>
      <c r="AG486" s="2"/>
      <c r="AH486" s="2" t="e">
        <f>VLOOKUP(F486,vlookup!$A$2:$E$660,3,0)</f>
        <v>#N/A</v>
      </c>
      <c r="AI486" s="2"/>
      <c r="AJ486" s="2"/>
      <c r="AK486" s="2"/>
      <c r="AL486" s="2"/>
      <c r="AM486" s="2"/>
      <c r="AO486" s="2"/>
      <c r="AP486" s="2"/>
      <c r="AQ486" s="2"/>
      <c r="AR486" s="2"/>
      <c r="AS486" s="2"/>
      <c r="AT486" s="2"/>
      <c r="AU486" s="2"/>
    </row>
    <row r="487" spans="9:47" x14ac:dyDescent="0.25">
      <c r="I487"/>
      <c r="R487"/>
      <c r="U487"/>
      <c r="AC487" s="2"/>
      <c r="AD487" s="2"/>
      <c r="AE487" s="2"/>
      <c r="AF487" s="2"/>
      <c r="AG487" s="2"/>
      <c r="AH487" s="2" t="e">
        <f>VLOOKUP(F487,vlookup!$A$2:$E$660,3,0)</f>
        <v>#N/A</v>
      </c>
      <c r="AI487" s="2"/>
      <c r="AJ487" s="2"/>
      <c r="AK487" s="2"/>
      <c r="AL487" s="2"/>
      <c r="AM487" s="2"/>
      <c r="AO487" s="2"/>
      <c r="AP487" s="2"/>
      <c r="AQ487" s="2"/>
      <c r="AR487" s="2"/>
      <c r="AS487" s="2"/>
      <c r="AT487" s="2"/>
      <c r="AU487" s="2"/>
    </row>
    <row r="488" spans="9:47" x14ac:dyDescent="0.25">
      <c r="I488"/>
      <c r="R488"/>
      <c r="U488"/>
      <c r="AC488" s="2"/>
      <c r="AD488" s="2"/>
      <c r="AE488" s="2"/>
      <c r="AF488" s="2"/>
      <c r="AG488" s="2"/>
      <c r="AH488" s="2" t="e">
        <f>VLOOKUP(F488,vlookup!$A$2:$E$660,3,0)</f>
        <v>#N/A</v>
      </c>
      <c r="AI488" s="2"/>
      <c r="AJ488" s="2"/>
      <c r="AK488" s="2"/>
      <c r="AL488" s="2"/>
      <c r="AM488" s="2"/>
      <c r="AO488" s="2"/>
      <c r="AP488" s="2"/>
      <c r="AQ488" s="2"/>
      <c r="AR488" s="2"/>
      <c r="AS488" s="2"/>
      <c r="AT488" s="2"/>
      <c r="AU488" s="2"/>
    </row>
    <row r="489" spans="9:47" x14ac:dyDescent="0.25">
      <c r="I489"/>
      <c r="R489"/>
      <c r="U489"/>
      <c r="AC489" s="2"/>
      <c r="AD489" s="2"/>
      <c r="AE489" s="2"/>
      <c r="AF489" s="2"/>
      <c r="AG489" s="2"/>
      <c r="AH489" s="2" t="e">
        <f>VLOOKUP(F489,vlookup!$A$2:$E$660,3,0)</f>
        <v>#N/A</v>
      </c>
      <c r="AI489" s="2"/>
      <c r="AJ489" s="2"/>
      <c r="AK489" s="2"/>
      <c r="AL489" s="2"/>
      <c r="AM489" s="2"/>
      <c r="AO489" s="2"/>
      <c r="AP489" s="2"/>
      <c r="AQ489" s="2"/>
      <c r="AR489" s="2"/>
      <c r="AS489" s="2"/>
      <c r="AT489" s="2"/>
      <c r="AU489" s="2"/>
    </row>
    <row r="490" spans="9:47" x14ac:dyDescent="0.25">
      <c r="I490"/>
      <c r="R490"/>
      <c r="U490"/>
      <c r="AC490" s="2"/>
      <c r="AD490" s="2"/>
      <c r="AE490" s="2"/>
      <c r="AF490" s="2"/>
      <c r="AG490" s="2"/>
      <c r="AH490" s="2" t="e">
        <f>VLOOKUP(F490,vlookup!$A$2:$E$660,3,0)</f>
        <v>#N/A</v>
      </c>
      <c r="AI490" s="2"/>
      <c r="AJ490" s="2"/>
      <c r="AK490" s="2"/>
      <c r="AL490" s="2"/>
      <c r="AM490" s="2"/>
      <c r="AO490" s="2"/>
      <c r="AP490" s="2"/>
      <c r="AQ490" s="2"/>
      <c r="AR490" s="2"/>
      <c r="AS490" s="2"/>
      <c r="AT490" s="2"/>
      <c r="AU490" s="2"/>
    </row>
    <row r="491" spans="9:47" x14ac:dyDescent="0.25">
      <c r="I491"/>
      <c r="R491"/>
      <c r="U491"/>
      <c r="AC491" s="2"/>
      <c r="AD491" s="2"/>
      <c r="AE491" s="2"/>
      <c r="AF491" s="2"/>
      <c r="AG491" s="2"/>
      <c r="AH491" s="2" t="e">
        <f>VLOOKUP(F491,vlookup!$A$2:$E$660,3,0)</f>
        <v>#N/A</v>
      </c>
      <c r="AI491" s="2"/>
      <c r="AJ491" s="2"/>
      <c r="AK491" s="2"/>
      <c r="AL491" s="2"/>
      <c r="AM491" s="2"/>
      <c r="AO491" s="2"/>
      <c r="AP491" s="2"/>
      <c r="AQ491" s="2"/>
      <c r="AR491" s="2"/>
      <c r="AS491" s="2"/>
      <c r="AT491" s="2"/>
      <c r="AU491" s="2"/>
    </row>
    <row r="492" spans="9:47" x14ac:dyDescent="0.25">
      <c r="I492"/>
      <c r="R492"/>
      <c r="U492"/>
      <c r="AC492" s="2"/>
      <c r="AD492" s="2"/>
      <c r="AE492" s="2"/>
      <c r="AF492" s="2"/>
      <c r="AG492" s="2"/>
      <c r="AH492" s="2" t="e">
        <f>VLOOKUP(F492,vlookup!$A$2:$E$660,3,0)</f>
        <v>#N/A</v>
      </c>
      <c r="AI492" s="2"/>
      <c r="AJ492" s="2"/>
      <c r="AK492" s="2"/>
      <c r="AL492" s="2"/>
      <c r="AM492" s="2"/>
      <c r="AO492" s="2"/>
      <c r="AP492" s="2"/>
      <c r="AQ492" s="2"/>
      <c r="AR492" s="2"/>
      <c r="AS492" s="2"/>
      <c r="AT492" s="2"/>
      <c r="AU492" s="2"/>
    </row>
    <row r="493" spans="9:47" x14ac:dyDescent="0.25">
      <c r="I493"/>
      <c r="R493"/>
      <c r="U493"/>
      <c r="AC493" s="2"/>
      <c r="AD493" s="2"/>
      <c r="AE493" s="2"/>
      <c r="AF493" s="2"/>
      <c r="AG493" s="2"/>
      <c r="AH493" s="2" t="e">
        <f>VLOOKUP(F493,vlookup!$A$2:$E$660,3,0)</f>
        <v>#N/A</v>
      </c>
      <c r="AI493" s="2"/>
      <c r="AJ493" s="2"/>
      <c r="AK493" s="2"/>
      <c r="AL493" s="2"/>
      <c r="AM493" s="2"/>
      <c r="AO493" s="2"/>
      <c r="AP493" s="2"/>
      <c r="AQ493" s="2"/>
      <c r="AR493" s="2"/>
      <c r="AS493" s="2"/>
      <c r="AT493" s="2"/>
      <c r="AU493" s="2"/>
    </row>
    <row r="494" spans="9:47" x14ac:dyDescent="0.25">
      <c r="I494"/>
      <c r="R494"/>
      <c r="U494"/>
      <c r="AC494" s="2"/>
      <c r="AD494" s="2"/>
      <c r="AE494" s="2"/>
      <c r="AF494" s="2"/>
      <c r="AG494" s="2"/>
      <c r="AH494" s="2" t="e">
        <f>VLOOKUP(F494,vlookup!$A$2:$E$660,3,0)</f>
        <v>#N/A</v>
      </c>
      <c r="AI494" s="2"/>
      <c r="AJ494" s="2"/>
      <c r="AK494" s="2"/>
      <c r="AL494" s="2"/>
      <c r="AM494" s="2"/>
      <c r="AO494" s="2"/>
      <c r="AP494" s="2"/>
      <c r="AQ494" s="2"/>
      <c r="AR494" s="2"/>
      <c r="AS494" s="2"/>
      <c r="AT494" s="2"/>
      <c r="AU494" s="2"/>
    </row>
    <row r="495" spans="9:47" x14ac:dyDescent="0.25">
      <c r="I495"/>
      <c r="R495"/>
      <c r="U495"/>
      <c r="AC495" s="2"/>
      <c r="AD495" s="2"/>
      <c r="AE495" s="2"/>
      <c r="AF495" s="2"/>
      <c r="AG495" s="2"/>
      <c r="AH495" s="2" t="e">
        <f>VLOOKUP(F495,vlookup!$A$2:$E$660,3,0)</f>
        <v>#N/A</v>
      </c>
      <c r="AI495" s="2"/>
      <c r="AJ495" s="2"/>
      <c r="AK495" s="2"/>
      <c r="AL495" s="2"/>
      <c r="AM495" s="2"/>
      <c r="AO495" s="2"/>
      <c r="AP495" s="2"/>
      <c r="AQ495" s="2"/>
      <c r="AR495" s="2"/>
      <c r="AS495" s="2"/>
      <c r="AT495" s="2"/>
      <c r="AU495" s="2"/>
    </row>
    <row r="496" spans="9:47" x14ac:dyDescent="0.25">
      <c r="I496"/>
      <c r="R496"/>
      <c r="U496"/>
      <c r="AC496" s="2"/>
      <c r="AD496" s="2"/>
      <c r="AE496" s="2"/>
      <c r="AF496" s="2"/>
      <c r="AG496" s="2"/>
      <c r="AH496" s="2" t="e">
        <f>VLOOKUP(F496,vlookup!$A$2:$E$660,3,0)</f>
        <v>#N/A</v>
      </c>
      <c r="AI496" s="2"/>
      <c r="AJ496" s="2"/>
      <c r="AK496" s="2"/>
      <c r="AL496" s="2"/>
      <c r="AM496" s="2"/>
      <c r="AO496" s="2"/>
      <c r="AP496" s="2"/>
      <c r="AQ496" s="2"/>
      <c r="AR496" s="2"/>
      <c r="AS496" s="2"/>
      <c r="AT496" s="2"/>
      <c r="AU496" s="2"/>
    </row>
    <row r="497" spans="9:47" x14ac:dyDescent="0.25">
      <c r="I497"/>
      <c r="R497"/>
      <c r="U497"/>
      <c r="AC497" s="2"/>
      <c r="AD497" s="2"/>
      <c r="AE497" s="2"/>
      <c r="AF497" s="2"/>
      <c r="AG497" s="2"/>
      <c r="AH497" s="2" t="e">
        <f>VLOOKUP(F497,vlookup!$A$2:$E$660,3,0)</f>
        <v>#N/A</v>
      </c>
      <c r="AI497" s="2"/>
      <c r="AJ497" s="2"/>
      <c r="AK497" s="2"/>
      <c r="AL497" s="2"/>
      <c r="AM497" s="2"/>
      <c r="AO497" s="2"/>
      <c r="AP497" s="2"/>
      <c r="AQ497" s="2"/>
      <c r="AR497" s="2"/>
      <c r="AS497" s="2"/>
      <c r="AT497" s="2"/>
      <c r="AU497" s="2"/>
    </row>
    <row r="498" spans="9:47" x14ac:dyDescent="0.25">
      <c r="I498"/>
      <c r="R498"/>
      <c r="U498"/>
      <c r="AC498" s="2"/>
      <c r="AD498" s="2"/>
      <c r="AE498" s="2"/>
      <c r="AF498" s="2"/>
      <c r="AG498" s="2"/>
      <c r="AH498" s="2" t="e">
        <f>VLOOKUP(F498,vlookup!$A$2:$E$660,3,0)</f>
        <v>#N/A</v>
      </c>
      <c r="AI498" s="2"/>
      <c r="AJ498" s="2"/>
      <c r="AK498" s="2"/>
      <c r="AL498" s="2"/>
      <c r="AM498" s="2"/>
      <c r="AO498" s="2"/>
      <c r="AP498" s="2"/>
      <c r="AQ498" s="2"/>
      <c r="AR498" s="2"/>
      <c r="AS498" s="2"/>
      <c r="AT498" s="2"/>
      <c r="AU498" s="2"/>
    </row>
    <row r="499" spans="9:47" x14ac:dyDescent="0.25">
      <c r="I499"/>
      <c r="R499"/>
      <c r="U499"/>
      <c r="AC499" s="2"/>
      <c r="AD499" s="2"/>
      <c r="AE499" s="2"/>
      <c r="AF499" s="2"/>
      <c r="AG499" s="2"/>
      <c r="AH499" s="2" t="e">
        <f>VLOOKUP(F499,vlookup!$A$2:$E$660,3,0)</f>
        <v>#N/A</v>
      </c>
      <c r="AI499" s="2"/>
      <c r="AJ499" s="2"/>
      <c r="AK499" s="2"/>
      <c r="AL499" s="2"/>
      <c r="AM499" s="2"/>
      <c r="AO499" s="2"/>
      <c r="AP499" s="2"/>
      <c r="AQ499" s="2"/>
      <c r="AR499" s="2"/>
      <c r="AS499" s="2"/>
      <c r="AT499" s="2"/>
      <c r="AU499" s="2"/>
    </row>
    <row r="500" spans="9:47" x14ac:dyDescent="0.25">
      <c r="I500"/>
      <c r="R500"/>
      <c r="U500"/>
      <c r="AC500" s="2"/>
      <c r="AD500" s="2"/>
      <c r="AE500" s="2"/>
      <c r="AF500" s="2"/>
      <c r="AG500" s="2"/>
      <c r="AH500" s="2" t="e">
        <f>VLOOKUP(F500,vlookup!$A$2:$E$660,3,0)</f>
        <v>#N/A</v>
      </c>
      <c r="AI500" s="2"/>
      <c r="AJ500" s="2"/>
      <c r="AK500" s="2"/>
      <c r="AL500" s="2"/>
      <c r="AM500" s="2"/>
      <c r="AO500" s="2"/>
      <c r="AP500" s="2"/>
      <c r="AQ500" s="2"/>
      <c r="AR500" s="2"/>
      <c r="AS500" s="2"/>
      <c r="AT500" s="2"/>
      <c r="AU500" s="2"/>
    </row>
    <row r="501" spans="9:47" x14ac:dyDescent="0.25">
      <c r="I501"/>
      <c r="R501"/>
      <c r="U501"/>
      <c r="AC501" s="2"/>
      <c r="AD501" s="2"/>
      <c r="AE501" s="2"/>
      <c r="AF501" s="2"/>
      <c r="AG501" s="2"/>
      <c r="AH501" s="2" t="e">
        <f>VLOOKUP(F501,vlookup!$A$2:$E$660,3,0)</f>
        <v>#N/A</v>
      </c>
      <c r="AI501" s="2"/>
      <c r="AJ501" s="2"/>
      <c r="AK501" s="2"/>
      <c r="AL501" s="2"/>
      <c r="AM501" s="2"/>
      <c r="AO501" s="2"/>
      <c r="AP501" s="2"/>
      <c r="AQ501" s="2"/>
      <c r="AR501" s="2"/>
      <c r="AS501" s="2"/>
      <c r="AT501" s="2"/>
      <c r="AU501" s="2"/>
    </row>
    <row r="502" spans="9:47" x14ac:dyDescent="0.25">
      <c r="I502"/>
      <c r="R502"/>
      <c r="U502"/>
      <c r="AC502" s="2"/>
      <c r="AD502" s="2"/>
      <c r="AE502" s="2"/>
      <c r="AF502" s="2"/>
      <c r="AG502" s="2"/>
      <c r="AH502" s="2" t="e">
        <f>VLOOKUP(F502,vlookup!$A$2:$E$660,3,0)</f>
        <v>#N/A</v>
      </c>
      <c r="AI502" s="2"/>
      <c r="AJ502" s="2"/>
      <c r="AK502" s="2"/>
      <c r="AL502" s="2"/>
      <c r="AM502" s="2"/>
      <c r="AO502" s="2"/>
      <c r="AP502" s="2"/>
      <c r="AQ502" s="2"/>
      <c r="AR502" s="2"/>
      <c r="AS502" s="2"/>
      <c r="AT502" s="2"/>
      <c r="AU502" s="2"/>
    </row>
    <row r="503" spans="9:47" x14ac:dyDescent="0.25">
      <c r="I503"/>
      <c r="R503"/>
      <c r="U503"/>
      <c r="AC503" s="2"/>
      <c r="AD503" s="2"/>
      <c r="AE503" s="2"/>
      <c r="AF503" s="2"/>
      <c r="AG503" s="2"/>
      <c r="AH503" s="2" t="e">
        <f>VLOOKUP(F503,vlookup!$A$2:$E$660,3,0)</f>
        <v>#N/A</v>
      </c>
      <c r="AI503" s="2"/>
      <c r="AJ503" s="2"/>
      <c r="AK503" s="2"/>
      <c r="AL503" s="2"/>
      <c r="AM503" s="2"/>
      <c r="AO503" s="2"/>
      <c r="AP503" s="2"/>
      <c r="AQ503" s="2"/>
      <c r="AR503" s="2"/>
      <c r="AS503" s="2"/>
      <c r="AT503" s="2"/>
      <c r="AU503" s="2"/>
    </row>
    <row r="504" spans="9:47" x14ac:dyDescent="0.25">
      <c r="I504"/>
      <c r="R504"/>
      <c r="U504"/>
      <c r="AC504" s="2"/>
      <c r="AD504" s="2"/>
      <c r="AE504" s="2"/>
      <c r="AF504" s="2"/>
      <c r="AG504" s="2"/>
      <c r="AH504" s="2" t="e">
        <f>VLOOKUP(F504,vlookup!$A$2:$E$660,3,0)</f>
        <v>#N/A</v>
      </c>
      <c r="AI504" s="2"/>
      <c r="AJ504" s="2"/>
      <c r="AK504" s="2"/>
      <c r="AL504" s="2"/>
      <c r="AM504" s="2"/>
      <c r="AO504" s="2"/>
      <c r="AP504" s="2"/>
      <c r="AQ504" s="2"/>
      <c r="AR504" s="2"/>
      <c r="AS504" s="2"/>
      <c r="AT504" s="2"/>
      <c r="AU504" s="2"/>
    </row>
    <row r="505" spans="9:47" x14ac:dyDescent="0.25">
      <c r="I505"/>
      <c r="R505"/>
      <c r="U505"/>
      <c r="AC505" s="2"/>
      <c r="AD505" s="2"/>
      <c r="AE505" s="2"/>
      <c r="AF505" s="2"/>
      <c r="AG505" s="2"/>
      <c r="AH505" s="2" t="e">
        <f>VLOOKUP(F505,vlookup!$A$2:$E$660,3,0)</f>
        <v>#N/A</v>
      </c>
      <c r="AI505" s="2"/>
      <c r="AJ505" s="2"/>
      <c r="AK505" s="2"/>
      <c r="AL505" s="2"/>
      <c r="AM505" s="2"/>
      <c r="AO505" s="2"/>
      <c r="AP505" s="2"/>
      <c r="AQ505" s="2"/>
      <c r="AR505" s="2"/>
      <c r="AS505" s="2"/>
      <c r="AT505" s="2"/>
      <c r="AU505" s="2"/>
    </row>
    <row r="506" spans="9:47" x14ac:dyDescent="0.25">
      <c r="I506"/>
      <c r="R506"/>
      <c r="U506"/>
      <c r="AC506" s="2"/>
      <c r="AD506" s="2"/>
      <c r="AE506" s="2"/>
      <c r="AF506" s="2"/>
      <c r="AG506" s="2"/>
      <c r="AH506" s="2" t="e">
        <f>VLOOKUP(F506,vlookup!$A$2:$E$660,3,0)</f>
        <v>#N/A</v>
      </c>
      <c r="AI506" s="2"/>
      <c r="AJ506" s="2"/>
      <c r="AK506" s="2"/>
      <c r="AL506" s="2"/>
      <c r="AM506" s="2"/>
      <c r="AO506" s="2"/>
      <c r="AP506" s="2"/>
      <c r="AQ506" s="2"/>
      <c r="AR506" s="2"/>
      <c r="AS506" s="2"/>
      <c r="AT506" s="2"/>
      <c r="AU506" s="2"/>
    </row>
    <row r="507" spans="9:47" x14ac:dyDescent="0.25">
      <c r="I507"/>
      <c r="R507"/>
      <c r="U507"/>
      <c r="AC507" s="2"/>
      <c r="AD507" s="2"/>
      <c r="AE507" s="2"/>
      <c r="AF507" s="2"/>
      <c r="AG507" s="2"/>
      <c r="AH507" s="2" t="e">
        <f>VLOOKUP(F507,vlookup!$A$2:$E$660,3,0)</f>
        <v>#N/A</v>
      </c>
      <c r="AI507" s="2"/>
      <c r="AJ507" s="2"/>
      <c r="AK507" s="2"/>
      <c r="AL507" s="2"/>
      <c r="AM507" s="2"/>
      <c r="AO507" s="2"/>
      <c r="AP507" s="2"/>
      <c r="AQ507" s="2"/>
      <c r="AR507" s="2"/>
      <c r="AS507" s="2"/>
      <c r="AT507" s="2"/>
      <c r="AU507" s="2"/>
    </row>
    <row r="508" spans="9:47" x14ac:dyDescent="0.25">
      <c r="I508"/>
      <c r="R508"/>
      <c r="U508"/>
      <c r="AC508" s="2"/>
      <c r="AD508" s="2"/>
      <c r="AE508" s="2"/>
      <c r="AF508" s="2"/>
      <c r="AG508" s="2"/>
      <c r="AH508" s="2" t="e">
        <f>VLOOKUP(F508,vlookup!$A$2:$E$660,3,0)</f>
        <v>#N/A</v>
      </c>
      <c r="AI508" s="2"/>
      <c r="AJ508" s="2"/>
      <c r="AK508" s="2"/>
      <c r="AL508" s="2"/>
      <c r="AM508" s="2"/>
      <c r="AO508" s="2"/>
      <c r="AP508" s="2"/>
      <c r="AQ508" s="2"/>
      <c r="AR508" s="2"/>
      <c r="AS508" s="2"/>
      <c r="AT508" s="2"/>
      <c r="AU508" s="2"/>
    </row>
    <row r="509" spans="9:47" x14ac:dyDescent="0.25">
      <c r="I509"/>
      <c r="R509"/>
      <c r="U509"/>
      <c r="AC509" s="2"/>
      <c r="AD509" s="2"/>
      <c r="AE509" s="2"/>
      <c r="AF509" s="2"/>
      <c r="AG509" s="2"/>
      <c r="AH509" s="2" t="e">
        <f>VLOOKUP(F509,vlookup!$A$2:$E$660,3,0)</f>
        <v>#N/A</v>
      </c>
      <c r="AI509" s="2"/>
      <c r="AJ509" s="2"/>
      <c r="AK509" s="2"/>
      <c r="AL509" s="2"/>
      <c r="AM509" s="2"/>
      <c r="AO509" s="2"/>
      <c r="AP509" s="2"/>
      <c r="AQ509" s="2"/>
      <c r="AR509" s="2"/>
      <c r="AS509" s="2"/>
      <c r="AT509" s="2"/>
      <c r="AU509" s="2"/>
    </row>
    <row r="510" spans="9:47" x14ac:dyDescent="0.25">
      <c r="I510"/>
      <c r="R510"/>
      <c r="U510"/>
      <c r="AC510" s="2"/>
      <c r="AD510" s="2"/>
      <c r="AE510" s="2"/>
      <c r="AF510" s="2"/>
      <c r="AG510" s="2"/>
      <c r="AH510" s="2" t="e">
        <f>VLOOKUP(F510,vlookup!$A$2:$E$660,3,0)</f>
        <v>#N/A</v>
      </c>
      <c r="AI510" s="2"/>
      <c r="AJ510" s="2"/>
      <c r="AK510" s="2"/>
      <c r="AL510" s="2"/>
      <c r="AM510" s="2"/>
      <c r="AO510" s="2"/>
      <c r="AP510" s="2"/>
      <c r="AQ510" s="2"/>
      <c r="AR510" s="2"/>
      <c r="AS510" s="2"/>
      <c r="AT510" s="2"/>
      <c r="AU510" s="2"/>
    </row>
    <row r="511" spans="9:47" x14ac:dyDescent="0.25">
      <c r="I511"/>
      <c r="R511"/>
      <c r="U511"/>
      <c r="AC511" s="2"/>
      <c r="AD511" s="2"/>
      <c r="AE511" s="2"/>
      <c r="AF511" s="2"/>
      <c r="AG511" s="2"/>
      <c r="AH511" s="2" t="e">
        <f>VLOOKUP(F511,vlookup!$A$2:$E$660,3,0)</f>
        <v>#N/A</v>
      </c>
      <c r="AI511" s="2"/>
      <c r="AJ511" s="2"/>
      <c r="AK511" s="2"/>
      <c r="AL511" s="2"/>
      <c r="AM511" s="2"/>
      <c r="AO511" s="2"/>
      <c r="AP511" s="2"/>
      <c r="AQ511" s="2"/>
      <c r="AR511" s="2"/>
      <c r="AS511" s="2"/>
      <c r="AT511" s="2"/>
      <c r="AU511" s="2"/>
    </row>
    <row r="512" spans="9:47" x14ac:dyDescent="0.25">
      <c r="I512"/>
      <c r="R512"/>
      <c r="U512"/>
      <c r="AC512" s="2"/>
      <c r="AD512" s="2"/>
      <c r="AE512" s="2"/>
      <c r="AF512" s="2"/>
      <c r="AG512" s="2"/>
      <c r="AH512" s="2" t="e">
        <f>VLOOKUP(F512,vlookup!$A$2:$E$660,3,0)</f>
        <v>#N/A</v>
      </c>
      <c r="AI512" s="2"/>
      <c r="AJ512" s="2"/>
      <c r="AK512" s="2"/>
      <c r="AL512" s="2"/>
      <c r="AM512" s="2"/>
      <c r="AO512" s="2"/>
      <c r="AP512" s="2"/>
      <c r="AQ512" s="2"/>
      <c r="AR512" s="2"/>
      <c r="AS512" s="2"/>
      <c r="AT512" s="2"/>
      <c r="AU512" s="2"/>
    </row>
    <row r="513" spans="9:47" x14ac:dyDescent="0.25">
      <c r="I513"/>
      <c r="R513"/>
      <c r="U513"/>
      <c r="AC513" s="2"/>
      <c r="AD513" s="2"/>
      <c r="AE513" s="2"/>
      <c r="AF513" s="2"/>
      <c r="AG513" s="2"/>
      <c r="AH513" s="2" t="e">
        <f>VLOOKUP(F513,vlookup!$A$2:$E$660,3,0)</f>
        <v>#N/A</v>
      </c>
      <c r="AI513" s="2"/>
      <c r="AJ513" s="2"/>
      <c r="AK513" s="2"/>
      <c r="AL513" s="2"/>
      <c r="AM513" s="2"/>
      <c r="AO513" s="2"/>
      <c r="AP513" s="2"/>
      <c r="AQ513" s="2"/>
      <c r="AR513" s="2"/>
      <c r="AS513" s="2"/>
      <c r="AT513" s="2"/>
      <c r="AU513" s="2"/>
    </row>
    <row r="514" spans="9:47" x14ac:dyDescent="0.25">
      <c r="I514"/>
      <c r="R514"/>
      <c r="U514"/>
      <c r="AC514" s="2"/>
      <c r="AD514" s="2"/>
      <c r="AE514" s="2"/>
      <c r="AF514" s="2"/>
      <c r="AG514" s="2"/>
      <c r="AH514" s="2" t="e">
        <f>VLOOKUP(F514,vlookup!$A$2:$E$660,3,0)</f>
        <v>#N/A</v>
      </c>
      <c r="AI514" s="2"/>
      <c r="AJ514" s="2"/>
      <c r="AK514" s="2"/>
      <c r="AL514" s="2"/>
      <c r="AM514" s="2"/>
      <c r="AO514" s="2"/>
      <c r="AP514" s="2"/>
      <c r="AQ514" s="2"/>
      <c r="AR514" s="2"/>
      <c r="AS514" s="2"/>
      <c r="AT514" s="2"/>
      <c r="AU514" s="2"/>
    </row>
    <row r="515" spans="9:47" x14ac:dyDescent="0.25">
      <c r="I515"/>
      <c r="R515"/>
      <c r="U515"/>
      <c r="AC515" s="2"/>
      <c r="AD515" s="2"/>
      <c r="AE515" s="2"/>
      <c r="AF515" s="2"/>
      <c r="AG515" s="2"/>
      <c r="AH515" s="2" t="e">
        <f>VLOOKUP(F515,vlookup!$A$2:$E$660,3,0)</f>
        <v>#N/A</v>
      </c>
      <c r="AI515" s="2"/>
      <c r="AJ515" s="2"/>
      <c r="AK515" s="2"/>
      <c r="AL515" s="2"/>
      <c r="AM515" s="2"/>
      <c r="AO515" s="2"/>
      <c r="AP515" s="2"/>
      <c r="AQ515" s="2"/>
      <c r="AR515" s="2"/>
      <c r="AS515" s="2"/>
      <c r="AT515" s="2"/>
      <c r="AU515" s="2"/>
    </row>
    <row r="516" spans="9:47" x14ac:dyDescent="0.25">
      <c r="I516"/>
      <c r="R516"/>
      <c r="U516"/>
      <c r="AC516" s="2"/>
      <c r="AD516" s="2"/>
      <c r="AE516" s="2"/>
      <c r="AF516" s="2"/>
      <c r="AG516" s="2"/>
      <c r="AH516" s="2" t="e">
        <f>VLOOKUP(F516,vlookup!$A$2:$E$660,3,0)</f>
        <v>#N/A</v>
      </c>
      <c r="AI516" s="2"/>
      <c r="AJ516" s="2"/>
      <c r="AK516" s="2"/>
      <c r="AL516" s="2"/>
      <c r="AM516" s="2"/>
      <c r="AO516" s="2"/>
      <c r="AP516" s="2"/>
      <c r="AQ516" s="2"/>
      <c r="AR516" s="2"/>
      <c r="AS516" s="2"/>
      <c r="AT516" s="2"/>
      <c r="AU516" s="2"/>
    </row>
    <row r="517" spans="9:47" x14ac:dyDescent="0.25">
      <c r="I517"/>
      <c r="R517"/>
      <c r="U517"/>
      <c r="AC517" s="2"/>
      <c r="AD517" s="2"/>
      <c r="AE517" s="2"/>
      <c r="AF517" s="2"/>
      <c r="AG517" s="2"/>
      <c r="AH517" s="2" t="e">
        <f>VLOOKUP(F517,vlookup!$A$2:$E$660,3,0)</f>
        <v>#N/A</v>
      </c>
      <c r="AI517" s="2"/>
      <c r="AJ517" s="2"/>
      <c r="AK517" s="2"/>
      <c r="AL517" s="2"/>
      <c r="AM517" s="2"/>
      <c r="AO517" s="2"/>
      <c r="AP517" s="2"/>
      <c r="AQ517" s="2"/>
      <c r="AR517" s="2"/>
      <c r="AS517" s="2"/>
      <c r="AT517" s="2"/>
      <c r="AU517" s="2"/>
    </row>
    <row r="518" spans="9:47" x14ac:dyDescent="0.25">
      <c r="I518"/>
      <c r="R518"/>
      <c r="U518"/>
      <c r="AC518" s="2"/>
      <c r="AD518" s="2"/>
      <c r="AE518" s="2"/>
      <c r="AF518" s="2"/>
      <c r="AG518" s="2"/>
      <c r="AH518" s="2" t="e">
        <f>VLOOKUP(F518,vlookup!$A$2:$E$660,3,0)</f>
        <v>#N/A</v>
      </c>
      <c r="AI518" s="2"/>
      <c r="AJ518" s="2"/>
      <c r="AK518" s="2"/>
      <c r="AL518" s="2"/>
      <c r="AM518" s="2"/>
      <c r="AO518" s="2"/>
      <c r="AP518" s="2"/>
      <c r="AQ518" s="2"/>
      <c r="AR518" s="2"/>
      <c r="AS518" s="2"/>
      <c r="AT518" s="2"/>
      <c r="AU518" s="2"/>
    </row>
    <row r="519" spans="9:47" x14ac:dyDescent="0.25">
      <c r="I519"/>
      <c r="R519"/>
      <c r="U519"/>
      <c r="AC519" s="2"/>
      <c r="AD519" s="2"/>
      <c r="AE519" s="2"/>
      <c r="AF519" s="2"/>
      <c r="AG519" s="2"/>
      <c r="AH519" s="2" t="e">
        <f>VLOOKUP(F519,vlookup!$A$2:$E$660,3,0)</f>
        <v>#N/A</v>
      </c>
      <c r="AI519" s="2"/>
      <c r="AJ519" s="2"/>
      <c r="AK519" s="2"/>
      <c r="AL519" s="2"/>
      <c r="AM519" s="2"/>
      <c r="AO519" s="2"/>
      <c r="AP519" s="2"/>
      <c r="AQ519" s="2"/>
      <c r="AR519" s="2"/>
      <c r="AS519" s="2"/>
      <c r="AT519" s="2"/>
      <c r="AU519" s="2"/>
    </row>
    <row r="520" spans="9:47" x14ac:dyDescent="0.25">
      <c r="I520"/>
      <c r="R520"/>
      <c r="U520"/>
      <c r="AC520" s="2"/>
      <c r="AD520" s="2"/>
      <c r="AE520" s="2"/>
      <c r="AF520" s="2"/>
      <c r="AG520" s="2"/>
      <c r="AH520" s="2" t="e">
        <f>VLOOKUP(F520,vlookup!$A$2:$E$660,3,0)</f>
        <v>#N/A</v>
      </c>
      <c r="AI520" s="2"/>
      <c r="AJ520" s="2"/>
      <c r="AK520" s="2"/>
      <c r="AL520" s="2"/>
      <c r="AM520" s="2"/>
      <c r="AO520" s="2"/>
      <c r="AP520" s="2"/>
      <c r="AQ520" s="2"/>
      <c r="AR520" s="2"/>
      <c r="AS520" s="2"/>
      <c r="AT520" s="2"/>
      <c r="AU520" s="2"/>
    </row>
    <row r="521" spans="9:47" x14ac:dyDescent="0.25">
      <c r="I521"/>
      <c r="R521"/>
      <c r="U521"/>
      <c r="AC521" s="2"/>
      <c r="AD521" s="2"/>
      <c r="AE521" s="2"/>
      <c r="AF521" s="2"/>
      <c r="AG521" s="2"/>
      <c r="AH521" s="2" t="e">
        <f>VLOOKUP(F521,vlookup!$A$2:$E$660,3,0)</f>
        <v>#N/A</v>
      </c>
      <c r="AI521" s="2"/>
      <c r="AJ521" s="2"/>
      <c r="AK521" s="2"/>
      <c r="AL521" s="2"/>
      <c r="AM521" s="2"/>
      <c r="AO521" s="2"/>
      <c r="AP521" s="2"/>
      <c r="AQ521" s="2"/>
      <c r="AR521" s="2"/>
      <c r="AS521" s="2"/>
      <c r="AT521" s="2"/>
      <c r="AU521" s="2"/>
    </row>
    <row r="522" spans="9:47" x14ac:dyDescent="0.25">
      <c r="I522"/>
      <c r="R522"/>
      <c r="U522"/>
      <c r="AC522" s="2"/>
      <c r="AD522" s="2"/>
      <c r="AE522" s="2"/>
      <c r="AF522" s="2"/>
      <c r="AG522" s="2"/>
      <c r="AH522" s="2" t="e">
        <f>VLOOKUP(F522,vlookup!$A$2:$E$660,3,0)</f>
        <v>#N/A</v>
      </c>
      <c r="AI522" s="2"/>
      <c r="AJ522" s="2"/>
      <c r="AK522" s="2"/>
      <c r="AL522" s="2"/>
      <c r="AM522" s="2"/>
      <c r="AO522" s="2"/>
      <c r="AP522" s="2"/>
      <c r="AQ522" s="2"/>
      <c r="AR522" s="2"/>
      <c r="AS522" s="2"/>
      <c r="AT522" s="2"/>
      <c r="AU522" s="2"/>
    </row>
    <row r="523" spans="9:47" x14ac:dyDescent="0.25">
      <c r="I523"/>
      <c r="R523"/>
      <c r="U523"/>
      <c r="AC523" s="2"/>
      <c r="AD523" s="2"/>
      <c r="AE523" s="2"/>
      <c r="AF523" s="2"/>
      <c r="AG523" s="2"/>
      <c r="AH523" s="2" t="e">
        <f>VLOOKUP(F523,vlookup!$A$2:$E$660,3,0)</f>
        <v>#N/A</v>
      </c>
      <c r="AI523" s="2"/>
      <c r="AJ523" s="2"/>
      <c r="AK523" s="2"/>
      <c r="AL523" s="2"/>
      <c r="AM523" s="2"/>
      <c r="AO523" s="2"/>
      <c r="AP523" s="2"/>
      <c r="AQ523" s="2"/>
      <c r="AR523" s="2"/>
      <c r="AS523" s="2"/>
      <c r="AT523" s="2"/>
      <c r="AU523" s="2"/>
    </row>
    <row r="524" spans="9:47" x14ac:dyDescent="0.25">
      <c r="I524"/>
      <c r="R524"/>
      <c r="U524"/>
      <c r="AC524" s="2"/>
      <c r="AD524" s="2"/>
      <c r="AE524" s="2"/>
      <c r="AF524" s="2"/>
      <c r="AG524" s="2"/>
      <c r="AH524" s="2" t="e">
        <f>VLOOKUP(F524,vlookup!$A$2:$E$660,3,0)</f>
        <v>#N/A</v>
      </c>
      <c r="AI524" s="2"/>
      <c r="AJ524" s="2"/>
      <c r="AK524" s="2"/>
      <c r="AL524" s="2"/>
      <c r="AM524" s="2"/>
      <c r="AO524" s="2"/>
      <c r="AP524" s="2"/>
      <c r="AQ524" s="2"/>
      <c r="AR524" s="2"/>
      <c r="AS524" s="2"/>
      <c r="AT524" s="2"/>
      <c r="AU524" s="2"/>
    </row>
    <row r="525" spans="9:47" x14ac:dyDescent="0.25">
      <c r="I525"/>
      <c r="R525"/>
      <c r="U525"/>
      <c r="AC525" s="2"/>
      <c r="AD525" s="2"/>
      <c r="AE525" s="2"/>
      <c r="AF525" s="2"/>
      <c r="AG525" s="2"/>
      <c r="AH525" s="2" t="e">
        <f>VLOOKUP(F525,vlookup!$A$2:$E$660,3,0)</f>
        <v>#N/A</v>
      </c>
      <c r="AI525" s="2"/>
      <c r="AJ525" s="2"/>
      <c r="AK525" s="2"/>
      <c r="AL525" s="2"/>
      <c r="AM525" s="2"/>
      <c r="AO525" s="2"/>
      <c r="AP525" s="2"/>
      <c r="AQ525" s="2"/>
      <c r="AR525" s="2"/>
      <c r="AS525" s="2"/>
      <c r="AT525" s="2"/>
      <c r="AU525" s="2"/>
    </row>
    <row r="526" spans="9:47" x14ac:dyDescent="0.25">
      <c r="I526"/>
      <c r="R526"/>
      <c r="U526"/>
      <c r="AC526" s="2"/>
      <c r="AD526" s="2"/>
      <c r="AE526" s="2"/>
      <c r="AF526" s="2"/>
      <c r="AG526" s="2"/>
      <c r="AH526" s="2" t="e">
        <f>VLOOKUP(F526,vlookup!$A$2:$E$660,3,0)</f>
        <v>#N/A</v>
      </c>
      <c r="AI526" s="2"/>
      <c r="AJ526" s="2"/>
      <c r="AK526" s="2"/>
      <c r="AL526" s="2"/>
      <c r="AM526" s="2"/>
      <c r="AO526" s="2"/>
      <c r="AP526" s="2"/>
      <c r="AQ526" s="2"/>
      <c r="AR526" s="2"/>
      <c r="AS526" s="2"/>
      <c r="AT526" s="2"/>
      <c r="AU526" s="2"/>
    </row>
    <row r="527" spans="9:47" x14ac:dyDescent="0.25">
      <c r="I527"/>
      <c r="R527"/>
      <c r="U527"/>
      <c r="AC527" s="2"/>
      <c r="AD527" s="2"/>
      <c r="AE527" s="2"/>
      <c r="AF527" s="2"/>
      <c r="AG527" s="2"/>
      <c r="AH527" s="2" t="e">
        <f>VLOOKUP(F527,vlookup!$A$2:$E$660,3,0)</f>
        <v>#N/A</v>
      </c>
      <c r="AI527" s="2"/>
      <c r="AJ527" s="2"/>
      <c r="AK527" s="2"/>
      <c r="AL527" s="2"/>
      <c r="AM527" s="2"/>
      <c r="AO527" s="2"/>
      <c r="AP527" s="2"/>
      <c r="AQ527" s="2"/>
      <c r="AR527" s="2"/>
      <c r="AS527" s="2"/>
      <c r="AT527" s="2"/>
      <c r="AU527" s="2"/>
    </row>
    <row r="528" spans="9:47" x14ac:dyDescent="0.25">
      <c r="I528"/>
      <c r="R528"/>
      <c r="U528"/>
      <c r="AC528" s="2"/>
      <c r="AD528" s="2"/>
      <c r="AE528" s="2"/>
      <c r="AF528" s="2"/>
      <c r="AG528" s="2"/>
      <c r="AH528" s="2" t="e">
        <f>VLOOKUP(F528,vlookup!$A$2:$E$660,3,0)</f>
        <v>#N/A</v>
      </c>
      <c r="AI528" s="2"/>
      <c r="AJ528" s="2"/>
      <c r="AK528" s="2"/>
      <c r="AL528" s="2"/>
      <c r="AM528" s="2"/>
      <c r="AO528" s="2"/>
      <c r="AP528" s="2"/>
      <c r="AQ528" s="2"/>
      <c r="AR528" s="2"/>
      <c r="AS528" s="2"/>
      <c r="AT528" s="2"/>
      <c r="AU528" s="2"/>
    </row>
    <row r="529" spans="9:47" x14ac:dyDescent="0.25">
      <c r="I529"/>
      <c r="R529"/>
      <c r="U529"/>
      <c r="AC529" s="2"/>
      <c r="AD529" s="2"/>
      <c r="AE529" s="2"/>
      <c r="AF529" s="2"/>
      <c r="AG529" s="2"/>
      <c r="AH529" s="2" t="e">
        <f>VLOOKUP(F529,vlookup!$A$2:$E$660,3,0)</f>
        <v>#N/A</v>
      </c>
      <c r="AI529" s="2"/>
      <c r="AJ529" s="2"/>
      <c r="AK529" s="2"/>
      <c r="AL529" s="2"/>
      <c r="AM529" s="2"/>
      <c r="AO529" s="2"/>
      <c r="AP529" s="2"/>
      <c r="AQ529" s="2"/>
      <c r="AR529" s="2"/>
      <c r="AS529" s="2"/>
      <c r="AT529" s="2"/>
      <c r="AU529" s="2"/>
    </row>
    <row r="530" spans="9:47" x14ac:dyDescent="0.25">
      <c r="I530"/>
      <c r="R530"/>
      <c r="U530"/>
      <c r="AC530" s="2"/>
      <c r="AD530" s="2"/>
      <c r="AE530" s="2"/>
      <c r="AF530" s="2"/>
      <c r="AG530" s="2"/>
      <c r="AH530" s="2" t="e">
        <f>VLOOKUP(F530,vlookup!$A$2:$E$660,3,0)</f>
        <v>#N/A</v>
      </c>
      <c r="AI530" s="2"/>
      <c r="AJ530" s="2"/>
      <c r="AK530" s="2"/>
      <c r="AL530" s="2"/>
      <c r="AM530" s="2"/>
      <c r="AO530" s="2"/>
      <c r="AP530" s="2"/>
      <c r="AQ530" s="2"/>
      <c r="AR530" s="2"/>
      <c r="AS530" s="2"/>
      <c r="AT530" s="2"/>
      <c r="AU530" s="2"/>
    </row>
    <row r="531" spans="9:47" x14ac:dyDescent="0.25">
      <c r="I531"/>
      <c r="R531"/>
      <c r="U531"/>
      <c r="AC531" s="2"/>
      <c r="AD531" s="2"/>
      <c r="AE531" s="2"/>
      <c r="AF531" s="2"/>
      <c r="AG531" s="2"/>
      <c r="AH531" s="2" t="e">
        <f>VLOOKUP(F531,vlookup!$A$2:$E$660,3,0)</f>
        <v>#N/A</v>
      </c>
      <c r="AI531" s="2"/>
      <c r="AJ531" s="2"/>
      <c r="AK531" s="2"/>
      <c r="AL531" s="2"/>
      <c r="AM531" s="2"/>
      <c r="AO531" s="2"/>
      <c r="AP531" s="2"/>
      <c r="AQ531" s="2"/>
      <c r="AR531" s="2"/>
      <c r="AS531" s="2"/>
      <c r="AT531" s="2"/>
      <c r="AU531" s="2"/>
    </row>
    <row r="532" spans="9:47" x14ac:dyDescent="0.25">
      <c r="I532"/>
      <c r="R532"/>
      <c r="U532"/>
      <c r="AC532" s="2"/>
      <c r="AD532" s="2"/>
      <c r="AE532" s="2"/>
      <c r="AF532" s="2"/>
      <c r="AG532" s="2"/>
      <c r="AH532" s="2" t="e">
        <f>VLOOKUP(F532,vlookup!$A$2:$E$660,3,0)</f>
        <v>#N/A</v>
      </c>
      <c r="AI532" s="2"/>
      <c r="AJ532" s="2"/>
      <c r="AK532" s="2"/>
      <c r="AL532" s="2"/>
      <c r="AM532" s="2"/>
      <c r="AO532" s="2"/>
      <c r="AP532" s="2"/>
      <c r="AQ532" s="2"/>
      <c r="AR532" s="2"/>
      <c r="AS532" s="2"/>
      <c r="AT532" s="2"/>
      <c r="AU532" s="2"/>
    </row>
    <row r="533" spans="9:47" x14ac:dyDescent="0.25">
      <c r="I533"/>
      <c r="R533"/>
      <c r="U533"/>
      <c r="AC533" s="2"/>
      <c r="AD533" s="2"/>
      <c r="AE533" s="2"/>
      <c r="AF533" s="2"/>
      <c r="AG533" s="2"/>
      <c r="AH533" s="2" t="e">
        <f>VLOOKUP(F533,vlookup!$A$2:$E$660,3,0)</f>
        <v>#N/A</v>
      </c>
      <c r="AI533" s="2"/>
      <c r="AJ533" s="2"/>
      <c r="AK533" s="2"/>
      <c r="AL533" s="2"/>
      <c r="AM533" s="2"/>
      <c r="AO533" s="2"/>
      <c r="AP533" s="2"/>
      <c r="AQ533" s="2"/>
      <c r="AR533" s="2"/>
      <c r="AS533" s="2"/>
      <c r="AT533" s="2"/>
      <c r="AU533" s="2"/>
    </row>
    <row r="534" spans="9:47" x14ac:dyDescent="0.25">
      <c r="I534"/>
      <c r="R534"/>
      <c r="U534"/>
      <c r="AC534" s="2"/>
      <c r="AD534" s="2"/>
      <c r="AE534" s="2"/>
      <c r="AF534" s="2"/>
      <c r="AG534" s="2"/>
      <c r="AH534" s="2" t="e">
        <f>VLOOKUP(F534,vlookup!$A$2:$E$660,3,0)</f>
        <v>#N/A</v>
      </c>
      <c r="AI534" s="2"/>
      <c r="AJ534" s="2"/>
      <c r="AK534" s="2"/>
      <c r="AL534" s="2"/>
      <c r="AM534" s="2"/>
      <c r="AO534" s="2"/>
      <c r="AP534" s="2"/>
      <c r="AQ534" s="2"/>
      <c r="AR534" s="2"/>
      <c r="AS534" s="2"/>
      <c r="AT534" s="2"/>
      <c r="AU534" s="2"/>
    </row>
    <row r="535" spans="9:47" x14ac:dyDescent="0.25">
      <c r="I535"/>
      <c r="R535"/>
      <c r="U535"/>
      <c r="AC535" s="2"/>
      <c r="AD535" s="2"/>
      <c r="AE535" s="2"/>
      <c r="AF535" s="2"/>
      <c r="AG535" s="2"/>
      <c r="AH535" s="2" t="e">
        <f>VLOOKUP(F535,vlookup!$A$2:$E$660,3,0)</f>
        <v>#N/A</v>
      </c>
      <c r="AI535" s="2"/>
      <c r="AJ535" s="2"/>
      <c r="AK535" s="2"/>
      <c r="AL535" s="2"/>
      <c r="AM535" s="2"/>
      <c r="AO535" s="2"/>
      <c r="AP535" s="2"/>
      <c r="AQ535" s="2"/>
      <c r="AR535" s="2"/>
      <c r="AS535" s="2"/>
      <c r="AT535" s="2"/>
      <c r="AU535" s="2"/>
    </row>
    <row r="536" spans="9:47" x14ac:dyDescent="0.25">
      <c r="I536"/>
      <c r="R536"/>
      <c r="U536"/>
      <c r="AC536" s="2"/>
      <c r="AD536" s="2"/>
      <c r="AE536" s="2"/>
      <c r="AF536" s="2"/>
      <c r="AG536" s="2"/>
      <c r="AH536" s="2" t="e">
        <f>VLOOKUP(F536,vlookup!$A$2:$E$660,3,0)</f>
        <v>#N/A</v>
      </c>
      <c r="AI536" s="2"/>
      <c r="AJ536" s="2"/>
      <c r="AK536" s="2"/>
      <c r="AL536" s="2"/>
      <c r="AM536" s="2"/>
      <c r="AO536" s="2"/>
      <c r="AP536" s="2"/>
      <c r="AQ536" s="2"/>
      <c r="AR536" s="2"/>
      <c r="AS536" s="2"/>
      <c r="AT536" s="2"/>
      <c r="AU536" s="2"/>
    </row>
    <row r="537" spans="9:47" x14ac:dyDescent="0.25">
      <c r="I537"/>
      <c r="R537"/>
      <c r="U537"/>
      <c r="AC537" s="2"/>
      <c r="AD537" s="2"/>
      <c r="AE537" s="2"/>
      <c r="AF537" s="2"/>
      <c r="AG537" s="2"/>
      <c r="AH537" s="2" t="e">
        <f>VLOOKUP(F537,vlookup!$A$2:$E$660,3,0)</f>
        <v>#N/A</v>
      </c>
      <c r="AI537" s="2"/>
      <c r="AJ537" s="2"/>
      <c r="AK537" s="2"/>
      <c r="AL537" s="2"/>
      <c r="AM537" s="2"/>
      <c r="AO537" s="2"/>
      <c r="AP537" s="2"/>
      <c r="AQ537" s="2"/>
      <c r="AR537" s="2"/>
      <c r="AS537" s="2"/>
      <c r="AT537" s="2"/>
      <c r="AU537" s="2"/>
    </row>
    <row r="538" spans="9:47" x14ac:dyDescent="0.25">
      <c r="I538"/>
      <c r="R538"/>
      <c r="U538"/>
      <c r="AC538" s="2"/>
      <c r="AD538" s="2"/>
      <c r="AE538" s="2"/>
      <c r="AF538" s="2"/>
      <c r="AG538" s="2"/>
      <c r="AH538" s="2" t="e">
        <f>VLOOKUP(F538,vlookup!$A$2:$E$660,3,0)</f>
        <v>#N/A</v>
      </c>
      <c r="AI538" s="2"/>
      <c r="AJ538" s="2"/>
      <c r="AK538" s="2"/>
      <c r="AL538" s="2"/>
      <c r="AM538" s="2"/>
      <c r="AO538" s="2"/>
      <c r="AP538" s="2"/>
      <c r="AQ538" s="2"/>
      <c r="AR538" s="2"/>
      <c r="AS538" s="2"/>
      <c r="AT538" s="2"/>
      <c r="AU538" s="2"/>
    </row>
    <row r="539" spans="9:47" x14ac:dyDescent="0.25">
      <c r="I539"/>
      <c r="R539"/>
      <c r="U539"/>
      <c r="AC539" s="2"/>
      <c r="AD539" s="2"/>
      <c r="AE539" s="2"/>
      <c r="AF539" s="2"/>
      <c r="AG539" s="2"/>
      <c r="AH539" s="2" t="e">
        <f>VLOOKUP(F539,vlookup!$A$2:$E$660,3,0)</f>
        <v>#N/A</v>
      </c>
      <c r="AI539" s="2"/>
      <c r="AJ539" s="2"/>
      <c r="AK539" s="2"/>
      <c r="AL539" s="2"/>
      <c r="AM539" s="2"/>
      <c r="AO539" s="2"/>
      <c r="AP539" s="2"/>
      <c r="AQ539" s="2"/>
      <c r="AR539" s="2"/>
      <c r="AS539" s="2"/>
      <c r="AT539" s="2"/>
      <c r="AU539" s="2"/>
    </row>
    <row r="540" spans="9:47" x14ac:dyDescent="0.25">
      <c r="I540"/>
      <c r="R540"/>
      <c r="U540"/>
      <c r="AC540" s="2"/>
      <c r="AD540" s="2"/>
      <c r="AE540" s="2"/>
      <c r="AF540" s="2"/>
      <c r="AG540" s="2"/>
      <c r="AH540" s="2" t="e">
        <f>VLOOKUP(F540,vlookup!$A$2:$E$660,3,0)</f>
        <v>#N/A</v>
      </c>
      <c r="AI540" s="2"/>
      <c r="AJ540" s="2"/>
      <c r="AK540" s="2"/>
      <c r="AL540" s="2"/>
      <c r="AM540" s="2"/>
      <c r="AO540" s="2"/>
      <c r="AP540" s="2"/>
      <c r="AQ540" s="2"/>
      <c r="AR540" s="2"/>
      <c r="AS540" s="2"/>
      <c r="AT540" s="2"/>
      <c r="AU540" s="2"/>
    </row>
    <row r="541" spans="9:47" x14ac:dyDescent="0.25">
      <c r="I541"/>
      <c r="R541"/>
      <c r="U541"/>
      <c r="AC541" s="2"/>
      <c r="AD541" s="2"/>
      <c r="AE541" s="2"/>
      <c r="AF541" s="2"/>
      <c r="AG541" s="2"/>
      <c r="AH541" s="2" t="e">
        <f>VLOOKUP(F541,vlookup!$A$2:$E$660,3,0)</f>
        <v>#N/A</v>
      </c>
      <c r="AI541" s="2"/>
      <c r="AJ541" s="2"/>
      <c r="AK541" s="2"/>
      <c r="AL541" s="2"/>
      <c r="AM541" s="2"/>
      <c r="AO541" s="2"/>
      <c r="AP541" s="2"/>
      <c r="AQ541" s="2"/>
      <c r="AR541" s="2"/>
      <c r="AS541" s="2"/>
      <c r="AT541" s="2"/>
      <c r="AU541" s="2"/>
    </row>
    <row r="542" spans="9:47" x14ac:dyDescent="0.25">
      <c r="I542"/>
      <c r="R542"/>
      <c r="U542"/>
      <c r="AC542" s="2"/>
      <c r="AD542" s="2"/>
      <c r="AE542" s="2"/>
      <c r="AF542" s="2"/>
      <c r="AG542" s="2"/>
      <c r="AH542" s="2" t="e">
        <f>VLOOKUP(F542,vlookup!$A$2:$E$660,3,0)</f>
        <v>#N/A</v>
      </c>
      <c r="AI542" s="2"/>
      <c r="AJ542" s="2"/>
      <c r="AK542" s="2"/>
      <c r="AL542" s="2"/>
      <c r="AM542" s="2"/>
      <c r="AO542" s="2"/>
      <c r="AP542" s="2"/>
      <c r="AQ542" s="2"/>
      <c r="AR542" s="2"/>
      <c r="AS542" s="2"/>
      <c r="AT542" s="2"/>
      <c r="AU542" s="2"/>
    </row>
    <row r="543" spans="9:47" x14ac:dyDescent="0.25">
      <c r="I543"/>
      <c r="R543"/>
      <c r="U543"/>
      <c r="AC543" s="2"/>
      <c r="AD543" s="2"/>
      <c r="AE543" s="2"/>
      <c r="AF543" s="2"/>
      <c r="AG543" s="2"/>
      <c r="AH543" s="2" t="e">
        <f>VLOOKUP(F543,vlookup!$A$2:$E$660,3,0)</f>
        <v>#N/A</v>
      </c>
      <c r="AI543" s="2"/>
      <c r="AJ543" s="2"/>
      <c r="AK543" s="2"/>
      <c r="AL543" s="2"/>
      <c r="AM543" s="2"/>
      <c r="AO543" s="2"/>
      <c r="AP543" s="2"/>
      <c r="AQ543" s="2"/>
      <c r="AR543" s="2"/>
      <c r="AS543" s="2"/>
      <c r="AT543" s="2"/>
      <c r="AU543" s="2"/>
    </row>
    <row r="544" spans="9:47" x14ac:dyDescent="0.25">
      <c r="I544"/>
      <c r="R544"/>
      <c r="U544"/>
      <c r="AC544" s="2"/>
      <c r="AD544" s="2"/>
      <c r="AE544" s="2"/>
      <c r="AF544" s="2"/>
      <c r="AG544" s="2"/>
      <c r="AH544" s="2" t="e">
        <f>VLOOKUP(F544,vlookup!$A$2:$E$660,3,0)</f>
        <v>#N/A</v>
      </c>
      <c r="AI544" s="2"/>
      <c r="AJ544" s="2"/>
      <c r="AK544" s="2"/>
      <c r="AL544" s="2"/>
      <c r="AM544" s="2"/>
      <c r="AO544" s="2"/>
      <c r="AP544" s="2"/>
      <c r="AQ544" s="2"/>
      <c r="AR544" s="2"/>
      <c r="AS544" s="2"/>
      <c r="AT544" s="2"/>
      <c r="AU544" s="2"/>
    </row>
    <row r="545" spans="9:47" x14ac:dyDescent="0.25">
      <c r="I545"/>
      <c r="R545"/>
      <c r="U545"/>
      <c r="AC545" s="2"/>
      <c r="AD545" s="2"/>
      <c r="AE545" s="2"/>
      <c r="AF545" s="2"/>
      <c r="AG545" s="2"/>
      <c r="AH545" s="2" t="e">
        <f>VLOOKUP(F545,vlookup!$A$2:$E$660,3,0)</f>
        <v>#N/A</v>
      </c>
      <c r="AI545" s="2"/>
      <c r="AJ545" s="2"/>
      <c r="AK545" s="2"/>
      <c r="AL545" s="2"/>
      <c r="AM545" s="2"/>
      <c r="AO545" s="2"/>
      <c r="AP545" s="2"/>
      <c r="AQ545" s="2"/>
      <c r="AR545" s="2"/>
      <c r="AS545" s="2"/>
      <c r="AT545" s="2"/>
      <c r="AU545" s="2"/>
    </row>
    <row r="546" spans="9:47" x14ac:dyDescent="0.25">
      <c r="I546"/>
      <c r="R546"/>
      <c r="U546"/>
      <c r="AC546" s="2"/>
      <c r="AD546" s="2"/>
      <c r="AE546" s="2"/>
      <c r="AF546" s="2"/>
      <c r="AG546" s="2"/>
      <c r="AH546" s="2" t="e">
        <f>VLOOKUP(F546,vlookup!$A$2:$E$660,3,0)</f>
        <v>#N/A</v>
      </c>
      <c r="AI546" s="2"/>
      <c r="AJ546" s="2"/>
      <c r="AK546" s="2"/>
      <c r="AL546" s="2"/>
      <c r="AM546" s="2"/>
      <c r="AO546" s="2"/>
      <c r="AP546" s="2"/>
      <c r="AQ546" s="2"/>
      <c r="AR546" s="2"/>
      <c r="AS546" s="2"/>
      <c r="AT546" s="2"/>
      <c r="AU546" s="2"/>
    </row>
    <row r="547" spans="9:47" x14ac:dyDescent="0.25">
      <c r="I547"/>
      <c r="R547"/>
      <c r="U547"/>
      <c r="AC547" s="2"/>
      <c r="AD547" s="2"/>
      <c r="AE547" s="2"/>
      <c r="AF547" s="2"/>
      <c r="AG547" s="2"/>
      <c r="AH547" s="2" t="e">
        <f>VLOOKUP(F547,vlookup!$A$2:$E$660,3,0)</f>
        <v>#N/A</v>
      </c>
      <c r="AI547" s="2"/>
      <c r="AJ547" s="2"/>
      <c r="AK547" s="2"/>
      <c r="AL547" s="2"/>
      <c r="AM547" s="2"/>
      <c r="AO547" s="2"/>
      <c r="AP547" s="2"/>
      <c r="AQ547" s="2"/>
      <c r="AR547" s="2"/>
      <c r="AS547" s="2"/>
      <c r="AT547" s="2"/>
      <c r="AU547" s="2"/>
    </row>
    <row r="548" spans="9:47" x14ac:dyDescent="0.25">
      <c r="I548"/>
      <c r="R548"/>
      <c r="U548"/>
      <c r="AC548" s="2"/>
      <c r="AD548" s="2"/>
      <c r="AE548" s="2"/>
      <c r="AF548" s="2"/>
      <c r="AG548" s="2"/>
      <c r="AH548" s="2" t="e">
        <f>VLOOKUP(F548,vlookup!$A$2:$E$660,3,0)</f>
        <v>#N/A</v>
      </c>
      <c r="AI548" s="2"/>
      <c r="AJ548" s="2"/>
      <c r="AK548" s="2"/>
      <c r="AL548" s="2"/>
      <c r="AM548" s="2"/>
      <c r="AO548" s="2"/>
      <c r="AP548" s="2"/>
      <c r="AQ548" s="2"/>
      <c r="AR548" s="2"/>
      <c r="AS548" s="2"/>
      <c r="AT548" s="2"/>
      <c r="AU548" s="2"/>
    </row>
    <row r="549" spans="9:47" x14ac:dyDescent="0.25">
      <c r="I549"/>
      <c r="R549"/>
      <c r="U549"/>
      <c r="AC549" s="2"/>
      <c r="AD549" s="2"/>
      <c r="AE549" s="2"/>
      <c r="AF549" s="2"/>
      <c r="AG549" s="2"/>
      <c r="AH549" s="2" t="e">
        <f>VLOOKUP(F549,vlookup!$A$2:$E$660,3,0)</f>
        <v>#N/A</v>
      </c>
      <c r="AI549" s="2"/>
      <c r="AJ549" s="2"/>
      <c r="AK549" s="2"/>
      <c r="AL549" s="2"/>
      <c r="AM549" s="2"/>
      <c r="AO549" s="2"/>
      <c r="AP549" s="2"/>
      <c r="AQ549" s="2"/>
      <c r="AR549" s="2"/>
      <c r="AS549" s="2"/>
      <c r="AT549" s="2"/>
      <c r="AU549" s="2"/>
    </row>
    <row r="550" spans="9:47" x14ac:dyDescent="0.25">
      <c r="I550"/>
      <c r="R550"/>
      <c r="U550"/>
      <c r="AC550" s="2"/>
      <c r="AD550" s="2"/>
      <c r="AE550" s="2"/>
      <c r="AF550" s="2"/>
      <c r="AG550" s="2"/>
      <c r="AH550" s="2" t="e">
        <f>VLOOKUP(F550,vlookup!$A$2:$E$660,3,0)</f>
        <v>#N/A</v>
      </c>
      <c r="AI550" s="2"/>
      <c r="AJ550" s="2"/>
      <c r="AK550" s="2"/>
      <c r="AL550" s="2"/>
      <c r="AM550" s="2"/>
      <c r="AO550" s="2"/>
      <c r="AP550" s="2"/>
      <c r="AQ550" s="2"/>
      <c r="AR550" s="2"/>
      <c r="AS550" s="2"/>
      <c r="AT550" s="2"/>
      <c r="AU550" s="2"/>
    </row>
    <row r="551" spans="9:47" x14ac:dyDescent="0.25">
      <c r="I551"/>
      <c r="R551"/>
      <c r="U551"/>
      <c r="AC551" s="2"/>
      <c r="AD551" s="2"/>
      <c r="AE551" s="2"/>
      <c r="AF551" s="2"/>
      <c r="AG551" s="2"/>
      <c r="AH551" s="2" t="e">
        <f>VLOOKUP(F551,vlookup!$A$2:$E$660,3,0)</f>
        <v>#N/A</v>
      </c>
      <c r="AI551" s="2"/>
      <c r="AJ551" s="2"/>
      <c r="AK551" s="2"/>
      <c r="AL551" s="2"/>
      <c r="AM551" s="2"/>
      <c r="AO551" s="2"/>
      <c r="AP551" s="2"/>
      <c r="AQ551" s="2"/>
      <c r="AR551" s="2"/>
      <c r="AS551" s="2"/>
      <c r="AT551" s="2"/>
      <c r="AU551" s="2"/>
    </row>
    <row r="552" spans="9:47" x14ac:dyDescent="0.25">
      <c r="I552"/>
      <c r="R552"/>
      <c r="U552"/>
      <c r="AC552" s="2"/>
      <c r="AD552" s="2"/>
      <c r="AE552" s="2"/>
      <c r="AF552" s="2"/>
      <c r="AG552" s="2"/>
      <c r="AH552" s="2" t="e">
        <f>VLOOKUP(F552,vlookup!$A$2:$E$660,3,0)</f>
        <v>#N/A</v>
      </c>
      <c r="AI552" s="2"/>
      <c r="AJ552" s="2"/>
      <c r="AK552" s="2"/>
      <c r="AL552" s="2"/>
      <c r="AM552" s="2"/>
      <c r="AO552" s="2"/>
      <c r="AP552" s="2"/>
      <c r="AQ552" s="2"/>
      <c r="AR552" s="2"/>
      <c r="AS552" s="2"/>
      <c r="AT552" s="2"/>
      <c r="AU552" s="2"/>
    </row>
    <row r="553" spans="9:47" x14ac:dyDescent="0.25">
      <c r="I553"/>
      <c r="R553"/>
      <c r="U553"/>
      <c r="AC553" s="2"/>
      <c r="AD553" s="2"/>
      <c r="AE553" s="2"/>
      <c r="AF553" s="2"/>
      <c r="AG553" s="2"/>
      <c r="AH553" s="2" t="e">
        <f>VLOOKUP(F553,vlookup!$A$2:$E$660,3,0)</f>
        <v>#N/A</v>
      </c>
      <c r="AI553" s="2"/>
      <c r="AJ553" s="2"/>
      <c r="AK553" s="2"/>
      <c r="AL553" s="2"/>
      <c r="AM553" s="2"/>
      <c r="AO553" s="2"/>
      <c r="AP553" s="2"/>
      <c r="AQ553" s="2"/>
      <c r="AR553" s="2"/>
      <c r="AS553" s="2"/>
      <c r="AT553" s="2"/>
      <c r="AU553" s="2"/>
    </row>
    <row r="554" spans="9:47" x14ac:dyDescent="0.25">
      <c r="I554"/>
      <c r="R554"/>
      <c r="U554"/>
      <c r="AC554" s="2"/>
      <c r="AD554" s="2"/>
      <c r="AE554" s="2"/>
      <c r="AF554" s="2"/>
      <c r="AG554" s="2"/>
      <c r="AH554" s="2" t="e">
        <f>VLOOKUP(F554,vlookup!$A$2:$E$660,3,0)</f>
        <v>#N/A</v>
      </c>
      <c r="AI554" s="2"/>
      <c r="AJ554" s="2"/>
      <c r="AK554" s="2"/>
      <c r="AL554" s="2"/>
      <c r="AM554" s="2"/>
      <c r="AO554" s="2"/>
      <c r="AP554" s="2"/>
      <c r="AQ554" s="2"/>
      <c r="AR554" s="2"/>
      <c r="AS554" s="2"/>
      <c r="AT554" s="2"/>
      <c r="AU554" s="2"/>
    </row>
    <row r="555" spans="9:47" x14ac:dyDescent="0.25">
      <c r="I555"/>
      <c r="R555"/>
      <c r="U555"/>
      <c r="AC555" s="2"/>
      <c r="AD555" s="2"/>
      <c r="AE555" s="2"/>
      <c r="AF555" s="2"/>
      <c r="AG555" s="2"/>
      <c r="AH555" s="2" t="e">
        <f>VLOOKUP(F555,vlookup!$A$2:$E$660,3,0)</f>
        <v>#N/A</v>
      </c>
      <c r="AI555" s="2"/>
      <c r="AJ555" s="2"/>
      <c r="AK555" s="2"/>
      <c r="AL555" s="2"/>
      <c r="AM555" s="2"/>
      <c r="AO555" s="2"/>
      <c r="AP555" s="2"/>
      <c r="AQ555" s="2"/>
      <c r="AR555" s="2"/>
      <c r="AS555" s="2"/>
      <c r="AT555" s="2"/>
      <c r="AU555" s="2"/>
    </row>
    <row r="556" spans="9:47" x14ac:dyDescent="0.25">
      <c r="I556"/>
      <c r="R556"/>
      <c r="U556"/>
      <c r="AC556" s="2"/>
      <c r="AD556" s="2"/>
      <c r="AE556" s="2"/>
      <c r="AF556" s="2"/>
      <c r="AG556" s="2"/>
      <c r="AH556" s="2" t="e">
        <f>VLOOKUP(F556,vlookup!$A$2:$E$660,3,0)</f>
        <v>#N/A</v>
      </c>
      <c r="AI556" s="2"/>
      <c r="AJ556" s="2"/>
      <c r="AK556" s="2"/>
      <c r="AL556" s="2"/>
      <c r="AM556" s="2"/>
      <c r="AO556" s="2"/>
      <c r="AP556" s="2"/>
      <c r="AQ556" s="2"/>
      <c r="AR556" s="2"/>
      <c r="AS556" s="2"/>
      <c r="AT556" s="2"/>
      <c r="AU556" s="2"/>
    </row>
    <row r="557" spans="9:47" x14ac:dyDescent="0.25">
      <c r="I557"/>
      <c r="R557"/>
      <c r="U557"/>
      <c r="AC557" s="2"/>
      <c r="AD557" s="2"/>
      <c r="AE557" s="2"/>
      <c r="AF557" s="2"/>
      <c r="AG557" s="2"/>
      <c r="AH557" s="2" t="e">
        <f>VLOOKUP(F557,vlookup!$A$2:$E$660,3,0)</f>
        <v>#N/A</v>
      </c>
      <c r="AI557" s="2"/>
      <c r="AJ557" s="2"/>
      <c r="AK557" s="2"/>
      <c r="AL557" s="2"/>
      <c r="AM557" s="2"/>
      <c r="AO557" s="2"/>
      <c r="AP557" s="2"/>
      <c r="AQ557" s="2"/>
      <c r="AR557" s="2"/>
      <c r="AS557" s="2"/>
      <c r="AT557" s="2"/>
      <c r="AU557" s="2"/>
    </row>
    <row r="558" spans="9:47" x14ac:dyDescent="0.25">
      <c r="I558"/>
      <c r="R558"/>
      <c r="U558"/>
      <c r="AC558" s="2"/>
      <c r="AD558" s="2"/>
      <c r="AE558" s="2"/>
      <c r="AF558" s="2"/>
      <c r="AG558" s="2"/>
      <c r="AH558" s="2" t="e">
        <f>VLOOKUP(F558,vlookup!$A$2:$E$660,3,0)</f>
        <v>#N/A</v>
      </c>
      <c r="AI558" s="2"/>
      <c r="AJ558" s="2"/>
      <c r="AK558" s="2"/>
      <c r="AL558" s="2"/>
      <c r="AM558" s="2"/>
      <c r="AO558" s="2"/>
      <c r="AP558" s="2"/>
      <c r="AQ558" s="2"/>
      <c r="AR558" s="2"/>
      <c r="AS558" s="2"/>
      <c r="AT558" s="2"/>
      <c r="AU558" s="2"/>
    </row>
    <row r="559" spans="9:47" x14ac:dyDescent="0.25">
      <c r="I559"/>
      <c r="R559"/>
      <c r="U559"/>
      <c r="AC559" s="2"/>
      <c r="AD559" s="2"/>
      <c r="AE559" s="2"/>
      <c r="AF559" s="2"/>
      <c r="AG559" s="2"/>
      <c r="AH559" s="2" t="e">
        <f>VLOOKUP(F559,vlookup!$A$2:$E$660,3,0)</f>
        <v>#N/A</v>
      </c>
      <c r="AI559" s="2"/>
      <c r="AJ559" s="2"/>
      <c r="AK559" s="2"/>
      <c r="AL559" s="2"/>
      <c r="AM559" s="2"/>
      <c r="AO559" s="2"/>
      <c r="AP559" s="2"/>
      <c r="AQ559" s="2"/>
      <c r="AR559" s="2"/>
      <c r="AS559" s="2"/>
      <c r="AT559" s="2"/>
      <c r="AU559" s="2"/>
    </row>
    <row r="560" spans="9:47" x14ac:dyDescent="0.25">
      <c r="I560"/>
      <c r="R560"/>
      <c r="U560"/>
      <c r="AC560" s="2"/>
      <c r="AD560" s="2"/>
      <c r="AE560" s="2"/>
      <c r="AF560" s="2"/>
      <c r="AG560" s="2"/>
      <c r="AH560" s="2" t="e">
        <f>VLOOKUP(F560,vlookup!$A$2:$E$660,3,0)</f>
        <v>#N/A</v>
      </c>
      <c r="AI560" s="2"/>
      <c r="AJ560" s="2"/>
      <c r="AK560" s="2"/>
      <c r="AL560" s="2"/>
      <c r="AM560" s="2"/>
      <c r="AO560" s="2"/>
      <c r="AP560" s="2"/>
      <c r="AQ560" s="2"/>
      <c r="AR560" s="2"/>
      <c r="AS560" s="2"/>
      <c r="AT560" s="2"/>
      <c r="AU560" s="2"/>
    </row>
    <row r="561" spans="9:47" x14ac:dyDescent="0.25">
      <c r="I561"/>
      <c r="R561"/>
      <c r="U561"/>
      <c r="AC561" s="2"/>
      <c r="AD561" s="2"/>
      <c r="AE561" s="2"/>
      <c r="AF561" s="2"/>
      <c r="AG561" s="2"/>
      <c r="AH561" s="2" t="e">
        <f>VLOOKUP(F561,vlookup!$A$2:$E$660,3,0)</f>
        <v>#N/A</v>
      </c>
      <c r="AI561" s="2"/>
      <c r="AJ561" s="2"/>
      <c r="AK561" s="2"/>
      <c r="AL561" s="2"/>
      <c r="AM561" s="2"/>
      <c r="AO561" s="2"/>
      <c r="AP561" s="2"/>
      <c r="AQ561" s="2"/>
      <c r="AR561" s="2"/>
      <c r="AS561" s="2"/>
      <c r="AT561" s="2"/>
      <c r="AU561" s="2"/>
    </row>
    <row r="562" spans="9:47" x14ac:dyDescent="0.25">
      <c r="I562"/>
      <c r="R562"/>
      <c r="U562"/>
      <c r="AC562" s="2"/>
      <c r="AD562" s="2"/>
      <c r="AE562" s="2"/>
      <c r="AF562" s="2"/>
      <c r="AG562" s="2"/>
      <c r="AH562" s="2" t="e">
        <f>VLOOKUP(F562,vlookup!$A$2:$E$660,3,0)</f>
        <v>#N/A</v>
      </c>
      <c r="AI562" s="2"/>
      <c r="AJ562" s="2"/>
      <c r="AK562" s="2"/>
      <c r="AL562" s="2"/>
      <c r="AM562" s="2"/>
      <c r="AO562" s="2"/>
      <c r="AP562" s="2"/>
      <c r="AQ562" s="2"/>
      <c r="AR562" s="2"/>
      <c r="AS562" s="2"/>
      <c r="AT562" s="2"/>
      <c r="AU562" s="2"/>
    </row>
    <row r="563" spans="9:47" x14ac:dyDescent="0.25">
      <c r="I563"/>
      <c r="R563"/>
      <c r="U563"/>
      <c r="AC563" s="2"/>
      <c r="AD563" s="2"/>
      <c r="AE563" s="2"/>
      <c r="AF563" s="2"/>
      <c r="AG563" s="2"/>
      <c r="AH563" s="2" t="e">
        <f>VLOOKUP(F563,vlookup!$A$2:$E$660,3,0)</f>
        <v>#N/A</v>
      </c>
      <c r="AI563" s="2"/>
      <c r="AJ563" s="2"/>
      <c r="AK563" s="2"/>
      <c r="AL563" s="2"/>
      <c r="AM563" s="2"/>
      <c r="AO563" s="2"/>
      <c r="AP563" s="2"/>
      <c r="AQ563" s="2"/>
      <c r="AR563" s="2"/>
      <c r="AS563" s="2"/>
      <c r="AT563" s="2"/>
      <c r="AU563" s="2"/>
    </row>
    <row r="564" spans="9:47" x14ac:dyDescent="0.25">
      <c r="I564"/>
      <c r="R564"/>
      <c r="U564"/>
      <c r="AC564" s="2"/>
      <c r="AD564" s="2"/>
      <c r="AE564" s="2"/>
      <c r="AF564" s="2"/>
      <c r="AG564" s="2"/>
      <c r="AH564" s="2" t="e">
        <f>VLOOKUP(F564,vlookup!$A$2:$E$660,3,0)</f>
        <v>#N/A</v>
      </c>
      <c r="AI564" s="2"/>
      <c r="AJ564" s="2"/>
      <c r="AK564" s="2"/>
      <c r="AL564" s="2"/>
      <c r="AM564" s="2"/>
      <c r="AO564" s="2"/>
      <c r="AP564" s="2"/>
      <c r="AQ564" s="2"/>
      <c r="AR564" s="2"/>
      <c r="AS564" s="2"/>
      <c r="AT564" s="2"/>
      <c r="AU564" s="2"/>
    </row>
    <row r="565" spans="9:47" x14ac:dyDescent="0.25">
      <c r="I565"/>
      <c r="R565"/>
      <c r="U565"/>
      <c r="AC565" s="2"/>
      <c r="AD565" s="2"/>
      <c r="AE565" s="2"/>
      <c r="AF565" s="2"/>
      <c r="AG565" s="2"/>
      <c r="AH565" s="2" t="e">
        <f>VLOOKUP(F565,vlookup!$A$2:$E$660,3,0)</f>
        <v>#N/A</v>
      </c>
      <c r="AI565" s="2"/>
      <c r="AJ565" s="2"/>
      <c r="AK565" s="2"/>
      <c r="AL565" s="2"/>
      <c r="AM565" s="2"/>
      <c r="AO565" s="2"/>
      <c r="AP565" s="2"/>
      <c r="AQ565" s="2"/>
      <c r="AR565" s="2"/>
      <c r="AS565" s="2"/>
      <c r="AT565" s="2"/>
      <c r="AU565" s="2"/>
    </row>
    <row r="566" spans="9:47" x14ac:dyDescent="0.25">
      <c r="I566"/>
      <c r="R566"/>
      <c r="U566"/>
      <c r="AC566" s="2"/>
      <c r="AD566" s="2"/>
      <c r="AE566" s="2"/>
      <c r="AF566" s="2"/>
      <c r="AG566" s="2"/>
      <c r="AH566" s="2" t="e">
        <f>VLOOKUP(F566,vlookup!$A$2:$E$660,3,0)</f>
        <v>#N/A</v>
      </c>
      <c r="AI566" s="2"/>
      <c r="AJ566" s="2"/>
      <c r="AK566" s="2"/>
      <c r="AL566" s="2"/>
      <c r="AM566" s="2"/>
      <c r="AO566" s="2"/>
      <c r="AP566" s="2"/>
      <c r="AQ566" s="2"/>
      <c r="AR566" s="2"/>
      <c r="AS566" s="2"/>
      <c r="AT566" s="2"/>
      <c r="AU566" s="2"/>
    </row>
    <row r="567" spans="9:47" x14ac:dyDescent="0.25">
      <c r="I567"/>
      <c r="R567"/>
      <c r="U567"/>
      <c r="AC567" s="2"/>
      <c r="AD567" s="2"/>
      <c r="AE567" s="2"/>
      <c r="AF567" s="2"/>
      <c r="AG567" s="2"/>
      <c r="AH567" s="2" t="e">
        <f>VLOOKUP(F567,vlookup!$A$2:$E$660,3,0)</f>
        <v>#N/A</v>
      </c>
      <c r="AI567" s="2"/>
      <c r="AJ567" s="2"/>
      <c r="AK567" s="2"/>
      <c r="AL567" s="2"/>
      <c r="AM567" s="2"/>
      <c r="AO567" s="2"/>
      <c r="AP567" s="2"/>
      <c r="AQ567" s="2"/>
      <c r="AR567" s="2"/>
      <c r="AS567" s="2"/>
      <c r="AT567" s="2"/>
      <c r="AU567" s="2"/>
    </row>
    <row r="568" spans="9:47" x14ac:dyDescent="0.25">
      <c r="I568"/>
      <c r="R568"/>
      <c r="U568"/>
      <c r="AC568" s="2"/>
      <c r="AD568" s="2"/>
      <c r="AE568" s="2"/>
      <c r="AF568" s="2"/>
      <c r="AG568" s="2"/>
      <c r="AH568" s="2" t="e">
        <f>VLOOKUP(F568,vlookup!$A$2:$E$660,3,0)</f>
        <v>#N/A</v>
      </c>
      <c r="AI568" s="2"/>
      <c r="AJ568" s="2"/>
      <c r="AK568" s="2"/>
      <c r="AL568" s="2"/>
      <c r="AM568" s="2"/>
      <c r="AO568" s="2"/>
      <c r="AP568" s="2"/>
      <c r="AQ568" s="2"/>
      <c r="AR568" s="2"/>
      <c r="AS568" s="2"/>
      <c r="AT568" s="2"/>
      <c r="AU568" s="2"/>
    </row>
    <row r="569" spans="9:47" x14ac:dyDescent="0.25">
      <c r="I569"/>
      <c r="R569"/>
      <c r="U569"/>
      <c r="AC569" s="2"/>
      <c r="AD569" s="2"/>
      <c r="AE569" s="2"/>
      <c r="AF569" s="2"/>
      <c r="AG569" s="2"/>
      <c r="AH569" s="2" t="e">
        <f>VLOOKUP(F569,vlookup!$A$2:$E$660,3,0)</f>
        <v>#N/A</v>
      </c>
      <c r="AI569" s="2"/>
      <c r="AJ569" s="2"/>
      <c r="AK569" s="2"/>
      <c r="AL569" s="2"/>
      <c r="AM569" s="2"/>
      <c r="AO569" s="2"/>
      <c r="AP569" s="2"/>
      <c r="AQ569" s="2"/>
      <c r="AR569" s="2"/>
      <c r="AS569" s="2"/>
      <c r="AT569" s="2"/>
      <c r="AU569" s="2"/>
    </row>
    <row r="570" spans="9:47" x14ac:dyDescent="0.25">
      <c r="I570"/>
      <c r="R570"/>
      <c r="U570"/>
      <c r="AC570" s="2"/>
      <c r="AD570" s="2"/>
      <c r="AE570" s="2"/>
      <c r="AF570" s="2"/>
      <c r="AG570" s="2"/>
      <c r="AH570" s="2" t="e">
        <f>VLOOKUP(F570,vlookup!$A$2:$E$660,3,0)</f>
        <v>#N/A</v>
      </c>
      <c r="AI570" s="2"/>
      <c r="AJ570" s="2"/>
      <c r="AK570" s="2"/>
      <c r="AL570" s="2"/>
      <c r="AM570" s="2"/>
      <c r="AO570" s="2"/>
      <c r="AP570" s="2"/>
      <c r="AQ570" s="2"/>
      <c r="AR570" s="2"/>
      <c r="AS570" s="2"/>
      <c r="AT570" s="2"/>
      <c r="AU570" s="2"/>
    </row>
    <row r="571" spans="9:47" x14ac:dyDescent="0.25">
      <c r="I571"/>
      <c r="R571"/>
      <c r="U571"/>
      <c r="AC571" s="2"/>
      <c r="AD571" s="2"/>
      <c r="AE571" s="2"/>
      <c r="AF571" s="2"/>
      <c r="AG571" s="2"/>
      <c r="AH571" s="2" t="e">
        <f>VLOOKUP(F571,vlookup!$A$2:$E$660,3,0)</f>
        <v>#N/A</v>
      </c>
      <c r="AI571" s="2"/>
      <c r="AJ571" s="2"/>
      <c r="AK571" s="2"/>
      <c r="AL571" s="2"/>
      <c r="AM571" s="2"/>
      <c r="AO571" s="2"/>
      <c r="AP571" s="2"/>
      <c r="AQ571" s="2"/>
      <c r="AR571" s="2"/>
      <c r="AS571" s="2"/>
      <c r="AT571" s="2"/>
      <c r="AU571" s="2"/>
    </row>
    <row r="572" spans="9:47" x14ac:dyDescent="0.25">
      <c r="I572"/>
      <c r="R572"/>
      <c r="U572"/>
      <c r="AC572" s="2"/>
      <c r="AD572" s="2"/>
      <c r="AE572" s="2"/>
      <c r="AF572" s="2"/>
      <c r="AG572" s="2"/>
      <c r="AH572" s="2" t="e">
        <f>VLOOKUP(F572,vlookup!$A$2:$E$660,3,0)</f>
        <v>#N/A</v>
      </c>
      <c r="AI572" s="2"/>
      <c r="AJ572" s="2"/>
      <c r="AK572" s="2"/>
      <c r="AL572" s="2"/>
      <c r="AM572" s="2"/>
      <c r="AO572" s="2"/>
      <c r="AP572" s="2"/>
      <c r="AQ572" s="2"/>
      <c r="AR572" s="2"/>
      <c r="AS572" s="2"/>
      <c r="AT572" s="2"/>
      <c r="AU572" s="2"/>
    </row>
    <row r="573" spans="9:47" x14ac:dyDescent="0.25">
      <c r="I573"/>
      <c r="R573"/>
      <c r="U573"/>
      <c r="AC573" s="2"/>
      <c r="AD573" s="2"/>
      <c r="AE573" s="2"/>
      <c r="AF573" s="2"/>
      <c r="AG573" s="2"/>
      <c r="AH573" s="2" t="e">
        <f>VLOOKUP(F573,vlookup!$A$2:$E$660,3,0)</f>
        <v>#N/A</v>
      </c>
      <c r="AI573" s="2"/>
      <c r="AJ573" s="2"/>
      <c r="AK573" s="2"/>
      <c r="AL573" s="2"/>
      <c r="AM573" s="2"/>
      <c r="AO573" s="2"/>
      <c r="AP573" s="2"/>
      <c r="AQ573" s="2"/>
      <c r="AR573" s="2"/>
      <c r="AS573" s="2"/>
      <c r="AT573" s="2"/>
      <c r="AU573" s="2"/>
    </row>
    <row r="574" spans="9:47" x14ac:dyDescent="0.25">
      <c r="I574"/>
      <c r="R574"/>
      <c r="U574"/>
      <c r="AC574" s="2"/>
      <c r="AD574" s="2"/>
      <c r="AE574" s="2"/>
      <c r="AF574" s="2"/>
      <c r="AG574" s="2"/>
      <c r="AH574" s="2" t="e">
        <f>VLOOKUP(F574,vlookup!$A$2:$E$660,3,0)</f>
        <v>#N/A</v>
      </c>
      <c r="AI574" s="2"/>
      <c r="AJ574" s="2"/>
      <c r="AK574" s="2"/>
      <c r="AL574" s="2"/>
      <c r="AM574" s="2"/>
      <c r="AO574" s="2"/>
      <c r="AP574" s="2"/>
      <c r="AQ574" s="2"/>
      <c r="AR574" s="2"/>
      <c r="AS574" s="2"/>
      <c r="AT574" s="2"/>
      <c r="AU574" s="2"/>
    </row>
    <row r="575" spans="9:47" x14ac:dyDescent="0.25">
      <c r="I575"/>
      <c r="R575"/>
      <c r="U575"/>
      <c r="AC575" s="2"/>
      <c r="AD575" s="2"/>
      <c r="AE575" s="2"/>
      <c r="AF575" s="2"/>
      <c r="AG575" s="2"/>
      <c r="AH575" s="2" t="e">
        <f>VLOOKUP(F575,vlookup!$A$2:$E$660,3,0)</f>
        <v>#N/A</v>
      </c>
      <c r="AI575" s="2"/>
      <c r="AJ575" s="2"/>
      <c r="AK575" s="2"/>
      <c r="AL575" s="2"/>
      <c r="AM575" s="2"/>
      <c r="AO575" s="2"/>
      <c r="AP575" s="2"/>
      <c r="AQ575" s="2"/>
      <c r="AR575" s="2"/>
      <c r="AS575" s="2"/>
      <c r="AT575" s="2"/>
      <c r="AU575" s="2"/>
    </row>
    <row r="576" spans="9:47" x14ac:dyDescent="0.25">
      <c r="I576"/>
      <c r="R576"/>
      <c r="U576"/>
      <c r="AC576" s="2"/>
      <c r="AD576" s="2"/>
      <c r="AE576" s="2"/>
      <c r="AF576" s="2"/>
      <c r="AG576" s="2"/>
      <c r="AH576" s="2" t="e">
        <f>VLOOKUP(F576,vlookup!$A$2:$E$660,3,0)</f>
        <v>#N/A</v>
      </c>
      <c r="AI576" s="2"/>
      <c r="AJ576" s="2"/>
      <c r="AK576" s="2"/>
      <c r="AL576" s="2"/>
      <c r="AM576" s="2"/>
      <c r="AO576" s="2"/>
      <c r="AP576" s="2"/>
      <c r="AQ576" s="2"/>
      <c r="AR576" s="2"/>
      <c r="AS576" s="2"/>
      <c r="AT576" s="2"/>
      <c r="AU576" s="2"/>
    </row>
    <row r="577" spans="9:47" x14ac:dyDescent="0.25">
      <c r="I577"/>
      <c r="R577"/>
      <c r="U577"/>
      <c r="AC577" s="2"/>
      <c r="AD577" s="2"/>
      <c r="AE577" s="2"/>
      <c r="AF577" s="2"/>
      <c r="AG577" s="2"/>
      <c r="AH577" s="2" t="e">
        <f>VLOOKUP(F577,vlookup!$A$2:$E$660,3,0)</f>
        <v>#N/A</v>
      </c>
      <c r="AI577" s="2"/>
      <c r="AJ577" s="2"/>
      <c r="AK577" s="2"/>
      <c r="AL577" s="2"/>
      <c r="AM577" s="2"/>
      <c r="AO577" s="2"/>
      <c r="AP577" s="2"/>
      <c r="AQ577" s="2"/>
      <c r="AR577" s="2"/>
      <c r="AS577" s="2"/>
      <c r="AT577" s="2"/>
      <c r="AU577" s="2"/>
    </row>
    <row r="578" spans="9:47" x14ac:dyDescent="0.25">
      <c r="I578"/>
      <c r="R578"/>
      <c r="U578"/>
      <c r="AC578" s="2"/>
      <c r="AD578" s="2"/>
      <c r="AE578" s="2"/>
      <c r="AF578" s="2"/>
      <c r="AG578" s="2"/>
      <c r="AH578" s="2" t="e">
        <f>VLOOKUP(F578,vlookup!$A$2:$E$660,3,0)</f>
        <v>#N/A</v>
      </c>
      <c r="AI578" s="2"/>
      <c r="AJ578" s="2"/>
      <c r="AK578" s="2"/>
      <c r="AL578" s="2"/>
      <c r="AM578" s="2"/>
      <c r="AO578" s="2"/>
      <c r="AP578" s="2"/>
      <c r="AQ578" s="2"/>
      <c r="AR578" s="2"/>
      <c r="AS578" s="2"/>
      <c r="AT578" s="2"/>
      <c r="AU578" s="2"/>
    </row>
    <row r="579" spans="9:47" x14ac:dyDescent="0.25">
      <c r="I579"/>
      <c r="R579"/>
      <c r="U579"/>
      <c r="AC579" s="2"/>
      <c r="AD579" s="2"/>
      <c r="AE579" s="2"/>
      <c r="AF579" s="2"/>
      <c r="AG579" s="2"/>
      <c r="AH579" s="2" t="e">
        <f>VLOOKUP(F579,vlookup!$A$2:$E$660,3,0)</f>
        <v>#N/A</v>
      </c>
      <c r="AI579" s="2"/>
      <c r="AJ579" s="2"/>
      <c r="AK579" s="2"/>
      <c r="AL579" s="2"/>
      <c r="AM579" s="2"/>
      <c r="AO579" s="2"/>
      <c r="AP579" s="2"/>
      <c r="AQ579" s="2"/>
      <c r="AR579" s="2"/>
      <c r="AS579" s="2"/>
      <c r="AT579" s="2"/>
      <c r="AU579" s="2"/>
    </row>
    <row r="580" spans="9:47" x14ac:dyDescent="0.25">
      <c r="I580"/>
      <c r="R580"/>
      <c r="U580"/>
      <c r="AC580" s="2"/>
      <c r="AD580" s="2"/>
      <c r="AE580" s="2"/>
      <c r="AF580" s="2"/>
      <c r="AG580" s="2"/>
      <c r="AH580" s="2" t="e">
        <f>VLOOKUP(F580,vlookup!$A$2:$E$660,3,0)</f>
        <v>#N/A</v>
      </c>
      <c r="AI580" s="2"/>
      <c r="AJ580" s="2"/>
      <c r="AK580" s="2"/>
      <c r="AL580" s="2"/>
      <c r="AM580" s="2"/>
      <c r="AO580" s="2"/>
      <c r="AP580" s="2"/>
      <c r="AQ580" s="2"/>
      <c r="AR580" s="2"/>
      <c r="AS580" s="2"/>
      <c r="AT580" s="2"/>
      <c r="AU580" s="2"/>
    </row>
    <row r="581" spans="9:47" x14ac:dyDescent="0.25">
      <c r="I581"/>
      <c r="R581"/>
      <c r="U581"/>
      <c r="AC581" s="2"/>
      <c r="AD581" s="2"/>
      <c r="AE581" s="2"/>
      <c r="AF581" s="2"/>
      <c r="AG581" s="2"/>
      <c r="AH581" s="2" t="e">
        <f>VLOOKUP(F581,vlookup!$A$2:$E$660,3,0)</f>
        <v>#N/A</v>
      </c>
      <c r="AI581" s="2"/>
      <c r="AJ581" s="2"/>
      <c r="AK581" s="2"/>
      <c r="AL581" s="2"/>
      <c r="AM581" s="2"/>
      <c r="AO581" s="2"/>
      <c r="AP581" s="2"/>
      <c r="AQ581" s="2"/>
      <c r="AR581" s="2"/>
      <c r="AS581" s="2"/>
      <c r="AT581" s="2"/>
      <c r="AU581" s="2"/>
    </row>
    <row r="582" spans="9:47" x14ac:dyDescent="0.25">
      <c r="I582"/>
      <c r="R582"/>
      <c r="U582"/>
      <c r="AC582" s="2"/>
      <c r="AD582" s="2"/>
      <c r="AE582" s="2"/>
      <c r="AF582" s="2"/>
      <c r="AG582" s="2"/>
      <c r="AH582" s="2" t="e">
        <f>VLOOKUP(F582,vlookup!$A$2:$E$660,3,0)</f>
        <v>#N/A</v>
      </c>
      <c r="AI582" s="2"/>
      <c r="AJ582" s="2"/>
      <c r="AK582" s="2"/>
      <c r="AL582" s="2"/>
      <c r="AM582" s="2"/>
      <c r="AO582" s="2"/>
      <c r="AP582" s="2"/>
      <c r="AQ582" s="2"/>
      <c r="AR582" s="2"/>
      <c r="AS582" s="2"/>
      <c r="AT582" s="2"/>
      <c r="AU582" s="2"/>
    </row>
    <row r="583" spans="9:47" x14ac:dyDescent="0.25">
      <c r="I583"/>
      <c r="R583"/>
      <c r="U583"/>
      <c r="AC583" s="2"/>
      <c r="AD583" s="2"/>
      <c r="AE583" s="2"/>
      <c r="AF583" s="2"/>
      <c r="AG583" s="2"/>
      <c r="AH583" s="2" t="e">
        <f>VLOOKUP(F583,vlookup!$A$2:$E$660,3,0)</f>
        <v>#N/A</v>
      </c>
      <c r="AI583" s="2"/>
      <c r="AJ583" s="2"/>
      <c r="AK583" s="2"/>
      <c r="AL583" s="2"/>
      <c r="AM583" s="2"/>
      <c r="AO583" s="2"/>
      <c r="AP583" s="2"/>
      <c r="AQ583" s="2"/>
      <c r="AR583" s="2"/>
      <c r="AS583" s="2"/>
      <c r="AT583" s="2"/>
      <c r="AU583" s="2"/>
    </row>
    <row r="584" spans="9:47" x14ac:dyDescent="0.25">
      <c r="I584"/>
      <c r="R584"/>
      <c r="U584"/>
      <c r="AC584" s="2"/>
      <c r="AD584" s="2"/>
      <c r="AE584" s="2"/>
      <c r="AF584" s="2"/>
      <c r="AG584" s="2"/>
      <c r="AH584" s="2" t="e">
        <f>VLOOKUP(F584,vlookup!$A$2:$E$660,3,0)</f>
        <v>#N/A</v>
      </c>
      <c r="AI584" s="2"/>
      <c r="AJ584" s="2"/>
      <c r="AK584" s="2"/>
      <c r="AL584" s="2"/>
      <c r="AM584" s="2"/>
      <c r="AO584" s="2"/>
      <c r="AP584" s="2"/>
      <c r="AQ584" s="2"/>
      <c r="AR584" s="2"/>
      <c r="AS584" s="2"/>
      <c r="AT584" s="2"/>
      <c r="AU584" s="2"/>
    </row>
    <row r="585" spans="9:47" x14ac:dyDescent="0.25">
      <c r="I585"/>
      <c r="R585"/>
      <c r="U585"/>
      <c r="AC585" s="2"/>
      <c r="AD585" s="2"/>
      <c r="AE585" s="2"/>
      <c r="AF585" s="2"/>
      <c r="AG585" s="2"/>
      <c r="AH585" s="2" t="e">
        <f>VLOOKUP(F585,vlookup!$A$2:$E$660,3,0)</f>
        <v>#N/A</v>
      </c>
      <c r="AI585" s="2"/>
      <c r="AJ585" s="2"/>
      <c r="AK585" s="2"/>
      <c r="AL585" s="2"/>
      <c r="AM585" s="2"/>
      <c r="AO585" s="2"/>
      <c r="AP585" s="2"/>
      <c r="AQ585" s="2"/>
      <c r="AR585" s="2"/>
      <c r="AS585" s="2"/>
      <c r="AT585" s="2"/>
      <c r="AU585" s="2"/>
    </row>
    <row r="586" spans="9:47" x14ac:dyDescent="0.25">
      <c r="I586"/>
      <c r="R586"/>
      <c r="U586"/>
      <c r="AC586" s="2"/>
      <c r="AD586" s="2"/>
      <c r="AE586" s="2"/>
      <c r="AF586" s="2"/>
      <c r="AG586" s="2"/>
      <c r="AH586" s="2" t="e">
        <f>VLOOKUP(F586,vlookup!$A$2:$E$660,3,0)</f>
        <v>#N/A</v>
      </c>
      <c r="AI586" s="2"/>
      <c r="AJ586" s="2"/>
      <c r="AK586" s="2"/>
      <c r="AL586" s="2"/>
      <c r="AM586" s="2"/>
      <c r="AO586" s="2"/>
      <c r="AP586" s="2"/>
      <c r="AQ586" s="2"/>
      <c r="AR586" s="2"/>
      <c r="AS586" s="2"/>
      <c r="AT586" s="2"/>
      <c r="AU586" s="2"/>
    </row>
    <row r="587" spans="9:47" x14ac:dyDescent="0.25">
      <c r="I587"/>
      <c r="R587"/>
      <c r="U587"/>
      <c r="AC587" s="2"/>
      <c r="AD587" s="2"/>
      <c r="AE587" s="2"/>
      <c r="AF587" s="2"/>
      <c r="AG587" s="2"/>
      <c r="AH587" s="2" t="e">
        <f>VLOOKUP(F587,vlookup!$A$2:$E$660,3,0)</f>
        <v>#N/A</v>
      </c>
      <c r="AI587" s="2"/>
      <c r="AJ587" s="2"/>
      <c r="AK587" s="2"/>
      <c r="AL587" s="2"/>
      <c r="AM587" s="2"/>
      <c r="AO587" s="2"/>
      <c r="AP587" s="2"/>
      <c r="AQ587" s="2"/>
      <c r="AR587" s="2"/>
      <c r="AS587" s="2"/>
      <c r="AT587" s="2"/>
      <c r="AU587" s="2"/>
    </row>
    <row r="588" spans="9:47" x14ac:dyDescent="0.25">
      <c r="I588"/>
      <c r="R588"/>
      <c r="U588"/>
      <c r="AC588" s="2"/>
      <c r="AD588" s="2"/>
      <c r="AE588" s="2"/>
      <c r="AF588" s="2"/>
      <c r="AG588" s="2"/>
      <c r="AH588" s="2" t="e">
        <f>VLOOKUP(F588,vlookup!$A$2:$E$660,3,0)</f>
        <v>#N/A</v>
      </c>
      <c r="AI588" s="2"/>
      <c r="AJ588" s="2"/>
      <c r="AK588" s="2"/>
      <c r="AL588" s="2"/>
      <c r="AM588" s="2"/>
      <c r="AO588" s="2"/>
      <c r="AP588" s="2"/>
      <c r="AQ588" s="2"/>
      <c r="AR588" s="2"/>
      <c r="AS588" s="2"/>
      <c r="AT588" s="2"/>
      <c r="AU588" s="2"/>
    </row>
    <row r="589" spans="9:47" x14ac:dyDescent="0.25">
      <c r="I589"/>
      <c r="R589"/>
      <c r="U589"/>
      <c r="AC589" s="2"/>
      <c r="AD589" s="2"/>
      <c r="AE589" s="2"/>
      <c r="AF589" s="2"/>
      <c r="AG589" s="2"/>
      <c r="AH589" s="2" t="e">
        <f>VLOOKUP(F589,vlookup!$A$2:$E$660,3,0)</f>
        <v>#N/A</v>
      </c>
      <c r="AI589" s="2"/>
      <c r="AJ589" s="2"/>
      <c r="AK589" s="2"/>
      <c r="AL589" s="2"/>
      <c r="AM589" s="2"/>
      <c r="AO589" s="2"/>
      <c r="AP589" s="2"/>
      <c r="AQ589" s="2"/>
      <c r="AR589" s="2"/>
      <c r="AS589" s="2"/>
      <c r="AT589" s="2"/>
      <c r="AU589" s="2"/>
    </row>
    <row r="590" spans="9:47" x14ac:dyDescent="0.25">
      <c r="I590"/>
      <c r="R590"/>
      <c r="U590"/>
      <c r="AC590" s="2"/>
      <c r="AD590" s="2"/>
      <c r="AE590" s="2"/>
      <c r="AF590" s="2"/>
      <c r="AG590" s="2"/>
      <c r="AH590" s="2" t="e">
        <f>VLOOKUP(F590,vlookup!$A$2:$E$660,3,0)</f>
        <v>#N/A</v>
      </c>
      <c r="AI590" s="2"/>
      <c r="AJ590" s="2"/>
      <c r="AK590" s="2"/>
      <c r="AL590" s="2"/>
      <c r="AM590" s="2"/>
      <c r="AO590" s="2"/>
      <c r="AP590" s="2"/>
      <c r="AQ590" s="2"/>
      <c r="AR590" s="2"/>
      <c r="AS590" s="2"/>
      <c r="AT590" s="2"/>
      <c r="AU590" s="2"/>
    </row>
    <row r="591" spans="9:47" x14ac:dyDescent="0.25">
      <c r="I591"/>
      <c r="R591"/>
      <c r="U591"/>
      <c r="AC591" s="2"/>
      <c r="AD591" s="2"/>
      <c r="AE591" s="2"/>
      <c r="AF591" s="2"/>
      <c r="AG591" s="2"/>
      <c r="AH591" s="2" t="e">
        <f>VLOOKUP(F591,vlookup!$A$2:$E$660,3,0)</f>
        <v>#N/A</v>
      </c>
      <c r="AI591" s="2"/>
      <c r="AJ591" s="2"/>
      <c r="AK591" s="2"/>
      <c r="AL591" s="2"/>
      <c r="AM591" s="2"/>
      <c r="AO591" s="2"/>
      <c r="AP591" s="2"/>
      <c r="AQ591" s="2"/>
      <c r="AR591" s="2"/>
      <c r="AS591" s="2"/>
      <c r="AT591" s="2"/>
      <c r="AU591" s="2"/>
    </row>
    <row r="592" spans="9:47" x14ac:dyDescent="0.25">
      <c r="I592"/>
      <c r="R592"/>
      <c r="U592"/>
      <c r="AC592" s="2"/>
      <c r="AD592" s="2"/>
      <c r="AE592" s="2"/>
      <c r="AF592" s="2"/>
      <c r="AG592" s="2"/>
      <c r="AH592" s="2" t="e">
        <f>VLOOKUP(F592,vlookup!$A$2:$E$660,3,0)</f>
        <v>#N/A</v>
      </c>
      <c r="AI592" s="2"/>
      <c r="AJ592" s="2"/>
      <c r="AK592" s="2"/>
      <c r="AL592" s="2"/>
      <c r="AM592" s="2"/>
      <c r="AO592" s="2"/>
      <c r="AP592" s="2"/>
      <c r="AQ592" s="2"/>
      <c r="AR592" s="2"/>
      <c r="AS592" s="2"/>
      <c r="AT592" s="2"/>
      <c r="AU592" s="2"/>
    </row>
    <row r="593" spans="9:47" x14ac:dyDescent="0.25">
      <c r="I593"/>
      <c r="R593"/>
      <c r="U593"/>
      <c r="AC593" s="2"/>
      <c r="AD593" s="2"/>
      <c r="AE593" s="2"/>
      <c r="AF593" s="2"/>
      <c r="AG593" s="2"/>
      <c r="AH593" s="2" t="e">
        <f>VLOOKUP(F593,vlookup!$A$2:$E$660,3,0)</f>
        <v>#N/A</v>
      </c>
      <c r="AI593" s="2"/>
      <c r="AJ593" s="2"/>
      <c r="AK593" s="2"/>
      <c r="AL593" s="2"/>
      <c r="AM593" s="2"/>
      <c r="AO593" s="2"/>
      <c r="AP593" s="2"/>
      <c r="AQ593" s="2"/>
      <c r="AR593" s="2"/>
      <c r="AS593" s="2"/>
      <c r="AT593" s="2"/>
      <c r="AU593" s="2"/>
    </row>
    <row r="594" spans="9:47" x14ac:dyDescent="0.25">
      <c r="I594"/>
      <c r="R594"/>
      <c r="U594"/>
      <c r="AC594" s="2"/>
      <c r="AD594" s="2"/>
      <c r="AE594" s="2"/>
      <c r="AF594" s="2"/>
      <c r="AG594" s="2"/>
      <c r="AH594" s="2" t="e">
        <f>VLOOKUP(F594,vlookup!$A$2:$E$660,3,0)</f>
        <v>#N/A</v>
      </c>
      <c r="AI594" s="2"/>
      <c r="AJ594" s="2"/>
      <c r="AK594" s="2"/>
      <c r="AL594" s="2"/>
      <c r="AM594" s="2"/>
      <c r="AO594" s="2"/>
      <c r="AP594" s="2"/>
      <c r="AQ594" s="2"/>
      <c r="AR594" s="2"/>
      <c r="AS594" s="2"/>
      <c r="AT594" s="2"/>
      <c r="AU594" s="2"/>
    </row>
    <row r="595" spans="9:47" x14ac:dyDescent="0.25">
      <c r="I595"/>
      <c r="R595"/>
      <c r="U595"/>
      <c r="AC595" s="2"/>
      <c r="AD595" s="2"/>
      <c r="AE595" s="2"/>
      <c r="AF595" s="2"/>
      <c r="AG595" s="2"/>
      <c r="AH595" s="2" t="e">
        <f>VLOOKUP(F595,vlookup!$A$2:$E$660,3,0)</f>
        <v>#N/A</v>
      </c>
      <c r="AI595" s="2"/>
      <c r="AJ595" s="2"/>
      <c r="AK595" s="2"/>
      <c r="AL595" s="2"/>
      <c r="AM595" s="2"/>
      <c r="AO595" s="2"/>
      <c r="AP595" s="2"/>
      <c r="AQ595" s="2"/>
      <c r="AR595" s="2"/>
      <c r="AS595" s="2"/>
      <c r="AT595" s="2"/>
      <c r="AU595" s="2"/>
    </row>
    <row r="596" spans="9:47" x14ac:dyDescent="0.25">
      <c r="I596"/>
      <c r="R596"/>
      <c r="U596"/>
      <c r="AC596" s="2"/>
      <c r="AD596" s="2"/>
      <c r="AE596" s="2"/>
      <c r="AF596" s="2"/>
      <c r="AG596" s="2"/>
      <c r="AH596" s="2" t="e">
        <f>VLOOKUP(F596,vlookup!$A$2:$E$660,3,0)</f>
        <v>#N/A</v>
      </c>
      <c r="AI596" s="2"/>
      <c r="AJ596" s="2"/>
      <c r="AK596" s="2"/>
      <c r="AL596" s="2"/>
      <c r="AM596" s="2"/>
      <c r="AO596" s="2"/>
      <c r="AP596" s="2"/>
      <c r="AQ596" s="2"/>
      <c r="AR596" s="2"/>
      <c r="AS596" s="2"/>
      <c r="AT596" s="2"/>
      <c r="AU596" s="2"/>
    </row>
    <row r="597" spans="9:47" x14ac:dyDescent="0.25">
      <c r="I597"/>
      <c r="R597"/>
      <c r="U597"/>
      <c r="AC597" s="2"/>
      <c r="AD597" s="2"/>
      <c r="AE597" s="2"/>
      <c r="AF597" s="2"/>
      <c r="AG597" s="2"/>
      <c r="AH597" s="2" t="e">
        <f>VLOOKUP(F597,vlookup!$A$2:$E$660,3,0)</f>
        <v>#N/A</v>
      </c>
      <c r="AI597" s="2"/>
      <c r="AJ597" s="2"/>
      <c r="AK597" s="2"/>
      <c r="AL597" s="2"/>
      <c r="AM597" s="2"/>
      <c r="AO597" s="2"/>
      <c r="AP597" s="2"/>
      <c r="AQ597" s="2"/>
      <c r="AR597" s="2"/>
      <c r="AS597" s="2"/>
      <c r="AT597" s="2"/>
      <c r="AU597" s="2"/>
    </row>
    <row r="598" spans="9:47" x14ac:dyDescent="0.25">
      <c r="I598"/>
      <c r="R598"/>
      <c r="U598"/>
      <c r="AC598" s="2"/>
      <c r="AD598" s="2"/>
      <c r="AE598" s="2"/>
      <c r="AF598" s="2"/>
      <c r="AG598" s="2"/>
      <c r="AH598" s="2" t="e">
        <f>VLOOKUP(F598,vlookup!$A$2:$E$660,3,0)</f>
        <v>#N/A</v>
      </c>
      <c r="AI598" s="2"/>
      <c r="AJ598" s="2"/>
      <c r="AK598" s="2"/>
      <c r="AL598" s="2"/>
      <c r="AM598" s="2"/>
      <c r="AO598" s="2"/>
      <c r="AP598" s="2"/>
      <c r="AQ598" s="2"/>
      <c r="AR598" s="2"/>
      <c r="AS598" s="2"/>
      <c r="AT598" s="2"/>
      <c r="AU598" s="2"/>
    </row>
    <row r="599" spans="9:47" x14ac:dyDescent="0.25">
      <c r="I599"/>
      <c r="R599"/>
      <c r="U599"/>
      <c r="AC599" s="2"/>
      <c r="AD599" s="2"/>
      <c r="AE599" s="2"/>
      <c r="AF599" s="2"/>
      <c r="AG599" s="2"/>
      <c r="AH599" s="2" t="e">
        <f>VLOOKUP(F599,vlookup!$A$2:$E$660,3,0)</f>
        <v>#N/A</v>
      </c>
      <c r="AI599" s="2"/>
      <c r="AJ599" s="2"/>
      <c r="AK599" s="2"/>
      <c r="AL599" s="2"/>
      <c r="AM599" s="2"/>
      <c r="AO599" s="2"/>
      <c r="AP599" s="2"/>
      <c r="AQ599" s="2"/>
      <c r="AR599" s="2"/>
      <c r="AS599" s="2"/>
      <c r="AT599" s="2"/>
      <c r="AU599" s="2"/>
    </row>
    <row r="600" spans="9:47" x14ac:dyDescent="0.25">
      <c r="I600"/>
      <c r="R600"/>
      <c r="U600"/>
      <c r="AC600" s="2"/>
      <c r="AD600" s="2"/>
      <c r="AE600" s="2"/>
      <c r="AF600" s="2"/>
      <c r="AG600" s="2"/>
      <c r="AH600" s="2" t="e">
        <f>VLOOKUP(F600,vlookup!$A$2:$E$660,3,0)</f>
        <v>#N/A</v>
      </c>
      <c r="AI600" s="2"/>
      <c r="AJ600" s="2"/>
      <c r="AK600" s="2"/>
      <c r="AL600" s="2"/>
      <c r="AM600" s="2"/>
      <c r="AO600" s="2"/>
      <c r="AP600" s="2"/>
      <c r="AQ600" s="2"/>
      <c r="AR600" s="2"/>
      <c r="AS600" s="2"/>
      <c r="AT600" s="2"/>
      <c r="AU600" s="2"/>
    </row>
    <row r="601" spans="9:47" x14ac:dyDescent="0.25">
      <c r="I601"/>
      <c r="R601"/>
      <c r="U601"/>
      <c r="AC601" s="2"/>
      <c r="AD601" s="2"/>
      <c r="AE601" s="2"/>
      <c r="AF601" s="2"/>
      <c r="AG601" s="2"/>
      <c r="AH601" s="2" t="e">
        <f>VLOOKUP(F601,vlookup!$A$2:$E$660,3,0)</f>
        <v>#N/A</v>
      </c>
      <c r="AI601" s="2"/>
      <c r="AJ601" s="2"/>
      <c r="AK601" s="2"/>
      <c r="AL601" s="2"/>
      <c r="AM601" s="2"/>
      <c r="AO601" s="2"/>
      <c r="AP601" s="2"/>
      <c r="AQ601" s="2"/>
      <c r="AR601" s="2"/>
      <c r="AS601" s="2"/>
      <c r="AT601" s="2"/>
      <c r="AU601" s="2"/>
    </row>
    <row r="602" spans="9:47" x14ac:dyDescent="0.25">
      <c r="I602"/>
      <c r="R602"/>
      <c r="U602"/>
      <c r="AC602" s="2"/>
      <c r="AD602" s="2"/>
      <c r="AE602" s="2"/>
      <c r="AF602" s="2"/>
      <c r="AG602" s="2"/>
      <c r="AH602" s="2" t="e">
        <f>VLOOKUP(F602,vlookup!$A$2:$E$660,3,0)</f>
        <v>#N/A</v>
      </c>
      <c r="AI602" s="2"/>
      <c r="AJ602" s="2"/>
      <c r="AK602" s="2"/>
      <c r="AL602" s="2"/>
      <c r="AM602" s="2"/>
      <c r="AO602" s="2"/>
      <c r="AP602" s="2"/>
      <c r="AQ602" s="2"/>
      <c r="AR602" s="2"/>
      <c r="AS602" s="2"/>
      <c r="AT602" s="2"/>
      <c r="AU602" s="2"/>
    </row>
    <row r="603" spans="9:47" x14ac:dyDescent="0.25">
      <c r="I603"/>
      <c r="R603"/>
      <c r="U603"/>
      <c r="AC603" s="2"/>
      <c r="AD603" s="2"/>
      <c r="AE603" s="2"/>
      <c r="AF603" s="2"/>
      <c r="AG603" s="2"/>
      <c r="AH603" s="2" t="e">
        <f>VLOOKUP(F603,vlookup!$A$2:$E$660,3,0)</f>
        <v>#N/A</v>
      </c>
      <c r="AI603" s="2"/>
      <c r="AJ603" s="2"/>
      <c r="AK603" s="2"/>
      <c r="AL603" s="2"/>
      <c r="AM603" s="2"/>
      <c r="AO603" s="2"/>
      <c r="AP603" s="2"/>
      <c r="AQ603" s="2"/>
      <c r="AR603" s="2"/>
      <c r="AS603" s="2"/>
      <c r="AT603" s="2"/>
      <c r="AU603" s="2"/>
    </row>
    <row r="604" spans="9:47" x14ac:dyDescent="0.25">
      <c r="I604"/>
      <c r="R604"/>
      <c r="U604"/>
      <c r="AC604" s="2"/>
      <c r="AD604" s="2"/>
      <c r="AE604" s="2"/>
      <c r="AF604" s="2"/>
      <c r="AG604" s="2"/>
      <c r="AH604" s="2" t="e">
        <f>VLOOKUP(F604,vlookup!$A$2:$E$660,3,0)</f>
        <v>#N/A</v>
      </c>
      <c r="AI604" s="2"/>
      <c r="AJ604" s="2"/>
      <c r="AK604" s="2"/>
      <c r="AL604" s="2"/>
      <c r="AM604" s="2"/>
      <c r="AO604" s="2"/>
      <c r="AP604" s="2"/>
      <c r="AQ604" s="2"/>
      <c r="AR604" s="2"/>
      <c r="AS604" s="2"/>
      <c r="AT604" s="2"/>
      <c r="AU604" s="2"/>
    </row>
    <row r="605" spans="9:47" x14ac:dyDescent="0.25">
      <c r="I605"/>
      <c r="R605"/>
      <c r="U605"/>
      <c r="AC605" s="2"/>
      <c r="AD605" s="2"/>
      <c r="AE605" s="2"/>
      <c r="AF605" s="2"/>
      <c r="AG605" s="2"/>
      <c r="AH605" s="2" t="e">
        <f>VLOOKUP(F605,vlookup!$A$2:$E$660,3,0)</f>
        <v>#N/A</v>
      </c>
      <c r="AI605" s="2"/>
      <c r="AJ605" s="2"/>
      <c r="AK605" s="2"/>
      <c r="AL605" s="2"/>
      <c r="AM605" s="2"/>
      <c r="AO605" s="2"/>
      <c r="AP605" s="2"/>
      <c r="AQ605" s="2"/>
      <c r="AR605" s="2"/>
      <c r="AS605" s="2"/>
      <c r="AT605" s="2"/>
      <c r="AU605" s="2"/>
    </row>
    <row r="606" spans="9:47" x14ac:dyDescent="0.25">
      <c r="I606"/>
      <c r="R606"/>
      <c r="U606"/>
      <c r="AC606" s="2"/>
      <c r="AD606" s="2"/>
      <c r="AE606" s="2"/>
      <c r="AF606" s="2"/>
      <c r="AG606" s="2"/>
      <c r="AH606" s="2" t="e">
        <f>VLOOKUP(F606,vlookup!$A$2:$E$660,3,0)</f>
        <v>#N/A</v>
      </c>
      <c r="AI606" s="2"/>
      <c r="AJ606" s="2"/>
      <c r="AK606" s="2"/>
      <c r="AL606" s="2"/>
      <c r="AM606" s="2"/>
      <c r="AO606" s="2"/>
      <c r="AP606" s="2"/>
      <c r="AQ606" s="2"/>
      <c r="AR606" s="2"/>
      <c r="AS606" s="2"/>
      <c r="AT606" s="2"/>
      <c r="AU606" s="2"/>
    </row>
    <row r="607" spans="9:47" x14ac:dyDescent="0.25">
      <c r="I607"/>
      <c r="R607"/>
      <c r="U607"/>
      <c r="AC607" s="2"/>
      <c r="AD607" s="2"/>
      <c r="AE607" s="2"/>
      <c r="AF607" s="2"/>
      <c r="AG607" s="2"/>
      <c r="AH607" s="2" t="e">
        <f>VLOOKUP(F607,vlookup!$A$2:$E$660,3,0)</f>
        <v>#N/A</v>
      </c>
      <c r="AI607" s="2"/>
      <c r="AJ607" s="2"/>
      <c r="AK607" s="2"/>
      <c r="AL607" s="2"/>
      <c r="AM607" s="2"/>
      <c r="AO607" s="2"/>
      <c r="AP607" s="2"/>
      <c r="AQ607" s="2"/>
      <c r="AR607" s="2"/>
      <c r="AS607" s="2"/>
      <c r="AT607" s="2"/>
      <c r="AU607" s="2"/>
    </row>
    <row r="608" spans="9:47" x14ac:dyDescent="0.25">
      <c r="I608"/>
      <c r="R608"/>
      <c r="U608"/>
      <c r="AC608" s="2"/>
      <c r="AD608" s="2"/>
      <c r="AE608" s="2"/>
      <c r="AF608" s="2"/>
      <c r="AG608" s="2"/>
      <c r="AH608" s="2" t="e">
        <f>VLOOKUP(F608,vlookup!$A$2:$E$660,3,0)</f>
        <v>#N/A</v>
      </c>
      <c r="AI608" s="2"/>
      <c r="AJ608" s="2"/>
      <c r="AK608" s="2"/>
      <c r="AL608" s="2"/>
      <c r="AM608" s="2"/>
      <c r="AO608" s="2"/>
      <c r="AP608" s="2"/>
      <c r="AQ608" s="2"/>
      <c r="AR608" s="2"/>
      <c r="AS608" s="2"/>
      <c r="AT608" s="2"/>
      <c r="AU608" s="2"/>
    </row>
    <row r="609" spans="9:47" x14ac:dyDescent="0.25">
      <c r="I609"/>
      <c r="R609"/>
      <c r="U609"/>
      <c r="AC609" s="2"/>
      <c r="AD609" s="2"/>
      <c r="AE609" s="2"/>
      <c r="AF609" s="2"/>
      <c r="AG609" s="2"/>
      <c r="AH609" s="2" t="e">
        <f>VLOOKUP(F609,vlookup!$A$2:$E$660,3,0)</f>
        <v>#N/A</v>
      </c>
      <c r="AI609" s="2"/>
      <c r="AJ609" s="2"/>
      <c r="AK609" s="2"/>
      <c r="AL609" s="2"/>
      <c r="AM609" s="2"/>
      <c r="AO609" s="2"/>
      <c r="AP609" s="2"/>
      <c r="AQ609" s="2"/>
      <c r="AR609" s="2"/>
      <c r="AS609" s="2"/>
      <c r="AT609" s="2"/>
      <c r="AU609" s="2"/>
    </row>
    <row r="610" spans="9:47" x14ac:dyDescent="0.25">
      <c r="I610"/>
      <c r="R610"/>
      <c r="U610"/>
      <c r="AC610" s="2"/>
      <c r="AD610" s="2"/>
      <c r="AE610" s="2"/>
      <c r="AF610" s="2"/>
      <c r="AG610" s="2"/>
      <c r="AH610" s="2" t="e">
        <f>VLOOKUP(F610,vlookup!$A$2:$E$660,3,0)</f>
        <v>#N/A</v>
      </c>
      <c r="AI610" s="2"/>
      <c r="AJ610" s="2"/>
      <c r="AK610" s="2"/>
      <c r="AL610" s="2"/>
      <c r="AM610" s="2"/>
      <c r="AO610" s="2"/>
      <c r="AP610" s="2"/>
      <c r="AQ610" s="2"/>
      <c r="AR610" s="2"/>
      <c r="AS610" s="2"/>
      <c r="AT610" s="2"/>
      <c r="AU610" s="2"/>
    </row>
    <row r="611" spans="9:47" x14ac:dyDescent="0.25">
      <c r="I611"/>
      <c r="R611"/>
      <c r="U611"/>
      <c r="AC611" s="2"/>
      <c r="AD611" s="2"/>
      <c r="AE611" s="2"/>
      <c r="AF611" s="2"/>
      <c r="AG611" s="2"/>
      <c r="AH611" s="2" t="e">
        <f>VLOOKUP(F611,vlookup!$A$2:$E$660,3,0)</f>
        <v>#N/A</v>
      </c>
      <c r="AI611" s="2"/>
      <c r="AJ611" s="2"/>
      <c r="AK611" s="2"/>
      <c r="AL611" s="2"/>
      <c r="AM611" s="2"/>
      <c r="AO611" s="2"/>
      <c r="AP611" s="2"/>
      <c r="AQ611" s="2"/>
      <c r="AR611" s="2"/>
      <c r="AS611" s="2"/>
      <c r="AT611" s="2"/>
      <c r="AU611" s="2"/>
    </row>
    <row r="612" spans="9:47" x14ac:dyDescent="0.25">
      <c r="I612"/>
      <c r="R612"/>
      <c r="U612"/>
      <c r="AC612" s="2"/>
      <c r="AD612" s="2"/>
      <c r="AE612" s="2"/>
      <c r="AF612" s="2"/>
      <c r="AG612" s="2"/>
      <c r="AH612" s="2" t="e">
        <f>VLOOKUP(F612,vlookup!$A$2:$E$660,3,0)</f>
        <v>#N/A</v>
      </c>
      <c r="AI612" s="2"/>
      <c r="AJ612" s="2"/>
      <c r="AK612" s="2"/>
      <c r="AL612" s="2"/>
      <c r="AM612" s="2"/>
      <c r="AO612" s="2"/>
      <c r="AP612" s="2"/>
      <c r="AQ612" s="2"/>
      <c r="AR612" s="2"/>
      <c r="AS612" s="2"/>
      <c r="AT612" s="2"/>
      <c r="AU612" s="2"/>
    </row>
    <row r="613" spans="9:47" x14ac:dyDescent="0.25">
      <c r="I613"/>
      <c r="R613"/>
      <c r="U613"/>
      <c r="AC613" s="2"/>
      <c r="AD613" s="2"/>
      <c r="AE613" s="2"/>
      <c r="AF613" s="2"/>
      <c r="AG613" s="2"/>
      <c r="AH613" s="2" t="e">
        <f>VLOOKUP(F613,vlookup!$A$2:$E$660,3,0)</f>
        <v>#N/A</v>
      </c>
      <c r="AI613" s="2"/>
      <c r="AJ613" s="2"/>
      <c r="AK613" s="2"/>
      <c r="AL613" s="2"/>
      <c r="AM613" s="2"/>
      <c r="AO613" s="2"/>
      <c r="AP613" s="2"/>
      <c r="AQ613" s="2"/>
      <c r="AR613" s="2"/>
      <c r="AS613" s="2"/>
      <c r="AT613" s="2"/>
      <c r="AU613" s="2"/>
    </row>
    <row r="614" spans="9:47" x14ac:dyDescent="0.25">
      <c r="I614"/>
      <c r="R614"/>
      <c r="U614"/>
      <c r="AC614" s="2"/>
      <c r="AD614" s="2"/>
      <c r="AE614" s="2"/>
      <c r="AF614" s="2"/>
      <c r="AG614" s="2"/>
      <c r="AH614" s="2" t="e">
        <f>VLOOKUP(F614,vlookup!$A$2:$E$660,3,0)</f>
        <v>#N/A</v>
      </c>
      <c r="AI614" s="2"/>
      <c r="AJ614" s="2"/>
      <c r="AK614" s="2"/>
      <c r="AL614" s="2"/>
      <c r="AM614" s="2"/>
      <c r="AO614" s="2"/>
      <c r="AP614" s="2"/>
      <c r="AQ614" s="2"/>
      <c r="AR614" s="2"/>
      <c r="AS614" s="2"/>
      <c r="AT614" s="2"/>
      <c r="AU614" s="2"/>
    </row>
    <row r="615" spans="9:47" x14ac:dyDescent="0.25">
      <c r="I615"/>
      <c r="R615"/>
      <c r="U615"/>
      <c r="AC615" s="2"/>
      <c r="AD615" s="2"/>
      <c r="AE615" s="2"/>
      <c r="AF615" s="2"/>
      <c r="AG615" s="2"/>
      <c r="AH615" s="2" t="e">
        <f>VLOOKUP(F615,vlookup!$A$2:$E$660,3,0)</f>
        <v>#N/A</v>
      </c>
      <c r="AI615" s="2"/>
      <c r="AJ615" s="2"/>
      <c r="AK615" s="2"/>
      <c r="AL615" s="2"/>
      <c r="AM615" s="2"/>
      <c r="AO615" s="2"/>
      <c r="AP615" s="2"/>
      <c r="AQ615" s="2"/>
      <c r="AR615" s="2"/>
      <c r="AS615" s="2"/>
      <c r="AT615" s="2"/>
      <c r="AU615" s="2"/>
    </row>
    <row r="616" spans="9:47" x14ac:dyDescent="0.25">
      <c r="I616"/>
      <c r="R616"/>
      <c r="U616"/>
      <c r="AC616" s="2"/>
      <c r="AD616" s="2"/>
      <c r="AE616" s="2"/>
      <c r="AF616" s="2"/>
      <c r="AG616" s="2"/>
      <c r="AH616" s="2" t="e">
        <f>VLOOKUP(F616,vlookup!$A$2:$E$660,3,0)</f>
        <v>#N/A</v>
      </c>
      <c r="AI616" s="2"/>
      <c r="AJ616" s="2"/>
      <c r="AK616" s="2"/>
      <c r="AL616" s="2"/>
      <c r="AM616" s="2"/>
      <c r="AO616" s="2"/>
      <c r="AP616" s="2"/>
      <c r="AQ616" s="2"/>
      <c r="AR616" s="2"/>
      <c r="AS616" s="2"/>
      <c r="AT616" s="2"/>
      <c r="AU616" s="2"/>
    </row>
    <row r="617" spans="9:47" x14ac:dyDescent="0.25">
      <c r="I617"/>
      <c r="R617"/>
      <c r="U617"/>
      <c r="AC617" s="2"/>
      <c r="AD617" s="2"/>
      <c r="AE617" s="2"/>
      <c r="AF617" s="2"/>
      <c r="AG617" s="2"/>
      <c r="AH617" s="2" t="e">
        <f>VLOOKUP(F617,vlookup!$A$2:$E$660,3,0)</f>
        <v>#N/A</v>
      </c>
      <c r="AI617" s="2"/>
      <c r="AJ617" s="2"/>
      <c r="AK617" s="2"/>
      <c r="AL617" s="2"/>
      <c r="AM617" s="2"/>
      <c r="AO617" s="2"/>
      <c r="AP617" s="2"/>
      <c r="AQ617" s="2"/>
      <c r="AR617" s="2"/>
      <c r="AS617" s="2"/>
      <c r="AT617" s="2"/>
      <c r="AU617" s="2"/>
    </row>
    <row r="618" spans="9:47" x14ac:dyDescent="0.25">
      <c r="I618"/>
      <c r="R618"/>
      <c r="U618"/>
      <c r="AC618" s="2"/>
      <c r="AD618" s="2"/>
      <c r="AE618" s="2"/>
      <c r="AF618" s="2"/>
      <c r="AG618" s="2"/>
      <c r="AH618" s="2" t="e">
        <f>VLOOKUP(F618,vlookup!$A$2:$E$660,3,0)</f>
        <v>#N/A</v>
      </c>
      <c r="AI618" s="2"/>
      <c r="AJ618" s="2"/>
      <c r="AK618" s="2"/>
      <c r="AL618" s="2"/>
      <c r="AM618" s="2"/>
      <c r="AO618" s="2"/>
      <c r="AP618" s="2"/>
      <c r="AQ618" s="2"/>
      <c r="AR618" s="2"/>
      <c r="AS618" s="2"/>
      <c r="AT618" s="2"/>
      <c r="AU618" s="2"/>
    </row>
    <row r="619" spans="9:47" x14ac:dyDescent="0.25">
      <c r="I619"/>
      <c r="R619"/>
      <c r="U619"/>
      <c r="AC619" s="2"/>
      <c r="AD619" s="2"/>
      <c r="AE619" s="2"/>
      <c r="AF619" s="2"/>
      <c r="AG619" s="2"/>
      <c r="AH619" s="2" t="e">
        <f>VLOOKUP(F619,vlookup!$A$2:$E$660,3,0)</f>
        <v>#N/A</v>
      </c>
      <c r="AI619" s="2"/>
      <c r="AJ619" s="2"/>
      <c r="AK619" s="2"/>
      <c r="AL619" s="2"/>
      <c r="AM619" s="2"/>
      <c r="AO619" s="2"/>
      <c r="AP619" s="2"/>
      <c r="AQ619" s="2"/>
      <c r="AR619" s="2"/>
      <c r="AS619" s="2"/>
      <c r="AT619" s="2"/>
      <c r="AU619" s="2"/>
    </row>
    <row r="620" spans="9:47" x14ac:dyDescent="0.25">
      <c r="I620"/>
      <c r="R620"/>
      <c r="U620"/>
      <c r="AC620" s="2"/>
      <c r="AD620" s="2"/>
      <c r="AE620" s="2"/>
      <c r="AF620" s="2"/>
      <c r="AG620" s="2"/>
      <c r="AH620" s="2" t="e">
        <f>VLOOKUP(F620,vlookup!$A$2:$E$660,3,0)</f>
        <v>#N/A</v>
      </c>
      <c r="AI620" s="2"/>
      <c r="AJ620" s="2"/>
      <c r="AK620" s="2"/>
      <c r="AL620" s="2"/>
      <c r="AM620" s="2"/>
      <c r="AO620" s="2"/>
      <c r="AP620" s="2"/>
      <c r="AQ620" s="2"/>
      <c r="AR620" s="2"/>
      <c r="AS620" s="2"/>
      <c r="AT620" s="2"/>
      <c r="AU620" s="2"/>
    </row>
    <row r="621" spans="9:47" x14ac:dyDescent="0.25">
      <c r="I621"/>
      <c r="R621"/>
      <c r="U621"/>
      <c r="AC621" s="2"/>
      <c r="AD621" s="2"/>
      <c r="AE621" s="2"/>
      <c r="AF621" s="2"/>
      <c r="AG621" s="2"/>
      <c r="AH621" s="2" t="e">
        <f>VLOOKUP(F621,vlookup!$A$2:$E$660,3,0)</f>
        <v>#N/A</v>
      </c>
      <c r="AI621" s="2"/>
      <c r="AJ621" s="2"/>
      <c r="AK621" s="2"/>
      <c r="AL621" s="2"/>
      <c r="AM621" s="2"/>
      <c r="AO621" s="2"/>
      <c r="AP621" s="2"/>
      <c r="AQ621" s="2"/>
      <c r="AR621" s="2"/>
      <c r="AS621" s="2"/>
      <c r="AT621" s="2"/>
      <c r="AU621" s="2"/>
    </row>
    <row r="622" spans="9:47" x14ac:dyDescent="0.25">
      <c r="I622"/>
      <c r="R622"/>
      <c r="U622"/>
      <c r="AC622" s="2"/>
      <c r="AD622" s="2"/>
      <c r="AE622" s="2"/>
      <c r="AF622" s="2"/>
      <c r="AG622" s="2"/>
      <c r="AH622" s="2" t="e">
        <f>VLOOKUP(F622,vlookup!$A$2:$E$660,3,0)</f>
        <v>#N/A</v>
      </c>
      <c r="AI622" s="2"/>
      <c r="AJ622" s="2"/>
      <c r="AK622" s="2"/>
      <c r="AL622" s="2"/>
      <c r="AM622" s="2"/>
      <c r="AO622" s="2"/>
      <c r="AP622" s="2"/>
      <c r="AQ622" s="2"/>
      <c r="AR622" s="2"/>
      <c r="AS622" s="2"/>
      <c r="AT622" s="2"/>
      <c r="AU622" s="2"/>
    </row>
    <row r="623" spans="9:47" x14ac:dyDescent="0.25">
      <c r="I623"/>
      <c r="R623"/>
      <c r="U623"/>
      <c r="AC623" s="2"/>
      <c r="AD623" s="2"/>
      <c r="AE623" s="2"/>
      <c r="AF623" s="2"/>
      <c r="AG623" s="2"/>
      <c r="AH623" s="2" t="e">
        <f>VLOOKUP(F623,vlookup!$A$2:$E$660,3,0)</f>
        <v>#N/A</v>
      </c>
      <c r="AI623" s="2"/>
      <c r="AJ623" s="2"/>
      <c r="AK623" s="2"/>
      <c r="AL623" s="2"/>
      <c r="AM623" s="2"/>
      <c r="AO623" s="2"/>
      <c r="AP623" s="2"/>
      <c r="AQ623" s="2"/>
      <c r="AR623" s="2"/>
      <c r="AS623" s="2"/>
      <c r="AT623" s="2"/>
      <c r="AU623" s="2"/>
    </row>
    <row r="624" spans="9:47" x14ac:dyDescent="0.25">
      <c r="I624"/>
      <c r="R624"/>
      <c r="U624"/>
      <c r="AC624" s="2"/>
      <c r="AD624" s="2"/>
      <c r="AE624" s="2"/>
      <c r="AF624" s="2"/>
      <c r="AG624" s="2"/>
      <c r="AH624" s="2" t="e">
        <f>VLOOKUP(F624,vlookup!$A$2:$E$660,3,0)</f>
        <v>#N/A</v>
      </c>
      <c r="AI624" s="2"/>
      <c r="AJ624" s="2"/>
      <c r="AK624" s="2"/>
      <c r="AL624" s="2"/>
      <c r="AM624" s="2"/>
      <c r="AO624" s="2"/>
      <c r="AP624" s="2"/>
      <c r="AQ624" s="2"/>
      <c r="AR624" s="2"/>
      <c r="AS624" s="2"/>
      <c r="AT624" s="2"/>
      <c r="AU624" s="2"/>
    </row>
    <row r="625" spans="9:47" x14ac:dyDescent="0.25">
      <c r="I625"/>
      <c r="R625"/>
      <c r="U625"/>
      <c r="AC625" s="2"/>
      <c r="AD625" s="2"/>
      <c r="AE625" s="2"/>
      <c r="AF625" s="2"/>
      <c r="AG625" s="2"/>
      <c r="AH625" s="2" t="e">
        <f>VLOOKUP(F625,vlookup!$A$2:$E$660,3,0)</f>
        <v>#N/A</v>
      </c>
      <c r="AI625" s="2"/>
      <c r="AJ625" s="2"/>
      <c r="AK625" s="2"/>
      <c r="AL625" s="2"/>
      <c r="AM625" s="2"/>
      <c r="AO625" s="2"/>
      <c r="AP625" s="2"/>
      <c r="AQ625" s="2"/>
      <c r="AR625" s="2"/>
      <c r="AS625" s="2"/>
      <c r="AT625" s="2"/>
      <c r="AU625" s="2"/>
    </row>
    <row r="626" spans="9:47" x14ac:dyDescent="0.25">
      <c r="I626"/>
      <c r="R626"/>
      <c r="U626"/>
      <c r="AC626" s="2"/>
      <c r="AD626" s="2"/>
      <c r="AE626" s="2"/>
      <c r="AF626" s="2"/>
      <c r="AG626" s="2"/>
      <c r="AH626" s="2" t="e">
        <f>VLOOKUP(F626,vlookup!$A$2:$E$660,3,0)</f>
        <v>#N/A</v>
      </c>
      <c r="AI626" s="2"/>
      <c r="AJ626" s="2"/>
      <c r="AK626" s="2"/>
      <c r="AL626" s="2"/>
      <c r="AM626" s="2"/>
      <c r="AO626" s="2"/>
      <c r="AP626" s="2"/>
      <c r="AQ626" s="2"/>
      <c r="AR626" s="2"/>
      <c r="AS626" s="2"/>
      <c r="AT626" s="2"/>
      <c r="AU626" s="2"/>
    </row>
    <row r="627" spans="9:47" x14ac:dyDescent="0.25">
      <c r="I627"/>
      <c r="R627"/>
      <c r="U627"/>
      <c r="AC627" s="2"/>
      <c r="AD627" s="2"/>
      <c r="AE627" s="2"/>
      <c r="AF627" s="2"/>
      <c r="AG627" s="2"/>
      <c r="AH627" s="2" t="e">
        <f>VLOOKUP(F627,vlookup!$A$2:$E$660,3,0)</f>
        <v>#N/A</v>
      </c>
      <c r="AI627" s="2"/>
      <c r="AJ627" s="2"/>
      <c r="AK627" s="2"/>
      <c r="AL627" s="2"/>
      <c r="AM627" s="2"/>
      <c r="AO627" s="2"/>
      <c r="AP627" s="2"/>
      <c r="AQ627" s="2"/>
      <c r="AR627" s="2"/>
      <c r="AS627" s="2"/>
      <c r="AT627" s="2"/>
      <c r="AU627" s="2"/>
    </row>
    <row r="628" spans="9:47" x14ac:dyDescent="0.25">
      <c r="I628"/>
      <c r="R628"/>
      <c r="U628"/>
      <c r="AC628" s="2"/>
      <c r="AD628" s="2"/>
      <c r="AE628" s="2"/>
      <c r="AF628" s="2"/>
      <c r="AG628" s="2"/>
      <c r="AH628" s="2" t="e">
        <f>VLOOKUP(F628,vlookup!$A$2:$E$660,3,0)</f>
        <v>#N/A</v>
      </c>
      <c r="AI628" s="2"/>
      <c r="AJ628" s="2"/>
      <c r="AK628" s="2"/>
      <c r="AL628" s="2"/>
      <c r="AM628" s="2"/>
      <c r="AO628" s="2"/>
      <c r="AP628" s="2"/>
      <c r="AQ628" s="2"/>
      <c r="AR628" s="2"/>
      <c r="AS628" s="2"/>
      <c r="AT628" s="2"/>
      <c r="AU628" s="2"/>
    </row>
    <row r="629" spans="9:47" x14ac:dyDescent="0.25">
      <c r="I629"/>
      <c r="R629"/>
      <c r="U629"/>
      <c r="AC629" s="2"/>
      <c r="AD629" s="2"/>
      <c r="AE629" s="2"/>
      <c r="AF629" s="2"/>
      <c r="AG629" s="2"/>
      <c r="AH629" s="2" t="e">
        <f>VLOOKUP(F629,vlookup!$A$2:$E$660,3,0)</f>
        <v>#N/A</v>
      </c>
      <c r="AI629" s="2"/>
      <c r="AJ629" s="2"/>
      <c r="AK629" s="2"/>
      <c r="AL629" s="2"/>
      <c r="AM629" s="2"/>
      <c r="AO629" s="2"/>
      <c r="AP629" s="2"/>
      <c r="AQ629" s="2"/>
      <c r="AR629" s="2"/>
      <c r="AS629" s="2"/>
      <c r="AT629" s="2"/>
      <c r="AU629" s="2"/>
    </row>
    <row r="630" spans="9:47" x14ac:dyDescent="0.25">
      <c r="I630"/>
      <c r="R630"/>
      <c r="U630"/>
      <c r="AC630" s="2"/>
      <c r="AD630" s="2"/>
      <c r="AE630" s="2"/>
      <c r="AF630" s="2"/>
      <c r="AG630" s="2"/>
      <c r="AH630" s="2" t="e">
        <f>VLOOKUP(F630,vlookup!$A$2:$E$660,3,0)</f>
        <v>#N/A</v>
      </c>
      <c r="AI630" s="2"/>
      <c r="AJ630" s="2"/>
      <c r="AK630" s="2"/>
      <c r="AL630" s="2"/>
      <c r="AM630" s="2"/>
      <c r="AO630" s="2"/>
      <c r="AP630" s="2"/>
      <c r="AQ630" s="2"/>
      <c r="AR630" s="2"/>
      <c r="AS630" s="2"/>
      <c r="AT630" s="2"/>
      <c r="AU630" s="2"/>
    </row>
    <row r="631" spans="9:47" x14ac:dyDescent="0.25">
      <c r="I631"/>
      <c r="R631"/>
      <c r="U631"/>
      <c r="AC631" s="2"/>
      <c r="AD631" s="2"/>
      <c r="AE631" s="2"/>
      <c r="AF631" s="2"/>
      <c r="AG631" s="2"/>
      <c r="AH631" s="2" t="e">
        <f>VLOOKUP(F631,vlookup!$A$2:$E$660,3,0)</f>
        <v>#N/A</v>
      </c>
      <c r="AI631" s="2"/>
      <c r="AJ631" s="2"/>
      <c r="AK631" s="2"/>
      <c r="AL631" s="2"/>
      <c r="AM631" s="2"/>
      <c r="AO631" s="2"/>
      <c r="AP631" s="2"/>
      <c r="AQ631" s="2"/>
      <c r="AR631" s="2"/>
      <c r="AS631" s="2"/>
      <c r="AT631" s="2"/>
      <c r="AU631" s="2"/>
    </row>
    <row r="632" spans="9:47" x14ac:dyDescent="0.25">
      <c r="I632"/>
      <c r="R632"/>
      <c r="U632"/>
      <c r="AC632" s="2"/>
      <c r="AD632" s="2"/>
      <c r="AE632" s="2"/>
      <c r="AF632" s="2"/>
      <c r="AG632" s="2"/>
      <c r="AH632" s="2" t="e">
        <f>VLOOKUP(F632,vlookup!$A$2:$E$660,3,0)</f>
        <v>#N/A</v>
      </c>
      <c r="AI632" s="2"/>
      <c r="AJ632" s="2"/>
      <c r="AK632" s="2"/>
      <c r="AL632" s="2"/>
      <c r="AM632" s="2"/>
      <c r="AO632" s="2"/>
      <c r="AP632" s="2"/>
      <c r="AQ632" s="2"/>
      <c r="AR632" s="2"/>
      <c r="AS632" s="2"/>
      <c r="AT632" s="2"/>
      <c r="AU632" s="2"/>
    </row>
    <row r="633" spans="9:47" x14ac:dyDescent="0.25">
      <c r="I633"/>
      <c r="R633"/>
      <c r="U633"/>
      <c r="AC633" s="2"/>
      <c r="AD633" s="2"/>
      <c r="AE633" s="2"/>
      <c r="AF633" s="2"/>
      <c r="AG633" s="2"/>
      <c r="AH633" s="2" t="e">
        <f>VLOOKUP(F633,vlookup!$A$2:$E$660,3,0)</f>
        <v>#N/A</v>
      </c>
      <c r="AI633" s="2"/>
      <c r="AJ633" s="2"/>
      <c r="AK633" s="2"/>
      <c r="AL633" s="2"/>
      <c r="AM633" s="2"/>
      <c r="AO633" s="2"/>
      <c r="AP633" s="2"/>
      <c r="AQ633" s="2"/>
      <c r="AR633" s="2"/>
      <c r="AS633" s="2"/>
      <c r="AT633" s="2"/>
      <c r="AU633" s="2"/>
    </row>
    <row r="634" spans="9:47" x14ac:dyDescent="0.25">
      <c r="I634"/>
      <c r="R634"/>
      <c r="U634"/>
      <c r="AC634" s="2"/>
      <c r="AD634" s="2"/>
      <c r="AE634" s="2"/>
      <c r="AF634" s="2"/>
      <c r="AG634" s="2"/>
      <c r="AH634" s="2" t="e">
        <f>VLOOKUP(F634,vlookup!$A$2:$E$660,3,0)</f>
        <v>#N/A</v>
      </c>
      <c r="AI634" s="2"/>
      <c r="AJ634" s="2"/>
      <c r="AK634" s="2"/>
      <c r="AL634" s="2"/>
      <c r="AM634" s="2"/>
      <c r="AO634" s="2"/>
      <c r="AP634" s="2"/>
      <c r="AQ634" s="2"/>
      <c r="AR634" s="2"/>
      <c r="AS634" s="2"/>
      <c r="AT634" s="2"/>
      <c r="AU634" s="2"/>
    </row>
    <row r="635" spans="9:47" x14ac:dyDescent="0.25">
      <c r="I635"/>
      <c r="R635"/>
      <c r="U635"/>
      <c r="AC635" s="2"/>
      <c r="AD635" s="2"/>
      <c r="AE635" s="2"/>
      <c r="AF635" s="2"/>
      <c r="AG635" s="2"/>
      <c r="AH635" s="2" t="e">
        <f>VLOOKUP(F635,vlookup!$A$2:$E$660,3,0)</f>
        <v>#N/A</v>
      </c>
      <c r="AI635" s="2"/>
      <c r="AJ635" s="2"/>
      <c r="AK635" s="2"/>
      <c r="AL635" s="2"/>
      <c r="AM635" s="2"/>
      <c r="AO635" s="2"/>
      <c r="AP635" s="2"/>
      <c r="AQ635" s="2"/>
      <c r="AR635" s="2"/>
      <c r="AS635" s="2"/>
      <c r="AT635" s="2"/>
      <c r="AU635" s="2"/>
    </row>
    <row r="636" spans="9:47" x14ac:dyDescent="0.25">
      <c r="I636"/>
      <c r="R636"/>
      <c r="U636"/>
      <c r="AC636" s="2"/>
      <c r="AD636" s="2"/>
      <c r="AE636" s="2"/>
      <c r="AF636" s="2"/>
      <c r="AG636" s="2"/>
      <c r="AH636" s="2" t="e">
        <f>VLOOKUP(F636,vlookup!$A$2:$E$660,3,0)</f>
        <v>#N/A</v>
      </c>
      <c r="AI636" s="2"/>
      <c r="AJ636" s="2"/>
      <c r="AK636" s="2"/>
      <c r="AL636" s="2"/>
      <c r="AM636" s="2"/>
      <c r="AO636" s="2"/>
      <c r="AP636" s="2"/>
      <c r="AQ636" s="2"/>
      <c r="AR636" s="2"/>
      <c r="AS636" s="2"/>
      <c r="AT636" s="2"/>
      <c r="AU636" s="2"/>
    </row>
    <row r="637" spans="9:47" x14ac:dyDescent="0.25">
      <c r="I637"/>
      <c r="R637"/>
      <c r="U637"/>
      <c r="AC637" s="2"/>
      <c r="AD637" s="2"/>
      <c r="AE637" s="2"/>
      <c r="AF637" s="2"/>
      <c r="AG637" s="2"/>
      <c r="AH637" s="2" t="e">
        <f>VLOOKUP(F637,vlookup!$A$2:$E$660,3,0)</f>
        <v>#N/A</v>
      </c>
      <c r="AI637" s="2"/>
      <c r="AJ637" s="2"/>
      <c r="AK637" s="2"/>
      <c r="AL637" s="2"/>
      <c r="AM637" s="2"/>
      <c r="AO637" s="2"/>
      <c r="AP637" s="2"/>
      <c r="AQ637" s="2"/>
      <c r="AR637" s="2"/>
      <c r="AS637" s="2"/>
      <c r="AT637" s="2"/>
      <c r="AU637" s="2"/>
    </row>
    <row r="638" spans="9:47" x14ac:dyDescent="0.25">
      <c r="I638"/>
      <c r="R638"/>
      <c r="U638"/>
      <c r="AC638" s="2"/>
      <c r="AD638" s="2"/>
      <c r="AE638" s="2"/>
      <c r="AF638" s="2"/>
      <c r="AG638" s="2"/>
      <c r="AH638" s="2" t="e">
        <f>VLOOKUP(F638,vlookup!$A$2:$E$660,3,0)</f>
        <v>#N/A</v>
      </c>
      <c r="AI638" s="2"/>
      <c r="AJ638" s="2"/>
      <c r="AK638" s="2"/>
      <c r="AL638" s="2"/>
      <c r="AM638" s="2"/>
      <c r="AO638" s="2"/>
      <c r="AP638" s="2"/>
      <c r="AQ638" s="2"/>
      <c r="AR638" s="2"/>
      <c r="AS638" s="2"/>
      <c r="AT638" s="2"/>
      <c r="AU638" s="2"/>
    </row>
    <row r="639" spans="9:47" x14ac:dyDescent="0.25">
      <c r="I639"/>
      <c r="R639"/>
      <c r="U639"/>
      <c r="AC639" s="2"/>
      <c r="AD639" s="2"/>
      <c r="AE639" s="2"/>
      <c r="AF639" s="2"/>
      <c r="AG639" s="2"/>
      <c r="AH639" s="2" t="e">
        <f>VLOOKUP(F639,vlookup!$A$2:$E$660,3,0)</f>
        <v>#N/A</v>
      </c>
      <c r="AI639" s="2"/>
      <c r="AJ639" s="2"/>
      <c r="AK639" s="2"/>
      <c r="AL639" s="2"/>
      <c r="AM639" s="2"/>
      <c r="AO639" s="2"/>
      <c r="AP639" s="2"/>
      <c r="AQ639" s="2"/>
      <c r="AR639" s="2"/>
      <c r="AS639" s="2"/>
      <c r="AT639" s="2"/>
      <c r="AU639" s="2"/>
    </row>
    <row r="640" spans="9:47" x14ac:dyDescent="0.25">
      <c r="I640"/>
      <c r="R640"/>
      <c r="U640"/>
      <c r="AC640" s="2"/>
      <c r="AD640" s="2"/>
      <c r="AE640" s="2"/>
      <c r="AF640" s="2"/>
      <c r="AG640" s="2"/>
      <c r="AH640" s="2" t="e">
        <f>VLOOKUP(F640,vlookup!$A$2:$E$660,3,0)</f>
        <v>#N/A</v>
      </c>
      <c r="AI640" s="2"/>
      <c r="AJ640" s="2"/>
      <c r="AK640" s="2"/>
      <c r="AL640" s="2"/>
      <c r="AM640" s="2"/>
      <c r="AO640" s="2"/>
      <c r="AP640" s="2"/>
      <c r="AQ640" s="2"/>
      <c r="AR640" s="2"/>
      <c r="AS640" s="2"/>
      <c r="AT640" s="2"/>
      <c r="AU640" s="2"/>
    </row>
    <row r="641" spans="9:47" x14ac:dyDescent="0.25">
      <c r="I641"/>
      <c r="R641"/>
      <c r="U641"/>
      <c r="AC641" s="2"/>
      <c r="AD641" s="2"/>
      <c r="AE641" s="2"/>
      <c r="AF641" s="2"/>
      <c r="AG641" s="2"/>
      <c r="AH641" s="2" t="e">
        <f>VLOOKUP(F641,vlookup!$A$2:$E$660,3,0)</f>
        <v>#N/A</v>
      </c>
      <c r="AI641" s="2"/>
      <c r="AJ641" s="2"/>
      <c r="AK641" s="2"/>
      <c r="AL641" s="2"/>
      <c r="AM641" s="2"/>
      <c r="AO641" s="2"/>
      <c r="AP641" s="2"/>
      <c r="AQ641" s="2"/>
      <c r="AR641" s="2"/>
      <c r="AS641" s="2"/>
      <c r="AT641" s="2"/>
      <c r="AU641" s="2"/>
    </row>
    <row r="642" spans="9:47" x14ac:dyDescent="0.25">
      <c r="I642"/>
      <c r="R642"/>
      <c r="U642"/>
      <c r="AC642" s="2"/>
      <c r="AD642" s="2"/>
      <c r="AE642" s="2"/>
      <c r="AF642" s="2"/>
      <c r="AG642" s="2"/>
      <c r="AH642" s="2" t="e">
        <f>VLOOKUP(F642,vlookup!$A$2:$E$660,3,0)</f>
        <v>#N/A</v>
      </c>
      <c r="AI642" s="2"/>
      <c r="AJ642" s="2"/>
      <c r="AK642" s="2"/>
      <c r="AL642" s="2"/>
      <c r="AM642" s="2"/>
      <c r="AO642" s="2"/>
      <c r="AP642" s="2"/>
      <c r="AQ642" s="2"/>
      <c r="AR642" s="2"/>
      <c r="AS642" s="2"/>
      <c r="AT642" s="2"/>
      <c r="AU642" s="2"/>
    </row>
    <row r="643" spans="9:47" x14ac:dyDescent="0.25">
      <c r="I643"/>
      <c r="R643"/>
      <c r="U643"/>
      <c r="AC643" s="2"/>
      <c r="AD643" s="2"/>
      <c r="AE643" s="2"/>
      <c r="AF643" s="2"/>
      <c r="AG643" s="2"/>
      <c r="AH643" s="2" t="e">
        <f>VLOOKUP(F643,vlookup!$A$2:$E$660,3,0)</f>
        <v>#N/A</v>
      </c>
      <c r="AI643" s="2"/>
      <c r="AJ643" s="2"/>
      <c r="AK643" s="2"/>
      <c r="AL643" s="2"/>
      <c r="AM643" s="2"/>
      <c r="AO643" s="2"/>
      <c r="AP643" s="2"/>
      <c r="AQ643" s="2"/>
      <c r="AR643" s="2"/>
      <c r="AS643" s="2"/>
      <c r="AT643" s="2"/>
      <c r="AU643" s="2"/>
    </row>
    <row r="644" spans="9:47" x14ac:dyDescent="0.25">
      <c r="I644"/>
      <c r="R644"/>
      <c r="U644"/>
      <c r="AC644" s="2"/>
      <c r="AD644" s="2"/>
      <c r="AE644" s="2"/>
      <c r="AF644" s="2"/>
      <c r="AG644" s="2"/>
      <c r="AH644" s="2" t="e">
        <f>VLOOKUP(F644,vlookup!$A$2:$E$660,3,0)</f>
        <v>#N/A</v>
      </c>
      <c r="AI644" s="2"/>
      <c r="AJ644" s="2"/>
      <c r="AK644" s="2"/>
      <c r="AL644" s="2"/>
      <c r="AM644" s="2"/>
      <c r="AO644" s="2"/>
      <c r="AP644" s="2"/>
      <c r="AQ644" s="2"/>
      <c r="AR644" s="2"/>
      <c r="AS644" s="2"/>
      <c r="AT644" s="2"/>
      <c r="AU644" s="2"/>
    </row>
    <row r="645" spans="9:47" x14ac:dyDescent="0.25">
      <c r="I645"/>
      <c r="R645"/>
      <c r="U645"/>
      <c r="AC645" s="2"/>
      <c r="AD645" s="2"/>
      <c r="AE645" s="2"/>
      <c r="AF645" s="2"/>
      <c r="AG645" s="2"/>
      <c r="AH645" s="2" t="e">
        <f>VLOOKUP(F645,vlookup!$A$2:$E$660,3,0)</f>
        <v>#N/A</v>
      </c>
      <c r="AI645" s="2"/>
      <c r="AJ645" s="2"/>
      <c r="AK645" s="2"/>
      <c r="AL645" s="2"/>
      <c r="AM645" s="2"/>
      <c r="AO645" s="2"/>
      <c r="AP645" s="2"/>
      <c r="AQ645" s="2"/>
      <c r="AR645" s="2"/>
      <c r="AS645" s="2"/>
      <c r="AT645" s="2"/>
      <c r="AU645" s="2"/>
    </row>
    <row r="646" spans="9:47" x14ac:dyDescent="0.25">
      <c r="I646"/>
      <c r="R646"/>
      <c r="U646"/>
      <c r="AC646" s="2"/>
      <c r="AD646" s="2"/>
      <c r="AE646" s="2"/>
      <c r="AF646" s="2"/>
      <c r="AG646" s="2"/>
      <c r="AH646" s="2" t="e">
        <f>VLOOKUP(F646,vlookup!$A$2:$E$660,3,0)</f>
        <v>#N/A</v>
      </c>
      <c r="AI646" s="2"/>
      <c r="AJ646" s="2"/>
      <c r="AK646" s="2"/>
      <c r="AL646" s="2"/>
      <c r="AM646" s="2"/>
      <c r="AO646" s="2"/>
      <c r="AP646" s="2"/>
      <c r="AQ646" s="2"/>
      <c r="AR646" s="2"/>
      <c r="AS646" s="2"/>
      <c r="AT646" s="2"/>
      <c r="AU646" s="2"/>
    </row>
    <row r="647" spans="9:47" x14ac:dyDescent="0.25">
      <c r="I647"/>
      <c r="R647"/>
      <c r="U647"/>
      <c r="AC647" s="2"/>
      <c r="AD647" s="2"/>
      <c r="AE647" s="2"/>
      <c r="AF647" s="2"/>
      <c r="AG647" s="2"/>
      <c r="AH647" s="2" t="e">
        <f>VLOOKUP(F647,vlookup!$A$2:$E$660,3,0)</f>
        <v>#N/A</v>
      </c>
      <c r="AI647" s="2"/>
      <c r="AJ647" s="2"/>
      <c r="AK647" s="2"/>
      <c r="AL647" s="2"/>
      <c r="AM647" s="2"/>
      <c r="AO647" s="2"/>
      <c r="AP647" s="2"/>
      <c r="AQ647" s="2"/>
      <c r="AR647" s="2"/>
      <c r="AS647" s="2"/>
      <c r="AT647" s="2"/>
      <c r="AU647" s="2"/>
    </row>
    <row r="648" spans="9:47" x14ac:dyDescent="0.25">
      <c r="I648"/>
      <c r="R648"/>
      <c r="U648"/>
      <c r="AC648" s="2"/>
      <c r="AD648" s="2"/>
      <c r="AE648" s="2"/>
      <c r="AF648" s="2"/>
      <c r="AG648" s="2"/>
      <c r="AH648" s="2" t="e">
        <f>VLOOKUP(F648,vlookup!$A$2:$E$660,3,0)</f>
        <v>#N/A</v>
      </c>
      <c r="AI648" s="2"/>
      <c r="AJ648" s="2"/>
      <c r="AK648" s="2"/>
      <c r="AL648" s="2"/>
      <c r="AM648" s="2"/>
      <c r="AO648" s="2"/>
      <c r="AP648" s="2"/>
      <c r="AQ648" s="2"/>
      <c r="AR648" s="2"/>
      <c r="AS648" s="2"/>
      <c r="AT648" s="2"/>
      <c r="AU648" s="2"/>
    </row>
    <row r="649" spans="9:47" x14ac:dyDescent="0.25">
      <c r="I649"/>
      <c r="R649"/>
      <c r="U649"/>
      <c r="AC649" s="2"/>
      <c r="AD649" s="2"/>
      <c r="AE649" s="2"/>
      <c r="AF649" s="2"/>
      <c r="AG649" s="2"/>
      <c r="AH649" s="2" t="e">
        <f>VLOOKUP(F649,vlookup!$A$2:$E$660,3,0)</f>
        <v>#N/A</v>
      </c>
      <c r="AI649" s="2"/>
      <c r="AJ649" s="2"/>
      <c r="AK649" s="2"/>
      <c r="AL649" s="2"/>
      <c r="AM649" s="2"/>
      <c r="AO649" s="2"/>
      <c r="AP649" s="2"/>
      <c r="AQ649" s="2"/>
      <c r="AR649" s="2"/>
      <c r="AS649" s="2"/>
      <c r="AT649" s="2"/>
      <c r="AU649" s="2"/>
    </row>
    <row r="650" spans="9:47" x14ac:dyDescent="0.25">
      <c r="I650"/>
      <c r="R650"/>
      <c r="U650"/>
      <c r="AC650" s="2"/>
      <c r="AD650" s="2"/>
      <c r="AE650" s="2"/>
      <c r="AF650" s="2"/>
      <c r="AG650" s="2"/>
      <c r="AH650" s="2" t="e">
        <f>VLOOKUP(F650,vlookup!$A$2:$E$660,3,0)</f>
        <v>#N/A</v>
      </c>
      <c r="AI650" s="2"/>
      <c r="AJ650" s="2"/>
      <c r="AK650" s="2"/>
      <c r="AL650" s="2"/>
      <c r="AM650" s="2"/>
      <c r="AO650" s="2"/>
      <c r="AP650" s="2"/>
      <c r="AQ650" s="2"/>
      <c r="AR650" s="2"/>
      <c r="AS650" s="2"/>
      <c r="AT650" s="2"/>
      <c r="AU650" s="2"/>
    </row>
    <row r="651" spans="9:47" x14ac:dyDescent="0.25">
      <c r="I651"/>
      <c r="R651"/>
      <c r="U651"/>
      <c r="AC651" s="2"/>
      <c r="AD651" s="2"/>
      <c r="AE651" s="2"/>
      <c r="AF651" s="2"/>
      <c r="AG651" s="2"/>
      <c r="AH651" s="2" t="e">
        <f>VLOOKUP(F651,vlookup!$A$2:$E$660,3,0)</f>
        <v>#N/A</v>
      </c>
      <c r="AI651" s="2"/>
      <c r="AJ651" s="2"/>
      <c r="AK651" s="2"/>
      <c r="AL651" s="2"/>
      <c r="AM651" s="2"/>
      <c r="AO651" s="2"/>
      <c r="AP651" s="2"/>
      <c r="AQ651" s="2"/>
      <c r="AR651" s="2"/>
      <c r="AS651" s="2"/>
      <c r="AT651" s="2"/>
      <c r="AU651" s="2"/>
    </row>
    <row r="652" spans="9:47" x14ac:dyDescent="0.25">
      <c r="I652"/>
      <c r="R652"/>
      <c r="U652"/>
      <c r="AC652" s="2"/>
      <c r="AD652" s="2"/>
      <c r="AE652" s="2"/>
      <c r="AF652" s="2"/>
      <c r="AG652" s="2"/>
      <c r="AH652" s="2" t="e">
        <f>VLOOKUP(F652,vlookup!$A$2:$E$660,3,0)</f>
        <v>#N/A</v>
      </c>
      <c r="AI652" s="2"/>
      <c r="AJ652" s="2"/>
      <c r="AK652" s="2"/>
      <c r="AL652" s="2"/>
      <c r="AM652" s="2"/>
      <c r="AO652" s="2"/>
      <c r="AP652" s="2"/>
      <c r="AQ652" s="2"/>
      <c r="AR652" s="2"/>
      <c r="AS652" s="2"/>
      <c r="AT652" s="2"/>
      <c r="AU652" s="2"/>
    </row>
    <row r="653" spans="9:47" x14ac:dyDescent="0.25">
      <c r="I653"/>
      <c r="R653"/>
      <c r="U653"/>
      <c r="AC653" s="2"/>
      <c r="AD653" s="2"/>
      <c r="AE653" s="2"/>
      <c r="AF653" s="2"/>
      <c r="AG653" s="2"/>
      <c r="AH653" s="2" t="e">
        <f>VLOOKUP(F653,vlookup!$A$2:$E$660,3,0)</f>
        <v>#N/A</v>
      </c>
      <c r="AI653" s="2"/>
      <c r="AJ653" s="2"/>
      <c r="AK653" s="2"/>
      <c r="AL653" s="2"/>
      <c r="AM653" s="2"/>
      <c r="AO653" s="2"/>
      <c r="AP653" s="2"/>
      <c r="AQ653" s="2"/>
      <c r="AR653" s="2"/>
      <c r="AS653" s="2"/>
      <c r="AT653" s="2"/>
      <c r="AU653" s="2"/>
    </row>
    <row r="654" spans="9:47" x14ac:dyDescent="0.25">
      <c r="I654"/>
      <c r="R654"/>
      <c r="U654"/>
      <c r="AC654" s="2"/>
      <c r="AD654" s="2"/>
      <c r="AE654" s="2"/>
      <c r="AF654" s="2"/>
      <c r="AG654" s="2"/>
      <c r="AH654" s="2" t="e">
        <f>VLOOKUP(F654,vlookup!$A$2:$E$660,3,0)</f>
        <v>#N/A</v>
      </c>
      <c r="AI654" s="2"/>
      <c r="AJ654" s="2"/>
      <c r="AK654" s="2"/>
      <c r="AL654" s="2"/>
      <c r="AM654" s="2"/>
      <c r="AO654" s="2"/>
      <c r="AP654" s="2"/>
      <c r="AQ654" s="2"/>
      <c r="AR654" s="2"/>
      <c r="AS654" s="2"/>
      <c r="AT654" s="2"/>
      <c r="AU654" s="2"/>
    </row>
    <row r="655" spans="9:47" x14ac:dyDescent="0.25">
      <c r="I655"/>
      <c r="R655"/>
      <c r="U655"/>
      <c r="AC655" s="2"/>
      <c r="AD655" s="2"/>
      <c r="AE655" s="2"/>
      <c r="AF655" s="2"/>
      <c r="AG655" s="2"/>
      <c r="AH655" s="2" t="e">
        <f>VLOOKUP(F655,vlookup!$A$2:$E$660,3,0)</f>
        <v>#N/A</v>
      </c>
      <c r="AI655" s="2"/>
      <c r="AJ655" s="2"/>
      <c r="AK655" s="2"/>
      <c r="AL655" s="2"/>
      <c r="AM655" s="2"/>
      <c r="AO655" s="2"/>
      <c r="AP655" s="2"/>
      <c r="AQ655" s="2"/>
      <c r="AR655" s="2"/>
      <c r="AS655" s="2"/>
      <c r="AT655" s="2"/>
      <c r="AU655" s="2"/>
    </row>
    <row r="656" spans="9:47" x14ac:dyDescent="0.25">
      <c r="I656"/>
      <c r="R656"/>
      <c r="U656"/>
      <c r="AC656" s="2"/>
      <c r="AD656" s="2"/>
      <c r="AE656" s="2"/>
      <c r="AF656" s="2"/>
      <c r="AG656" s="2"/>
      <c r="AH656" s="2" t="e">
        <f>VLOOKUP(F656,vlookup!$A$2:$E$660,3,0)</f>
        <v>#N/A</v>
      </c>
      <c r="AI656" s="2"/>
      <c r="AJ656" s="2"/>
      <c r="AK656" s="2"/>
      <c r="AL656" s="2"/>
      <c r="AM656" s="2"/>
      <c r="AO656" s="2"/>
      <c r="AP656" s="2"/>
      <c r="AQ656" s="2"/>
      <c r="AR656" s="2"/>
      <c r="AS656" s="2"/>
      <c r="AT656" s="2"/>
      <c r="AU656" s="2"/>
    </row>
    <row r="657" spans="9:47" x14ac:dyDescent="0.25">
      <c r="I657"/>
      <c r="R657"/>
      <c r="U657"/>
      <c r="AC657" s="2"/>
      <c r="AD657" s="2"/>
      <c r="AE657" s="2"/>
      <c r="AF657" s="2"/>
      <c r="AG657" s="2"/>
      <c r="AH657" s="2" t="e">
        <f>VLOOKUP(F657,vlookup!$A$2:$E$660,3,0)</f>
        <v>#N/A</v>
      </c>
      <c r="AI657" s="2"/>
      <c r="AJ657" s="2"/>
      <c r="AK657" s="2"/>
      <c r="AL657" s="2"/>
      <c r="AM657" s="2"/>
      <c r="AO657" s="2"/>
      <c r="AP657" s="2"/>
      <c r="AQ657" s="2"/>
      <c r="AR657" s="2"/>
      <c r="AS657" s="2"/>
      <c r="AT657" s="2"/>
      <c r="AU657" s="2"/>
    </row>
    <row r="658" spans="9:47" x14ac:dyDescent="0.25">
      <c r="I658"/>
      <c r="R658"/>
      <c r="U658"/>
      <c r="AC658" s="2"/>
      <c r="AD658" s="2"/>
      <c r="AE658" s="2"/>
      <c r="AF658" s="2"/>
      <c r="AG658" s="2"/>
      <c r="AH658" s="2" t="e">
        <f>VLOOKUP(F658,vlookup!$A$2:$E$660,3,0)</f>
        <v>#N/A</v>
      </c>
      <c r="AI658" s="2"/>
      <c r="AJ658" s="2"/>
      <c r="AK658" s="2"/>
      <c r="AL658" s="2"/>
      <c r="AM658" s="2"/>
      <c r="AO658" s="2"/>
      <c r="AP658" s="2"/>
      <c r="AQ658" s="2"/>
      <c r="AR658" s="2"/>
      <c r="AS658" s="2"/>
      <c r="AT658" s="2"/>
      <c r="AU658" s="2"/>
    </row>
    <row r="659" spans="9:47" x14ac:dyDescent="0.25">
      <c r="I659"/>
      <c r="R659"/>
      <c r="U659"/>
      <c r="AC659" s="2"/>
      <c r="AD659" s="2"/>
      <c r="AE659" s="2"/>
      <c r="AF659" s="2"/>
      <c r="AG659" s="2"/>
      <c r="AH659" s="2" t="e">
        <f>VLOOKUP(F659,vlookup!$A$2:$E$660,3,0)</f>
        <v>#N/A</v>
      </c>
      <c r="AI659" s="2"/>
      <c r="AJ659" s="2"/>
      <c r="AK659" s="2"/>
      <c r="AL659" s="2"/>
      <c r="AM659" s="2"/>
      <c r="AO659" s="2"/>
      <c r="AP659" s="2"/>
      <c r="AQ659" s="2"/>
      <c r="AR659" s="2"/>
      <c r="AS659" s="2"/>
      <c r="AT659" s="2"/>
      <c r="AU659" s="2"/>
    </row>
    <row r="660" spans="9:47" x14ac:dyDescent="0.25">
      <c r="I660"/>
      <c r="R660"/>
      <c r="U660"/>
      <c r="AC660" s="2"/>
      <c r="AD660" s="2"/>
      <c r="AE660" s="2"/>
      <c r="AF660" s="2"/>
      <c r="AG660" s="2"/>
      <c r="AH660" s="2" t="e">
        <f>VLOOKUP(F660,vlookup!$A$2:$E$660,3,0)</f>
        <v>#N/A</v>
      </c>
      <c r="AI660" s="2"/>
      <c r="AJ660" s="2"/>
      <c r="AK660" s="2"/>
      <c r="AL660" s="2"/>
      <c r="AM660" s="2"/>
      <c r="AO660" s="2"/>
      <c r="AP660" s="2"/>
      <c r="AQ660" s="2"/>
      <c r="AR660" s="2"/>
      <c r="AS660" s="2"/>
      <c r="AT660" s="2"/>
      <c r="AU660" s="2"/>
    </row>
    <row r="661" spans="9:47" x14ac:dyDescent="0.25">
      <c r="I661"/>
      <c r="R661"/>
      <c r="U661"/>
      <c r="AC661" s="2"/>
      <c r="AD661" s="2"/>
      <c r="AE661" s="2"/>
      <c r="AF661" s="2"/>
      <c r="AG661" s="2"/>
      <c r="AH661" s="2" t="e">
        <f>VLOOKUP(F661,vlookup!$A$2:$E$660,3,0)</f>
        <v>#N/A</v>
      </c>
      <c r="AI661" s="2"/>
      <c r="AJ661" s="2"/>
      <c r="AK661" s="2"/>
      <c r="AL661" s="2"/>
      <c r="AM661" s="2"/>
      <c r="AO661" s="2"/>
      <c r="AP661" s="2"/>
      <c r="AQ661" s="2"/>
      <c r="AR661" s="2"/>
      <c r="AS661" s="2"/>
      <c r="AT661" s="2"/>
      <c r="AU661" s="2"/>
    </row>
    <row r="662" spans="9:47" x14ac:dyDescent="0.25">
      <c r="I662"/>
      <c r="R662"/>
      <c r="U662"/>
      <c r="AC662" s="2"/>
      <c r="AD662" s="2"/>
      <c r="AE662" s="2"/>
      <c r="AF662" s="2"/>
      <c r="AG662" s="2"/>
      <c r="AH662" s="2" t="e">
        <f>VLOOKUP(F662,vlookup!$A$2:$E$660,3,0)</f>
        <v>#N/A</v>
      </c>
      <c r="AI662" s="2"/>
      <c r="AJ662" s="2"/>
      <c r="AK662" s="2"/>
      <c r="AL662" s="2"/>
      <c r="AM662" s="2"/>
      <c r="AO662" s="2"/>
      <c r="AP662" s="2"/>
      <c r="AQ662" s="2"/>
      <c r="AR662" s="2"/>
      <c r="AS662" s="2"/>
      <c r="AT662" s="2"/>
      <c r="AU662" s="2"/>
    </row>
    <row r="663" spans="9:47" x14ac:dyDescent="0.25">
      <c r="I663"/>
      <c r="R663"/>
      <c r="U663"/>
      <c r="AC663" s="2"/>
      <c r="AD663" s="2"/>
      <c r="AE663" s="2"/>
      <c r="AF663" s="2"/>
      <c r="AG663" s="2"/>
      <c r="AH663" s="2" t="e">
        <f>VLOOKUP(F663,vlookup!$A$2:$E$660,3,0)</f>
        <v>#N/A</v>
      </c>
      <c r="AI663" s="2"/>
      <c r="AJ663" s="2"/>
      <c r="AK663" s="2"/>
      <c r="AL663" s="2"/>
      <c r="AM663" s="2"/>
      <c r="AO663" s="2"/>
      <c r="AP663" s="2"/>
      <c r="AQ663" s="2"/>
      <c r="AR663" s="2"/>
      <c r="AS663" s="2"/>
      <c r="AT663" s="2"/>
      <c r="AU663" s="2"/>
    </row>
    <row r="664" spans="9:47" x14ac:dyDescent="0.25">
      <c r="I664"/>
      <c r="R664"/>
      <c r="U664"/>
      <c r="AC664" s="2"/>
      <c r="AD664" s="2"/>
      <c r="AE664" s="2"/>
      <c r="AF664" s="2"/>
      <c r="AG664" s="2"/>
      <c r="AH664" s="2" t="e">
        <f>VLOOKUP(F664,vlookup!$A$2:$E$660,3,0)</f>
        <v>#N/A</v>
      </c>
      <c r="AI664" s="2"/>
      <c r="AJ664" s="2"/>
      <c r="AK664" s="2"/>
      <c r="AL664" s="2"/>
      <c r="AM664" s="2"/>
      <c r="AO664" s="2"/>
      <c r="AP664" s="2"/>
      <c r="AQ664" s="2"/>
      <c r="AR664" s="2"/>
      <c r="AS664" s="2"/>
      <c r="AT664" s="2"/>
      <c r="AU664" s="2"/>
    </row>
    <row r="665" spans="9:47" x14ac:dyDescent="0.25">
      <c r="I665"/>
      <c r="R665"/>
      <c r="U665"/>
      <c r="AC665" s="2"/>
      <c r="AD665" s="2"/>
      <c r="AE665" s="2"/>
      <c r="AF665" s="2"/>
      <c r="AG665" s="2"/>
      <c r="AH665" s="2" t="e">
        <f>VLOOKUP(F665,vlookup!$A$2:$E$660,3,0)</f>
        <v>#N/A</v>
      </c>
      <c r="AI665" s="2"/>
      <c r="AJ665" s="2"/>
      <c r="AK665" s="2"/>
      <c r="AL665" s="2"/>
      <c r="AM665" s="2"/>
      <c r="AO665" s="2"/>
      <c r="AP665" s="2"/>
      <c r="AQ665" s="2"/>
      <c r="AR665" s="2"/>
      <c r="AS665" s="2"/>
      <c r="AT665" s="2"/>
      <c r="AU665" s="2"/>
    </row>
    <row r="666" spans="9:47" x14ac:dyDescent="0.25">
      <c r="I666"/>
      <c r="R666"/>
      <c r="U666"/>
      <c r="AC666" s="2"/>
      <c r="AD666" s="2"/>
      <c r="AE666" s="2"/>
      <c r="AF666" s="2"/>
      <c r="AG666" s="2"/>
      <c r="AH666" s="2" t="e">
        <f>VLOOKUP(F666,vlookup!$A$2:$E$660,3,0)</f>
        <v>#N/A</v>
      </c>
      <c r="AI666" s="2"/>
      <c r="AJ666" s="2"/>
      <c r="AK666" s="2"/>
      <c r="AL666" s="2"/>
      <c r="AM666" s="2"/>
      <c r="AO666" s="2"/>
      <c r="AP666" s="2"/>
      <c r="AQ666" s="2"/>
      <c r="AR666" s="2"/>
      <c r="AS666" s="2"/>
      <c r="AT666" s="2"/>
      <c r="AU666" s="2"/>
    </row>
    <row r="667" spans="9:47" x14ac:dyDescent="0.25">
      <c r="I667"/>
      <c r="R667"/>
      <c r="U667"/>
      <c r="AC667" s="2"/>
      <c r="AD667" s="2"/>
      <c r="AE667" s="2"/>
      <c r="AF667" s="2"/>
      <c r="AG667" s="2"/>
      <c r="AH667" s="2" t="e">
        <f>VLOOKUP(F667,vlookup!$A$2:$E$660,3,0)</f>
        <v>#N/A</v>
      </c>
      <c r="AI667" s="2"/>
      <c r="AJ667" s="2"/>
      <c r="AK667" s="2"/>
      <c r="AL667" s="2"/>
      <c r="AM667" s="2"/>
      <c r="AO667" s="2"/>
      <c r="AP667" s="2"/>
      <c r="AQ667" s="2"/>
      <c r="AR667" s="2"/>
      <c r="AS667" s="2"/>
      <c r="AT667" s="2"/>
      <c r="AU667" s="2"/>
    </row>
    <row r="668" spans="9:47" x14ac:dyDescent="0.25">
      <c r="I668"/>
      <c r="R668"/>
      <c r="U668"/>
      <c r="AC668" s="2"/>
      <c r="AD668" s="2"/>
      <c r="AE668" s="2"/>
      <c r="AF668" s="2"/>
      <c r="AG668" s="2"/>
      <c r="AH668" s="2" t="e">
        <f>VLOOKUP(F668,vlookup!$A$2:$E$660,3,0)</f>
        <v>#N/A</v>
      </c>
      <c r="AI668" s="2"/>
      <c r="AJ668" s="2"/>
      <c r="AK668" s="2"/>
      <c r="AL668" s="2"/>
      <c r="AM668" s="2"/>
      <c r="AO668" s="2"/>
      <c r="AP668" s="2"/>
      <c r="AQ668" s="2"/>
      <c r="AR668" s="2"/>
      <c r="AS668" s="2"/>
      <c r="AT668" s="2"/>
      <c r="AU668" s="2"/>
    </row>
    <row r="669" spans="9:47" x14ac:dyDescent="0.25">
      <c r="I669"/>
      <c r="R669"/>
      <c r="U669"/>
      <c r="AC669" s="2"/>
      <c r="AD669" s="2"/>
      <c r="AE669" s="2"/>
      <c r="AF669" s="2"/>
      <c r="AG669" s="2"/>
      <c r="AH669" s="2" t="e">
        <f>VLOOKUP(F669,vlookup!$A$2:$E$660,3,0)</f>
        <v>#N/A</v>
      </c>
      <c r="AI669" s="2"/>
      <c r="AJ669" s="2"/>
      <c r="AK669" s="2"/>
      <c r="AL669" s="2"/>
      <c r="AM669" s="2"/>
      <c r="AO669" s="2"/>
      <c r="AP669" s="2"/>
      <c r="AQ669" s="2"/>
      <c r="AR669" s="2"/>
      <c r="AS669" s="2"/>
      <c r="AT669" s="2"/>
      <c r="AU669" s="2"/>
    </row>
    <row r="670" spans="9:47" x14ac:dyDescent="0.25">
      <c r="I670"/>
      <c r="R670"/>
      <c r="U670"/>
      <c r="AC670" s="2"/>
      <c r="AD670" s="2"/>
      <c r="AE670" s="2"/>
      <c r="AF670" s="2"/>
      <c r="AG670" s="2"/>
      <c r="AH670" s="2" t="e">
        <f>VLOOKUP(F670,vlookup!$A$2:$E$660,3,0)</f>
        <v>#N/A</v>
      </c>
      <c r="AI670" s="2"/>
      <c r="AJ670" s="2"/>
      <c r="AK670" s="2"/>
      <c r="AL670" s="2"/>
      <c r="AM670" s="2"/>
      <c r="AO670" s="2"/>
      <c r="AP670" s="2"/>
      <c r="AQ670" s="2"/>
      <c r="AR670" s="2"/>
      <c r="AS670" s="2"/>
      <c r="AT670" s="2"/>
      <c r="AU670" s="2"/>
    </row>
    <row r="671" spans="9:47" x14ac:dyDescent="0.25">
      <c r="I671"/>
      <c r="R671"/>
      <c r="U671"/>
      <c r="AC671" s="2"/>
      <c r="AD671" s="2"/>
      <c r="AE671" s="2"/>
      <c r="AF671" s="2"/>
      <c r="AG671" s="2"/>
      <c r="AH671" s="2" t="e">
        <f>VLOOKUP(F671,vlookup!$A$2:$E$660,3,0)</f>
        <v>#N/A</v>
      </c>
      <c r="AI671" s="2"/>
      <c r="AJ671" s="2"/>
      <c r="AK671" s="2"/>
      <c r="AL671" s="2"/>
      <c r="AM671" s="2"/>
      <c r="AO671" s="2"/>
      <c r="AP671" s="2"/>
      <c r="AQ671" s="2"/>
      <c r="AR671" s="2"/>
      <c r="AS671" s="2"/>
      <c r="AT671" s="2"/>
      <c r="AU671" s="2"/>
    </row>
    <row r="672" spans="9:47" x14ac:dyDescent="0.25">
      <c r="I672"/>
      <c r="R672"/>
      <c r="U672"/>
      <c r="AC672" s="2"/>
      <c r="AD672" s="2"/>
      <c r="AE672" s="2"/>
      <c r="AF672" s="2"/>
      <c r="AG672" s="2"/>
      <c r="AH672" s="2" t="e">
        <f>VLOOKUP(F672,vlookup!$A$2:$E$660,3,0)</f>
        <v>#N/A</v>
      </c>
      <c r="AI672" s="2"/>
      <c r="AJ672" s="2"/>
      <c r="AK672" s="2"/>
      <c r="AL672" s="2"/>
      <c r="AM672" s="2"/>
      <c r="AO672" s="2"/>
      <c r="AP672" s="2"/>
      <c r="AQ672" s="2"/>
      <c r="AR672" s="2"/>
      <c r="AS672" s="2"/>
      <c r="AT672" s="2"/>
      <c r="AU672" s="2"/>
    </row>
    <row r="673" spans="9:47" x14ac:dyDescent="0.25">
      <c r="I673"/>
      <c r="R673"/>
      <c r="U673"/>
      <c r="AC673" s="2"/>
      <c r="AD673" s="2"/>
      <c r="AE673" s="2"/>
      <c r="AF673" s="2"/>
      <c r="AG673" s="2"/>
      <c r="AH673" s="2" t="e">
        <f>VLOOKUP(F673,vlookup!$A$2:$E$660,3,0)</f>
        <v>#N/A</v>
      </c>
      <c r="AI673" s="2"/>
      <c r="AJ673" s="2"/>
      <c r="AK673" s="2"/>
      <c r="AL673" s="2"/>
      <c r="AM673" s="2"/>
      <c r="AO673" s="2"/>
      <c r="AP673" s="2"/>
      <c r="AQ673" s="2"/>
      <c r="AR673" s="2"/>
      <c r="AS673" s="2"/>
      <c r="AT673" s="2"/>
      <c r="AU673" s="2"/>
    </row>
    <row r="674" spans="9:47" x14ac:dyDescent="0.25">
      <c r="I674"/>
      <c r="R674"/>
      <c r="U674"/>
      <c r="AC674" s="2"/>
      <c r="AD674" s="2"/>
      <c r="AE674" s="2"/>
      <c r="AF674" s="2"/>
      <c r="AG674" s="2"/>
      <c r="AH674" s="2" t="e">
        <f>VLOOKUP(F674,vlookup!$A$2:$E$660,3,0)</f>
        <v>#N/A</v>
      </c>
      <c r="AI674" s="2"/>
      <c r="AJ674" s="2"/>
      <c r="AK674" s="2"/>
      <c r="AL674" s="2"/>
      <c r="AM674" s="2"/>
      <c r="AO674" s="2"/>
      <c r="AP674" s="2"/>
      <c r="AQ674" s="2"/>
      <c r="AR674" s="2"/>
      <c r="AS674" s="2"/>
      <c r="AT674" s="2"/>
      <c r="AU674" s="2"/>
    </row>
    <row r="675" spans="9:47" x14ac:dyDescent="0.25">
      <c r="I675"/>
      <c r="R675"/>
      <c r="U675"/>
      <c r="AC675" s="2"/>
      <c r="AD675" s="2"/>
      <c r="AE675" s="2"/>
      <c r="AF675" s="2"/>
      <c r="AG675" s="2"/>
      <c r="AH675" s="2" t="e">
        <f>VLOOKUP(F675,vlookup!$A$2:$E$660,3,0)</f>
        <v>#N/A</v>
      </c>
      <c r="AI675" s="2"/>
      <c r="AJ675" s="2"/>
      <c r="AK675" s="2"/>
      <c r="AL675" s="2"/>
      <c r="AM675" s="2"/>
      <c r="AO675" s="2"/>
      <c r="AP675" s="2"/>
      <c r="AQ675" s="2"/>
      <c r="AR675" s="2"/>
      <c r="AS675" s="2"/>
      <c r="AT675" s="2"/>
      <c r="AU675" s="2"/>
    </row>
    <row r="676" spans="9:47" x14ac:dyDescent="0.25">
      <c r="I676"/>
      <c r="R676"/>
      <c r="U676"/>
      <c r="AC676" s="2"/>
      <c r="AD676" s="2"/>
      <c r="AE676" s="2"/>
      <c r="AF676" s="2"/>
      <c r="AG676" s="2"/>
      <c r="AH676" s="2" t="e">
        <f>VLOOKUP(F676,vlookup!$A$2:$E$660,3,0)</f>
        <v>#N/A</v>
      </c>
      <c r="AI676" s="2"/>
      <c r="AJ676" s="2"/>
      <c r="AK676" s="2"/>
      <c r="AL676" s="2"/>
      <c r="AM676" s="2"/>
      <c r="AO676" s="2"/>
      <c r="AP676" s="2"/>
      <c r="AQ676" s="2"/>
      <c r="AR676" s="2"/>
      <c r="AS676" s="2"/>
      <c r="AT676" s="2"/>
      <c r="AU676" s="2"/>
    </row>
    <row r="677" spans="9:47" x14ac:dyDescent="0.25">
      <c r="I677"/>
      <c r="R677"/>
      <c r="U677"/>
      <c r="AC677" s="2"/>
      <c r="AD677" s="2"/>
      <c r="AE677" s="2"/>
      <c r="AF677" s="2"/>
      <c r="AG677" s="2"/>
      <c r="AH677" s="2" t="e">
        <f>VLOOKUP(F677,vlookup!$A$2:$E$660,3,0)</f>
        <v>#N/A</v>
      </c>
      <c r="AI677" s="2"/>
      <c r="AJ677" s="2"/>
      <c r="AK677" s="2"/>
      <c r="AL677" s="2"/>
      <c r="AM677" s="2"/>
      <c r="AO677" s="2"/>
      <c r="AP677" s="2"/>
      <c r="AQ677" s="2"/>
      <c r="AR677" s="2"/>
      <c r="AS677" s="2"/>
      <c r="AT677" s="2"/>
      <c r="AU677" s="2"/>
    </row>
    <row r="678" spans="9:47" x14ac:dyDescent="0.25">
      <c r="I678"/>
      <c r="R678"/>
      <c r="U678"/>
      <c r="AC678" s="2"/>
      <c r="AD678" s="2"/>
      <c r="AE678" s="2"/>
      <c r="AF678" s="2"/>
      <c r="AG678" s="2"/>
      <c r="AH678" s="2" t="e">
        <f>VLOOKUP(F678,vlookup!$A$2:$E$660,3,0)</f>
        <v>#N/A</v>
      </c>
      <c r="AI678" s="2"/>
      <c r="AJ678" s="2"/>
      <c r="AK678" s="2"/>
      <c r="AL678" s="2"/>
      <c r="AM678" s="2"/>
      <c r="AO678" s="2"/>
      <c r="AP678" s="2"/>
      <c r="AQ678" s="2"/>
      <c r="AR678" s="2"/>
      <c r="AS678" s="2"/>
      <c r="AT678" s="2"/>
      <c r="AU678" s="2"/>
    </row>
    <row r="679" spans="9:47" x14ac:dyDescent="0.25">
      <c r="I679"/>
      <c r="R679"/>
      <c r="U679"/>
      <c r="AC679" s="2"/>
      <c r="AD679" s="2"/>
      <c r="AE679" s="2"/>
      <c r="AF679" s="2"/>
      <c r="AG679" s="2"/>
      <c r="AH679" s="2" t="e">
        <f>VLOOKUP(F679,vlookup!$A$2:$E$660,3,0)</f>
        <v>#N/A</v>
      </c>
      <c r="AI679" s="2"/>
      <c r="AJ679" s="2"/>
      <c r="AK679" s="2"/>
      <c r="AL679" s="2"/>
      <c r="AM679" s="2"/>
      <c r="AO679" s="2"/>
      <c r="AP679" s="2"/>
      <c r="AQ679" s="2"/>
      <c r="AR679" s="2"/>
      <c r="AS679" s="2"/>
      <c r="AT679" s="2"/>
      <c r="AU679" s="2"/>
    </row>
    <row r="680" spans="9:47" x14ac:dyDescent="0.25">
      <c r="I680"/>
      <c r="R680"/>
      <c r="U680"/>
      <c r="AC680" s="2"/>
      <c r="AD680" s="2"/>
      <c r="AE680" s="2"/>
      <c r="AF680" s="2"/>
      <c r="AG680" s="2"/>
      <c r="AH680" s="2" t="e">
        <f>VLOOKUP(F680,vlookup!$A$2:$E$660,3,0)</f>
        <v>#N/A</v>
      </c>
      <c r="AI680" s="2"/>
      <c r="AJ680" s="2"/>
      <c r="AK680" s="2"/>
      <c r="AL680" s="2"/>
      <c r="AM680" s="2"/>
      <c r="AO680" s="2"/>
      <c r="AP680" s="2"/>
      <c r="AQ680" s="2"/>
      <c r="AR680" s="2"/>
      <c r="AS680" s="2"/>
      <c r="AT680" s="2"/>
      <c r="AU680" s="2"/>
    </row>
    <row r="681" spans="9:47" x14ac:dyDescent="0.25">
      <c r="I681"/>
      <c r="R681"/>
      <c r="U681"/>
      <c r="AC681" s="2"/>
      <c r="AD681" s="2"/>
      <c r="AE681" s="2"/>
      <c r="AF681" s="2"/>
      <c r="AG681" s="2"/>
      <c r="AH681" s="2" t="e">
        <f>VLOOKUP(F681,vlookup!$A$2:$E$660,3,0)</f>
        <v>#N/A</v>
      </c>
      <c r="AI681" s="2"/>
      <c r="AJ681" s="2"/>
      <c r="AK681" s="2"/>
      <c r="AL681" s="2"/>
      <c r="AM681" s="2"/>
      <c r="AO681" s="2"/>
      <c r="AP681" s="2"/>
      <c r="AQ681" s="2"/>
      <c r="AR681" s="2"/>
      <c r="AS681" s="2"/>
      <c r="AT681" s="2"/>
      <c r="AU681" s="2"/>
    </row>
    <row r="682" spans="9:47" x14ac:dyDescent="0.25">
      <c r="I682"/>
      <c r="R682"/>
      <c r="U682"/>
      <c r="AC682" s="2"/>
      <c r="AD682" s="2"/>
      <c r="AE682" s="2"/>
      <c r="AF682" s="2"/>
      <c r="AG682" s="2"/>
      <c r="AH682" s="2" t="e">
        <f>VLOOKUP(F682,vlookup!$A$2:$E$660,3,0)</f>
        <v>#N/A</v>
      </c>
      <c r="AI682" s="2"/>
      <c r="AJ682" s="2"/>
      <c r="AK682" s="2"/>
      <c r="AL682" s="2"/>
      <c r="AM682" s="2"/>
      <c r="AO682" s="2"/>
      <c r="AP682" s="2"/>
      <c r="AQ682" s="2"/>
      <c r="AR682" s="2"/>
      <c r="AS682" s="2"/>
      <c r="AT682" s="2"/>
      <c r="AU682" s="2"/>
    </row>
    <row r="683" spans="9:47" x14ac:dyDescent="0.25">
      <c r="I683"/>
      <c r="R683"/>
      <c r="U683"/>
      <c r="AC683" s="2"/>
      <c r="AD683" s="2"/>
      <c r="AE683" s="2"/>
      <c r="AF683" s="2"/>
      <c r="AG683" s="2"/>
      <c r="AH683" s="2" t="e">
        <f>VLOOKUP(F683,vlookup!$A$2:$E$660,3,0)</f>
        <v>#N/A</v>
      </c>
      <c r="AI683" s="2"/>
      <c r="AJ683" s="2"/>
      <c r="AK683" s="2"/>
      <c r="AL683" s="2"/>
      <c r="AM683" s="2"/>
      <c r="AO683" s="2"/>
      <c r="AP683" s="2"/>
      <c r="AQ683" s="2"/>
      <c r="AR683" s="2"/>
      <c r="AS683" s="2"/>
      <c r="AT683" s="2"/>
      <c r="AU683" s="2"/>
    </row>
    <row r="684" spans="9:47" x14ac:dyDescent="0.25">
      <c r="I684"/>
      <c r="R684"/>
      <c r="U684"/>
      <c r="AC684" s="2"/>
      <c r="AD684" s="2"/>
      <c r="AE684" s="2"/>
      <c r="AF684" s="2"/>
      <c r="AG684" s="2"/>
      <c r="AH684" s="2" t="e">
        <f>VLOOKUP(F684,vlookup!$A$2:$E$660,3,0)</f>
        <v>#N/A</v>
      </c>
      <c r="AI684" s="2"/>
      <c r="AJ684" s="2"/>
      <c r="AK684" s="2"/>
      <c r="AL684" s="2"/>
      <c r="AM684" s="2"/>
      <c r="AO684" s="2"/>
      <c r="AP684" s="2"/>
      <c r="AQ684" s="2"/>
      <c r="AR684" s="2"/>
      <c r="AS684" s="2"/>
      <c r="AT684" s="2"/>
      <c r="AU684" s="2"/>
    </row>
    <row r="685" spans="9:47" x14ac:dyDescent="0.25">
      <c r="I685"/>
      <c r="R685"/>
      <c r="U685"/>
      <c r="AC685" s="2"/>
      <c r="AD685" s="2"/>
      <c r="AE685" s="2"/>
      <c r="AF685" s="2"/>
      <c r="AG685" s="2"/>
      <c r="AH685" s="2" t="e">
        <f>VLOOKUP(F685,vlookup!$A$2:$E$660,3,0)</f>
        <v>#N/A</v>
      </c>
      <c r="AI685" s="2"/>
      <c r="AJ685" s="2"/>
      <c r="AK685" s="2"/>
      <c r="AL685" s="2"/>
      <c r="AM685" s="2"/>
      <c r="AO685" s="2"/>
      <c r="AP685" s="2"/>
      <c r="AQ685" s="2"/>
      <c r="AR685" s="2"/>
      <c r="AS685" s="2"/>
      <c r="AT685" s="2"/>
      <c r="AU685" s="2"/>
    </row>
    <row r="686" spans="9:47" x14ac:dyDescent="0.25">
      <c r="I686"/>
      <c r="R686"/>
      <c r="U686"/>
      <c r="AC686" s="2"/>
      <c r="AD686" s="2"/>
      <c r="AE686" s="2"/>
      <c r="AF686" s="2"/>
      <c r="AG686" s="2"/>
      <c r="AH686" s="2" t="e">
        <f>VLOOKUP(F686,vlookup!$A$2:$E$660,3,0)</f>
        <v>#N/A</v>
      </c>
      <c r="AI686" s="2"/>
      <c r="AJ686" s="2"/>
      <c r="AK686" s="2"/>
      <c r="AL686" s="2"/>
      <c r="AM686" s="2"/>
      <c r="AO686" s="2"/>
      <c r="AP686" s="2"/>
      <c r="AQ686" s="2"/>
      <c r="AR686" s="2"/>
      <c r="AS686" s="2"/>
      <c r="AT686" s="2"/>
      <c r="AU686" s="2"/>
    </row>
    <row r="687" spans="9:47" x14ac:dyDescent="0.25">
      <c r="I687"/>
      <c r="R687"/>
      <c r="U687"/>
      <c r="AC687" s="2"/>
      <c r="AD687" s="2"/>
      <c r="AE687" s="2"/>
      <c r="AF687" s="2"/>
      <c r="AG687" s="2"/>
      <c r="AH687" s="2" t="e">
        <f>VLOOKUP(F687,vlookup!$A$2:$E$660,3,0)</f>
        <v>#N/A</v>
      </c>
      <c r="AI687" s="2"/>
      <c r="AJ687" s="2"/>
      <c r="AK687" s="2"/>
      <c r="AL687" s="2"/>
      <c r="AM687" s="2"/>
      <c r="AO687" s="2"/>
      <c r="AP687" s="2"/>
      <c r="AQ687" s="2"/>
      <c r="AR687" s="2"/>
      <c r="AS687" s="2"/>
      <c r="AT687" s="2"/>
      <c r="AU687" s="2"/>
    </row>
    <row r="688" spans="9:47" x14ac:dyDescent="0.25">
      <c r="I688"/>
      <c r="R688"/>
      <c r="U688"/>
      <c r="AC688" s="2"/>
      <c r="AD688" s="2"/>
      <c r="AE688" s="2"/>
      <c r="AF688" s="2"/>
      <c r="AG688" s="2"/>
      <c r="AH688" s="2" t="e">
        <f>VLOOKUP(F688,vlookup!$A$2:$E$660,3,0)</f>
        <v>#N/A</v>
      </c>
      <c r="AI688" s="2"/>
      <c r="AJ688" s="2"/>
      <c r="AK688" s="2"/>
      <c r="AL688" s="2"/>
      <c r="AM688" s="2"/>
      <c r="AO688" s="2"/>
      <c r="AP688" s="2"/>
      <c r="AQ688" s="2"/>
      <c r="AR688" s="2"/>
      <c r="AS688" s="2"/>
      <c r="AT688" s="2"/>
      <c r="AU688" s="2"/>
    </row>
    <row r="689" spans="9:47" x14ac:dyDescent="0.25">
      <c r="I689"/>
      <c r="R689"/>
      <c r="U689"/>
      <c r="AC689" s="2"/>
      <c r="AD689" s="2"/>
      <c r="AE689" s="2"/>
      <c r="AF689" s="2"/>
      <c r="AG689" s="2"/>
      <c r="AH689" s="2" t="e">
        <f>VLOOKUP(F689,vlookup!$A$2:$E$660,3,0)</f>
        <v>#N/A</v>
      </c>
      <c r="AI689" s="2"/>
      <c r="AJ689" s="2"/>
      <c r="AK689" s="2"/>
      <c r="AL689" s="2"/>
      <c r="AM689" s="2"/>
      <c r="AO689" s="2"/>
      <c r="AP689" s="2"/>
      <c r="AQ689" s="2"/>
      <c r="AR689" s="2"/>
      <c r="AS689" s="2"/>
      <c r="AT689" s="2"/>
      <c r="AU689" s="2"/>
    </row>
    <row r="690" spans="9:47" x14ac:dyDescent="0.25">
      <c r="I690"/>
      <c r="R690"/>
      <c r="U690"/>
      <c r="AC690" s="2"/>
      <c r="AD690" s="2"/>
      <c r="AE690" s="2"/>
      <c r="AF690" s="2"/>
      <c r="AG690" s="2"/>
      <c r="AH690" s="2" t="e">
        <f>VLOOKUP(F690,vlookup!$A$2:$E$660,3,0)</f>
        <v>#N/A</v>
      </c>
      <c r="AI690" s="2"/>
      <c r="AJ690" s="2"/>
      <c r="AK690" s="2"/>
      <c r="AL690" s="2"/>
      <c r="AM690" s="2"/>
      <c r="AO690" s="2"/>
      <c r="AP690" s="2"/>
      <c r="AQ690" s="2"/>
      <c r="AR690" s="2"/>
      <c r="AS690" s="2"/>
      <c r="AT690" s="2"/>
      <c r="AU690" s="2"/>
    </row>
    <row r="691" spans="9:47" x14ac:dyDescent="0.25">
      <c r="I691"/>
      <c r="R691"/>
      <c r="U691"/>
      <c r="AC691" s="2"/>
      <c r="AD691" s="2"/>
      <c r="AE691" s="2"/>
      <c r="AF691" s="2"/>
      <c r="AG691" s="2"/>
      <c r="AH691" s="2" t="e">
        <f>VLOOKUP(F691,vlookup!$A$2:$E$660,3,0)</f>
        <v>#N/A</v>
      </c>
      <c r="AI691" s="2"/>
      <c r="AJ691" s="2"/>
      <c r="AK691" s="2"/>
      <c r="AL691" s="2"/>
      <c r="AM691" s="2"/>
      <c r="AO691" s="2"/>
      <c r="AP691" s="2"/>
      <c r="AQ691" s="2"/>
      <c r="AR691" s="2"/>
      <c r="AS691" s="2"/>
      <c r="AT691" s="2"/>
      <c r="AU691" s="2"/>
    </row>
    <row r="692" spans="9:47" x14ac:dyDescent="0.25">
      <c r="I692"/>
      <c r="R692"/>
      <c r="U692"/>
      <c r="AC692" s="2"/>
      <c r="AD692" s="2"/>
      <c r="AE692" s="2"/>
      <c r="AF692" s="2"/>
      <c r="AG692" s="2"/>
      <c r="AH692" s="2" t="e">
        <f>VLOOKUP(F692,vlookup!$A$2:$E$660,3,0)</f>
        <v>#N/A</v>
      </c>
      <c r="AI692" s="2"/>
      <c r="AJ692" s="2"/>
      <c r="AK692" s="2"/>
      <c r="AL692" s="2"/>
      <c r="AM692" s="2"/>
      <c r="AO692" s="2"/>
      <c r="AP692" s="2"/>
      <c r="AQ692" s="2"/>
      <c r="AR692" s="2"/>
      <c r="AS692" s="2"/>
      <c r="AT692" s="2"/>
      <c r="AU692" s="2"/>
    </row>
    <row r="693" spans="9:47" x14ac:dyDescent="0.25">
      <c r="I693"/>
      <c r="R693"/>
      <c r="U693"/>
      <c r="AC693" s="2"/>
      <c r="AD693" s="2"/>
      <c r="AE693" s="2"/>
      <c r="AF693" s="2"/>
      <c r="AG693" s="2"/>
      <c r="AH693" s="2" t="e">
        <f>VLOOKUP(F693,vlookup!$A$2:$E$660,3,0)</f>
        <v>#N/A</v>
      </c>
      <c r="AI693" s="2"/>
      <c r="AJ693" s="2"/>
      <c r="AK693" s="2"/>
      <c r="AL693" s="2"/>
      <c r="AM693" s="2"/>
      <c r="AO693" s="2"/>
      <c r="AP693" s="2"/>
      <c r="AQ693" s="2"/>
      <c r="AR693" s="2"/>
      <c r="AS693" s="2"/>
      <c r="AT693" s="2"/>
      <c r="AU693" s="2"/>
    </row>
    <row r="694" spans="9:47" x14ac:dyDescent="0.25">
      <c r="I694"/>
      <c r="R694"/>
      <c r="U694"/>
      <c r="AC694" s="2"/>
      <c r="AD694" s="2"/>
      <c r="AE694" s="2"/>
      <c r="AF694" s="2"/>
      <c r="AG694" s="2"/>
      <c r="AH694" s="2" t="e">
        <f>VLOOKUP(F694,vlookup!$A$2:$E$660,3,0)</f>
        <v>#N/A</v>
      </c>
      <c r="AI694" s="2"/>
      <c r="AJ694" s="2"/>
      <c r="AK694" s="2"/>
      <c r="AL694" s="2"/>
      <c r="AM694" s="2"/>
      <c r="AO694" s="2"/>
      <c r="AP694" s="2"/>
      <c r="AQ694" s="2"/>
      <c r="AR694" s="2"/>
      <c r="AS694" s="2"/>
      <c r="AT694" s="2"/>
      <c r="AU694" s="2"/>
    </row>
    <row r="695" spans="9:47" x14ac:dyDescent="0.25">
      <c r="I695"/>
      <c r="R695"/>
      <c r="U695"/>
      <c r="AC695" s="2"/>
      <c r="AD695" s="2"/>
      <c r="AE695" s="2"/>
      <c r="AF695" s="2"/>
      <c r="AG695" s="2"/>
      <c r="AH695" s="2" t="e">
        <f>VLOOKUP(F695,vlookup!$A$2:$E$660,3,0)</f>
        <v>#N/A</v>
      </c>
      <c r="AI695" s="2"/>
      <c r="AJ695" s="2"/>
      <c r="AK695" s="2"/>
      <c r="AL695" s="2"/>
      <c r="AM695" s="2"/>
      <c r="AO695" s="2"/>
      <c r="AP695" s="2"/>
      <c r="AQ695" s="2"/>
      <c r="AR695" s="2"/>
      <c r="AS695" s="2"/>
      <c r="AT695" s="2"/>
      <c r="AU695" s="2"/>
    </row>
    <row r="696" spans="9:47" x14ac:dyDescent="0.25">
      <c r="I696"/>
      <c r="R696"/>
      <c r="U696"/>
      <c r="AC696" s="2"/>
      <c r="AD696" s="2"/>
      <c r="AE696" s="2"/>
      <c r="AF696" s="2"/>
      <c r="AG696" s="2"/>
      <c r="AH696" s="2" t="e">
        <f>VLOOKUP(F696,vlookup!$A$2:$E$660,3,0)</f>
        <v>#N/A</v>
      </c>
      <c r="AI696" s="2"/>
      <c r="AJ696" s="2"/>
      <c r="AK696" s="2"/>
      <c r="AL696" s="2"/>
      <c r="AM696" s="2"/>
      <c r="AO696" s="2"/>
      <c r="AP696" s="2"/>
      <c r="AQ696" s="2"/>
      <c r="AR696" s="2"/>
      <c r="AS696" s="2"/>
      <c r="AT696" s="2"/>
      <c r="AU696" s="2"/>
    </row>
    <row r="697" spans="9:47" x14ac:dyDescent="0.25">
      <c r="I697"/>
      <c r="R697"/>
      <c r="U697"/>
      <c r="AC697" s="2"/>
      <c r="AD697" s="2"/>
      <c r="AE697" s="2"/>
      <c r="AF697" s="2"/>
      <c r="AG697" s="2"/>
      <c r="AH697" s="2" t="e">
        <f>VLOOKUP(F697,vlookup!$A$2:$E$660,3,0)</f>
        <v>#N/A</v>
      </c>
      <c r="AI697" s="2"/>
      <c r="AJ697" s="2"/>
      <c r="AK697" s="2"/>
      <c r="AL697" s="2"/>
      <c r="AM697" s="2"/>
      <c r="AO697" s="2"/>
      <c r="AP697" s="2"/>
      <c r="AQ697" s="2"/>
      <c r="AR697" s="2"/>
      <c r="AS697" s="2"/>
      <c r="AT697" s="2"/>
      <c r="AU697" s="2"/>
    </row>
    <row r="698" spans="9:47" x14ac:dyDescent="0.25">
      <c r="I698"/>
      <c r="R698"/>
      <c r="U698"/>
      <c r="AC698" s="2"/>
      <c r="AD698" s="2"/>
      <c r="AE698" s="2"/>
      <c r="AF698" s="2"/>
      <c r="AG698" s="2"/>
      <c r="AH698" s="2" t="e">
        <f>VLOOKUP(F698,vlookup!$A$2:$E$660,3,0)</f>
        <v>#N/A</v>
      </c>
      <c r="AI698" s="2"/>
      <c r="AJ698" s="2"/>
      <c r="AK698" s="2"/>
      <c r="AL698" s="2"/>
      <c r="AM698" s="2"/>
      <c r="AO698" s="2"/>
      <c r="AP698" s="2"/>
      <c r="AQ698" s="2"/>
      <c r="AR698" s="2"/>
      <c r="AS698" s="2"/>
      <c r="AT698" s="2"/>
      <c r="AU698" s="2"/>
    </row>
    <row r="699" spans="9:47" x14ac:dyDescent="0.25">
      <c r="I699"/>
      <c r="R699"/>
      <c r="U699"/>
      <c r="AC699" s="2"/>
      <c r="AD699" s="2"/>
      <c r="AE699" s="2"/>
      <c r="AF699" s="2"/>
      <c r="AG699" s="2"/>
      <c r="AH699" s="2" t="e">
        <f>VLOOKUP(F699,vlookup!$A$2:$E$660,3,0)</f>
        <v>#N/A</v>
      </c>
      <c r="AI699" s="2"/>
      <c r="AJ699" s="2"/>
      <c r="AK699" s="2"/>
      <c r="AL699" s="2"/>
      <c r="AM699" s="2"/>
      <c r="AO699" s="2"/>
      <c r="AP699" s="2"/>
      <c r="AQ699" s="2"/>
      <c r="AR699" s="2"/>
      <c r="AS699" s="2"/>
      <c r="AT699" s="2"/>
      <c r="AU699" s="2"/>
    </row>
    <row r="700" spans="9:47" x14ac:dyDescent="0.25">
      <c r="I700"/>
      <c r="R700"/>
      <c r="U700"/>
      <c r="AC700" s="2"/>
      <c r="AD700" s="2"/>
      <c r="AE700" s="2"/>
      <c r="AF700" s="2"/>
      <c r="AG700" s="2"/>
      <c r="AH700" s="2" t="e">
        <f>VLOOKUP(F700,vlookup!$A$2:$E$660,3,0)</f>
        <v>#N/A</v>
      </c>
      <c r="AI700" s="2"/>
      <c r="AJ700" s="2"/>
      <c r="AK700" s="2"/>
      <c r="AL700" s="2"/>
      <c r="AM700" s="2"/>
      <c r="AO700" s="2"/>
      <c r="AP700" s="2"/>
      <c r="AQ700" s="2"/>
      <c r="AR700" s="2"/>
      <c r="AS700" s="2"/>
      <c r="AT700" s="2"/>
      <c r="AU700" s="2"/>
    </row>
    <row r="701" spans="9:47" x14ac:dyDescent="0.25">
      <c r="I701"/>
      <c r="R701"/>
      <c r="U701"/>
      <c r="AC701" s="2"/>
      <c r="AD701" s="2"/>
      <c r="AE701" s="2"/>
      <c r="AF701" s="2"/>
      <c r="AG701" s="2"/>
      <c r="AH701" s="2" t="e">
        <f>VLOOKUP(F701,vlookup!$A$2:$E$660,3,0)</f>
        <v>#N/A</v>
      </c>
      <c r="AI701" s="2"/>
      <c r="AJ701" s="2"/>
      <c r="AK701" s="2"/>
      <c r="AL701" s="2"/>
      <c r="AM701" s="2"/>
      <c r="AO701" s="2"/>
      <c r="AP701" s="2"/>
      <c r="AQ701" s="2"/>
      <c r="AR701" s="2"/>
      <c r="AS701" s="2"/>
      <c r="AT701" s="2"/>
      <c r="AU701" s="2"/>
    </row>
    <row r="702" spans="9:47" x14ac:dyDescent="0.25">
      <c r="I702"/>
      <c r="R702"/>
      <c r="U702"/>
      <c r="AC702" s="2"/>
      <c r="AD702" s="2"/>
      <c r="AE702" s="2"/>
      <c r="AF702" s="2"/>
      <c r="AG702" s="2"/>
      <c r="AH702" s="2" t="e">
        <f>VLOOKUP(F702,vlookup!$A$2:$E$660,3,0)</f>
        <v>#N/A</v>
      </c>
      <c r="AI702" s="2"/>
      <c r="AJ702" s="2"/>
      <c r="AK702" s="2"/>
      <c r="AL702" s="2"/>
      <c r="AM702" s="2"/>
      <c r="AO702" s="2"/>
      <c r="AP702" s="2"/>
      <c r="AQ702" s="2"/>
      <c r="AR702" s="2"/>
      <c r="AS702" s="2"/>
      <c r="AT702" s="2"/>
      <c r="AU702" s="2"/>
    </row>
    <row r="703" spans="9:47" x14ac:dyDescent="0.25">
      <c r="I703"/>
      <c r="R703"/>
      <c r="U703"/>
      <c r="AC703" s="2"/>
      <c r="AD703" s="2"/>
      <c r="AE703" s="2"/>
      <c r="AF703" s="2"/>
      <c r="AG703" s="2"/>
      <c r="AH703" s="2" t="e">
        <f>VLOOKUP(F703,vlookup!$A$2:$E$660,3,0)</f>
        <v>#N/A</v>
      </c>
      <c r="AI703" s="2"/>
      <c r="AJ703" s="2"/>
      <c r="AK703" s="2"/>
      <c r="AL703" s="2"/>
      <c r="AM703" s="2"/>
      <c r="AO703" s="2"/>
      <c r="AP703" s="2"/>
      <c r="AQ703" s="2"/>
      <c r="AR703" s="2"/>
      <c r="AS703" s="2"/>
      <c r="AT703" s="2"/>
      <c r="AU703" s="2"/>
    </row>
    <row r="704" spans="9:47" x14ac:dyDescent="0.25">
      <c r="I704"/>
      <c r="R704"/>
      <c r="U704"/>
      <c r="AC704" s="2"/>
      <c r="AD704" s="2"/>
      <c r="AE704" s="2"/>
      <c r="AF704" s="2"/>
      <c r="AG704" s="2"/>
      <c r="AH704" s="2" t="e">
        <f>VLOOKUP(F704,vlookup!$A$2:$E$660,3,0)</f>
        <v>#N/A</v>
      </c>
      <c r="AI704" s="2"/>
      <c r="AJ704" s="2"/>
      <c r="AK704" s="2"/>
      <c r="AL704" s="2"/>
      <c r="AM704" s="2"/>
      <c r="AO704" s="2"/>
      <c r="AP704" s="2"/>
      <c r="AQ704" s="2"/>
      <c r="AR704" s="2"/>
      <c r="AS704" s="2"/>
      <c r="AT704" s="2"/>
      <c r="AU704" s="2"/>
    </row>
    <row r="705" spans="9:47" x14ac:dyDescent="0.25">
      <c r="I705"/>
      <c r="R705"/>
      <c r="U705"/>
      <c r="AC705" s="2"/>
      <c r="AD705" s="2"/>
      <c r="AE705" s="2"/>
      <c r="AF705" s="2"/>
      <c r="AG705" s="2"/>
      <c r="AH705" s="2" t="e">
        <f>VLOOKUP(F705,vlookup!$A$2:$E$660,3,0)</f>
        <v>#N/A</v>
      </c>
      <c r="AI705" s="2"/>
      <c r="AJ705" s="2"/>
      <c r="AK705" s="2"/>
      <c r="AL705" s="2"/>
      <c r="AM705" s="2"/>
      <c r="AO705" s="2"/>
      <c r="AP705" s="2"/>
      <c r="AQ705" s="2"/>
      <c r="AR705" s="2"/>
      <c r="AS705" s="2"/>
      <c r="AT705" s="2"/>
      <c r="AU705" s="2"/>
    </row>
    <row r="706" spans="9:47" x14ac:dyDescent="0.25">
      <c r="I706"/>
      <c r="R706"/>
      <c r="U706"/>
      <c r="AC706" s="2"/>
      <c r="AD706" s="2"/>
      <c r="AE706" s="2"/>
      <c r="AF706" s="2"/>
      <c r="AG706" s="2"/>
      <c r="AH706" s="2" t="e">
        <f>VLOOKUP(F706,vlookup!$A$2:$E$660,3,0)</f>
        <v>#N/A</v>
      </c>
      <c r="AI706" s="2"/>
      <c r="AJ706" s="2"/>
      <c r="AK706" s="2"/>
      <c r="AL706" s="2"/>
      <c r="AM706" s="2"/>
      <c r="AO706" s="2"/>
      <c r="AP706" s="2"/>
      <c r="AQ706" s="2"/>
      <c r="AR706" s="2"/>
      <c r="AS706" s="2"/>
      <c r="AT706" s="2"/>
      <c r="AU706" s="2"/>
    </row>
    <row r="707" spans="9:47" x14ac:dyDescent="0.25">
      <c r="I707"/>
      <c r="R707"/>
      <c r="U707"/>
      <c r="AC707" s="2"/>
      <c r="AD707" s="2"/>
      <c r="AE707" s="2"/>
      <c r="AF707" s="2"/>
      <c r="AG707" s="2"/>
      <c r="AH707" s="2" t="e">
        <f>VLOOKUP(F707,vlookup!$A$2:$E$660,3,0)</f>
        <v>#N/A</v>
      </c>
      <c r="AI707" s="2"/>
      <c r="AJ707" s="2"/>
      <c r="AK707" s="2"/>
      <c r="AL707" s="2"/>
      <c r="AM707" s="2"/>
      <c r="AO707" s="2"/>
      <c r="AP707" s="2"/>
      <c r="AQ707" s="2"/>
      <c r="AR707" s="2"/>
      <c r="AS707" s="2"/>
      <c r="AT707" s="2"/>
      <c r="AU707" s="2"/>
    </row>
    <row r="708" spans="9:47" x14ac:dyDescent="0.25">
      <c r="I708"/>
      <c r="R708"/>
      <c r="U708"/>
      <c r="AC708" s="2"/>
      <c r="AD708" s="2"/>
      <c r="AE708" s="2"/>
      <c r="AF708" s="2"/>
      <c r="AG708" s="2"/>
      <c r="AH708" s="2" t="e">
        <f>VLOOKUP(F708,vlookup!$A$2:$E$660,3,0)</f>
        <v>#N/A</v>
      </c>
      <c r="AI708" s="2"/>
      <c r="AJ708" s="2"/>
      <c r="AK708" s="2"/>
      <c r="AL708" s="2"/>
      <c r="AM708" s="2"/>
      <c r="AO708" s="2"/>
      <c r="AP708" s="2"/>
      <c r="AQ708" s="2"/>
      <c r="AR708" s="2"/>
      <c r="AS708" s="2"/>
      <c r="AT708" s="2"/>
      <c r="AU708" s="2"/>
    </row>
    <row r="709" spans="9:47" x14ac:dyDescent="0.25">
      <c r="I709"/>
      <c r="R709"/>
      <c r="U709"/>
      <c r="AC709" s="2"/>
      <c r="AD709" s="2"/>
      <c r="AE709" s="2"/>
      <c r="AF709" s="2"/>
      <c r="AG709" s="2"/>
      <c r="AH709" s="2" t="e">
        <f>VLOOKUP(F709,vlookup!$A$2:$E$660,3,0)</f>
        <v>#N/A</v>
      </c>
      <c r="AI709" s="2"/>
      <c r="AJ709" s="2"/>
      <c r="AK709" s="2"/>
      <c r="AL709" s="2"/>
      <c r="AM709" s="2"/>
      <c r="AO709" s="2"/>
      <c r="AP709" s="2"/>
      <c r="AQ709" s="2"/>
      <c r="AR709" s="2"/>
      <c r="AS709" s="2"/>
      <c r="AT709" s="2"/>
      <c r="AU709" s="2"/>
    </row>
    <row r="710" spans="9:47" x14ac:dyDescent="0.25">
      <c r="I710"/>
      <c r="R710"/>
      <c r="U710"/>
      <c r="AC710" s="2"/>
      <c r="AD710" s="2"/>
      <c r="AE710" s="2"/>
      <c r="AF710" s="2"/>
      <c r="AG710" s="2"/>
      <c r="AH710" s="2" t="e">
        <f>VLOOKUP(F710,vlookup!$A$2:$E$660,3,0)</f>
        <v>#N/A</v>
      </c>
      <c r="AI710" s="2"/>
      <c r="AJ710" s="2"/>
      <c r="AK710" s="2"/>
      <c r="AL710" s="2"/>
      <c r="AM710" s="2"/>
      <c r="AO710" s="2"/>
      <c r="AP710" s="2"/>
      <c r="AQ710" s="2"/>
      <c r="AR710" s="2"/>
      <c r="AS710" s="2"/>
      <c r="AT710" s="2"/>
      <c r="AU710" s="2"/>
    </row>
    <row r="711" spans="9:47" x14ac:dyDescent="0.25">
      <c r="I711"/>
      <c r="R711"/>
      <c r="U711"/>
      <c r="AC711" s="2"/>
      <c r="AD711" s="2"/>
      <c r="AE711" s="2"/>
      <c r="AF711" s="2"/>
      <c r="AG711" s="2"/>
      <c r="AH711" s="2" t="e">
        <f>VLOOKUP(F711,vlookup!$A$2:$E$660,3,0)</f>
        <v>#N/A</v>
      </c>
      <c r="AI711" s="2"/>
      <c r="AJ711" s="2"/>
      <c r="AK711" s="2"/>
      <c r="AL711" s="2"/>
      <c r="AM711" s="2"/>
      <c r="AO711" s="2"/>
      <c r="AP711" s="2"/>
      <c r="AQ711" s="2"/>
      <c r="AR711" s="2"/>
      <c r="AS711" s="2"/>
      <c r="AT711" s="2"/>
      <c r="AU711" s="2"/>
    </row>
    <row r="712" spans="9:47" x14ac:dyDescent="0.25">
      <c r="I712"/>
      <c r="R712"/>
      <c r="U712"/>
      <c r="AC712" s="2"/>
      <c r="AD712" s="2"/>
      <c r="AE712" s="2"/>
      <c r="AF712" s="2"/>
      <c r="AG712" s="2"/>
      <c r="AH712" s="2" t="e">
        <f>VLOOKUP(F712,vlookup!$A$2:$E$660,3,0)</f>
        <v>#N/A</v>
      </c>
      <c r="AI712" s="2"/>
      <c r="AJ712" s="2"/>
      <c r="AK712" s="2"/>
      <c r="AL712" s="2"/>
      <c r="AM712" s="2"/>
      <c r="AO712" s="2"/>
      <c r="AP712" s="2"/>
      <c r="AQ712" s="2"/>
      <c r="AR712" s="2"/>
      <c r="AS712" s="2"/>
      <c r="AT712" s="2"/>
      <c r="AU712" s="2"/>
    </row>
    <row r="713" spans="9:47" x14ac:dyDescent="0.25">
      <c r="I713"/>
      <c r="R713"/>
      <c r="U713"/>
      <c r="AC713" s="2"/>
      <c r="AD713" s="2"/>
      <c r="AE713" s="2"/>
      <c r="AF713" s="2"/>
      <c r="AG713" s="2"/>
      <c r="AH713" s="2" t="e">
        <f>VLOOKUP(F713,vlookup!$A$2:$E$660,3,0)</f>
        <v>#N/A</v>
      </c>
      <c r="AI713" s="2"/>
      <c r="AJ713" s="2"/>
      <c r="AK713" s="2"/>
      <c r="AL713" s="2"/>
      <c r="AM713" s="2"/>
      <c r="AO713" s="2"/>
      <c r="AP713" s="2"/>
      <c r="AQ713" s="2"/>
      <c r="AR713" s="2"/>
      <c r="AS713" s="2"/>
      <c r="AT713" s="2"/>
      <c r="AU713" s="2"/>
    </row>
    <row r="714" spans="9:47" x14ac:dyDescent="0.25">
      <c r="I714"/>
      <c r="R714"/>
      <c r="U714"/>
      <c r="AC714" s="2"/>
      <c r="AD714" s="2"/>
      <c r="AE714" s="2"/>
      <c r="AF714" s="2"/>
      <c r="AG714" s="2"/>
      <c r="AH714" s="2" t="e">
        <f>VLOOKUP(F714,vlookup!$A$2:$E$660,3,0)</f>
        <v>#N/A</v>
      </c>
      <c r="AI714" s="2"/>
      <c r="AJ714" s="2"/>
      <c r="AK714" s="2"/>
      <c r="AL714" s="2"/>
      <c r="AM714" s="2"/>
      <c r="AO714" s="2"/>
      <c r="AP714" s="2"/>
      <c r="AQ714" s="2"/>
      <c r="AR714" s="2"/>
      <c r="AS714" s="2"/>
      <c r="AT714" s="2"/>
      <c r="AU714" s="2"/>
    </row>
    <row r="715" spans="9:47" x14ac:dyDescent="0.25">
      <c r="I715"/>
      <c r="R715"/>
      <c r="U715"/>
      <c r="AC715" s="2"/>
      <c r="AD715" s="2"/>
      <c r="AE715" s="2"/>
      <c r="AF715" s="2"/>
      <c r="AG715" s="2"/>
      <c r="AH715" s="2" t="e">
        <f>VLOOKUP(F715,vlookup!$A$2:$E$660,3,0)</f>
        <v>#N/A</v>
      </c>
      <c r="AI715" s="2"/>
      <c r="AJ715" s="2"/>
      <c r="AK715" s="2"/>
      <c r="AL715" s="2"/>
      <c r="AM715" s="2"/>
      <c r="AO715" s="2"/>
      <c r="AP715" s="2"/>
      <c r="AQ715" s="2"/>
      <c r="AR715" s="2"/>
      <c r="AS715" s="2"/>
      <c r="AT715" s="2"/>
      <c r="AU715" s="2"/>
    </row>
    <row r="716" spans="9:47" x14ac:dyDescent="0.25">
      <c r="I716"/>
      <c r="R716"/>
      <c r="U716"/>
      <c r="AC716" s="2"/>
      <c r="AD716" s="2"/>
      <c r="AE716" s="2"/>
      <c r="AF716" s="2"/>
      <c r="AG716" s="2"/>
      <c r="AH716" s="2" t="e">
        <f>VLOOKUP(F716,vlookup!$A$2:$E$660,3,0)</f>
        <v>#N/A</v>
      </c>
      <c r="AI716" s="2"/>
      <c r="AJ716" s="2"/>
      <c r="AK716" s="2"/>
      <c r="AL716" s="2"/>
      <c r="AM716" s="2"/>
      <c r="AO716" s="2"/>
      <c r="AP716" s="2"/>
      <c r="AQ716" s="2"/>
      <c r="AR716" s="2"/>
      <c r="AS716" s="2"/>
      <c r="AT716" s="2"/>
      <c r="AU716" s="2"/>
    </row>
    <row r="717" spans="9:47" x14ac:dyDescent="0.25">
      <c r="I717"/>
      <c r="R717"/>
      <c r="U717"/>
      <c r="AC717" s="2"/>
      <c r="AD717" s="2"/>
      <c r="AE717" s="2"/>
      <c r="AF717" s="2"/>
      <c r="AG717" s="2"/>
      <c r="AH717" s="2" t="e">
        <f>VLOOKUP(F717,vlookup!$A$2:$E$660,3,0)</f>
        <v>#N/A</v>
      </c>
      <c r="AI717" s="2"/>
      <c r="AJ717" s="2"/>
      <c r="AK717" s="2"/>
      <c r="AL717" s="2"/>
      <c r="AM717" s="2"/>
      <c r="AO717" s="2"/>
      <c r="AP717" s="2"/>
      <c r="AQ717" s="2"/>
      <c r="AR717" s="2"/>
      <c r="AS717" s="2"/>
      <c r="AT717" s="2"/>
      <c r="AU717" s="2"/>
    </row>
    <row r="718" spans="9:47" x14ac:dyDescent="0.25">
      <c r="I718"/>
      <c r="R718"/>
      <c r="U718"/>
      <c r="AC718" s="2"/>
      <c r="AD718" s="2"/>
      <c r="AE718" s="2"/>
      <c r="AF718" s="2"/>
      <c r="AG718" s="2"/>
      <c r="AH718" s="2" t="e">
        <f>VLOOKUP(F718,vlookup!$A$2:$E$660,3,0)</f>
        <v>#N/A</v>
      </c>
      <c r="AI718" s="2"/>
      <c r="AJ718" s="2"/>
      <c r="AK718" s="2"/>
      <c r="AL718" s="2"/>
      <c r="AM718" s="2"/>
      <c r="AO718" s="2"/>
      <c r="AP718" s="2"/>
      <c r="AQ718" s="2"/>
      <c r="AR718" s="2"/>
      <c r="AS718" s="2"/>
      <c r="AT718" s="2"/>
      <c r="AU718" s="2"/>
    </row>
    <row r="719" spans="9:47" x14ac:dyDescent="0.25">
      <c r="I719"/>
      <c r="R719"/>
      <c r="U719"/>
      <c r="AC719" s="2"/>
      <c r="AD719" s="2"/>
      <c r="AE719" s="2"/>
      <c r="AF719" s="2"/>
      <c r="AG719" s="2"/>
      <c r="AH719" s="2" t="e">
        <f>VLOOKUP(F719,vlookup!$A$2:$E$660,3,0)</f>
        <v>#N/A</v>
      </c>
      <c r="AI719" s="2"/>
      <c r="AJ719" s="2"/>
      <c r="AK719" s="2"/>
      <c r="AL719" s="2"/>
      <c r="AM719" s="2"/>
      <c r="AO719" s="2"/>
      <c r="AP719" s="2"/>
      <c r="AQ719" s="2"/>
      <c r="AR719" s="2"/>
      <c r="AS719" s="2"/>
      <c r="AT719" s="2"/>
      <c r="AU719" s="2"/>
    </row>
    <row r="720" spans="9:47" x14ac:dyDescent="0.25">
      <c r="I720"/>
      <c r="R720"/>
      <c r="U720"/>
      <c r="AC720" s="2"/>
      <c r="AD720" s="2"/>
      <c r="AE720" s="2"/>
      <c r="AF720" s="2"/>
      <c r="AG720" s="2"/>
      <c r="AH720" s="2" t="e">
        <f>VLOOKUP(F720,vlookup!$A$2:$E$660,3,0)</f>
        <v>#N/A</v>
      </c>
      <c r="AI720" s="2"/>
      <c r="AJ720" s="2"/>
      <c r="AK720" s="2"/>
      <c r="AL720" s="2"/>
      <c r="AM720" s="2"/>
      <c r="AO720" s="2"/>
      <c r="AP720" s="2"/>
      <c r="AQ720" s="2"/>
      <c r="AR720" s="2"/>
      <c r="AS720" s="2"/>
      <c r="AT720" s="2"/>
      <c r="AU720" s="2"/>
    </row>
    <row r="721" spans="1:47" x14ac:dyDescent="0.25">
      <c r="I721"/>
      <c r="R721"/>
      <c r="U721"/>
      <c r="AC721" s="2"/>
      <c r="AD721" s="2"/>
      <c r="AE721" s="2"/>
      <c r="AF721" s="2"/>
      <c r="AG721" s="2"/>
      <c r="AH721" s="2" t="e">
        <f>VLOOKUP(F721,vlookup!$A$2:$E$660,3,0)</f>
        <v>#N/A</v>
      </c>
      <c r="AI721" s="2"/>
      <c r="AJ721" s="2"/>
      <c r="AK721" s="2"/>
      <c r="AL721" s="2"/>
      <c r="AM721" s="2"/>
      <c r="AO721" s="2"/>
      <c r="AP721" s="2"/>
      <c r="AQ721" s="2"/>
      <c r="AR721" s="2"/>
      <c r="AS721" s="2"/>
      <c r="AT721" s="2"/>
      <c r="AU721" s="2"/>
    </row>
    <row r="722" spans="1:47" x14ac:dyDescent="0.25">
      <c r="I722"/>
      <c r="R722"/>
      <c r="U722"/>
      <c r="AC722" s="2"/>
      <c r="AD722" s="2"/>
      <c r="AE722" s="2"/>
      <c r="AF722" s="2"/>
      <c r="AG722" s="2"/>
      <c r="AH722" s="2" t="e">
        <f>VLOOKUP(F722,vlookup!$A$2:$E$660,3,0)</f>
        <v>#N/A</v>
      </c>
      <c r="AI722" s="2"/>
      <c r="AJ722" s="2"/>
      <c r="AK722" s="2"/>
      <c r="AL722" s="2"/>
      <c r="AM722" s="2"/>
      <c r="AO722" s="2"/>
      <c r="AP722" s="2"/>
      <c r="AQ722" s="2"/>
      <c r="AR722" s="2"/>
      <c r="AS722" s="2"/>
      <c r="AT722" s="2"/>
      <c r="AU722" s="2"/>
    </row>
    <row r="723" spans="1:47" x14ac:dyDescent="0.25">
      <c r="I723"/>
      <c r="R723"/>
      <c r="U723"/>
      <c r="AC723" s="2"/>
      <c r="AD723" s="2"/>
      <c r="AE723" s="2"/>
      <c r="AF723" s="2"/>
      <c r="AG723" s="2"/>
      <c r="AH723" s="2" t="e">
        <f>VLOOKUP(F723,vlookup!$A$2:$E$660,3,0)</f>
        <v>#N/A</v>
      </c>
      <c r="AI723" s="2"/>
      <c r="AJ723" s="2"/>
      <c r="AK723" s="2"/>
      <c r="AL723" s="2"/>
      <c r="AM723" s="2"/>
      <c r="AO723" s="2"/>
      <c r="AP723" s="2"/>
      <c r="AQ723" s="2"/>
      <c r="AR723" s="2"/>
      <c r="AS723" s="2"/>
      <c r="AT723" s="2"/>
      <c r="AU723" s="2"/>
    </row>
    <row r="724" spans="1:47" x14ac:dyDescent="0.25">
      <c r="I724"/>
      <c r="R724"/>
      <c r="U724"/>
      <c r="AC724" s="2"/>
      <c r="AD724" s="2"/>
      <c r="AE724" s="2"/>
      <c r="AF724" s="2"/>
      <c r="AG724" s="2"/>
      <c r="AH724" s="2" t="e">
        <f>VLOOKUP(F724,vlookup!$A$2:$E$660,3,0)</f>
        <v>#N/A</v>
      </c>
      <c r="AI724" s="2"/>
      <c r="AJ724" s="2"/>
      <c r="AK724" s="2"/>
      <c r="AL724" s="2"/>
      <c r="AM724" s="2"/>
      <c r="AO724" s="2"/>
      <c r="AP724" s="2"/>
      <c r="AQ724" s="2"/>
      <c r="AR724" s="2"/>
      <c r="AS724" s="2"/>
      <c r="AT724" s="2"/>
      <c r="AU724" s="2"/>
    </row>
    <row r="725" spans="1:47" x14ac:dyDescent="0.25">
      <c r="I725"/>
      <c r="R725"/>
      <c r="U725"/>
      <c r="AC725" s="2"/>
      <c r="AD725" s="2"/>
      <c r="AE725" s="2"/>
      <c r="AF725" s="2"/>
      <c r="AG725" s="2"/>
      <c r="AH725" s="2" t="e">
        <f>VLOOKUP(F725,vlookup!$A$2:$E$660,3,0)</f>
        <v>#N/A</v>
      </c>
      <c r="AI725" s="2"/>
      <c r="AJ725" s="2"/>
      <c r="AK725" s="2"/>
      <c r="AL725" s="2"/>
      <c r="AM725" s="2"/>
      <c r="AO725" s="2"/>
      <c r="AP725" s="2"/>
      <c r="AQ725" s="2"/>
      <c r="AR725" s="2"/>
      <c r="AS725" s="2"/>
      <c r="AT725" s="2"/>
      <c r="AU725" s="2"/>
    </row>
    <row r="726" spans="1:47" x14ac:dyDescent="0.25">
      <c r="A726" s="24"/>
      <c r="B726" s="24"/>
      <c r="C726" s="24"/>
      <c r="D726" s="24"/>
      <c r="E726" s="24"/>
      <c r="F726" s="24"/>
      <c r="G726" s="24"/>
      <c r="H726" s="26"/>
      <c r="I726" s="24"/>
      <c r="J726" s="25"/>
      <c r="K726" s="25"/>
      <c r="L726" s="24"/>
      <c r="M726" s="25"/>
      <c r="N726" s="24"/>
      <c r="O726" s="24"/>
      <c r="P726" s="24"/>
      <c r="Q726" s="24"/>
      <c r="R726" s="24"/>
      <c r="S726" s="25"/>
      <c r="T726" s="24"/>
      <c r="U726" s="24"/>
      <c r="V726" s="25"/>
      <c r="W726" s="24"/>
      <c r="X726" s="24"/>
      <c r="Y726" s="24"/>
      <c r="Z726" s="24"/>
      <c r="AA726" s="24"/>
      <c r="AB726" s="24"/>
      <c r="AC726" s="2"/>
      <c r="AD726" s="2"/>
      <c r="AE726" s="2"/>
      <c r="AF726" s="2"/>
      <c r="AG726" s="2"/>
      <c r="AH726" s="2" t="e">
        <f>VLOOKUP(F726,vlookup!$A$2:$E$660,3,0)</f>
        <v>#N/A</v>
      </c>
      <c r="AI726" s="2"/>
      <c r="AJ726" s="2"/>
      <c r="AK726" s="2"/>
      <c r="AL726" s="2"/>
      <c r="AM726" s="2"/>
      <c r="AO726" s="2"/>
      <c r="AP726" s="2"/>
      <c r="AQ726" s="2"/>
      <c r="AR726" s="2"/>
      <c r="AS726" s="2"/>
      <c r="AT726" s="2"/>
      <c r="AU726" s="2"/>
    </row>
    <row r="727" spans="1:47" x14ac:dyDescent="0.25">
      <c r="A727" s="24"/>
      <c r="B727" s="24"/>
      <c r="C727" s="24"/>
      <c r="D727" s="24"/>
      <c r="E727" s="24"/>
      <c r="F727" s="24"/>
      <c r="G727" s="24"/>
      <c r="H727" s="26"/>
      <c r="I727" s="24"/>
      <c r="J727" s="25"/>
      <c r="K727" s="25"/>
      <c r="L727" s="24"/>
      <c r="M727" s="25"/>
      <c r="N727" s="24"/>
      <c r="O727" s="24"/>
      <c r="P727" s="24"/>
      <c r="Q727" s="24"/>
      <c r="R727" s="24"/>
      <c r="S727" s="25"/>
      <c r="T727" s="24"/>
      <c r="U727" s="24"/>
      <c r="V727" s="25"/>
      <c r="W727" s="24"/>
      <c r="X727" s="24"/>
      <c r="Y727" s="24"/>
      <c r="Z727" s="24"/>
      <c r="AA727" s="24"/>
      <c r="AB727" s="24"/>
      <c r="AC727" s="2"/>
      <c r="AD727" s="2"/>
      <c r="AE727" s="2"/>
      <c r="AF727" s="2"/>
      <c r="AG727" s="2"/>
      <c r="AH727" s="2" t="e">
        <f>VLOOKUP(F727,vlookup!$A$2:$E$660,3,0)</f>
        <v>#N/A</v>
      </c>
      <c r="AI727" s="2"/>
      <c r="AJ727" s="2"/>
      <c r="AK727" s="2"/>
      <c r="AL727" s="2"/>
      <c r="AM727" s="2"/>
      <c r="AO727" s="2"/>
      <c r="AP727" s="2"/>
      <c r="AQ727" s="2"/>
      <c r="AR727" s="2"/>
      <c r="AS727" s="2"/>
      <c r="AT727" s="2"/>
      <c r="AU727" s="2"/>
    </row>
    <row r="728" spans="1:47" x14ac:dyDescent="0.25">
      <c r="A728" s="24"/>
      <c r="B728" s="24"/>
      <c r="C728" s="24"/>
      <c r="D728" s="24"/>
      <c r="E728" s="24"/>
      <c r="F728" s="24"/>
      <c r="G728" s="24"/>
      <c r="H728" s="26"/>
      <c r="I728" s="24"/>
      <c r="J728" s="25"/>
      <c r="K728" s="25"/>
      <c r="L728" s="24"/>
      <c r="M728" s="25"/>
      <c r="N728" s="24"/>
      <c r="O728" s="24"/>
      <c r="P728" s="24"/>
      <c r="Q728" s="24"/>
      <c r="R728" s="24"/>
      <c r="S728" s="25"/>
      <c r="T728" s="24"/>
      <c r="U728" s="24"/>
      <c r="V728" s="25"/>
      <c r="W728" s="24"/>
      <c r="X728" s="24"/>
      <c r="Y728" s="24"/>
      <c r="Z728" s="24"/>
      <c r="AA728" s="24"/>
      <c r="AB728" s="24"/>
      <c r="AC728" s="2"/>
      <c r="AD728" s="2"/>
      <c r="AE728" s="2"/>
      <c r="AF728" s="2"/>
      <c r="AG728" s="2"/>
      <c r="AH728" s="2" t="e">
        <f>VLOOKUP(F728,vlookup!$A$2:$E$660,3,0)</f>
        <v>#N/A</v>
      </c>
      <c r="AI728" s="2"/>
      <c r="AJ728" s="2"/>
      <c r="AK728" s="2"/>
      <c r="AL728" s="2"/>
      <c r="AM728" s="2"/>
      <c r="AO728" s="2"/>
      <c r="AP728" s="2"/>
      <c r="AQ728" s="2"/>
      <c r="AR728" s="2"/>
      <c r="AS728" s="2"/>
      <c r="AT728" s="2"/>
      <c r="AU728" s="2"/>
    </row>
    <row r="729" spans="1:47" x14ac:dyDescent="0.25">
      <c r="A729" s="24"/>
      <c r="B729" s="24"/>
      <c r="C729" s="24"/>
      <c r="D729" s="24"/>
      <c r="E729" s="24"/>
      <c r="F729" s="24"/>
      <c r="G729" s="24"/>
      <c r="H729" s="26"/>
      <c r="I729" s="24"/>
      <c r="J729" s="25"/>
      <c r="K729" s="25"/>
      <c r="L729" s="24"/>
      <c r="M729" s="25"/>
      <c r="N729" s="24"/>
      <c r="O729" s="24"/>
      <c r="P729" s="24"/>
      <c r="Q729" s="24"/>
      <c r="R729" s="24"/>
      <c r="S729" s="25"/>
      <c r="T729" s="24"/>
      <c r="U729" s="24"/>
      <c r="V729" s="25"/>
      <c r="W729" s="24"/>
      <c r="X729" s="24"/>
      <c r="Y729" s="24"/>
      <c r="Z729" s="24"/>
      <c r="AA729" s="24"/>
      <c r="AB729" s="24"/>
      <c r="AC729" s="2"/>
      <c r="AD729" s="2"/>
      <c r="AE729" s="2"/>
      <c r="AF729" s="2"/>
      <c r="AG729" s="2"/>
      <c r="AH729" s="2" t="e">
        <f>VLOOKUP(F729,vlookup!$A$2:$E$660,3,0)</f>
        <v>#N/A</v>
      </c>
      <c r="AI729" s="2"/>
      <c r="AJ729" s="2"/>
      <c r="AK729" s="2"/>
      <c r="AL729" s="2"/>
      <c r="AM729" s="2"/>
      <c r="AO729" s="2"/>
      <c r="AP729" s="2"/>
      <c r="AQ729" s="2"/>
      <c r="AR729" s="2"/>
      <c r="AS729" s="2"/>
      <c r="AT729" s="2"/>
      <c r="AU729" s="2"/>
    </row>
    <row r="730" spans="1:47" x14ac:dyDescent="0.25">
      <c r="A730" s="24"/>
      <c r="B730" s="24"/>
      <c r="C730" s="24"/>
      <c r="D730" s="24"/>
      <c r="E730" s="24"/>
      <c r="F730" s="24"/>
      <c r="G730" s="24"/>
      <c r="H730" s="26"/>
      <c r="I730" s="24"/>
      <c r="J730" s="25"/>
      <c r="K730" s="25"/>
      <c r="L730" s="24"/>
      <c r="M730" s="25"/>
      <c r="N730" s="24"/>
      <c r="O730" s="24"/>
      <c r="P730" s="24"/>
      <c r="Q730" s="24"/>
      <c r="R730" s="24"/>
      <c r="S730" s="25"/>
      <c r="T730" s="24"/>
      <c r="U730" s="24"/>
      <c r="V730" s="25"/>
      <c r="W730" s="24"/>
      <c r="X730" s="24"/>
      <c r="Y730" s="24"/>
      <c r="Z730" s="24"/>
      <c r="AA730" s="24"/>
      <c r="AB730" s="24"/>
      <c r="AC730" s="2"/>
      <c r="AD730" s="2"/>
      <c r="AE730" s="2"/>
      <c r="AF730" s="2"/>
      <c r="AG730" s="2"/>
      <c r="AH730" s="2" t="e">
        <f>VLOOKUP(F730,vlookup!$A$2:$E$660,3,0)</f>
        <v>#N/A</v>
      </c>
      <c r="AI730" s="2"/>
      <c r="AJ730" s="2"/>
      <c r="AK730" s="2"/>
      <c r="AL730" s="2"/>
      <c r="AM730" s="2"/>
      <c r="AO730" s="2"/>
      <c r="AP730" s="2"/>
      <c r="AQ730" s="2"/>
      <c r="AR730" s="2"/>
      <c r="AS730" s="2"/>
      <c r="AT730" s="2"/>
      <c r="AU730" s="2"/>
    </row>
    <row r="731" spans="1:47" x14ac:dyDescent="0.25">
      <c r="A731" s="24"/>
      <c r="B731" s="24"/>
      <c r="C731" s="24"/>
      <c r="D731" s="24"/>
      <c r="E731" s="24"/>
      <c r="F731" s="24"/>
      <c r="G731" s="24"/>
      <c r="H731" s="26"/>
      <c r="I731" s="24"/>
      <c r="J731" s="25"/>
      <c r="K731" s="25"/>
      <c r="L731" s="24"/>
      <c r="M731" s="25"/>
      <c r="N731" s="24"/>
      <c r="O731" s="24"/>
      <c r="P731" s="24"/>
      <c r="Q731" s="24"/>
      <c r="R731" s="24"/>
      <c r="S731" s="25"/>
      <c r="T731" s="24"/>
      <c r="U731" s="24"/>
      <c r="V731" s="25"/>
      <c r="W731" s="24"/>
      <c r="X731" s="24"/>
      <c r="Y731" s="24"/>
      <c r="Z731" s="24"/>
      <c r="AA731" s="24"/>
      <c r="AB731" s="24"/>
      <c r="AC731" s="2"/>
      <c r="AD731" s="2"/>
      <c r="AE731" s="2"/>
      <c r="AF731" s="2"/>
      <c r="AG731" s="2"/>
      <c r="AH731" s="2" t="e">
        <f>VLOOKUP(F731,vlookup!$A$2:$E$660,3,0)</f>
        <v>#N/A</v>
      </c>
      <c r="AI731" s="2"/>
      <c r="AJ731" s="2"/>
      <c r="AK731" s="2"/>
      <c r="AL731" s="2"/>
      <c r="AM731" s="2"/>
      <c r="AO731" s="2"/>
      <c r="AP731" s="2"/>
      <c r="AQ731" s="2"/>
      <c r="AR731" s="2"/>
      <c r="AS731" s="2"/>
      <c r="AT731" s="2"/>
      <c r="AU731" s="2"/>
    </row>
    <row r="732" spans="1:47" x14ac:dyDescent="0.25">
      <c r="A732" s="24"/>
      <c r="B732" s="24"/>
      <c r="C732" s="24"/>
      <c r="D732" s="24"/>
      <c r="E732" s="24"/>
      <c r="F732" s="24"/>
      <c r="G732" s="24"/>
      <c r="H732" s="26"/>
      <c r="I732" s="24"/>
      <c r="J732" s="25"/>
      <c r="K732" s="25"/>
      <c r="L732" s="24"/>
      <c r="M732" s="25"/>
      <c r="N732" s="24"/>
      <c r="O732" s="24"/>
      <c r="P732" s="24"/>
      <c r="Q732" s="24"/>
      <c r="R732" s="24"/>
      <c r="S732" s="25"/>
      <c r="T732" s="24"/>
      <c r="U732" s="24"/>
      <c r="V732" s="25"/>
      <c r="W732" s="24"/>
      <c r="X732" s="24"/>
      <c r="Y732" s="24"/>
      <c r="Z732" s="24"/>
      <c r="AA732" s="24"/>
      <c r="AB732" s="24"/>
      <c r="AC732" s="2"/>
      <c r="AD732" s="2"/>
      <c r="AE732" s="2"/>
      <c r="AF732" s="2"/>
      <c r="AG732" s="2"/>
      <c r="AH732" s="2" t="e">
        <f>VLOOKUP(F732,vlookup!$A$2:$E$660,3,0)</f>
        <v>#N/A</v>
      </c>
      <c r="AI732" s="2"/>
      <c r="AJ732" s="2"/>
      <c r="AK732" s="2"/>
      <c r="AL732" s="2"/>
      <c r="AM732" s="2"/>
      <c r="AO732" s="2"/>
      <c r="AP732" s="2"/>
      <c r="AQ732" s="2"/>
      <c r="AR732" s="2"/>
      <c r="AS732" s="2"/>
      <c r="AT732" s="2"/>
      <c r="AU732" s="2"/>
    </row>
    <row r="733" spans="1:47" x14ac:dyDescent="0.25">
      <c r="A733" s="24"/>
      <c r="B733" s="24"/>
      <c r="C733" s="24"/>
      <c r="D733" s="24"/>
      <c r="E733" s="24"/>
      <c r="F733" s="24"/>
      <c r="G733" s="24"/>
      <c r="H733" s="26"/>
      <c r="I733" s="24"/>
      <c r="J733" s="25"/>
      <c r="K733" s="25"/>
      <c r="L733" s="24"/>
      <c r="M733" s="25"/>
      <c r="N733" s="24"/>
      <c r="O733" s="24"/>
      <c r="P733" s="24"/>
      <c r="Q733" s="24"/>
      <c r="R733" s="24"/>
      <c r="S733" s="25"/>
      <c r="T733" s="24"/>
      <c r="U733" s="24"/>
      <c r="V733" s="25"/>
      <c r="W733" s="24"/>
      <c r="X733" s="24"/>
      <c r="Y733" s="24"/>
      <c r="Z733" s="24"/>
      <c r="AA733" s="24"/>
      <c r="AB733" s="24"/>
      <c r="AC733" s="2"/>
      <c r="AD733" s="2"/>
      <c r="AE733" s="2"/>
      <c r="AF733" s="2"/>
      <c r="AG733" s="2"/>
      <c r="AH733" s="2" t="e">
        <f>VLOOKUP(F733,vlookup!$A$2:$E$660,3,0)</f>
        <v>#N/A</v>
      </c>
      <c r="AI733" s="2"/>
      <c r="AJ733" s="2"/>
      <c r="AK733" s="2"/>
      <c r="AL733" s="2"/>
      <c r="AM733" s="2"/>
      <c r="AO733" s="2"/>
      <c r="AP733" s="2"/>
      <c r="AQ733" s="2"/>
      <c r="AR733" s="2"/>
      <c r="AS733" s="2"/>
      <c r="AT733" s="2"/>
      <c r="AU733" s="2"/>
    </row>
    <row r="734" spans="1:47" x14ac:dyDescent="0.25">
      <c r="A734" s="24"/>
      <c r="B734" s="24"/>
      <c r="C734" s="24"/>
      <c r="D734" s="24"/>
      <c r="E734" s="24"/>
      <c r="F734" s="24"/>
      <c r="G734" s="24"/>
      <c r="H734" s="26"/>
      <c r="I734" s="24"/>
      <c r="J734" s="25"/>
      <c r="K734" s="25"/>
      <c r="L734" s="24"/>
      <c r="M734" s="25"/>
      <c r="N734" s="24"/>
      <c r="O734" s="24"/>
      <c r="P734" s="24"/>
      <c r="Q734" s="24"/>
      <c r="R734" s="24"/>
      <c r="S734" s="25"/>
      <c r="T734" s="24"/>
      <c r="U734" s="24"/>
      <c r="V734" s="25"/>
      <c r="W734" s="24"/>
      <c r="X734" s="24"/>
      <c r="Y734" s="24"/>
      <c r="Z734" s="24"/>
      <c r="AA734" s="24"/>
      <c r="AB734" s="24"/>
      <c r="AC734" s="2"/>
      <c r="AD734" s="2"/>
      <c r="AE734" s="2"/>
      <c r="AF734" s="2"/>
      <c r="AG734" s="2"/>
      <c r="AH734" s="2" t="e">
        <f>VLOOKUP(F734,vlookup!$A$2:$E$660,3,0)</f>
        <v>#N/A</v>
      </c>
      <c r="AI734" s="2"/>
      <c r="AJ734" s="2"/>
      <c r="AK734" s="2"/>
      <c r="AL734" s="2"/>
      <c r="AM734" s="2"/>
      <c r="AO734" s="2"/>
      <c r="AP734" s="2"/>
      <c r="AQ734" s="2"/>
      <c r="AR734" s="2"/>
      <c r="AS734" s="2"/>
      <c r="AT734" s="2"/>
      <c r="AU734" s="2"/>
    </row>
    <row r="735" spans="1:47" x14ac:dyDescent="0.25">
      <c r="A735" s="24"/>
      <c r="B735" s="24"/>
      <c r="C735" s="24"/>
      <c r="D735" s="24"/>
      <c r="E735" s="24"/>
      <c r="F735" s="24"/>
      <c r="G735" s="24"/>
      <c r="H735" s="26"/>
      <c r="I735" s="24"/>
      <c r="J735" s="25"/>
      <c r="K735" s="25"/>
      <c r="L735" s="24"/>
      <c r="M735" s="25"/>
      <c r="N735" s="24"/>
      <c r="O735" s="24"/>
      <c r="P735" s="24"/>
      <c r="Q735" s="24"/>
      <c r="R735" s="24"/>
      <c r="S735" s="25"/>
      <c r="T735" s="24"/>
      <c r="U735" s="24"/>
      <c r="V735" s="25"/>
      <c r="W735" s="24"/>
      <c r="X735" s="24"/>
      <c r="Y735" s="24"/>
      <c r="Z735" s="24"/>
      <c r="AA735" s="24"/>
      <c r="AB735" s="24"/>
      <c r="AC735" s="2"/>
      <c r="AD735" s="2"/>
      <c r="AE735" s="2"/>
      <c r="AF735" s="2"/>
      <c r="AG735" s="2"/>
      <c r="AH735" s="2" t="e">
        <f>VLOOKUP(F735,vlookup!$A$2:$E$660,3,0)</f>
        <v>#N/A</v>
      </c>
      <c r="AI735" s="2"/>
      <c r="AJ735" s="2"/>
      <c r="AK735" s="2"/>
      <c r="AL735" s="2"/>
      <c r="AM735" s="2"/>
      <c r="AO735" s="2"/>
      <c r="AP735" s="2"/>
      <c r="AQ735" s="2"/>
      <c r="AR735" s="2"/>
      <c r="AS735" s="2"/>
      <c r="AT735" s="2"/>
      <c r="AU735" s="2"/>
    </row>
    <row r="736" spans="1:47" x14ac:dyDescent="0.25">
      <c r="A736" s="24"/>
      <c r="B736" s="24"/>
      <c r="C736" s="24"/>
      <c r="D736" s="24"/>
      <c r="E736" s="24"/>
      <c r="F736" s="24"/>
      <c r="G736" s="24"/>
      <c r="H736" s="26"/>
      <c r="I736" s="24"/>
      <c r="J736" s="25"/>
      <c r="K736" s="25"/>
      <c r="L736" s="24"/>
      <c r="M736" s="25"/>
      <c r="N736" s="24"/>
      <c r="O736" s="24"/>
      <c r="P736" s="24"/>
      <c r="Q736" s="24"/>
      <c r="R736" s="24"/>
      <c r="S736" s="25"/>
      <c r="T736" s="24"/>
      <c r="U736" s="24"/>
      <c r="V736" s="25"/>
      <c r="W736" s="24"/>
      <c r="X736" s="24"/>
      <c r="Y736" s="24"/>
      <c r="Z736" s="24"/>
      <c r="AA736" s="24"/>
      <c r="AB736" s="24"/>
      <c r="AC736" s="2"/>
      <c r="AD736" s="2"/>
      <c r="AE736" s="2"/>
      <c r="AF736" s="2"/>
      <c r="AG736" s="2"/>
      <c r="AH736" s="2" t="e">
        <f>VLOOKUP(F736,vlookup!$A$2:$E$660,3,0)</f>
        <v>#N/A</v>
      </c>
      <c r="AI736" s="2"/>
      <c r="AJ736" s="2"/>
      <c r="AK736" s="2"/>
      <c r="AL736" s="2"/>
      <c r="AM736" s="2"/>
      <c r="AO736" s="2"/>
      <c r="AP736" s="2"/>
      <c r="AQ736" s="2"/>
      <c r="AR736" s="2"/>
      <c r="AS736" s="2"/>
      <c r="AT736" s="2"/>
      <c r="AU736" s="2"/>
    </row>
    <row r="737" spans="1:47" x14ac:dyDescent="0.25">
      <c r="A737" s="24"/>
      <c r="B737" s="24"/>
      <c r="C737" s="24"/>
      <c r="D737" s="24"/>
      <c r="E737" s="24"/>
      <c r="F737" s="24"/>
      <c r="G737" s="24"/>
      <c r="H737" s="26"/>
      <c r="I737" s="24"/>
      <c r="J737" s="25"/>
      <c r="K737" s="25"/>
      <c r="L737" s="24"/>
      <c r="M737" s="25"/>
      <c r="N737" s="24"/>
      <c r="O737" s="24"/>
      <c r="P737" s="24"/>
      <c r="Q737" s="24"/>
      <c r="R737" s="24"/>
      <c r="S737" s="25"/>
      <c r="T737" s="24"/>
      <c r="U737" s="24"/>
      <c r="V737" s="25"/>
      <c r="W737" s="24"/>
      <c r="X737" s="24"/>
      <c r="Y737" s="24"/>
      <c r="Z737" s="24"/>
      <c r="AA737" s="24"/>
      <c r="AB737" s="24"/>
      <c r="AC737" s="2"/>
      <c r="AD737" s="2"/>
      <c r="AE737" s="2"/>
      <c r="AF737" s="2"/>
      <c r="AG737" s="2"/>
      <c r="AH737" s="2" t="e">
        <f>VLOOKUP(F737,vlookup!$A$2:$E$660,3,0)</f>
        <v>#N/A</v>
      </c>
      <c r="AI737" s="2"/>
      <c r="AJ737" s="2"/>
      <c r="AK737" s="2"/>
      <c r="AL737" s="2"/>
      <c r="AM737" s="2"/>
      <c r="AO737" s="2"/>
      <c r="AP737" s="2"/>
      <c r="AQ737" s="2"/>
      <c r="AR737" s="2"/>
      <c r="AS737" s="2"/>
      <c r="AT737" s="2"/>
      <c r="AU737" s="2"/>
    </row>
    <row r="738" spans="1:47" x14ac:dyDescent="0.25">
      <c r="A738" s="24"/>
      <c r="B738" s="24"/>
      <c r="C738" s="24"/>
      <c r="D738" s="24"/>
      <c r="E738" s="24"/>
      <c r="F738" s="24"/>
      <c r="G738" s="24"/>
      <c r="H738" s="26"/>
      <c r="I738" s="24"/>
      <c r="J738" s="25"/>
      <c r="K738" s="25"/>
      <c r="L738" s="24"/>
      <c r="M738" s="25"/>
      <c r="N738" s="24"/>
      <c r="O738" s="24"/>
      <c r="P738" s="24"/>
      <c r="Q738" s="24"/>
      <c r="R738" s="24"/>
      <c r="S738" s="25"/>
      <c r="T738" s="24"/>
      <c r="U738" s="24"/>
      <c r="V738" s="25"/>
      <c r="W738" s="24"/>
      <c r="X738" s="24"/>
      <c r="Y738" s="24"/>
      <c r="Z738" s="24"/>
      <c r="AA738" s="24"/>
      <c r="AB738" s="24"/>
      <c r="AC738" s="2"/>
      <c r="AD738" s="2"/>
      <c r="AE738" s="2"/>
      <c r="AF738" s="2"/>
      <c r="AG738" s="2"/>
      <c r="AH738" s="2" t="e">
        <f>VLOOKUP(F738,vlookup!$A$2:$E$660,3,0)</f>
        <v>#N/A</v>
      </c>
      <c r="AI738" s="2"/>
      <c r="AJ738" s="2"/>
      <c r="AK738" s="2"/>
      <c r="AL738" s="2"/>
      <c r="AM738" s="2"/>
      <c r="AO738" s="2"/>
      <c r="AP738" s="2"/>
      <c r="AQ738" s="2"/>
      <c r="AR738" s="2"/>
      <c r="AS738" s="2"/>
      <c r="AT738" s="2"/>
      <c r="AU738" s="2"/>
    </row>
    <row r="739" spans="1:47" x14ac:dyDescent="0.25">
      <c r="A739" s="24"/>
      <c r="B739" s="24"/>
      <c r="C739" s="24"/>
      <c r="D739" s="24"/>
      <c r="E739" s="24"/>
      <c r="F739" s="24"/>
      <c r="G739" s="24"/>
      <c r="H739" s="26"/>
      <c r="I739" s="24"/>
      <c r="J739" s="25"/>
      <c r="K739" s="25"/>
      <c r="L739" s="24"/>
      <c r="M739" s="25"/>
      <c r="N739" s="24"/>
      <c r="O739" s="24"/>
      <c r="P739" s="24"/>
      <c r="Q739" s="24"/>
      <c r="R739" s="24"/>
      <c r="S739" s="25"/>
      <c r="T739" s="24"/>
      <c r="U739" s="24"/>
      <c r="V739" s="25"/>
      <c r="W739" s="24"/>
      <c r="X739" s="24"/>
      <c r="Y739" s="24"/>
      <c r="Z739" s="24"/>
      <c r="AA739" s="24"/>
      <c r="AB739" s="24"/>
      <c r="AC739" s="2"/>
      <c r="AD739" s="2"/>
      <c r="AE739" s="2"/>
      <c r="AF739" s="2"/>
      <c r="AG739" s="2"/>
      <c r="AH739" s="2" t="e">
        <f>VLOOKUP(F739,vlookup!$A$2:$E$660,3,0)</f>
        <v>#N/A</v>
      </c>
      <c r="AI739" s="2"/>
      <c r="AJ739" s="2"/>
      <c r="AK739" s="2"/>
      <c r="AL739" s="2"/>
      <c r="AM739" s="2"/>
      <c r="AO739" s="2"/>
      <c r="AP739" s="2"/>
      <c r="AQ739" s="2"/>
      <c r="AR739" s="2"/>
      <c r="AS739" s="2"/>
      <c r="AT739" s="2"/>
      <c r="AU739" s="2"/>
    </row>
    <row r="740" spans="1:47" x14ac:dyDescent="0.25">
      <c r="A740" s="24"/>
      <c r="B740" s="24"/>
      <c r="C740" s="24"/>
      <c r="D740" s="24"/>
      <c r="E740" s="24"/>
      <c r="F740" s="24"/>
      <c r="G740" s="24"/>
      <c r="H740" s="26"/>
      <c r="I740" s="24"/>
      <c r="J740" s="25"/>
      <c r="K740" s="25"/>
      <c r="L740" s="24"/>
      <c r="M740" s="25"/>
      <c r="N740" s="24"/>
      <c r="O740" s="24"/>
      <c r="P740" s="24"/>
      <c r="Q740" s="24"/>
      <c r="R740" s="24"/>
      <c r="S740" s="25"/>
      <c r="T740" s="24"/>
      <c r="U740" s="24"/>
      <c r="V740" s="25"/>
      <c r="W740" s="24"/>
      <c r="X740" s="24"/>
      <c r="Y740" s="24"/>
      <c r="Z740" s="24"/>
      <c r="AA740" s="24"/>
      <c r="AB740" s="24"/>
      <c r="AC740" s="2"/>
      <c r="AD740" s="2"/>
      <c r="AE740" s="2"/>
      <c r="AF740" s="2"/>
      <c r="AG740" s="2"/>
      <c r="AH740" s="2" t="e">
        <f>VLOOKUP(F740,vlookup!$A$2:$E$660,3,0)</f>
        <v>#N/A</v>
      </c>
      <c r="AI740" s="2"/>
      <c r="AJ740" s="2"/>
      <c r="AK740" s="2"/>
      <c r="AL740" s="2"/>
      <c r="AM740" s="2"/>
      <c r="AO740" s="2"/>
      <c r="AP740" s="2"/>
      <c r="AQ740" s="2"/>
      <c r="AR740" s="2"/>
      <c r="AS740" s="2"/>
      <c r="AT740" s="2"/>
      <c r="AU740" s="2"/>
    </row>
    <row r="741" spans="1:47" x14ac:dyDescent="0.25">
      <c r="A741" s="24"/>
      <c r="B741" s="24"/>
      <c r="C741" s="24"/>
      <c r="D741" s="24"/>
      <c r="E741" s="24"/>
      <c r="F741" s="24"/>
      <c r="G741" s="24"/>
      <c r="H741" s="26"/>
      <c r="I741" s="24"/>
      <c r="J741" s="25"/>
      <c r="K741" s="25"/>
      <c r="L741" s="24"/>
      <c r="M741" s="25"/>
      <c r="N741" s="24"/>
      <c r="O741" s="24"/>
      <c r="P741" s="24"/>
      <c r="Q741" s="24"/>
      <c r="R741" s="24"/>
      <c r="S741" s="25"/>
      <c r="T741" s="24"/>
      <c r="U741" s="24"/>
      <c r="V741" s="25"/>
      <c r="W741" s="24"/>
      <c r="X741" s="24"/>
      <c r="Y741" s="24"/>
      <c r="Z741" s="24"/>
      <c r="AA741" s="24"/>
      <c r="AB741" s="24"/>
      <c r="AC741" s="2"/>
      <c r="AD741" s="2"/>
      <c r="AE741" s="2"/>
      <c r="AF741" s="2"/>
      <c r="AG741" s="2"/>
      <c r="AH741" s="2" t="e">
        <f>VLOOKUP(F741,vlookup!$A$2:$E$660,3,0)</f>
        <v>#N/A</v>
      </c>
      <c r="AI741" s="2"/>
      <c r="AJ741" s="2"/>
      <c r="AK741" s="2"/>
      <c r="AL741" s="2"/>
      <c r="AM741" s="2"/>
      <c r="AO741" s="2"/>
      <c r="AP741" s="2"/>
      <c r="AQ741" s="2"/>
      <c r="AR741" s="2"/>
      <c r="AS741" s="2"/>
      <c r="AT741" s="2"/>
      <c r="AU741" s="2"/>
    </row>
    <row r="742" spans="1:47" x14ac:dyDescent="0.25">
      <c r="A742" s="24"/>
      <c r="B742" s="24"/>
      <c r="C742" s="24"/>
      <c r="D742" s="24"/>
      <c r="E742" s="24"/>
      <c r="F742" s="24"/>
      <c r="G742" s="24"/>
      <c r="H742" s="26"/>
      <c r="I742" s="24"/>
      <c r="J742" s="25"/>
      <c r="K742" s="25"/>
      <c r="L742" s="24"/>
      <c r="M742" s="25"/>
      <c r="N742" s="24"/>
      <c r="O742" s="24"/>
      <c r="P742" s="24"/>
      <c r="Q742" s="24"/>
      <c r="R742" s="24"/>
      <c r="S742" s="25"/>
      <c r="T742" s="24"/>
      <c r="U742" s="24"/>
      <c r="V742" s="25"/>
      <c r="W742" s="24"/>
      <c r="X742" s="24"/>
      <c r="Y742" s="24"/>
      <c r="Z742" s="24"/>
      <c r="AA742" s="24"/>
      <c r="AB742" s="24"/>
      <c r="AC742" s="2"/>
      <c r="AD742" s="2"/>
      <c r="AE742" s="2"/>
      <c r="AF742" s="2"/>
      <c r="AG742" s="2"/>
      <c r="AH742" s="2" t="e">
        <f>VLOOKUP(F742,vlookup!$A$2:$E$660,3,0)</f>
        <v>#N/A</v>
      </c>
      <c r="AI742" s="2"/>
      <c r="AJ742" s="2"/>
      <c r="AK742" s="2"/>
      <c r="AL742" s="2"/>
      <c r="AM742" s="2"/>
      <c r="AO742" s="2"/>
      <c r="AP742" s="2"/>
      <c r="AQ742" s="2"/>
      <c r="AR742" s="2"/>
      <c r="AS742" s="2"/>
      <c r="AT742" s="2"/>
      <c r="AU742" s="2"/>
    </row>
    <row r="743" spans="1:47" x14ac:dyDescent="0.25">
      <c r="A743" s="24"/>
      <c r="B743" s="24"/>
      <c r="C743" s="24"/>
      <c r="D743" s="24"/>
      <c r="E743" s="24"/>
      <c r="F743" s="24"/>
      <c r="G743" s="24"/>
      <c r="H743" s="26"/>
      <c r="I743" s="24"/>
      <c r="J743" s="25"/>
      <c r="K743" s="25"/>
      <c r="L743" s="24"/>
      <c r="M743" s="25"/>
      <c r="N743" s="24"/>
      <c r="O743" s="24"/>
      <c r="P743" s="24"/>
      <c r="Q743" s="24"/>
      <c r="R743" s="24"/>
      <c r="S743" s="25"/>
      <c r="T743" s="24"/>
      <c r="U743" s="24"/>
      <c r="V743" s="25"/>
      <c r="W743" s="24"/>
      <c r="X743" s="24"/>
      <c r="Y743" s="24"/>
      <c r="Z743" s="24"/>
      <c r="AA743" s="24"/>
      <c r="AB743" s="24"/>
      <c r="AC743" s="2"/>
      <c r="AD743" s="2"/>
      <c r="AE743" s="2"/>
      <c r="AF743" s="2"/>
      <c r="AG743" s="2"/>
      <c r="AH743" s="2" t="e">
        <f>VLOOKUP(F743,vlookup!$A$2:$E$660,3,0)</f>
        <v>#N/A</v>
      </c>
      <c r="AI743" s="2"/>
      <c r="AJ743" s="2"/>
      <c r="AK743" s="2"/>
      <c r="AL743" s="2"/>
      <c r="AM743" s="2"/>
      <c r="AO743" s="2"/>
      <c r="AP743" s="2"/>
      <c r="AQ743" s="2"/>
      <c r="AR743" s="2"/>
      <c r="AS743" s="2"/>
      <c r="AT743" s="2"/>
      <c r="AU743" s="2"/>
    </row>
    <row r="744" spans="1:47" x14ac:dyDescent="0.25">
      <c r="A744" s="24"/>
      <c r="B744" s="24"/>
      <c r="C744" s="24"/>
      <c r="D744" s="24"/>
      <c r="E744" s="24"/>
      <c r="F744" s="24"/>
      <c r="G744" s="24"/>
      <c r="H744" s="26"/>
      <c r="I744" s="24"/>
      <c r="J744" s="25"/>
      <c r="K744" s="25"/>
      <c r="L744" s="24"/>
      <c r="M744" s="25"/>
      <c r="N744" s="24"/>
      <c r="O744" s="24"/>
      <c r="P744" s="24"/>
      <c r="Q744" s="24"/>
      <c r="R744" s="24"/>
      <c r="S744" s="25"/>
      <c r="T744" s="24"/>
      <c r="U744" s="24"/>
      <c r="V744" s="25"/>
      <c r="W744" s="24"/>
      <c r="X744" s="24"/>
      <c r="Y744" s="24"/>
      <c r="Z744" s="24"/>
      <c r="AA744" s="24"/>
      <c r="AB744" s="24"/>
      <c r="AC744" s="2"/>
      <c r="AD744" s="2"/>
      <c r="AE744" s="2"/>
      <c r="AF744" s="2"/>
      <c r="AG744" s="2"/>
      <c r="AH744" s="2" t="e">
        <f>VLOOKUP(F744,vlookup!$A$2:$E$660,3,0)</f>
        <v>#N/A</v>
      </c>
      <c r="AI744" s="2"/>
      <c r="AJ744" s="2"/>
      <c r="AK744" s="2"/>
      <c r="AL744" s="2"/>
      <c r="AM744" s="2"/>
      <c r="AO744" s="2"/>
      <c r="AP744" s="2"/>
      <c r="AQ744" s="2"/>
      <c r="AR744" s="2"/>
      <c r="AS744" s="2"/>
      <c r="AT744" s="2"/>
      <c r="AU744" s="2"/>
    </row>
    <row r="745" spans="1:47" x14ac:dyDescent="0.25">
      <c r="A745" s="24"/>
      <c r="B745" s="24"/>
      <c r="C745" s="24"/>
      <c r="D745" s="24"/>
      <c r="E745" s="24"/>
      <c r="F745" s="24"/>
      <c r="G745" s="24"/>
      <c r="H745" s="26"/>
      <c r="I745" s="24"/>
      <c r="J745" s="25"/>
      <c r="K745" s="25"/>
      <c r="L745" s="24"/>
      <c r="M745" s="25"/>
      <c r="N745" s="24"/>
      <c r="O745" s="24"/>
      <c r="P745" s="24"/>
      <c r="Q745" s="24"/>
      <c r="R745" s="24"/>
      <c r="S745" s="25"/>
      <c r="T745" s="24"/>
      <c r="U745" s="24"/>
      <c r="V745" s="25"/>
      <c r="W745" s="24"/>
      <c r="X745" s="24"/>
      <c r="Y745" s="24"/>
      <c r="Z745" s="24"/>
      <c r="AA745" s="24"/>
      <c r="AB745" s="24"/>
      <c r="AC745" s="2"/>
      <c r="AD745" s="2"/>
      <c r="AE745" s="2"/>
      <c r="AF745" s="2"/>
      <c r="AG745" s="2"/>
      <c r="AH745" s="2" t="e">
        <f>VLOOKUP(F745,vlookup!$A$2:$E$660,3,0)</f>
        <v>#N/A</v>
      </c>
      <c r="AI745" s="2"/>
      <c r="AJ745" s="2"/>
      <c r="AK745" s="2"/>
      <c r="AL745" s="2"/>
      <c r="AM745" s="2"/>
      <c r="AO745" s="2"/>
      <c r="AP745" s="2"/>
      <c r="AQ745" s="2"/>
      <c r="AR745" s="2"/>
      <c r="AS745" s="2"/>
      <c r="AT745" s="2"/>
      <c r="AU745" s="2"/>
    </row>
    <row r="746" spans="1:47" x14ac:dyDescent="0.25">
      <c r="A746" s="24"/>
      <c r="B746" s="24"/>
      <c r="C746" s="24"/>
      <c r="D746" s="24"/>
      <c r="E746" s="24"/>
      <c r="F746" s="24"/>
      <c r="G746" s="24"/>
      <c r="H746" s="26"/>
      <c r="I746" s="24"/>
      <c r="J746" s="25"/>
      <c r="K746" s="25"/>
      <c r="L746" s="24"/>
      <c r="M746" s="25"/>
      <c r="N746" s="24"/>
      <c r="O746" s="24"/>
      <c r="P746" s="24"/>
      <c r="Q746" s="24"/>
      <c r="R746" s="24"/>
      <c r="S746" s="25"/>
      <c r="T746" s="24"/>
      <c r="U746" s="24"/>
      <c r="V746" s="25"/>
      <c r="W746" s="24"/>
      <c r="X746" s="24"/>
      <c r="Y746" s="24"/>
      <c r="Z746" s="24"/>
      <c r="AA746" s="24"/>
      <c r="AB746" s="24"/>
      <c r="AC746" s="2"/>
      <c r="AD746" s="2"/>
      <c r="AE746" s="2"/>
      <c r="AF746" s="2"/>
      <c r="AG746" s="2"/>
      <c r="AH746" s="2" t="e">
        <f>VLOOKUP(F746,vlookup!$A$2:$E$660,3,0)</f>
        <v>#N/A</v>
      </c>
      <c r="AI746" s="2"/>
      <c r="AJ746" s="2"/>
      <c r="AK746" s="2"/>
      <c r="AL746" s="2"/>
      <c r="AM746" s="2"/>
      <c r="AO746" s="2"/>
      <c r="AP746" s="2"/>
      <c r="AQ746" s="2"/>
      <c r="AR746" s="2"/>
      <c r="AS746" s="2"/>
      <c r="AT746" s="2"/>
      <c r="AU746" s="2"/>
    </row>
    <row r="747" spans="1:47" x14ac:dyDescent="0.25">
      <c r="A747" s="24"/>
      <c r="B747" s="24"/>
      <c r="C747" s="24"/>
      <c r="D747" s="24"/>
      <c r="E747" s="24"/>
      <c r="F747" s="24"/>
      <c r="G747" s="24"/>
      <c r="H747" s="26"/>
      <c r="I747" s="24"/>
      <c r="J747" s="25"/>
      <c r="K747" s="25"/>
      <c r="L747" s="24"/>
      <c r="M747" s="25"/>
      <c r="N747" s="24"/>
      <c r="O747" s="24"/>
      <c r="P747" s="24"/>
      <c r="Q747" s="24"/>
      <c r="R747" s="24"/>
      <c r="S747" s="25"/>
      <c r="T747" s="24"/>
      <c r="U747" s="24"/>
      <c r="V747" s="25"/>
      <c r="W747" s="24"/>
      <c r="X747" s="24"/>
      <c r="Y747" s="24"/>
      <c r="Z747" s="24"/>
      <c r="AA747" s="24"/>
      <c r="AB747" s="24"/>
      <c r="AC747" s="2"/>
      <c r="AD747" s="2"/>
      <c r="AE747" s="2"/>
      <c r="AF747" s="2"/>
      <c r="AG747" s="2"/>
      <c r="AH747" s="2" t="e">
        <f>VLOOKUP(F747,vlookup!$A$2:$E$660,3,0)</f>
        <v>#N/A</v>
      </c>
      <c r="AI747" s="2"/>
      <c r="AJ747" s="2"/>
      <c r="AK747" s="2"/>
      <c r="AL747" s="2"/>
      <c r="AM747" s="2"/>
      <c r="AO747" s="2"/>
      <c r="AP747" s="2"/>
      <c r="AQ747" s="2"/>
      <c r="AR747" s="2"/>
      <c r="AS747" s="2"/>
      <c r="AT747" s="2"/>
      <c r="AU747" s="2"/>
    </row>
    <row r="748" spans="1:47" x14ac:dyDescent="0.25">
      <c r="A748" s="24"/>
      <c r="B748" s="24"/>
      <c r="C748" s="24"/>
      <c r="D748" s="24"/>
      <c r="E748" s="24"/>
      <c r="F748" s="24"/>
      <c r="G748" s="24"/>
      <c r="H748" s="26"/>
      <c r="I748" s="24"/>
      <c r="J748" s="25"/>
      <c r="K748" s="25"/>
      <c r="L748" s="24"/>
      <c r="M748" s="25"/>
      <c r="N748" s="24"/>
      <c r="O748" s="24"/>
      <c r="P748" s="24"/>
      <c r="Q748" s="24"/>
      <c r="R748" s="24"/>
      <c r="S748" s="25"/>
      <c r="T748" s="24"/>
      <c r="U748" s="24"/>
      <c r="V748" s="25"/>
      <c r="W748" s="24"/>
      <c r="X748" s="24"/>
      <c r="Y748" s="24"/>
      <c r="Z748" s="24"/>
      <c r="AA748" s="24"/>
      <c r="AB748" s="24"/>
      <c r="AC748" s="2"/>
      <c r="AD748" s="2"/>
      <c r="AE748" s="2"/>
      <c r="AF748" s="2"/>
      <c r="AG748" s="2"/>
      <c r="AH748" s="2" t="e">
        <f>VLOOKUP(F748,vlookup!$A$2:$E$660,3,0)</f>
        <v>#N/A</v>
      </c>
      <c r="AI748" s="2"/>
      <c r="AJ748" s="2"/>
      <c r="AK748" s="2"/>
      <c r="AL748" s="2"/>
      <c r="AM748" s="2"/>
      <c r="AO748" s="2"/>
      <c r="AP748" s="2"/>
      <c r="AQ748" s="2"/>
      <c r="AR748" s="2"/>
      <c r="AS748" s="2"/>
      <c r="AT748" s="2"/>
      <c r="AU748" s="2"/>
    </row>
    <row r="749" spans="1:47" x14ac:dyDescent="0.25">
      <c r="A749" s="24"/>
      <c r="B749" s="24"/>
      <c r="C749" s="24"/>
      <c r="D749" s="24"/>
      <c r="E749" s="24"/>
      <c r="F749" s="24"/>
      <c r="G749" s="24"/>
      <c r="H749" s="26"/>
      <c r="I749" s="24"/>
      <c r="J749" s="25"/>
      <c r="K749" s="25"/>
      <c r="L749" s="24"/>
      <c r="M749" s="25"/>
      <c r="N749" s="24"/>
      <c r="O749" s="24"/>
      <c r="P749" s="24"/>
      <c r="Q749" s="24"/>
      <c r="R749" s="24"/>
      <c r="S749" s="25"/>
      <c r="T749" s="24"/>
      <c r="U749" s="24"/>
      <c r="V749" s="25"/>
      <c r="W749" s="24"/>
      <c r="X749" s="24"/>
      <c r="Y749" s="24"/>
      <c r="Z749" s="24"/>
      <c r="AA749" s="24"/>
      <c r="AB749" s="24"/>
      <c r="AC749" s="2"/>
      <c r="AD749" s="2"/>
      <c r="AE749" s="2"/>
      <c r="AF749" s="2"/>
      <c r="AG749" s="2"/>
      <c r="AH749" s="2" t="e">
        <f>VLOOKUP(F749,vlookup!$A$2:$E$660,3,0)</f>
        <v>#N/A</v>
      </c>
      <c r="AI749" s="2"/>
      <c r="AJ749" s="2"/>
      <c r="AK749" s="2"/>
      <c r="AL749" s="2"/>
      <c r="AM749" s="2"/>
      <c r="AO749" s="2"/>
      <c r="AP749" s="2"/>
      <c r="AQ749" s="2"/>
      <c r="AR749" s="2"/>
      <c r="AS749" s="2"/>
      <c r="AT749" s="2"/>
      <c r="AU749" s="2"/>
    </row>
    <row r="750" spans="1:47" x14ac:dyDescent="0.25">
      <c r="A750" s="24"/>
      <c r="B750" s="24"/>
      <c r="C750" s="24"/>
      <c r="D750" s="24"/>
      <c r="E750" s="24"/>
      <c r="F750" s="24"/>
      <c r="G750" s="24"/>
      <c r="H750" s="26"/>
      <c r="I750" s="24"/>
      <c r="J750" s="25"/>
      <c r="K750" s="25"/>
      <c r="L750" s="24"/>
      <c r="M750" s="25"/>
      <c r="N750" s="24"/>
      <c r="O750" s="24"/>
      <c r="P750" s="24"/>
      <c r="Q750" s="24"/>
      <c r="R750" s="24"/>
      <c r="S750" s="25"/>
      <c r="T750" s="24"/>
      <c r="U750" s="24"/>
      <c r="V750" s="25"/>
      <c r="W750" s="24"/>
      <c r="X750" s="24"/>
      <c r="Y750" s="24"/>
      <c r="Z750" s="24"/>
      <c r="AA750" s="24"/>
      <c r="AB750" s="24"/>
      <c r="AC750" s="2"/>
      <c r="AD750" s="2"/>
      <c r="AE750" s="2"/>
      <c r="AF750" s="2"/>
      <c r="AG750" s="2"/>
      <c r="AH750" s="2" t="e">
        <f>VLOOKUP(F750,vlookup!$A$2:$E$660,3,0)</f>
        <v>#N/A</v>
      </c>
      <c r="AI750" s="2"/>
      <c r="AJ750" s="2"/>
      <c r="AK750" s="2"/>
      <c r="AL750" s="2"/>
      <c r="AM750" s="2"/>
      <c r="AO750" s="2"/>
      <c r="AP750" s="2"/>
      <c r="AQ750" s="2"/>
      <c r="AR750" s="2"/>
      <c r="AS750" s="2"/>
      <c r="AT750" s="2"/>
      <c r="AU750" s="2"/>
    </row>
    <row r="751" spans="1:47" x14ac:dyDescent="0.25">
      <c r="A751" s="24"/>
      <c r="B751" s="24"/>
      <c r="C751" s="24"/>
      <c r="D751" s="24"/>
      <c r="E751" s="24"/>
      <c r="F751" s="24"/>
      <c r="G751" s="24"/>
      <c r="H751" s="26"/>
      <c r="I751" s="24"/>
      <c r="J751" s="25"/>
      <c r="K751" s="25"/>
      <c r="L751" s="24"/>
      <c r="M751" s="25"/>
      <c r="N751" s="24"/>
      <c r="O751" s="24"/>
      <c r="P751" s="24"/>
      <c r="Q751" s="24"/>
      <c r="R751" s="24"/>
      <c r="S751" s="25"/>
      <c r="T751" s="24"/>
      <c r="U751" s="24"/>
      <c r="V751" s="25"/>
      <c r="W751" s="24"/>
      <c r="X751" s="24"/>
      <c r="Y751" s="24"/>
      <c r="Z751" s="24"/>
      <c r="AA751" s="24"/>
      <c r="AB751" s="24"/>
      <c r="AC751" s="2"/>
      <c r="AD751" s="2"/>
      <c r="AE751" s="2"/>
      <c r="AF751" s="2"/>
      <c r="AG751" s="2"/>
      <c r="AH751" s="2" t="e">
        <f>VLOOKUP(F751,vlookup!$A$2:$E$660,3,0)</f>
        <v>#N/A</v>
      </c>
      <c r="AI751" s="2"/>
      <c r="AJ751" s="2"/>
      <c r="AK751" s="2"/>
      <c r="AL751" s="2"/>
      <c r="AM751" s="2"/>
      <c r="AO751" s="2"/>
      <c r="AP751" s="2"/>
      <c r="AQ751" s="2"/>
      <c r="AR751" s="2"/>
      <c r="AS751" s="2"/>
      <c r="AT751" s="2"/>
      <c r="AU751" s="2"/>
    </row>
    <row r="752" spans="1:47" x14ac:dyDescent="0.25">
      <c r="A752" s="24"/>
      <c r="B752" s="24"/>
      <c r="C752" s="24"/>
      <c r="D752" s="24"/>
      <c r="E752" s="24"/>
      <c r="F752" s="24"/>
      <c r="G752" s="24"/>
      <c r="H752" s="26"/>
      <c r="I752" s="24"/>
      <c r="J752" s="25"/>
      <c r="K752" s="25"/>
      <c r="L752" s="24"/>
      <c r="M752" s="25"/>
      <c r="N752" s="24"/>
      <c r="O752" s="24"/>
      <c r="P752" s="24"/>
      <c r="Q752" s="24"/>
      <c r="R752" s="24"/>
      <c r="S752" s="25"/>
      <c r="T752" s="24"/>
      <c r="U752" s="24"/>
      <c r="V752" s="25"/>
      <c r="W752" s="24"/>
      <c r="X752" s="24"/>
      <c r="Y752" s="24"/>
      <c r="Z752" s="24"/>
      <c r="AA752" s="24"/>
      <c r="AB752" s="24"/>
      <c r="AC752" s="2"/>
      <c r="AD752" s="2"/>
      <c r="AE752" s="2"/>
      <c r="AF752" s="2"/>
      <c r="AG752" s="2"/>
      <c r="AH752" s="2" t="e">
        <f>VLOOKUP(F752,vlookup!$A$2:$E$660,3,0)</f>
        <v>#N/A</v>
      </c>
      <c r="AI752" s="2"/>
      <c r="AJ752" s="2"/>
      <c r="AK752" s="2"/>
      <c r="AL752" s="2"/>
      <c r="AM752" s="2"/>
      <c r="AO752" s="2"/>
      <c r="AP752" s="2"/>
      <c r="AQ752" s="2"/>
      <c r="AR752" s="2"/>
      <c r="AS752" s="2"/>
      <c r="AT752" s="2"/>
      <c r="AU752" s="2"/>
    </row>
    <row r="753" spans="1:47" x14ac:dyDescent="0.25">
      <c r="A753" s="24"/>
      <c r="B753" s="24"/>
      <c r="C753" s="24"/>
      <c r="D753" s="24"/>
      <c r="E753" s="24"/>
      <c r="F753" s="24"/>
      <c r="G753" s="24"/>
      <c r="H753" s="26"/>
      <c r="I753" s="24"/>
      <c r="J753" s="25"/>
      <c r="K753" s="25"/>
      <c r="L753" s="24"/>
      <c r="M753" s="25"/>
      <c r="N753" s="24"/>
      <c r="O753" s="24"/>
      <c r="P753" s="24"/>
      <c r="Q753" s="24"/>
      <c r="R753" s="24"/>
      <c r="S753" s="25"/>
      <c r="T753" s="24"/>
      <c r="U753" s="24"/>
      <c r="V753" s="25"/>
      <c r="W753" s="24"/>
      <c r="X753" s="24"/>
      <c r="Y753" s="24"/>
      <c r="Z753" s="24"/>
      <c r="AA753" s="24"/>
      <c r="AB753" s="24"/>
      <c r="AC753" s="2"/>
      <c r="AD753" s="2"/>
      <c r="AE753" s="2"/>
      <c r="AF753" s="2"/>
      <c r="AG753" s="2"/>
      <c r="AH753" s="2" t="e">
        <f>VLOOKUP(F753,vlookup!$A$2:$E$660,3,0)</f>
        <v>#N/A</v>
      </c>
      <c r="AI753" s="2"/>
      <c r="AJ753" s="2"/>
      <c r="AK753" s="2"/>
      <c r="AL753" s="2"/>
      <c r="AM753" s="2"/>
      <c r="AO753" s="2"/>
      <c r="AP753" s="2"/>
      <c r="AQ753" s="2"/>
      <c r="AR753" s="2"/>
      <c r="AS753" s="2"/>
      <c r="AT753" s="2"/>
      <c r="AU753" s="2"/>
    </row>
    <row r="754" spans="1:47" x14ac:dyDescent="0.25">
      <c r="A754" s="24"/>
      <c r="B754" s="24"/>
      <c r="C754" s="24"/>
      <c r="D754" s="24"/>
      <c r="E754" s="24"/>
      <c r="F754" s="24"/>
      <c r="G754" s="24"/>
      <c r="H754" s="26"/>
      <c r="I754" s="24"/>
      <c r="J754" s="25"/>
      <c r="K754" s="25"/>
      <c r="L754" s="24"/>
      <c r="M754" s="25"/>
      <c r="N754" s="24"/>
      <c r="O754" s="24"/>
      <c r="P754" s="24"/>
      <c r="Q754" s="24"/>
      <c r="R754" s="24"/>
      <c r="S754" s="25"/>
      <c r="T754" s="24"/>
      <c r="U754" s="24"/>
      <c r="V754" s="25"/>
      <c r="W754" s="24"/>
      <c r="X754" s="24"/>
      <c r="Y754" s="24"/>
      <c r="Z754" s="24"/>
      <c r="AA754" s="24"/>
      <c r="AB754" s="24"/>
      <c r="AC754" s="2"/>
      <c r="AD754" s="2"/>
      <c r="AE754" s="2"/>
      <c r="AF754" s="2"/>
      <c r="AG754" s="2"/>
      <c r="AH754" s="2" t="e">
        <f>VLOOKUP(F754,vlookup!$A$2:$E$660,3,0)</f>
        <v>#N/A</v>
      </c>
      <c r="AI754" s="2"/>
      <c r="AJ754" s="2"/>
      <c r="AK754" s="2"/>
      <c r="AL754" s="2"/>
      <c r="AM754" s="2"/>
      <c r="AO754" s="2"/>
      <c r="AP754" s="2"/>
      <c r="AQ754" s="2"/>
      <c r="AR754" s="2"/>
      <c r="AS754" s="2"/>
      <c r="AT754" s="2"/>
      <c r="AU754" s="2"/>
    </row>
    <row r="755" spans="1:47" x14ac:dyDescent="0.25">
      <c r="A755" s="24"/>
      <c r="B755" s="24"/>
      <c r="C755" s="24"/>
      <c r="D755" s="24"/>
      <c r="E755" s="24"/>
      <c r="F755" s="24"/>
      <c r="G755" s="24"/>
      <c r="H755" s="26"/>
      <c r="I755" s="24"/>
      <c r="J755" s="25"/>
      <c r="K755" s="25"/>
      <c r="L755" s="24"/>
      <c r="M755" s="25"/>
      <c r="N755" s="24"/>
      <c r="O755" s="24"/>
      <c r="P755" s="24"/>
      <c r="Q755" s="24"/>
      <c r="R755" s="24"/>
      <c r="S755" s="25"/>
      <c r="T755" s="24"/>
      <c r="U755" s="24"/>
      <c r="V755" s="25"/>
      <c r="W755" s="24"/>
      <c r="X755" s="24"/>
      <c r="Y755" s="24"/>
      <c r="Z755" s="24"/>
      <c r="AA755" s="24"/>
      <c r="AB755" s="24"/>
      <c r="AC755" s="2"/>
      <c r="AD755" s="2"/>
      <c r="AE755" s="2"/>
      <c r="AF755" s="2"/>
      <c r="AG755" s="2"/>
      <c r="AH755" s="2" t="e">
        <f>VLOOKUP(F755,vlookup!$A$2:$E$660,3,0)</f>
        <v>#N/A</v>
      </c>
      <c r="AI755" s="2"/>
      <c r="AJ755" s="2"/>
      <c r="AK755" s="2"/>
      <c r="AL755" s="2"/>
      <c r="AM755" s="2"/>
      <c r="AO755" s="2"/>
      <c r="AP755" s="2"/>
      <c r="AQ755" s="2"/>
      <c r="AR755" s="2"/>
      <c r="AS755" s="2"/>
      <c r="AT755" s="2"/>
      <c r="AU755" s="2"/>
    </row>
    <row r="756" spans="1:47" x14ac:dyDescent="0.25">
      <c r="A756" s="24"/>
      <c r="B756" s="24"/>
      <c r="C756" s="24"/>
      <c r="D756" s="24"/>
      <c r="E756" s="24"/>
      <c r="F756" s="24"/>
      <c r="G756" s="24"/>
      <c r="H756" s="26"/>
      <c r="I756" s="24"/>
      <c r="J756" s="25"/>
      <c r="K756" s="25"/>
      <c r="L756" s="24"/>
      <c r="M756" s="25"/>
      <c r="N756" s="24"/>
      <c r="O756" s="24"/>
      <c r="P756" s="24"/>
      <c r="Q756" s="24"/>
      <c r="R756" s="24"/>
      <c r="S756" s="25"/>
      <c r="T756" s="24"/>
      <c r="U756" s="24"/>
      <c r="V756" s="25"/>
      <c r="W756" s="24"/>
      <c r="X756" s="24"/>
      <c r="Y756" s="24"/>
      <c r="Z756" s="24"/>
      <c r="AA756" s="24"/>
      <c r="AB756" s="24"/>
      <c r="AC756" s="2"/>
      <c r="AD756" s="2"/>
      <c r="AE756" s="2"/>
      <c r="AF756" s="2"/>
      <c r="AG756" s="2"/>
      <c r="AH756" s="2" t="e">
        <f>VLOOKUP(F756,vlookup!$A$2:$E$660,3,0)</f>
        <v>#N/A</v>
      </c>
      <c r="AI756" s="2"/>
      <c r="AJ756" s="2"/>
      <c r="AK756" s="2"/>
      <c r="AL756" s="2"/>
      <c r="AM756" s="2"/>
      <c r="AO756" s="2"/>
      <c r="AP756" s="2"/>
      <c r="AQ756" s="2"/>
      <c r="AR756" s="2"/>
      <c r="AS756" s="2"/>
      <c r="AT756" s="2"/>
      <c r="AU756" s="2"/>
    </row>
    <row r="757" spans="1:47" x14ac:dyDescent="0.25">
      <c r="A757" s="24"/>
      <c r="B757" s="24"/>
      <c r="C757" s="24"/>
      <c r="D757" s="24"/>
      <c r="E757" s="24"/>
      <c r="F757" s="24"/>
      <c r="G757" s="24"/>
      <c r="H757" s="26"/>
      <c r="I757" s="24"/>
      <c r="J757" s="25"/>
      <c r="K757" s="25"/>
      <c r="L757" s="24"/>
      <c r="M757" s="25"/>
      <c r="N757" s="24"/>
      <c r="O757" s="24"/>
      <c r="P757" s="24"/>
      <c r="Q757" s="24"/>
      <c r="R757" s="24"/>
      <c r="S757" s="25"/>
      <c r="T757" s="24"/>
      <c r="U757" s="24"/>
      <c r="V757" s="25"/>
      <c r="W757" s="24"/>
      <c r="X757" s="24"/>
      <c r="Y757" s="24"/>
      <c r="Z757" s="24"/>
      <c r="AA757" s="24"/>
      <c r="AB757" s="24"/>
      <c r="AC757" s="2"/>
      <c r="AD757" s="2"/>
      <c r="AE757" s="2"/>
      <c r="AF757" s="2"/>
      <c r="AG757" s="2"/>
      <c r="AH757" s="2" t="e">
        <f>VLOOKUP(F757,vlookup!$A$2:$E$660,3,0)</f>
        <v>#N/A</v>
      </c>
      <c r="AI757" s="2"/>
      <c r="AJ757" s="2"/>
      <c r="AK757" s="2"/>
      <c r="AL757" s="2"/>
      <c r="AM757" s="2"/>
      <c r="AO757" s="2"/>
      <c r="AP757" s="2"/>
      <c r="AQ757" s="2"/>
      <c r="AR757" s="2"/>
      <c r="AS757" s="2"/>
      <c r="AT757" s="2"/>
      <c r="AU757" s="2"/>
    </row>
    <row r="758" spans="1:47" x14ac:dyDescent="0.25">
      <c r="A758" s="24"/>
      <c r="B758" s="24"/>
      <c r="C758" s="24"/>
      <c r="D758" s="24"/>
      <c r="E758" s="24"/>
      <c r="F758" s="24"/>
      <c r="G758" s="24"/>
      <c r="H758" s="26"/>
      <c r="I758" s="24"/>
      <c r="J758" s="25"/>
      <c r="K758" s="25"/>
      <c r="L758" s="24"/>
      <c r="M758" s="25"/>
      <c r="N758" s="24"/>
      <c r="O758" s="24"/>
      <c r="P758" s="24"/>
      <c r="Q758" s="24"/>
      <c r="R758" s="24"/>
      <c r="S758" s="25"/>
      <c r="T758" s="24"/>
      <c r="U758" s="24"/>
      <c r="V758" s="25"/>
      <c r="W758" s="24"/>
      <c r="X758" s="24"/>
      <c r="Y758" s="24"/>
      <c r="Z758" s="24"/>
      <c r="AA758" s="24"/>
      <c r="AB758" s="24"/>
      <c r="AC758" s="2"/>
      <c r="AD758" s="2"/>
      <c r="AE758" s="2"/>
      <c r="AF758" s="2"/>
      <c r="AG758" s="2"/>
      <c r="AH758" s="2" t="e">
        <f>VLOOKUP(F758,vlookup!$A$2:$E$660,3,0)</f>
        <v>#N/A</v>
      </c>
      <c r="AI758" s="2"/>
      <c r="AJ758" s="2"/>
      <c r="AK758" s="2"/>
      <c r="AL758" s="2"/>
      <c r="AM758" s="2"/>
      <c r="AO758" s="2"/>
      <c r="AP758" s="2"/>
      <c r="AQ758" s="2"/>
      <c r="AR758" s="2"/>
      <c r="AS758" s="2"/>
      <c r="AT758" s="2"/>
      <c r="AU758" s="2"/>
    </row>
    <row r="759" spans="1:47" x14ac:dyDescent="0.25">
      <c r="A759" s="24"/>
      <c r="B759" s="24"/>
      <c r="C759" s="24"/>
      <c r="D759" s="24"/>
      <c r="E759" s="24"/>
      <c r="F759" s="24"/>
      <c r="G759" s="24"/>
      <c r="H759" s="26"/>
      <c r="I759" s="24"/>
      <c r="J759" s="25"/>
      <c r="K759" s="25"/>
      <c r="L759" s="24"/>
      <c r="M759" s="25"/>
      <c r="N759" s="24"/>
      <c r="O759" s="24"/>
      <c r="P759" s="24"/>
      <c r="Q759" s="24"/>
      <c r="R759" s="24"/>
      <c r="S759" s="25"/>
      <c r="T759" s="24"/>
      <c r="U759" s="24"/>
      <c r="V759" s="25"/>
      <c r="W759" s="24"/>
      <c r="X759" s="24"/>
      <c r="Y759" s="24"/>
      <c r="Z759" s="24"/>
      <c r="AA759" s="24"/>
      <c r="AB759" s="24"/>
      <c r="AC759" s="2"/>
      <c r="AD759" s="2"/>
      <c r="AE759" s="2"/>
      <c r="AF759" s="2"/>
      <c r="AG759" s="2"/>
      <c r="AH759" s="2" t="e">
        <f>VLOOKUP(F759,vlookup!$A$2:$E$660,3,0)</f>
        <v>#N/A</v>
      </c>
      <c r="AI759" s="2"/>
      <c r="AJ759" s="2"/>
      <c r="AK759" s="2"/>
      <c r="AL759" s="2"/>
      <c r="AM759" s="2"/>
      <c r="AO759" s="2"/>
      <c r="AP759" s="2"/>
      <c r="AQ759" s="2"/>
      <c r="AR759" s="2"/>
      <c r="AS759" s="2"/>
      <c r="AT759" s="2"/>
      <c r="AU759" s="2"/>
    </row>
    <row r="760" spans="1:47" x14ac:dyDescent="0.25">
      <c r="A760" s="24"/>
      <c r="B760" s="24"/>
      <c r="C760" s="24"/>
      <c r="D760" s="24"/>
      <c r="E760" s="24"/>
      <c r="F760" s="24"/>
      <c r="G760" s="24"/>
      <c r="H760" s="26"/>
      <c r="I760" s="24"/>
      <c r="J760" s="25"/>
      <c r="K760" s="25"/>
      <c r="L760" s="24"/>
      <c r="M760" s="25"/>
      <c r="N760" s="24"/>
      <c r="O760" s="24"/>
      <c r="P760" s="24"/>
      <c r="Q760" s="24"/>
      <c r="R760" s="24"/>
      <c r="S760" s="25"/>
      <c r="T760" s="24"/>
      <c r="U760" s="24"/>
      <c r="V760" s="25"/>
      <c r="W760" s="24"/>
      <c r="X760" s="24"/>
      <c r="Y760" s="24"/>
      <c r="Z760" s="24"/>
      <c r="AA760" s="24"/>
      <c r="AB760" s="24"/>
      <c r="AC760" s="2"/>
      <c r="AD760" s="2"/>
      <c r="AE760" s="2"/>
      <c r="AF760" s="2"/>
      <c r="AG760" s="2"/>
      <c r="AH760" s="2" t="e">
        <f>VLOOKUP(F760,vlookup!$A$2:$E$660,3,0)</f>
        <v>#N/A</v>
      </c>
      <c r="AI760" s="2"/>
      <c r="AJ760" s="2"/>
      <c r="AK760" s="2"/>
      <c r="AL760" s="2"/>
      <c r="AM760" s="2"/>
      <c r="AO760" s="2"/>
      <c r="AP760" s="2"/>
      <c r="AQ760" s="2"/>
      <c r="AR760" s="2"/>
      <c r="AS760" s="2"/>
      <c r="AT760" s="2"/>
      <c r="AU760" s="2"/>
    </row>
    <row r="761" spans="1:47" x14ac:dyDescent="0.25">
      <c r="A761" s="24"/>
      <c r="B761" s="24"/>
      <c r="C761" s="24"/>
      <c r="D761" s="24"/>
      <c r="E761" s="24"/>
      <c r="F761" s="24"/>
      <c r="G761" s="24"/>
      <c r="H761" s="26"/>
      <c r="I761" s="24"/>
      <c r="J761" s="25"/>
      <c r="K761" s="25"/>
      <c r="L761" s="24"/>
      <c r="M761" s="25"/>
      <c r="N761" s="24"/>
      <c r="O761" s="24"/>
      <c r="P761" s="24"/>
      <c r="Q761" s="24"/>
      <c r="R761" s="24"/>
      <c r="S761" s="25"/>
      <c r="T761" s="24"/>
      <c r="U761" s="24"/>
      <c r="V761" s="25"/>
      <c r="W761" s="24"/>
      <c r="X761" s="24"/>
      <c r="Y761" s="24"/>
      <c r="Z761" s="24"/>
      <c r="AA761" s="24"/>
      <c r="AB761" s="24"/>
      <c r="AC761" s="2"/>
      <c r="AD761" s="2"/>
      <c r="AE761" s="2"/>
      <c r="AF761" s="2"/>
      <c r="AG761" s="2"/>
      <c r="AH761" s="2" t="e">
        <f>VLOOKUP(F761,vlookup!$A$2:$E$660,3,0)</f>
        <v>#N/A</v>
      </c>
      <c r="AI761" s="2"/>
      <c r="AJ761" s="2"/>
      <c r="AK761" s="2"/>
      <c r="AL761" s="2"/>
      <c r="AM761" s="2"/>
      <c r="AO761" s="2"/>
      <c r="AP761" s="2"/>
      <c r="AQ761" s="2"/>
      <c r="AR761" s="2"/>
      <c r="AS761" s="2"/>
      <c r="AT761" s="2"/>
      <c r="AU761" s="2"/>
    </row>
    <row r="762" spans="1:47" x14ac:dyDescent="0.25">
      <c r="A762" s="24"/>
      <c r="B762" s="24"/>
      <c r="C762" s="24"/>
      <c r="D762" s="24"/>
      <c r="E762" s="24"/>
      <c r="F762" s="24"/>
      <c r="G762" s="24"/>
      <c r="H762" s="26"/>
      <c r="I762" s="24"/>
      <c r="J762" s="25"/>
      <c r="K762" s="25"/>
      <c r="L762" s="24"/>
      <c r="M762" s="25"/>
      <c r="N762" s="24"/>
      <c r="O762" s="24"/>
      <c r="P762" s="24"/>
      <c r="Q762" s="24"/>
      <c r="R762" s="24"/>
      <c r="S762" s="25"/>
      <c r="T762" s="24"/>
      <c r="U762" s="24"/>
      <c r="V762" s="25"/>
      <c r="W762" s="24"/>
      <c r="X762" s="24"/>
      <c r="Y762" s="24"/>
      <c r="Z762" s="24"/>
      <c r="AA762" s="24"/>
      <c r="AB762" s="24"/>
      <c r="AC762" s="2"/>
      <c r="AD762" s="2"/>
      <c r="AE762" s="2"/>
      <c r="AF762" s="2"/>
      <c r="AG762" s="2"/>
      <c r="AH762" s="2" t="e">
        <f>VLOOKUP(F762,vlookup!$A$2:$E$660,3,0)</f>
        <v>#N/A</v>
      </c>
      <c r="AI762" s="2"/>
      <c r="AJ762" s="2"/>
      <c r="AK762" s="2"/>
      <c r="AL762" s="2"/>
      <c r="AM762" s="2"/>
      <c r="AO762" s="2"/>
      <c r="AP762" s="2"/>
      <c r="AQ762" s="2"/>
      <c r="AR762" s="2"/>
      <c r="AS762" s="2"/>
      <c r="AT762" s="2"/>
      <c r="AU762" s="2"/>
    </row>
    <row r="763" spans="1:47" x14ac:dyDescent="0.25">
      <c r="A763" s="24"/>
      <c r="B763" s="24"/>
      <c r="C763" s="24"/>
      <c r="D763" s="24"/>
      <c r="E763" s="24"/>
      <c r="F763" s="24"/>
      <c r="G763" s="24"/>
      <c r="H763" s="26"/>
      <c r="I763" s="24"/>
      <c r="J763" s="25"/>
      <c r="K763" s="25"/>
      <c r="L763" s="24"/>
      <c r="M763" s="25"/>
      <c r="N763" s="24"/>
      <c r="O763" s="24"/>
      <c r="P763" s="24"/>
      <c r="Q763" s="24"/>
      <c r="R763" s="24"/>
      <c r="S763" s="25"/>
      <c r="T763" s="24"/>
      <c r="U763" s="24"/>
      <c r="V763" s="25"/>
      <c r="W763" s="24"/>
      <c r="X763" s="24"/>
      <c r="Y763" s="24"/>
      <c r="Z763" s="24"/>
      <c r="AA763" s="24"/>
      <c r="AB763" s="24"/>
      <c r="AC763" s="2"/>
      <c r="AD763" s="2"/>
      <c r="AE763" s="2"/>
      <c r="AF763" s="2"/>
      <c r="AG763" s="2"/>
      <c r="AH763" s="2" t="e">
        <f>VLOOKUP(F763,vlookup!$A$2:$E$660,3,0)</f>
        <v>#N/A</v>
      </c>
      <c r="AI763" s="2"/>
      <c r="AJ763" s="2"/>
      <c r="AK763" s="2"/>
      <c r="AL763" s="2"/>
      <c r="AM763" s="2"/>
      <c r="AO763" s="2"/>
      <c r="AP763" s="2"/>
      <c r="AQ763" s="2"/>
      <c r="AR763" s="2"/>
      <c r="AS763" s="2"/>
      <c r="AT763" s="2"/>
      <c r="AU763" s="2"/>
    </row>
    <row r="764" spans="1:47" x14ac:dyDescent="0.25">
      <c r="A764" s="24"/>
      <c r="B764" s="24"/>
      <c r="C764" s="24"/>
      <c r="D764" s="24"/>
      <c r="E764" s="24"/>
      <c r="F764" s="24"/>
      <c r="G764" s="24"/>
      <c r="H764" s="26"/>
      <c r="I764" s="24"/>
      <c r="J764" s="25"/>
      <c r="K764" s="25"/>
      <c r="L764" s="24"/>
      <c r="M764" s="25"/>
      <c r="N764" s="24"/>
      <c r="O764" s="24"/>
      <c r="P764" s="24"/>
      <c r="Q764" s="24"/>
      <c r="R764" s="24"/>
      <c r="S764" s="25"/>
      <c r="T764" s="24"/>
      <c r="U764" s="24"/>
      <c r="V764" s="25"/>
      <c r="W764" s="24"/>
      <c r="X764" s="24"/>
      <c r="Y764" s="24"/>
      <c r="Z764" s="24"/>
      <c r="AA764" s="24"/>
      <c r="AB764" s="24"/>
      <c r="AC764" s="2"/>
      <c r="AD764" s="2"/>
      <c r="AE764" s="2"/>
      <c r="AF764" s="2"/>
      <c r="AG764" s="2"/>
      <c r="AH764" s="2" t="e">
        <f>VLOOKUP(F764,vlookup!$A$2:$E$660,3,0)</f>
        <v>#N/A</v>
      </c>
      <c r="AI764" s="2"/>
      <c r="AJ764" s="2"/>
      <c r="AK764" s="2"/>
      <c r="AL764" s="2"/>
      <c r="AM764" s="2"/>
      <c r="AO764" s="2"/>
      <c r="AP764" s="2"/>
      <c r="AQ764" s="2"/>
      <c r="AR764" s="2"/>
      <c r="AS764" s="2"/>
      <c r="AT764" s="2"/>
      <c r="AU764" s="2"/>
    </row>
    <row r="765" spans="1:47" x14ac:dyDescent="0.25">
      <c r="A765" s="24"/>
      <c r="B765" s="24"/>
      <c r="C765" s="24"/>
      <c r="D765" s="24"/>
      <c r="E765" s="24"/>
      <c r="F765" s="24"/>
      <c r="G765" s="24"/>
      <c r="H765" s="26"/>
      <c r="I765" s="24"/>
      <c r="J765" s="25"/>
      <c r="K765" s="25"/>
      <c r="L765" s="24"/>
      <c r="M765" s="25"/>
      <c r="N765" s="24"/>
      <c r="O765" s="24"/>
      <c r="P765" s="24"/>
      <c r="Q765" s="24"/>
      <c r="R765" s="24"/>
      <c r="S765" s="25"/>
      <c r="T765" s="24"/>
      <c r="U765" s="24"/>
      <c r="V765" s="25"/>
      <c r="W765" s="24"/>
      <c r="X765" s="24"/>
      <c r="Y765" s="24"/>
      <c r="Z765" s="24"/>
      <c r="AA765" s="24"/>
      <c r="AB765" s="24"/>
      <c r="AC765" s="2"/>
      <c r="AD765" s="2"/>
      <c r="AE765" s="2"/>
      <c r="AF765" s="2"/>
      <c r="AG765" s="2"/>
      <c r="AH765" s="2" t="e">
        <f>VLOOKUP(F765,vlookup!$A$2:$E$660,3,0)</f>
        <v>#N/A</v>
      </c>
      <c r="AI765" s="2"/>
      <c r="AJ765" s="2"/>
      <c r="AK765" s="2"/>
      <c r="AL765" s="2"/>
      <c r="AM765" s="2"/>
      <c r="AO765" s="2"/>
      <c r="AP765" s="2"/>
      <c r="AQ765" s="2"/>
      <c r="AR765" s="2"/>
      <c r="AS765" s="2"/>
      <c r="AT765" s="2"/>
      <c r="AU765" s="2"/>
    </row>
    <row r="766" spans="1:47" x14ac:dyDescent="0.25">
      <c r="A766" s="24"/>
      <c r="B766" s="24"/>
      <c r="C766" s="24"/>
      <c r="D766" s="24"/>
      <c r="E766" s="24"/>
      <c r="F766" s="24"/>
      <c r="G766" s="24"/>
      <c r="H766" s="26"/>
      <c r="I766" s="24"/>
      <c r="J766" s="25"/>
      <c r="K766" s="25"/>
      <c r="L766" s="24"/>
      <c r="M766" s="25"/>
      <c r="N766" s="24"/>
      <c r="O766" s="24"/>
      <c r="P766" s="24"/>
      <c r="Q766" s="24"/>
      <c r="R766" s="24"/>
      <c r="S766" s="25"/>
      <c r="T766" s="24"/>
      <c r="U766" s="24"/>
      <c r="V766" s="25"/>
      <c r="W766" s="24"/>
      <c r="X766" s="24"/>
      <c r="Y766" s="24"/>
      <c r="Z766" s="24"/>
      <c r="AA766" s="24"/>
      <c r="AB766" s="24"/>
      <c r="AC766" s="2"/>
      <c r="AD766" s="2"/>
      <c r="AE766" s="2"/>
      <c r="AF766" s="2"/>
      <c r="AG766" s="2"/>
      <c r="AH766" s="2" t="e">
        <f>VLOOKUP(F766,vlookup!$A$2:$E$660,3,0)</f>
        <v>#N/A</v>
      </c>
      <c r="AI766" s="2"/>
      <c r="AJ766" s="2"/>
      <c r="AK766" s="2"/>
      <c r="AL766" s="2"/>
      <c r="AM766" s="2"/>
      <c r="AO766" s="2"/>
      <c r="AP766" s="2"/>
      <c r="AQ766" s="2"/>
      <c r="AR766" s="2"/>
      <c r="AS766" s="2"/>
      <c r="AT766" s="2"/>
      <c r="AU766" s="2"/>
    </row>
    <row r="767" spans="1:47" x14ac:dyDescent="0.25">
      <c r="A767" s="24"/>
      <c r="B767" s="24"/>
      <c r="C767" s="24"/>
      <c r="D767" s="24"/>
      <c r="E767" s="24"/>
      <c r="F767" s="24"/>
      <c r="G767" s="24"/>
      <c r="H767" s="26"/>
      <c r="I767" s="24"/>
      <c r="J767" s="25"/>
      <c r="K767" s="25"/>
      <c r="L767" s="24"/>
      <c r="M767" s="25"/>
      <c r="N767" s="24"/>
      <c r="O767" s="24"/>
      <c r="P767" s="24"/>
      <c r="Q767" s="24"/>
      <c r="R767" s="24"/>
      <c r="S767" s="25"/>
      <c r="T767" s="24"/>
      <c r="U767" s="24"/>
      <c r="V767" s="25"/>
      <c r="W767" s="24"/>
      <c r="X767" s="24"/>
      <c r="Y767" s="24"/>
      <c r="Z767" s="24"/>
      <c r="AA767" s="24"/>
      <c r="AB767" s="24"/>
      <c r="AC767" s="2"/>
      <c r="AD767" s="2"/>
      <c r="AE767" s="2"/>
      <c r="AF767" s="2"/>
      <c r="AG767" s="2"/>
      <c r="AH767" s="2" t="e">
        <f>VLOOKUP(F767,vlookup!$A$2:$E$660,3,0)</f>
        <v>#N/A</v>
      </c>
      <c r="AI767" s="2"/>
      <c r="AJ767" s="2"/>
      <c r="AK767" s="2"/>
      <c r="AL767" s="2"/>
      <c r="AM767" s="2"/>
      <c r="AO767" s="2"/>
      <c r="AP767" s="2"/>
      <c r="AQ767" s="2"/>
      <c r="AR767" s="2"/>
      <c r="AS767" s="2"/>
      <c r="AT767" s="2"/>
      <c r="AU767" s="2"/>
    </row>
    <row r="768" spans="1:47" x14ac:dyDescent="0.25">
      <c r="A768" s="24"/>
      <c r="B768" s="24"/>
      <c r="C768" s="24"/>
      <c r="D768" s="24"/>
      <c r="E768" s="24"/>
      <c r="F768" s="24"/>
      <c r="G768" s="24"/>
      <c r="H768" s="26"/>
      <c r="I768" s="24"/>
      <c r="J768" s="25"/>
      <c r="K768" s="25"/>
      <c r="L768" s="24"/>
      <c r="M768" s="25"/>
      <c r="N768" s="24"/>
      <c r="O768" s="24"/>
      <c r="P768" s="24"/>
      <c r="Q768" s="24"/>
      <c r="R768" s="24"/>
      <c r="S768" s="25"/>
      <c r="T768" s="24"/>
      <c r="U768" s="24"/>
      <c r="V768" s="25"/>
      <c r="W768" s="24"/>
      <c r="X768" s="24"/>
      <c r="Y768" s="24"/>
      <c r="Z768" s="24"/>
      <c r="AA768" s="24"/>
      <c r="AB768" s="24"/>
      <c r="AC768" s="2"/>
      <c r="AD768" s="2"/>
      <c r="AE768" s="2"/>
      <c r="AF768" s="2"/>
      <c r="AG768" s="2"/>
      <c r="AH768" s="2" t="e">
        <f>VLOOKUP(F768,vlookup!$A$2:$E$660,3,0)</f>
        <v>#N/A</v>
      </c>
      <c r="AI768" s="2"/>
      <c r="AJ768" s="2"/>
      <c r="AK768" s="2"/>
      <c r="AL768" s="2"/>
      <c r="AM768" s="2"/>
      <c r="AO768" s="2"/>
      <c r="AP768" s="2"/>
      <c r="AQ768" s="2"/>
      <c r="AR768" s="2"/>
      <c r="AS768" s="2"/>
      <c r="AT768" s="2"/>
      <c r="AU768" s="2"/>
    </row>
    <row r="769" spans="1:47" x14ac:dyDescent="0.25">
      <c r="A769" s="24"/>
      <c r="B769" s="24"/>
      <c r="C769" s="24"/>
      <c r="D769" s="24"/>
      <c r="E769" s="24"/>
      <c r="F769" s="24"/>
      <c r="G769" s="24"/>
      <c r="H769" s="26"/>
      <c r="I769" s="24"/>
      <c r="J769" s="25"/>
      <c r="K769" s="25"/>
      <c r="L769" s="24"/>
      <c r="M769" s="25"/>
      <c r="N769" s="24"/>
      <c r="O769" s="24"/>
      <c r="P769" s="24"/>
      <c r="Q769" s="24"/>
      <c r="R769" s="24"/>
      <c r="S769" s="25"/>
      <c r="T769" s="24"/>
      <c r="U769" s="24"/>
      <c r="V769" s="25"/>
      <c r="W769" s="24"/>
      <c r="X769" s="24"/>
      <c r="Y769" s="24"/>
      <c r="Z769" s="24"/>
      <c r="AA769" s="24"/>
      <c r="AB769" s="24"/>
      <c r="AC769" s="2"/>
      <c r="AD769" s="2"/>
      <c r="AE769" s="2"/>
      <c r="AF769" s="2"/>
      <c r="AG769" s="2"/>
      <c r="AH769" s="2" t="e">
        <f>VLOOKUP(F769,vlookup!$A$2:$E$660,3,0)</f>
        <v>#N/A</v>
      </c>
      <c r="AI769" s="2"/>
      <c r="AJ769" s="2"/>
      <c r="AK769" s="2"/>
      <c r="AL769" s="2"/>
      <c r="AM769" s="2"/>
      <c r="AO769" s="2"/>
      <c r="AP769" s="2"/>
      <c r="AQ769" s="2"/>
      <c r="AR769" s="2"/>
      <c r="AS769" s="2"/>
      <c r="AT769" s="2"/>
      <c r="AU769" s="2"/>
    </row>
    <row r="770" spans="1:47" x14ac:dyDescent="0.25">
      <c r="A770" s="24"/>
      <c r="B770" s="24"/>
      <c r="C770" s="24"/>
      <c r="D770" s="24"/>
      <c r="E770" s="24"/>
      <c r="F770" s="24"/>
      <c r="G770" s="24"/>
      <c r="H770" s="26"/>
      <c r="I770" s="24"/>
      <c r="J770" s="25"/>
      <c r="K770" s="25"/>
      <c r="L770" s="24"/>
      <c r="M770" s="25"/>
      <c r="N770" s="24"/>
      <c r="O770" s="24"/>
      <c r="P770" s="24"/>
      <c r="Q770" s="24"/>
      <c r="R770" s="24"/>
      <c r="S770" s="25"/>
      <c r="T770" s="24"/>
      <c r="U770" s="24"/>
      <c r="V770" s="25"/>
      <c r="W770" s="24"/>
      <c r="X770" s="24"/>
      <c r="Y770" s="24"/>
      <c r="Z770" s="24"/>
      <c r="AA770" s="24"/>
      <c r="AB770" s="24"/>
      <c r="AC770" s="2"/>
      <c r="AD770" s="2"/>
      <c r="AE770" s="2"/>
      <c r="AF770" s="2"/>
      <c r="AG770" s="2"/>
      <c r="AH770" s="2" t="e">
        <f>VLOOKUP(F770,vlookup!$A$2:$E$660,3,0)</f>
        <v>#N/A</v>
      </c>
      <c r="AI770" s="2"/>
      <c r="AJ770" s="2"/>
      <c r="AK770" s="2"/>
      <c r="AL770" s="2"/>
      <c r="AM770" s="2"/>
      <c r="AO770" s="2"/>
      <c r="AP770" s="2"/>
      <c r="AQ770" s="2"/>
      <c r="AR770" s="2"/>
      <c r="AS770" s="2"/>
      <c r="AT770" s="2"/>
      <c r="AU770" s="2"/>
    </row>
    <row r="771" spans="1:47" x14ac:dyDescent="0.25">
      <c r="A771" s="24"/>
      <c r="B771" s="24"/>
      <c r="C771" s="24"/>
      <c r="D771" s="24"/>
      <c r="E771" s="24"/>
      <c r="F771" s="24"/>
      <c r="G771" s="24"/>
      <c r="H771" s="26"/>
      <c r="I771" s="24"/>
      <c r="J771" s="25"/>
      <c r="K771" s="25"/>
      <c r="L771" s="24"/>
      <c r="M771" s="25"/>
      <c r="N771" s="24"/>
      <c r="O771" s="24"/>
      <c r="P771" s="24"/>
      <c r="Q771" s="24"/>
      <c r="R771" s="24"/>
      <c r="S771" s="25"/>
      <c r="T771" s="24"/>
      <c r="U771" s="24"/>
      <c r="V771" s="25"/>
      <c r="W771" s="24"/>
      <c r="X771" s="24"/>
      <c r="Y771" s="24"/>
      <c r="Z771" s="24"/>
      <c r="AA771" s="24"/>
      <c r="AB771" s="24"/>
      <c r="AC771" s="2"/>
      <c r="AD771" s="2"/>
      <c r="AE771" s="2"/>
      <c r="AF771" s="2"/>
      <c r="AG771" s="2"/>
      <c r="AH771" s="2" t="e">
        <f>VLOOKUP(F771,vlookup!$A$2:$E$660,3,0)</f>
        <v>#N/A</v>
      </c>
      <c r="AI771" s="2"/>
      <c r="AJ771" s="2"/>
      <c r="AK771" s="2"/>
      <c r="AL771" s="2"/>
      <c r="AM771" s="2"/>
      <c r="AO771" s="2"/>
      <c r="AP771" s="2"/>
      <c r="AQ771" s="2"/>
      <c r="AR771" s="2"/>
      <c r="AS771" s="2"/>
      <c r="AT771" s="2"/>
      <c r="AU771" s="2"/>
    </row>
    <row r="772" spans="1:47" x14ac:dyDescent="0.25">
      <c r="A772" s="24"/>
      <c r="B772" s="24"/>
      <c r="C772" s="24"/>
      <c r="D772" s="24"/>
      <c r="E772" s="24"/>
      <c r="F772" s="24"/>
      <c r="G772" s="24"/>
      <c r="H772" s="26"/>
      <c r="I772" s="24"/>
      <c r="J772" s="25"/>
      <c r="K772" s="25"/>
      <c r="L772" s="24"/>
      <c r="M772" s="25"/>
      <c r="N772" s="24"/>
      <c r="O772" s="24"/>
      <c r="P772" s="24"/>
      <c r="Q772" s="24"/>
      <c r="R772" s="24"/>
      <c r="S772" s="25"/>
      <c r="T772" s="24"/>
      <c r="U772" s="24"/>
      <c r="V772" s="25"/>
      <c r="W772" s="24"/>
      <c r="X772" s="24"/>
      <c r="Y772" s="24"/>
      <c r="Z772" s="24"/>
      <c r="AA772" s="24"/>
      <c r="AB772" s="24"/>
      <c r="AC772" s="2"/>
      <c r="AD772" s="2"/>
      <c r="AE772" s="2"/>
      <c r="AF772" s="2"/>
      <c r="AG772" s="2"/>
      <c r="AH772" s="2" t="e">
        <f>VLOOKUP(F772,vlookup!$A$2:$E$660,3,0)</f>
        <v>#N/A</v>
      </c>
      <c r="AI772" s="2"/>
      <c r="AJ772" s="2"/>
      <c r="AK772" s="2"/>
      <c r="AL772" s="2"/>
      <c r="AM772" s="2"/>
      <c r="AO772" s="2"/>
      <c r="AP772" s="2"/>
      <c r="AQ772" s="2"/>
      <c r="AR772" s="2"/>
      <c r="AS772" s="2"/>
      <c r="AT772" s="2"/>
      <c r="AU772" s="2"/>
    </row>
    <row r="773" spans="1:47" x14ac:dyDescent="0.25">
      <c r="A773" s="24"/>
      <c r="B773" s="24"/>
      <c r="C773" s="24"/>
      <c r="D773" s="24"/>
      <c r="E773" s="24"/>
      <c r="F773" s="24"/>
      <c r="G773" s="24"/>
      <c r="H773" s="26"/>
      <c r="I773" s="24"/>
      <c r="J773" s="25"/>
      <c r="K773" s="25"/>
      <c r="L773" s="24"/>
      <c r="M773" s="25"/>
      <c r="N773" s="24"/>
      <c r="O773" s="24"/>
      <c r="P773" s="24"/>
      <c r="Q773" s="24"/>
      <c r="R773" s="24"/>
      <c r="S773" s="25"/>
      <c r="T773" s="24"/>
      <c r="U773" s="24"/>
      <c r="V773" s="25"/>
      <c r="W773" s="24"/>
      <c r="X773" s="24"/>
      <c r="Y773" s="24"/>
      <c r="Z773" s="24"/>
      <c r="AA773" s="24"/>
      <c r="AB773" s="24"/>
      <c r="AC773" s="2"/>
      <c r="AD773" s="2"/>
      <c r="AE773" s="2"/>
      <c r="AF773" s="2"/>
      <c r="AG773" s="2"/>
      <c r="AH773" s="2" t="e">
        <f>VLOOKUP(F773,vlookup!$A$2:$E$660,3,0)</f>
        <v>#N/A</v>
      </c>
      <c r="AI773" s="2"/>
      <c r="AJ773" s="2"/>
      <c r="AK773" s="2"/>
      <c r="AL773" s="2"/>
      <c r="AM773" s="2"/>
      <c r="AO773" s="2"/>
      <c r="AP773" s="2"/>
      <c r="AQ773" s="2"/>
      <c r="AR773" s="2"/>
      <c r="AS773" s="2"/>
      <c r="AT773" s="2"/>
      <c r="AU773" s="2"/>
    </row>
    <row r="774" spans="1:47" x14ac:dyDescent="0.25">
      <c r="A774" s="24"/>
      <c r="B774" s="24"/>
      <c r="C774" s="24"/>
      <c r="D774" s="24"/>
      <c r="E774" s="24"/>
      <c r="F774" s="24"/>
      <c r="G774" s="24"/>
      <c r="H774" s="26"/>
      <c r="I774" s="24"/>
      <c r="J774" s="25"/>
      <c r="K774" s="25"/>
      <c r="L774" s="24"/>
      <c r="M774" s="25"/>
      <c r="N774" s="24"/>
      <c r="O774" s="24"/>
      <c r="P774" s="24"/>
      <c r="Q774" s="24"/>
      <c r="R774" s="24"/>
      <c r="S774" s="25"/>
      <c r="T774" s="24"/>
      <c r="U774" s="24"/>
      <c r="V774" s="25"/>
      <c r="W774" s="24"/>
      <c r="X774" s="24"/>
      <c r="Y774" s="24"/>
      <c r="Z774" s="24"/>
      <c r="AA774" s="24"/>
      <c r="AB774" s="24"/>
      <c r="AC774" s="2"/>
      <c r="AD774" s="2"/>
      <c r="AE774" s="2"/>
      <c r="AF774" s="2"/>
      <c r="AG774" s="2"/>
      <c r="AH774" s="2" t="e">
        <f>VLOOKUP(F774,vlookup!$A$2:$E$660,3,0)</f>
        <v>#N/A</v>
      </c>
      <c r="AI774" s="2"/>
      <c r="AJ774" s="2"/>
      <c r="AK774" s="2"/>
      <c r="AL774" s="2"/>
      <c r="AM774" s="2"/>
      <c r="AO774" s="2"/>
      <c r="AP774" s="2"/>
      <c r="AQ774" s="2"/>
      <c r="AR774" s="2"/>
      <c r="AS774" s="2"/>
      <c r="AT774" s="2"/>
      <c r="AU774" s="2"/>
    </row>
    <row r="775" spans="1:47" x14ac:dyDescent="0.25">
      <c r="A775" s="24"/>
      <c r="B775" s="24"/>
      <c r="C775" s="24"/>
      <c r="D775" s="24"/>
      <c r="E775" s="24"/>
      <c r="F775" s="24"/>
      <c r="G775" s="24"/>
      <c r="H775" s="26"/>
      <c r="I775" s="24"/>
      <c r="J775" s="25"/>
      <c r="K775" s="25"/>
      <c r="L775" s="24"/>
      <c r="M775" s="25"/>
      <c r="N775" s="24"/>
      <c r="O775" s="24"/>
      <c r="P775" s="24"/>
      <c r="Q775" s="24"/>
      <c r="R775" s="24"/>
      <c r="S775" s="25"/>
      <c r="T775" s="24"/>
      <c r="U775" s="24"/>
      <c r="V775" s="25"/>
      <c r="W775" s="24"/>
      <c r="X775" s="24"/>
      <c r="Y775" s="24"/>
      <c r="Z775" s="24"/>
      <c r="AA775" s="24"/>
      <c r="AB775" s="24"/>
      <c r="AC775" s="2"/>
      <c r="AD775" s="2"/>
      <c r="AE775" s="2"/>
      <c r="AF775" s="2"/>
      <c r="AG775" s="2"/>
      <c r="AH775" s="2" t="e">
        <f>VLOOKUP(F775,vlookup!$A$2:$E$660,3,0)</f>
        <v>#N/A</v>
      </c>
      <c r="AI775" s="2"/>
      <c r="AJ775" s="2"/>
      <c r="AK775" s="2"/>
      <c r="AL775" s="2"/>
      <c r="AM775" s="2"/>
      <c r="AO775" s="2"/>
      <c r="AP775" s="2"/>
      <c r="AQ775" s="2"/>
      <c r="AR775" s="2"/>
      <c r="AS775" s="2"/>
      <c r="AT775" s="2"/>
      <c r="AU775" s="2"/>
    </row>
    <row r="776" spans="1:47" x14ac:dyDescent="0.25">
      <c r="A776" s="24"/>
      <c r="B776" s="24"/>
      <c r="C776" s="24"/>
      <c r="D776" s="24"/>
      <c r="E776" s="24"/>
      <c r="F776" s="24"/>
      <c r="G776" s="24"/>
      <c r="H776" s="26"/>
      <c r="I776" s="24"/>
      <c r="J776" s="25"/>
      <c r="K776" s="25"/>
      <c r="L776" s="24"/>
      <c r="M776" s="25"/>
      <c r="N776" s="24"/>
      <c r="O776" s="24"/>
      <c r="P776" s="24"/>
      <c r="Q776" s="24"/>
      <c r="R776" s="24"/>
      <c r="S776" s="25"/>
      <c r="T776" s="24"/>
      <c r="U776" s="24"/>
      <c r="V776" s="25"/>
      <c r="W776" s="24"/>
      <c r="X776" s="24"/>
      <c r="Y776" s="24"/>
      <c r="Z776" s="24"/>
      <c r="AA776" s="24"/>
      <c r="AB776" s="24"/>
      <c r="AC776" s="2"/>
      <c r="AD776" s="2"/>
      <c r="AE776" s="2"/>
      <c r="AF776" s="2"/>
      <c r="AG776" s="2"/>
      <c r="AH776" s="2" t="e">
        <f>VLOOKUP(F776,vlookup!$A$2:$E$660,3,0)</f>
        <v>#N/A</v>
      </c>
      <c r="AI776" s="2"/>
      <c r="AJ776" s="2"/>
      <c r="AK776" s="2"/>
      <c r="AL776" s="2"/>
      <c r="AM776" s="2"/>
      <c r="AO776" s="2"/>
      <c r="AP776" s="2"/>
      <c r="AQ776" s="2"/>
      <c r="AR776" s="2"/>
      <c r="AS776" s="2"/>
      <c r="AT776" s="2"/>
      <c r="AU776" s="2"/>
    </row>
    <row r="777" spans="1:47" x14ac:dyDescent="0.25">
      <c r="A777" s="24"/>
      <c r="B777" s="24"/>
      <c r="C777" s="24"/>
      <c r="D777" s="24"/>
      <c r="E777" s="24"/>
      <c r="F777" s="24"/>
      <c r="G777" s="24"/>
      <c r="H777" s="26"/>
      <c r="I777" s="24"/>
      <c r="J777" s="25"/>
      <c r="K777" s="25"/>
      <c r="L777" s="24"/>
      <c r="M777" s="25"/>
      <c r="N777" s="24"/>
      <c r="O777" s="24"/>
      <c r="P777" s="24"/>
      <c r="Q777" s="24"/>
      <c r="R777" s="24"/>
      <c r="S777" s="25"/>
      <c r="T777" s="24"/>
      <c r="U777" s="24"/>
      <c r="V777" s="25"/>
      <c r="W777" s="24"/>
      <c r="X777" s="24"/>
      <c r="Y777" s="24"/>
      <c r="Z777" s="24"/>
      <c r="AA777" s="24"/>
      <c r="AB777" s="24"/>
      <c r="AC777" s="2"/>
      <c r="AD777" s="2"/>
      <c r="AE777" s="2"/>
      <c r="AF777" s="2"/>
      <c r="AG777" s="2"/>
      <c r="AH777" s="2" t="e">
        <f>VLOOKUP(F777,vlookup!$A$2:$E$660,3,0)</f>
        <v>#N/A</v>
      </c>
      <c r="AI777" s="2"/>
      <c r="AJ777" s="2"/>
      <c r="AK777" s="2"/>
      <c r="AL777" s="2"/>
      <c r="AM777" s="2"/>
      <c r="AO777" s="2"/>
      <c r="AP777" s="2"/>
      <c r="AQ777" s="2"/>
      <c r="AR777" s="2"/>
      <c r="AS777" s="2"/>
      <c r="AT777" s="2"/>
      <c r="AU777" s="2"/>
    </row>
    <row r="778" spans="1:47" x14ac:dyDescent="0.25">
      <c r="A778" s="24"/>
      <c r="B778" s="24"/>
      <c r="C778" s="24"/>
      <c r="D778" s="24"/>
      <c r="E778" s="24"/>
      <c r="F778" s="24"/>
      <c r="G778" s="24"/>
      <c r="H778" s="26"/>
      <c r="I778" s="24"/>
      <c r="J778" s="25"/>
      <c r="K778" s="25"/>
      <c r="L778" s="24"/>
      <c r="M778" s="25"/>
      <c r="N778" s="24"/>
      <c r="O778" s="24"/>
      <c r="P778" s="24"/>
      <c r="Q778" s="24"/>
      <c r="R778" s="24"/>
      <c r="S778" s="25"/>
      <c r="T778" s="24"/>
      <c r="U778" s="24"/>
      <c r="V778" s="25"/>
      <c r="W778" s="24"/>
      <c r="X778" s="24"/>
      <c r="Y778" s="24"/>
      <c r="Z778" s="24"/>
      <c r="AA778" s="24"/>
      <c r="AB778" s="24"/>
      <c r="AC778" s="2"/>
      <c r="AD778" s="2"/>
      <c r="AE778" s="2"/>
      <c r="AF778" s="2"/>
      <c r="AG778" s="2"/>
      <c r="AH778" s="2" t="e">
        <f>VLOOKUP(F778,vlookup!$A$2:$E$660,3,0)</f>
        <v>#N/A</v>
      </c>
      <c r="AI778" s="2"/>
      <c r="AJ778" s="2"/>
      <c r="AK778" s="2"/>
      <c r="AL778" s="2"/>
      <c r="AM778" s="2"/>
      <c r="AO778" s="2"/>
      <c r="AP778" s="2"/>
      <c r="AQ778" s="2"/>
      <c r="AR778" s="2"/>
      <c r="AS778" s="2"/>
      <c r="AT778" s="2"/>
      <c r="AU778" s="2"/>
    </row>
    <row r="779" spans="1:47" x14ac:dyDescent="0.25">
      <c r="A779" s="24"/>
      <c r="B779" s="24"/>
      <c r="C779" s="24"/>
      <c r="D779" s="24"/>
      <c r="E779" s="24"/>
      <c r="F779" s="24"/>
      <c r="G779" s="24"/>
      <c r="H779" s="26"/>
      <c r="I779" s="24"/>
      <c r="J779" s="25"/>
      <c r="K779" s="25"/>
      <c r="L779" s="24"/>
      <c r="M779" s="25"/>
      <c r="N779" s="24"/>
      <c r="O779" s="24"/>
      <c r="P779" s="24"/>
      <c r="Q779" s="24"/>
      <c r="R779" s="24"/>
      <c r="S779" s="25"/>
      <c r="T779" s="24"/>
      <c r="U779" s="24"/>
      <c r="V779" s="25"/>
      <c r="W779" s="24"/>
      <c r="X779" s="24"/>
      <c r="Y779" s="24"/>
      <c r="Z779" s="24"/>
      <c r="AA779" s="24"/>
      <c r="AB779" s="24"/>
      <c r="AC779" s="2"/>
      <c r="AD779" s="2"/>
      <c r="AE779" s="2"/>
      <c r="AF779" s="2"/>
      <c r="AG779" s="2"/>
      <c r="AH779" s="2" t="e">
        <f>VLOOKUP(F779,vlookup!$A$2:$E$660,3,0)</f>
        <v>#N/A</v>
      </c>
      <c r="AI779" s="2"/>
      <c r="AJ779" s="2"/>
      <c r="AK779" s="2"/>
      <c r="AL779" s="2"/>
      <c r="AM779" s="2"/>
      <c r="AO779" s="2"/>
      <c r="AP779" s="2"/>
      <c r="AQ779" s="2"/>
      <c r="AR779" s="2"/>
      <c r="AS779" s="2"/>
      <c r="AT779" s="2"/>
      <c r="AU779" s="2"/>
    </row>
    <row r="780" spans="1:47" x14ac:dyDescent="0.25">
      <c r="A780" s="24"/>
      <c r="B780" s="24"/>
      <c r="C780" s="24"/>
      <c r="D780" s="24"/>
      <c r="E780" s="24"/>
      <c r="F780" s="24"/>
      <c r="G780" s="24"/>
      <c r="H780" s="26"/>
      <c r="I780" s="24"/>
      <c r="J780" s="25"/>
      <c r="K780" s="25"/>
      <c r="L780" s="24"/>
      <c r="M780" s="25"/>
      <c r="N780" s="24"/>
      <c r="O780" s="24"/>
      <c r="P780" s="24"/>
      <c r="Q780" s="24"/>
      <c r="R780" s="24"/>
      <c r="S780" s="25"/>
      <c r="T780" s="24"/>
      <c r="U780" s="24"/>
      <c r="V780" s="25"/>
      <c r="W780" s="24"/>
      <c r="X780" s="24"/>
      <c r="Y780" s="24"/>
      <c r="Z780" s="24"/>
      <c r="AA780" s="24"/>
      <c r="AB780" s="24"/>
      <c r="AC780" s="2"/>
      <c r="AD780" s="2"/>
      <c r="AE780" s="2"/>
      <c r="AF780" s="2"/>
      <c r="AG780" s="2"/>
      <c r="AH780" s="2" t="e">
        <f>VLOOKUP(F780,vlookup!$A$2:$E$660,3,0)</f>
        <v>#N/A</v>
      </c>
      <c r="AI780" s="2"/>
      <c r="AJ780" s="2"/>
      <c r="AK780" s="2"/>
      <c r="AL780" s="2"/>
      <c r="AM780" s="2"/>
      <c r="AO780" s="2"/>
      <c r="AP780" s="2"/>
      <c r="AQ780" s="2"/>
      <c r="AR780" s="2"/>
      <c r="AS780" s="2"/>
      <c r="AT780" s="2"/>
      <c r="AU780" s="2"/>
    </row>
    <row r="781" spans="1:47" x14ac:dyDescent="0.25">
      <c r="A781" s="24"/>
      <c r="B781" s="24"/>
      <c r="C781" s="24"/>
      <c r="D781" s="24"/>
      <c r="E781" s="24"/>
      <c r="F781" s="24"/>
      <c r="G781" s="24"/>
      <c r="H781" s="26"/>
      <c r="I781" s="24"/>
      <c r="J781" s="25"/>
      <c r="K781" s="25"/>
      <c r="L781" s="24"/>
      <c r="M781" s="25"/>
      <c r="N781" s="24"/>
      <c r="O781" s="24"/>
      <c r="P781" s="24"/>
      <c r="Q781" s="24"/>
      <c r="R781" s="24"/>
      <c r="S781" s="25"/>
      <c r="T781" s="24"/>
      <c r="U781" s="24"/>
      <c r="V781" s="25"/>
      <c r="W781" s="24"/>
      <c r="X781" s="24"/>
      <c r="Y781" s="24"/>
      <c r="Z781" s="24"/>
      <c r="AA781" s="24"/>
      <c r="AB781" s="24"/>
      <c r="AC781" s="2"/>
      <c r="AD781" s="2"/>
      <c r="AE781" s="2"/>
      <c r="AF781" s="2"/>
      <c r="AG781" s="2"/>
      <c r="AH781" s="2" t="e">
        <f>VLOOKUP(F781,vlookup!$A$2:$E$660,3,0)</f>
        <v>#N/A</v>
      </c>
      <c r="AI781" s="2"/>
      <c r="AJ781" s="2"/>
      <c r="AK781" s="2"/>
      <c r="AL781" s="2"/>
      <c r="AM781" s="2"/>
      <c r="AO781" s="2"/>
      <c r="AP781" s="2"/>
      <c r="AQ781" s="2"/>
      <c r="AR781" s="2"/>
      <c r="AS781" s="2"/>
      <c r="AT781" s="2"/>
      <c r="AU781" s="2"/>
    </row>
    <row r="782" spans="1:47" x14ac:dyDescent="0.25">
      <c r="A782" s="24"/>
      <c r="B782" s="24"/>
      <c r="C782" s="24"/>
      <c r="D782" s="24"/>
      <c r="E782" s="24"/>
      <c r="F782" s="24"/>
      <c r="G782" s="24"/>
      <c r="H782" s="26"/>
      <c r="I782" s="24"/>
      <c r="J782" s="25"/>
      <c r="K782" s="25"/>
      <c r="L782" s="24"/>
      <c r="M782" s="25"/>
      <c r="N782" s="24"/>
      <c r="O782" s="24"/>
      <c r="P782" s="24"/>
      <c r="Q782" s="24"/>
      <c r="R782" s="24"/>
      <c r="S782" s="25"/>
      <c r="T782" s="24"/>
      <c r="U782" s="24"/>
      <c r="V782" s="25"/>
      <c r="W782" s="24"/>
      <c r="X782" s="24"/>
      <c r="Y782" s="24"/>
      <c r="Z782" s="24"/>
      <c r="AA782" s="24"/>
      <c r="AB782" s="24"/>
      <c r="AC782" s="2"/>
      <c r="AD782" s="2"/>
      <c r="AE782" s="2"/>
      <c r="AF782" s="2"/>
      <c r="AG782" s="2"/>
      <c r="AH782" s="2" t="e">
        <f>VLOOKUP(F782,vlookup!$A$2:$E$660,3,0)</f>
        <v>#N/A</v>
      </c>
      <c r="AI782" s="2"/>
      <c r="AJ782" s="2"/>
      <c r="AK782" s="2"/>
      <c r="AL782" s="2"/>
      <c r="AM782" s="2"/>
      <c r="AO782" s="2"/>
      <c r="AP782" s="2"/>
      <c r="AQ782" s="2"/>
      <c r="AR782" s="2"/>
      <c r="AS782" s="2"/>
      <c r="AT782" s="2"/>
      <c r="AU782" s="2"/>
    </row>
    <row r="783" spans="1:47" x14ac:dyDescent="0.25">
      <c r="A783" s="24"/>
      <c r="B783" s="24"/>
      <c r="C783" s="24"/>
      <c r="D783" s="24"/>
      <c r="E783" s="24"/>
      <c r="F783" s="24"/>
      <c r="G783" s="24"/>
      <c r="H783" s="26"/>
      <c r="I783" s="24"/>
      <c r="J783" s="25"/>
      <c r="K783" s="25"/>
      <c r="L783" s="24"/>
      <c r="M783" s="25"/>
      <c r="N783" s="24"/>
      <c r="O783" s="24"/>
      <c r="P783" s="24"/>
      <c r="Q783" s="24"/>
      <c r="R783" s="24"/>
      <c r="S783" s="25"/>
      <c r="T783" s="24"/>
      <c r="U783" s="24"/>
      <c r="V783" s="25"/>
      <c r="W783" s="24"/>
      <c r="X783" s="24"/>
      <c r="Y783" s="24"/>
      <c r="Z783" s="24"/>
      <c r="AA783" s="24"/>
      <c r="AB783" s="24"/>
      <c r="AC783" s="2"/>
      <c r="AD783" s="2"/>
      <c r="AE783" s="2"/>
      <c r="AF783" s="2"/>
      <c r="AG783" s="2"/>
      <c r="AH783" s="2" t="e">
        <f>VLOOKUP(F783,vlookup!$A$2:$E$660,3,0)</f>
        <v>#N/A</v>
      </c>
      <c r="AI783" s="2"/>
      <c r="AJ783" s="2"/>
      <c r="AK783" s="2"/>
      <c r="AL783" s="2"/>
      <c r="AM783" s="2"/>
      <c r="AO783" s="2"/>
      <c r="AP783" s="2"/>
      <c r="AQ783" s="2"/>
      <c r="AR783" s="2"/>
      <c r="AS783" s="2"/>
      <c r="AT783" s="2"/>
      <c r="AU783" s="2"/>
    </row>
    <row r="784" spans="1:47" x14ac:dyDescent="0.25">
      <c r="A784" s="24"/>
      <c r="B784" s="24"/>
      <c r="C784" s="24"/>
      <c r="D784" s="24"/>
      <c r="E784" s="24"/>
      <c r="F784" s="24"/>
      <c r="G784" s="24"/>
      <c r="H784" s="26"/>
      <c r="I784" s="24"/>
      <c r="J784" s="25"/>
      <c r="K784" s="25"/>
      <c r="L784" s="24"/>
      <c r="M784" s="25"/>
      <c r="N784" s="24"/>
      <c r="O784" s="24"/>
      <c r="P784" s="24"/>
      <c r="Q784" s="24"/>
      <c r="R784" s="24"/>
      <c r="S784" s="25"/>
      <c r="T784" s="24"/>
      <c r="U784" s="24"/>
      <c r="V784" s="25"/>
      <c r="W784" s="24"/>
      <c r="X784" s="24"/>
      <c r="Y784" s="24"/>
      <c r="Z784" s="24"/>
      <c r="AA784" s="24"/>
      <c r="AB784" s="24"/>
      <c r="AC784" s="2"/>
      <c r="AD784" s="2"/>
      <c r="AE784" s="2"/>
      <c r="AF784" s="2"/>
      <c r="AG784" s="2"/>
      <c r="AH784" s="2" t="e">
        <f>VLOOKUP(F784,vlookup!$A$2:$E$660,3,0)</f>
        <v>#N/A</v>
      </c>
      <c r="AI784" s="2"/>
      <c r="AJ784" s="2"/>
      <c r="AK784" s="2"/>
      <c r="AL784" s="2"/>
      <c r="AM784" s="2"/>
      <c r="AO784" s="2"/>
      <c r="AP784" s="2"/>
      <c r="AQ784" s="2"/>
      <c r="AR784" s="2"/>
      <c r="AS784" s="2"/>
      <c r="AT784" s="2"/>
      <c r="AU784" s="2"/>
    </row>
    <row r="785" spans="1:47" x14ac:dyDescent="0.25">
      <c r="A785" s="24"/>
      <c r="B785" s="24"/>
      <c r="C785" s="24"/>
      <c r="D785" s="24"/>
      <c r="E785" s="24"/>
      <c r="F785" s="24"/>
      <c r="G785" s="24"/>
      <c r="H785" s="26"/>
      <c r="I785" s="24"/>
      <c r="J785" s="25"/>
      <c r="K785" s="25"/>
      <c r="L785" s="24"/>
      <c r="M785" s="25"/>
      <c r="N785" s="24"/>
      <c r="O785" s="24"/>
      <c r="P785" s="24"/>
      <c r="Q785" s="24"/>
      <c r="R785" s="24"/>
      <c r="S785" s="25"/>
      <c r="T785" s="24"/>
      <c r="U785" s="24"/>
      <c r="V785" s="25"/>
      <c r="W785" s="24"/>
      <c r="X785" s="24"/>
      <c r="Y785" s="24"/>
      <c r="Z785" s="24"/>
      <c r="AA785" s="24"/>
      <c r="AB785" s="24"/>
      <c r="AC785" s="2"/>
      <c r="AD785" s="2"/>
      <c r="AE785" s="2"/>
      <c r="AF785" s="2"/>
      <c r="AG785" s="2"/>
      <c r="AH785" s="2" t="e">
        <f>VLOOKUP(F785,vlookup!$A$2:$E$660,3,0)</f>
        <v>#N/A</v>
      </c>
      <c r="AI785" s="2"/>
      <c r="AJ785" s="2"/>
      <c r="AK785" s="2"/>
      <c r="AL785" s="2"/>
      <c r="AM785" s="2"/>
      <c r="AO785" s="2"/>
      <c r="AP785" s="2"/>
      <c r="AQ785" s="2"/>
      <c r="AR785" s="2"/>
      <c r="AS785" s="2"/>
      <c r="AT785" s="2"/>
      <c r="AU785" s="2"/>
    </row>
    <row r="786" spans="1:47" x14ac:dyDescent="0.25">
      <c r="A786" s="24"/>
      <c r="B786" s="24"/>
      <c r="C786" s="24"/>
      <c r="D786" s="24"/>
      <c r="E786" s="24"/>
      <c r="F786" s="24"/>
      <c r="G786" s="24"/>
      <c r="H786" s="26"/>
      <c r="I786" s="24"/>
      <c r="J786" s="25"/>
      <c r="K786" s="25"/>
      <c r="L786" s="24"/>
      <c r="M786" s="25"/>
      <c r="N786" s="24"/>
      <c r="O786" s="24"/>
      <c r="P786" s="24"/>
      <c r="Q786" s="24"/>
      <c r="R786" s="24"/>
      <c r="S786" s="25"/>
      <c r="T786" s="24"/>
      <c r="U786" s="24"/>
      <c r="V786" s="25"/>
      <c r="W786" s="24"/>
      <c r="X786" s="24"/>
      <c r="Y786" s="24"/>
      <c r="Z786" s="24"/>
      <c r="AA786" s="24"/>
      <c r="AB786" s="24"/>
      <c r="AC786" s="2"/>
      <c r="AD786" s="2"/>
      <c r="AE786" s="2"/>
      <c r="AF786" s="2"/>
      <c r="AG786" s="2"/>
      <c r="AH786" s="2" t="e">
        <f>VLOOKUP(F786,vlookup!$A$2:$E$660,3,0)</f>
        <v>#N/A</v>
      </c>
      <c r="AI786" s="2"/>
      <c r="AJ786" s="2"/>
      <c r="AK786" s="2"/>
      <c r="AL786" s="2"/>
      <c r="AM786" s="2"/>
      <c r="AO786" s="2"/>
      <c r="AP786" s="2"/>
      <c r="AQ786" s="2"/>
      <c r="AR786" s="2"/>
      <c r="AS786" s="2"/>
      <c r="AT786" s="2"/>
      <c r="AU786" s="2"/>
    </row>
    <row r="787" spans="1:47" x14ac:dyDescent="0.25">
      <c r="A787" s="24"/>
      <c r="B787" s="24"/>
      <c r="C787" s="24"/>
      <c r="D787" s="24"/>
      <c r="E787" s="24"/>
      <c r="F787" s="24"/>
      <c r="G787" s="24"/>
      <c r="H787" s="26"/>
      <c r="I787" s="24"/>
      <c r="J787" s="25"/>
      <c r="K787" s="25"/>
      <c r="L787" s="24"/>
      <c r="M787" s="25"/>
      <c r="N787" s="24"/>
      <c r="O787" s="24"/>
      <c r="P787" s="24"/>
      <c r="Q787" s="24"/>
      <c r="R787" s="24"/>
      <c r="S787" s="25"/>
      <c r="T787" s="24"/>
      <c r="U787" s="24"/>
      <c r="V787" s="25"/>
      <c r="W787" s="24"/>
      <c r="X787" s="24"/>
      <c r="Y787" s="24"/>
      <c r="Z787" s="24"/>
      <c r="AA787" s="24"/>
      <c r="AB787" s="24"/>
      <c r="AC787" s="2"/>
      <c r="AD787" s="2"/>
      <c r="AE787" s="2"/>
      <c r="AF787" s="2"/>
      <c r="AG787" s="2"/>
      <c r="AH787" s="2" t="e">
        <f>VLOOKUP(F787,vlookup!$A$2:$E$660,3,0)</f>
        <v>#N/A</v>
      </c>
      <c r="AI787" s="2"/>
      <c r="AJ787" s="2"/>
      <c r="AK787" s="2"/>
      <c r="AL787" s="2"/>
      <c r="AM787" s="2"/>
      <c r="AO787" s="2"/>
      <c r="AP787" s="2"/>
      <c r="AQ787" s="2"/>
      <c r="AR787" s="2"/>
      <c r="AS787" s="2"/>
      <c r="AT787" s="2"/>
      <c r="AU787" s="2"/>
    </row>
    <row r="788" spans="1:47" x14ac:dyDescent="0.25">
      <c r="A788" s="24"/>
      <c r="B788" s="24"/>
      <c r="C788" s="24"/>
      <c r="D788" s="24"/>
      <c r="E788" s="24"/>
      <c r="F788" s="24"/>
      <c r="G788" s="24"/>
      <c r="H788" s="26"/>
      <c r="I788" s="24"/>
      <c r="J788" s="25"/>
      <c r="K788" s="25"/>
      <c r="L788" s="24"/>
      <c r="M788" s="25"/>
      <c r="N788" s="24"/>
      <c r="O788" s="24"/>
      <c r="P788" s="24"/>
      <c r="Q788" s="24"/>
      <c r="R788" s="24"/>
      <c r="S788" s="25"/>
      <c r="T788" s="24"/>
      <c r="U788" s="24"/>
      <c r="V788" s="25"/>
      <c r="W788" s="24"/>
      <c r="X788" s="24"/>
      <c r="Y788" s="24"/>
      <c r="Z788" s="24"/>
      <c r="AA788" s="24"/>
      <c r="AB788" s="24"/>
      <c r="AC788" s="2"/>
      <c r="AD788" s="2"/>
      <c r="AE788" s="2"/>
      <c r="AF788" s="2"/>
      <c r="AG788" s="2"/>
      <c r="AH788" s="2" t="e">
        <f>VLOOKUP(F788,vlookup!$A$2:$E$660,3,0)</f>
        <v>#N/A</v>
      </c>
      <c r="AI788" s="2"/>
      <c r="AJ788" s="2"/>
      <c r="AK788" s="2"/>
      <c r="AL788" s="2"/>
      <c r="AM788" s="2"/>
      <c r="AO788" s="2"/>
      <c r="AP788" s="2"/>
      <c r="AQ788" s="2"/>
      <c r="AR788" s="2"/>
      <c r="AS788" s="2"/>
      <c r="AT788" s="2"/>
      <c r="AU788" s="2"/>
    </row>
    <row r="789" spans="1:47" x14ac:dyDescent="0.25">
      <c r="A789" s="24"/>
      <c r="B789" s="24"/>
      <c r="C789" s="24"/>
      <c r="D789" s="24"/>
      <c r="E789" s="24"/>
      <c r="F789" s="24"/>
      <c r="G789" s="24"/>
      <c r="H789" s="26"/>
      <c r="I789" s="24"/>
      <c r="J789" s="25"/>
      <c r="K789" s="25"/>
      <c r="L789" s="24"/>
      <c r="M789" s="25"/>
      <c r="N789" s="24"/>
      <c r="O789" s="24"/>
      <c r="P789" s="24"/>
      <c r="Q789" s="24"/>
      <c r="R789" s="24"/>
      <c r="S789" s="25"/>
      <c r="T789" s="24"/>
      <c r="U789" s="24"/>
      <c r="V789" s="25"/>
      <c r="W789" s="24"/>
      <c r="X789" s="24"/>
      <c r="Y789" s="24"/>
      <c r="Z789" s="24"/>
      <c r="AA789" s="24"/>
      <c r="AB789" s="24"/>
      <c r="AC789" s="2"/>
      <c r="AD789" s="2"/>
      <c r="AE789" s="2"/>
      <c r="AF789" s="2"/>
      <c r="AG789" s="2"/>
      <c r="AH789" s="2" t="e">
        <f>VLOOKUP(F789,vlookup!$A$2:$E$660,3,0)</f>
        <v>#N/A</v>
      </c>
      <c r="AI789" s="2"/>
      <c r="AJ789" s="2"/>
      <c r="AK789" s="2"/>
      <c r="AL789" s="2"/>
      <c r="AM789" s="2"/>
      <c r="AO789" s="2"/>
      <c r="AP789" s="2"/>
      <c r="AQ789" s="2"/>
      <c r="AR789" s="2"/>
      <c r="AS789" s="2"/>
      <c r="AT789" s="2"/>
      <c r="AU789" s="2"/>
    </row>
    <row r="790" spans="1:47" x14ac:dyDescent="0.25">
      <c r="A790" s="24"/>
      <c r="B790" s="24"/>
      <c r="C790" s="24"/>
      <c r="D790" s="24"/>
      <c r="E790" s="24"/>
      <c r="F790" s="24"/>
      <c r="G790" s="24"/>
      <c r="H790" s="26"/>
      <c r="I790" s="24"/>
      <c r="J790" s="25"/>
      <c r="K790" s="25"/>
      <c r="L790" s="24"/>
      <c r="M790" s="25"/>
      <c r="N790" s="24"/>
      <c r="O790" s="24"/>
      <c r="P790" s="24"/>
      <c r="Q790" s="24"/>
      <c r="R790" s="24"/>
      <c r="S790" s="25"/>
      <c r="T790" s="24"/>
      <c r="U790" s="24"/>
      <c r="V790" s="25"/>
      <c r="W790" s="24"/>
      <c r="X790" s="24"/>
      <c r="Y790" s="24"/>
      <c r="Z790" s="24"/>
      <c r="AA790" s="24"/>
      <c r="AB790" s="24"/>
      <c r="AC790" s="2"/>
      <c r="AD790" s="2"/>
      <c r="AE790" s="2"/>
      <c r="AF790" s="2"/>
      <c r="AG790" s="2"/>
      <c r="AH790" s="2" t="e">
        <f>VLOOKUP(F790,vlookup!$A$2:$E$660,3,0)</f>
        <v>#N/A</v>
      </c>
      <c r="AI790" s="2"/>
      <c r="AJ790" s="2"/>
      <c r="AK790" s="2"/>
      <c r="AL790" s="2"/>
      <c r="AM790" s="2"/>
      <c r="AO790" s="2"/>
      <c r="AP790" s="2"/>
      <c r="AQ790" s="2"/>
      <c r="AR790" s="2"/>
      <c r="AS790" s="2"/>
      <c r="AT790" s="2"/>
      <c r="AU790" s="2"/>
    </row>
    <row r="791" spans="1:47" x14ac:dyDescent="0.25">
      <c r="A791" s="24"/>
      <c r="B791" s="24"/>
      <c r="C791" s="24"/>
      <c r="D791" s="24"/>
      <c r="E791" s="24"/>
      <c r="F791" s="24"/>
      <c r="G791" s="24"/>
      <c r="H791" s="26"/>
      <c r="I791" s="24"/>
      <c r="J791" s="25"/>
      <c r="K791" s="25"/>
      <c r="L791" s="24"/>
      <c r="M791" s="25"/>
      <c r="N791" s="24"/>
      <c r="O791" s="24"/>
      <c r="P791" s="24"/>
      <c r="Q791" s="24"/>
      <c r="R791" s="24"/>
      <c r="S791" s="25"/>
      <c r="T791" s="24"/>
      <c r="U791" s="24"/>
      <c r="V791" s="25"/>
      <c r="W791" s="24"/>
      <c r="X791" s="24"/>
      <c r="Y791" s="24"/>
      <c r="Z791" s="24"/>
      <c r="AA791" s="24"/>
      <c r="AB791" s="24"/>
      <c r="AC791" s="2"/>
      <c r="AD791" s="2"/>
      <c r="AE791" s="2"/>
      <c r="AF791" s="2"/>
      <c r="AG791" s="2"/>
      <c r="AH791" s="2" t="e">
        <f>VLOOKUP(F791,vlookup!$A$2:$E$660,3,0)</f>
        <v>#N/A</v>
      </c>
      <c r="AI791" s="2"/>
      <c r="AJ791" s="2"/>
      <c r="AK791" s="2"/>
      <c r="AL791" s="2"/>
      <c r="AM791" s="2"/>
      <c r="AO791" s="2"/>
      <c r="AP791" s="2"/>
      <c r="AQ791" s="2"/>
      <c r="AR791" s="2"/>
      <c r="AS791" s="2"/>
      <c r="AT791" s="2"/>
      <c r="AU791" s="2"/>
    </row>
    <row r="792" spans="1:47" x14ac:dyDescent="0.25">
      <c r="A792" s="24"/>
      <c r="B792" s="24"/>
      <c r="C792" s="24"/>
      <c r="D792" s="24"/>
      <c r="E792" s="24"/>
      <c r="F792" s="24"/>
      <c r="G792" s="24"/>
      <c r="H792" s="26"/>
      <c r="I792" s="24"/>
      <c r="J792" s="25"/>
      <c r="K792" s="25"/>
      <c r="L792" s="24"/>
      <c r="M792" s="25"/>
      <c r="N792" s="24"/>
      <c r="O792" s="24"/>
      <c r="P792" s="24"/>
      <c r="Q792" s="24"/>
      <c r="R792" s="24"/>
      <c r="S792" s="25"/>
      <c r="T792" s="24"/>
      <c r="U792" s="24"/>
      <c r="V792" s="25"/>
      <c r="W792" s="24"/>
      <c r="X792" s="24"/>
      <c r="Y792" s="24"/>
      <c r="Z792" s="24"/>
      <c r="AA792" s="24"/>
      <c r="AB792" s="24"/>
      <c r="AC792" s="2"/>
      <c r="AD792" s="2"/>
      <c r="AE792" s="2"/>
      <c r="AF792" s="2"/>
      <c r="AG792" s="2"/>
      <c r="AH792" s="2" t="e">
        <f>VLOOKUP(F792,vlookup!$A$2:$E$660,3,0)</f>
        <v>#N/A</v>
      </c>
      <c r="AI792" s="2"/>
      <c r="AJ792" s="2"/>
      <c r="AK792" s="2"/>
      <c r="AL792" s="2"/>
      <c r="AM792" s="2"/>
      <c r="AO792" s="2"/>
      <c r="AP792" s="2"/>
      <c r="AQ792" s="2"/>
      <c r="AR792" s="2"/>
      <c r="AS792" s="2"/>
      <c r="AT792" s="2"/>
      <c r="AU792" s="2"/>
    </row>
    <row r="793" spans="1:47" x14ac:dyDescent="0.25">
      <c r="A793" s="24"/>
      <c r="B793" s="24"/>
      <c r="C793" s="24"/>
      <c r="D793" s="24"/>
      <c r="E793" s="24"/>
      <c r="F793" s="24"/>
      <c r="G793" s="24"/>
      <c r="H793" s="26"/>
      <c r="I793" s="24"/>
      <c r="J793" s="25"/>
      <c r="K793" s="25"/>
      <c r="L793" s="24"/>
      <c r="M793" s="25"/>
      <c r="N793" s="24"/>
      <c r="O793" s="24"/>
      <c r="P793" s="24"/>
      <c r="Q793" s="24"/>
      <c r="R793" s="24"/>
      <c r="S793" s="25"/>
      <c r="T793" s="24"/>
      <c r="U793" s="24"/>
      <c r="V793" s="25"/>
      <c r="W793" s="24"/>
      <c r="X793" s="24"/>
      <c r="Y793" s="24"/>
      <c r="Z793" s="24"/>
      <c r="AA793" s="24"/>
      <c r="AB793" s="24"/>
      <c r="AC793" s="2"/>
      <c r="AD793" s="2"/>
      <c r="AE793" s="2"/>
      <c r="AF793" s="2"/>
      <c r="AG793" s="2"/>
      <c r="AH793" s="2" t="e">
        <f>VLOOKUP(F793,vlookup!$A$2:$E$660,3,0)</f>
        <v>#N/A</v>
      </c>
      <c r="AI793" s="2"/>
      <c r="AJ793" s="2"/>
      <c r="AK793" s="2"/>
      <c r="AL793" s="2"/>
      <c r="AM793" s="2"/>
      <c r="AO793" s="2"/>
      <c r="AP793" s="2"/>
      <c r="AQ793" s="2"/>
      <c r="AR793" s="2"/>
      <c r="AS793" s="2"/>
      <c r="AT793" s="2"/>
      <c r="AU793" s="2"/>
    </row>
    <row r="794" spans="1:47" x14ac:dyDescent="0.25">
      <c r="A794" s="24"/>
      <c r="B794" s="24"/>
      <c r="C794" s="24"/>
      <c r="D794" s="24"/>
      <c r="E794" s="24"/>
      <c r="F794" s="24"/>
      <c r="G794" s="24"/>
      <c r="H794" s="26"/>
      <c r="I794" s="24"/>
      <c r="J794" s="25"/>
      <c r="K794" s="25"/>
      <c r="L794" s="24"/>
      <c r="M794" s="25"/>
      <c r="N794" s="24"/>
      <c r="O794" s="24"/>
      <c r="P794" s="24"/>
      <c r="Q794" s="24"/>
      <c r="R794" s="24"/>
      <c r="S794" s="25"/>
      <c r="T794" s="24"/>
      <c r="U794" s="24"/>
      <c r="V794" s="25"/>
      <c r="W794" s="24"/>
      <c r="X794" s="24"/>
      <c r="Y794" s="24"/>
      <c r="Z794" s="24"/>
      <c r="AA794" s="24"/>
      <c r="AB794" s="24"/>
      <c r="AC794" s="2"/>
      <c r="AD794" s="2"/>
      <c r="AE794" s="2"/>
      <c r="AF794" s="2"/>
      <c r="AG794" s="2"/>
      <c r="AH794" s="2" t="e">
        <f>VLOOKUP(F794,vlookup!$A$2:$E$660,3,0)</f>
        <v>#N/A</v>
      </c>
      <c r="AI794" s="2"/>
      <c r="AJ794" s="2"/>
      <c r="AK794" s="2"/>
      <c r="AL794" s="2"/>
      <c r="AM794" s="2"/>
      <c r="AO794" s="2"/>
      <c r="AP794" s="2"/>
      <c r="AQ794" s="2"/>
      <c r="AR794" s="2"/>
      <c r="AS794" s="2"/>
      <c r="AT794" s="2"/>
      <c r="AU794" s="2"/>
    </row>
    <row r="795" spans="1:47" x14ac:dyDescent="0.25">
      <c r="A795" s="24"/>
      <c r="B795" s="24"/>
      <c r="C795" s="24"/>
      <c r="D795" s="24"/>
      <c r="E795" s="24"/>
      <c r="F795" s="24"/>
      <c r="G795" s="24"/>
      <c r="H795" s="26"/>
      <c r="I795" s="24"/>
      <c r="J795" s="25"/>
      <c r="K795" s="25"/>
      <c r="L795" s="24"/>
      <c r="M795" s="25"/>
      <c r="N795" s="24"/>
      <c r="O795" s="24"/>
      <c r="P795" s="24"/>
      <c r="Q795" s="24"/>
      <c r="R795" s="24"/>
      <c r="S795" s="25"/>
      <c r="T795" s="24"/>
      <c r="U795" s="24"/>
      <c r="V795" s="25"/>
      <c r="W795" s="24"/>
      <c r="X795" s="24"/>
      <c r="Y795" s="24"/>
      <c r="Z795" s="24"/>
      <c r="AA795" s="24"/>
      <c r="AB795" s="24"/>
      <c r="AC795" s="2"/>
      <c r="AD795" s="2"/>
      <c r="AE795" s="2"/>
      <c r="AF795" s="2"/>
      <c r="AG795" s="2"/>
      <c r="AH795" s="2" t="e">
        <f>VLOOKUP(F795,vlookup!$A$2:$E$660,3,0)</f>
        <v>#N/A</v>
      </c>
      <c r="AI795" s="2"/>
      <c r="AJ795" s="2"/>
      <c r="AK795" s="2"/>
      <c r="AL795" s="2"/>
      <c r="AM795" s="2"/>
      <c r="AO795" s="2"/>
      <c r="AP795" s="2"/>
      <c r="AQ795" s="2"/>
      <c r="AR795" s="2"/>
      <c r="AS795" s="2"/>
      <c r="AT795" s="2"/>
      <c r="AU795" s="2"/>
    </row>
    <row r="796" spans="1:47" x14ac:dyDescent="0.25">
      <c r="A796" s="24"/>
      <c r="B796" s="24"/>
      <c r="C796" s="24"/>
      <c r="D796" s="24"/>
      <c r="E796" s="24"/>
      <c r="F796" s="24"/>
      <c r="G796" s="24"/>
      <c r="H796" s="26"/>
      <c r="I796" s="24"/>
      <c r="J796" s="25"/>
      <c r="K796" s="25"/>
      <c r="L796" s="24"/>
      <c r="M796" s="25"/>
      <c r="N796" s="24"/>
      <c r="O796" s="24"/>
      <c r="P796" s="24"/>
      <c r="Q796" s="24"/>
      <c r="R796" s="24"/>
      <c r="S796" s="25"/>
      <c r="T796" s="24"/>
      <c r="U796" s="24"/>
      <c r="V796" s="25"/>
      <c r="W796" s="24"/>
      <c r="X796" s="24"/>
      <c r="Y796" s="24"/>
      <c r="Z796" s="24"/>
      <c r="AA796" s="24"/>
      <c r="AB796" s="24"/>
      <c r="AC796" s="2"/>
      <c r="AD796" s="2"/>
      <c r="AE796" s="2"/>
      <c r="AF796" s="2"/>
      <c r="AG796" s="2"/>
      <c r="AH796" s="2" t="e">
        <f>VLOOKUP(F796,vlookup!$A$2:$E$660,3,0)</f>
        <v>#N/A</v>
      </c>
      <c r="AI796" s="2"/>
      <c r="AJ796" s="2"/>
      <c r="AK796" s="2"/>
      <c r="AL796" s="2"/>
      <c r="AM796" s="2"/>
      <c r="AO796" s="2"/>
      <c r="AP796" s="2"/>
      <c r="AQ796" s="2"/>
      <c r="AR796" s="2"/>
      <c r="AS796" s="2"/>
      <c r="AT796" s="2"/>
      <c r="AU796" s="2"/>
    </row>
    <row r="797" spans="1:47" x14ac:dyDescent="0.25">
      <c r="A797" s="24"/>
      <c r="B797" s="24"/>
      <c r="C797" s="24"/>
      <c r="D797" s="24"/>
      <c r="E797" s="24"/>
      <c r="F797" s="24"/>
      <c r="G797" s="24"/>
      <c r="H797" s="26"/>
      <c r="I797" s="24"/>
      <c r="J797" s="25"/>
      <c r="K797" s="25"/>
      <c r="L797" s="24"/>
      <c r="M797" s="25"/>
      <c r="N797" s="24"/>
      <c r="O797" s="24"/>
      <c r="P797" s="24"/>
      <c r="Q797" s="24"/>
      <c r="R797" s="24"/>
      <c r="S797" s="25"/>
      <c r="T797" s="24"/>
      <c r="U797" s="24"/>
      <c r="V797" s="25"/>
      <c r="W797" s="24"/>
      <c r="X797" s="24"/>
      <c r="Y797" s="24"/>
      <c r="Z797" s="24"/>
      <c r="AA797" s="24"/>
      <c r="AB797" s="24"/>
      <c r="AC797" s="2"/>
      <c r="AD797" s="2"/>
      <c r="AE797" s="2"/>
      <c r="AF797" s="2"/>
      <c r="AG797" s="2"/>
      <c r="AH797" s="2" t="e">
        <f>VLOOKUP(F797,vlookup!$A$2:$E$660,3,0)</f>
        <v>#N/A</v>
      </c>
      <c r="AI797" s="2"/>
      <c r="AJ797" s="2"/>
      <c r="AK797" s="2"/>
      <c r="AL797" s="2"/>
      <c r="AM797" s="2"/>
      <c r="AO797" s="2"/>
      <c r="AP797" s="2"/>
      <c r="AQ797" s="2"/>
      <c r="AR797" s="2"/>
      <c r="AS797" s="2"/>
      <c r="AT797" s="2"/>
      <c r="AU797" s="2"/>
    </row>
    <row r="798" spans="1:47" x14ac:dyDescent="0.25">
      <c r="A798" s="24"/>
      <c r="B798" s="24"/>
      <c r="C798" s="24"/>
      <c r="D798" s="24"/>
      <c r="E798" s="24"/>
      <c r="F798" s="24"/>
      <c r="G798" s="24"/>
      <c r="H798" s="26"/>
      <c r="I798" s="24"/>
      <c r="J798" s="25"/>
      <c r="K798" s="25"/>
      <c r="L798" s="24"/>
      <c r="M798" s="25"/>
      <c r="N798" s="24"/>
      <c r="O798" s="24"/>
      <c r="P798" s="24"/>
      <c r="Q798" s="24"/>
      <c r="R798" s="24"/>
      <c r="S798" s="25"/>
      <c r="T798" s="24"/>
      <c r="U798" s="24"/>
      <c r="V798" s="25"/>
      <c r="W798" s="24"/>
      <c r="X798" s="24"/>
      <c r="Y798" s="24"/>
      <c r="Z798" s="24"/>
      <c r="AA798" s="24"/>
      <c r="AB798" s="24"/>
      <c r="AC798" s="2"/>
      <c r="AD798" s="2"/>
      <c r="AE798" s="2"/>
      <c r="AF798" s="2"/>
      <c r="AG798" s="2"/>
      <c r="AH798" s="2" t="e">
        <f>VLOOKUP(F798,vlookup!$A$2:$E$660,3,0)</f>
        <v>#N/A</v>
      </c>
      <c r="AI798" s="2"/>
      <c r="AJ798" s="2"/>
      <c r="AK798" s="2"/>
      <c r="AL798" s="2"/>
      <c r="AM798" s="2"/>
      <c r="AO798" s="2"/>
      <c r="AP798" s="2"/>
      <c r="AQ798" s="2"/>
      <c r="AR798" s="2"/>
      <c r="AS798" s="2"/>
      <c r="AT798" s="2"/>
      <c r="AU798" s="2"/>
    </row>
    <row r="799" spans="1:47" x14ac:dyDescent="0.25">
      <c r="A799" s="24"/>
      <c r="B799" s="24"/>
      <c r="C799" s="24"/>
      <c r="D799" s="24"/>
      <c r="E799" s="24"/>
      <c r="F799" s="24"/>
      <c r="G799" s="24"/>
      <c r="H799" s="26"/>
      <c r="I799" s="24"/>
      <c r="J799" s="25"/>
      <c r="K799" s="25"/>
      <c r="L799" s="24"/>
      <c r="M799" s="25"/>
      <c r="N799" s="24"/>
      <c r="O799" s="24"/>
      <c r="P799" s="24"/>
      <c r="Q799" s="24"/>
      <c r="R799" s="24"/>
      <c r="S799" s="25"/>
      <c r="T799" s="24"/>
      <c r="U799" s="24"/>
      <c r="V799" s="25"/>
      <c r="W799" s="24"/>
      <c r="X799" s="24"/>
      <c r="Y799" s="24"/>
      <c r="Z799" s="24"/>
      <c r="AA799" s="24"/>
      <c r="AB799" s="24"/>
      <c r="AC799" s="2"/>
      <c r="AD799" s="2"/>
      <c r="AE799" s="2"/>
      <c r="AF799" s="2"/>
      <c r="AG799" s="2"/>
      <c r="AH799" s="2" t="e">
        <f>VLOOKUP(F799,vlookup!$A$2:$E$660,3,0)</f>
        <v>#N/A</v>
      </c>
      <c r="AI799" s="2"/>
      <c r="AJ799" s="2"/>
      <c r="AK799" s="2"/>
      <c r="AL799" s="2"/>
      <c r="AM799" s="2"/>
      <c r="AO799" s="2"/>
      <c r="AP799" s="2"/>
      <c r="AQ799" s="2"/>
      <c r="AR799" s="2"/>
      <c r="AS799" s="2"/>
      <c r="AT799" s="2"/>
      <c r="AU799" s="2"/>
    </row>
    <row r="800" spans="1:47" x14ac:dyDescent="0.25">
      <c r="A800" s="24"/>
      <c r="B800" s="24"/>
      <c r="C800" s="24"/>
      <c r="D800" s="24"/>
      <c r="E800" s="24"/>
      <c r="F800" s="24"/>
      <c r="G800" s="24"/>
      <c r="H800" s="26"/>
      <c r="I800" s="24"/>
      <c r="J800" s="25"/>
      <c r="K800" s="25"/>
      <c r="L800" s="24"/>
      <c r="M800" s="25"/>
      <c r="N800" s="24"/>
      <c r="O800" s="24"/>
      <c r="P800" s="24"/>
      <c r="Q800" s="24"/>
      <c r="R800" s="24"/>
      <c r="S800" s="25"/>
      <c r="T800" s="24"/>
      <c r="U800" s="24"/>
      <c r="V800" s="25"/>
      <c r="W800" s="24"/>
      <c r="X800" s="24"/>
      <c r="Y800" s="24"/>
      <c r="Z800" s="24"/>
      <c r="AA800" s="24"/>
      <c r="AB800" s="24"/>
      <c r="AC800" s="2"/>
      <c r="AD800" s="2"/>
      <c r="AE800" s="2"/>
      <c r="AF800" s="2"/>
      <c r="AG800" s="2"/>
      <c r="AH800" s="2" t="e">
        <f>VLOOKUP(F800,vlookup!$A$2:$E$660,3,0)</f>
        <v>#N/A</v>
      </c>
      <c r="AI800" s="2"/>
      <c r="AJ800" s="2"/>
      <c r="AK800" s="2"/>
      <c r="AL800" s="2"/>
      <c r="AM800" s="2"/>
      <c r="AO800" s="2"/>
      <c r="AP800" s="2"/>
      <c r="AQ800" s="2"/>
      <c r="AR800" s="2"/>
      <c r="AS800" s="2"/>
      <c r="AT800" s="2"/>
      <c r="AU800" s="2"/>
    </row>
    <row r="801" spans="1:47" x14ac:dyDescent="0.25">
      <c r="A801" s="24"/>
      <c r="B801" s="24"/>
      <c r="C801" s="24"/>
      <c r="D801" s="24"/>
      <c r="E801" s="24"/>
      <c r="F801" s="24"/>
      <c r="G801" s="24"/>
      <c r="H801" s="26"/>
      <c r="I801" s="24"/>
      <c r="J801" s="25"/>
      <c r="K801" s="25"/>
      <c r="L801" s="24"/>
      <c r="M801" s="25"/>
      <c r="N801" s="24"/>
      <c r="O801" s="24"/>
      <c r="P801" s="24"/>
      <c r="Q801" s="24"/>
      <c r="R801" s="24"/>
      <c r="S801" s="25"/>
      <c r="T801" s="24"/>
      <c r="U801" s="24"/>
      <c r="V801" s="25"/>
      <c r="W801" s="24"/>
      <c r="X801" s="24"/>
      <c r="Y801" s="24"/>
      <c r="Z801" s="24"/>
      <c r="AA801" s="24"/>
      <c r="AB801" s="24"/>
      <c r="AC801" s="2"/>
      <c r="AD801" s="2"/>
      <c r="AE801" s="2"/>
      <c r="AF801" s="2"/>
      <c r="AG801" s="2"/>
      <c r="AH801" s="2" t="e">
        <f>VLOOKUP(F801,vlookup!$A$2:$E$660,3,0)</f>
        <v>#N/A</v>
      </c>
      <c r="AI801" s="2"/>
      <c r="AJ801" s="2"/>
      <c r="AK801" s="2"/>
      <c r="AL801" s="2"/>
      <c r="AM801" s="2"/>
      <c r="AO801" s="2"/>
      <c r="AP801" s="2"/>
      <c r="AQ801" s="2"/>
      <c r="AR801" s="2"/>
      <c r="AS801" s="2"/>
      <c r="AT801" s="2"/>
      <c r="AU801" s="2"/>
    </row>
    <row r="802" spans="1:47" x14ac:dyDescent="0.25">
      <c r="A802" s="24"/>
      <c r="B802" s="24"/>
      <c r="C802" s="24"/>
      <c r="D802" s="24"/>
      <c r="E802" s="24"/>
      <c r="F802" s="24"/>
      <c r="G802" s="24"/>
      <c r="H802" s="26"/>
      <c r="I802" s="24"/>
      <c r="J802" s="25"/>
      <c r="K802" s="25"/>
      <c r="L802" s="24"/>
      <c r="M802" s="25"/>
      <c r="N802" s="24"/>
      <c r="O802" s="24"/>
      <c r="P802" s="24"/>
      <c r="Q802" s="24"/>
      <c r="R802" s="24"/>
      <c r="S802" s="25"/>
      <c r="T802" s="24"/>
      <c r="U802" s="24"/>
      <c r="V802" s="25"/>
      <c r="W802" s="24"/>
      <c r="X802" s="24"/>
      <c r="Y802" s="24"/>
      <c r="Z802" s="24"/>
      <c r="AA802" s="24"/>
      <c r="AB802" s="24"/>
      <c r="AC802" s="2"/>
      <c r="AD802" s="2"/>
      <c r="AE802" s="2"/>
      <c r="AF802" s="2"/>
      <c r="AG802" s="2"/>
      <c r="AH802" s="2" t="e">
        <f>VLOOKUP(F802,vlookup!$A$2:$E$660,3,0)</f>
        <v>#N/A</v>
      </c>
      <c r="AI802" s="2"/>
      <c r="AJ802" s="2"/>
      <c r="AK802" s="2"/>
      <c r="AL802" s="2"/>
      <c r="AM802" s="2"/>
      <c r="AO802" s="2"/>
      <c r="AP802" s="2"/>
      <c r="AQ802" s="2"/>
      <c r="AR802" s="2"/>
      <c r="AS802" s="2"/>
      <c r="AT802" s="2"/>
      <c r="AU802" s="2"/>
    </row>
    <row r="803" spans="1:47" x14ac:dyDescent="0.25">
      <c r="A803" s="24"/>
      <c r="B803" s="24"/>
      <c r="C803" s="24"/>
      <c r="D803" s="24"/>
      <c r="E803" s="24"/>
      <c r="F803" s="24"/>
      <c r="G803" s="24"/>
      <c r="H803" s="26"/>
      <c r="I803" s="24"/>
      <c r="J803" s="25"/>
      <c r="K803" s="25"/>
      <c r="L803" s="24"/>
      <c r="M803" s="25"/>
      <c r="N803" s="24"/>
      <c r="O803" s="24"/>
      <c r="P803" s="24"/>
      <c r="Q803" s="24"/>
      <c r="R803" s="24"/>
      <c r="S803" s="25"/>
      <c r="T803" s="24"/>
      <c r="U803" s="24"/>
      <c r="V803" s="25"/>
      <c r="W803" s="24"/>
      <c r="X803" s="24"/>
      <c r="Y803" s="24"/>
      <c r="Z803" s="24"/>
      <c r="AA803" s="24"/>
      <c r="AB803" s="24"/>
      <c r="AC803" s="2"/>
      <c r="AD803" s="2"/>
      <c r="AE803" s="2"/>
      <c r="AF803" s="2"/>
      <c r="AG803" s="2"/>
      <c r="AH803" s="2" t="e">
        <f>VLOOKUP(F803,vlookup!$A$2:$E$660,3,0)</f>
        <v>#N/A</v>
      </c>
      <c r="AI803" s="2"/>
      <c r="AJ803" s="2"/>
      <c r="AK803" s="2"/>
      <c r="AL803" s="2"/>
      <c r="AM803" s="2"/>
      <c r="AO803" s="2"/>
      <c r="AP803" s="2"/>
      <c r="AQ803" s="2"/>
      <c r="AR803" s="2"/>
      <c r="AS803" s="2"/>
      <c r="AT803" s="2"/>
      <c r="AU803" s="2"/>
    </row>
    <row r="804" spans="1:47" x14ac:dyDescent="0.25">
      <c r="A804" s="24"/>
      <c r="B804" s="24"/>
      <c r="C804" s="24"/>
      <c r="D804" s="24"/>
      <c r="E804" s="24"/>
      <c r="F804" s="24"/>
      <c r="G804" s="24"/>
      <c r="H804" s="26"/>
      <c r="I804" s="24"/>
      <c r="J804" s="25"/>
      <c r="K804" s="25"/>
      <c r="L804" s="24"/>
      <c r="M804" s="25"/>
      <c r="N804" s="24"/>
      <c r="O804" s="24"/>
      <c r="P804" s="24"/>
      <c r="Q804" s="24"/>
      <c r="R804" s="24"/>
      <c r="S804" s="25"/>
      <c r="T804" s="24"/>
      <c r="U804" s="24"/>
      <c r="V804" s="25"/>
      <c r="W804" s="24"/>
      <c r="X804" s="24"/>
      <c r="Y804" s="24"/>
      <c r="Z804" s="24"/>
      <c r="AA804" s="24"/>
      <c r="AB804" s="24"/>
      <c r="AC804" s="2"/>
      <c r="AD804" s="2"/>
      <c r="AE804" s="2"/>
      <c r="AF804" s="2"/>
      <c r="AG804" s="2"/>
      <c r="AH804" s="2" t="e">
        <f>VLOOKUP(F804,vlookup!$A$2:$E$660,3,0)</f>
        <v>#N/A</v>
      </c>
      <c r="AI804" s="2"/>
      <c r="AJ804" s="2"/>
      <c r="AK804" s="2"/>
      <c r="AL804" s="2"/>
      <c r="AM804" s="2"/>
      <c r="AO804" s="2"/>
      <c r="AP804" s="2"/>
      <c r="AQ804" s="2"/>
      <c r="AR804" s="2"/>
      <c r="AS804" s="2"/>
      <c r="AT804" s="2"/>
      <c r="AU804" s="2"/>
    </row>
    <row r="805" spans="1:47" x14ac:dyDescent="0.25">
      <c r="A805" s="24"/>
      <c r="B805" s="24"/>
      <c r="C805" s="24"/>
      <c r="D805" s="24"/>
      <c r="E805" s="24"/>
      <c r="F805" s="24"/>
      <c r="G805" s="24"/>
      <c r="H805" s="26"/>
      <c r="I805" s="24"/>
      <c r="J805" s="25"/>
      <c r="K805" s="25"/>
      <c r="L805" s="24"/>
      <c r="M805" s="25"/>
      <c r="N805" s="24"/>
      <c r="O805" s="24"/>
      <c r="P805" s="24"/>
      <c r="Q805" s="24"/>
      <c r="R805" s="24"/>
      <c r="S805" s="25"/>
      <c r="T805" s="24"/>
      <c r="U805" s="24"/>
      <c r="V805" s="25"/>
      <c r="W805" s="24"/>
      <c r="X805" s="24"/>
      <c r="Y805" s="24"/>
      <c r="Z805" s="24"/>
      <c r="AA805" s="24"/>
      <c r="AB805" s="24"/>
      <c r="AC805" s="2"/>
      <c r="AD805" s="2"/>
      <c r="AE805" s="2"/>
      <c r="AF805" s="2"/>
      <c r="AG805" s="2"/>
      <c r="AH805" s="2" t="e">
        <f>VLOOKUP(F805,vlookup!$A$2:$E$660,3,0)</f>
        <v>#N/A</v>
      </c>
      <c r="AI805" s="2"/>
      <c r="AJ805" s="2"/>
      <c r="AK805" s="2"/>
      <c r="AL805" s="2"/>
      <c r="AM805" s="2"/>
      <c r="AO805" s="2"/>
      <c r="AP805" s="2"/>
      <c r="AQ805" s="2"/>
      <c r="AR805" s="2"/>
      <c r="AS805" s="2"/>
      <c r="AT805" s="2"/>
      <c r="AU805" s="2"/>
    </row>
    <row r="806" spans="1:47" x14ac:dyDescent="0.25">
      <c r="A806" s="24"/>
      <c r="B806" s="24"/>
      <c r="C806" s="24"/>
      <c r="D806" s="24"/>
      <c r="E806" s="24"/>
      <c r="F806" s="24"/>
      <c r="G806" s="24"/>
      <c r="H806" s="26"/>
      <c r="I806" s="24"/>
      <c r="J806" s="25"/>
      <c r="K806" s="25"/>
      <c r="L806" s="24"/>
      <c r="M806" s="25"/>
      <c r="N806" s="24"/>
      <c r="O806" s="24"/>
      <c r="P806" s="24"/>
      <c r="Q806" s="24"/>
      <c r="R806" s="24"/>
      <c r="S806" s="25"/>
      <c r="T806" s="24"/>
      <c r="U806" s="24"/>
      <c r="V806" s="25"/>
      <c r="W806" s="24"/>
      <c r="X806" s="24"/>
      <c r="Y806" s="24"/>
      <c r="Z806" s="24"/>
      <c r="AA806" s="24"/>
      <c r="AB806" s="24"/>
      <c r="AC806" s="2"/>
      <c r="AD806" s="2"/>
      <c r="AE806" s="2"/>
      <c r="AF806" s="2"/>
      <c r="AG806" s="2"/>
      <c r="AH806" s="2" t="e">
        <f>VLOOKUP(F806,vlookup!$A$2:$E$660,3,0)</f>
        <v>#N/A</v>
      </c>
      <c r="AI806" s="2"/>
      <c r="AJ806" s="2"/>
      <c r="AK806" s="2"/>
      <c r="AL806" s="2"/>
      <c r="AM806" s="2"/>
      <c r="AO806" s="2"/>
      <c r="AP806" s="2"/>
      <c r="AQ806" s="2"/>
      <c r="AR806" s="2"/>
      <c r="AS806" s="2"/>
      <c r="AT806" s="2"/>
      <c r="AU806" s="2"/>
    </row>
    <row r="807" spans="1:47" x14ac:dyDescent="0.25">
      <c r="A807" s="24"/>
      <c r="B807" s="24"/>
      <c r="C807" s="24"/>
      <c r="D807" s="24"/>
      <c r="E807" s="24"/>
      <c r="F807" s="24"/>
      <c r="G807" s="24"/>
      <c r="H807" s="26"/>
      <c r="I807" s="24"/>
      <c r="J807" s="25"/>
      <c r="K807" s="25"/>
      <c r="L807" s="24"/>
      <c r="M807" s="25"/>
      <c r="N807" s="24"/>
      <c r="O807" s="24"/>
      <c r="P807" s="24"/>
      <c r="Q807" s="24"/>
      <c r="R807" s="24"/>
      <c r="S807" s="25"/>
      <c r="T807" s="24"/>
      <c r="U807" s="24"/>
      <c r="V807" s="25"/>
      <c r="W807" s="24"/>
      <c r="X807" s="24"/>
      <c r="Y807" s="24"/>
      <c r="Z807" s="24"/>
      <c r="AA807" s="24"/>
      <c r="AB807" s="24"/>
      <c r="AC807" s="2"/>
      <c r="AD807" s="2"/>
      <c r="AE807" s="2"/>
      <c r="AF807" s="2"/>
      <c r="AG807" s="2"/>
      <c r="AH807" s="2" t="e">
        <f>VLOOKUP(F807,vlookup!$A$2:$E$660,3,0)</f>
        <v>#N/A</v>
      </c>
      <c r="AI807" s="2"/>
      <c r="AJ807" s="2"/>
      <c r="AK807" s="2"/>
      <c r="AL807" s="2"/>
      <c r="AM807" s="2"/>
      <c r="AO807" s="2"/>
      <c r="AP807" s="2"/>
      <c r="AQ807" s="2"/>
      <c r="AR807" s="2"/>
      <c r="AS807" s="2"/>
      <c r="AT807" s="2"/>
      <c r="AU807" s="2"/>
    </row>
    <row r="808" spans="1:47" x14ac:dyDescent="0.25">
      <c r="A808" s="24"/>
      <c r="B808" s="24"/>
      <c r="C808" s="24"/>
      <c r="D808" s="24"/>
      <c r="E808" s="24"/>
      <c r="F808" s="24"/>
      <c r="G808" s="24"/>
      <c r="H808" s="26"/>
      <c r="I808" s="24"/>
      <c r="J808" s="25"/>
      <c r="K808" s="25"/>
      <c r="L808" s="24"/>
      <c r="M808" s="25"/>
      <c r="N808" s="24"/>
      <c r="O808" s="24"/>
      <c r="P808" s="24"/>
      <c r="Q808" s="24"/>
      <c r="R808" s="24"/>
      <c r="S808" s="25"/>
      <c r="T808" s="24"/>
      <c r="U808" s="24"/>
      <c r="V808" s="25"/>
      <c r="W808" s="24"/>
      <c r="X808" s="24"/>
      <c r="Y808" s="24"/>
      <c r="Z808" s="24"/>
      <c r="AA808" s="24"/>
      <c r="AB808" s="24"/>
      <c r="AC808" s="2"/>
      <c r="AD808" s="2"/>
      <c r="AE808" s="2"/>
      <c r="AF808" s="2"/>
      <c r="AG808" s="2"/>
      <c r="AH808" s="2" t="e">
        <f>VLOOKUP(F808,vlookup!$A$2:$E$660,3,0)</f>
        <v>#N/A</v>
      </c>
      <c r="AI808" s="2"/>
      <c r="AJ808" s="2"/>
      <c r="AK808" s="2"/>
      <c r="AL808" s="2"/>
      <c r="AM808" s="2"/>
      <c r="AO808" s="2"/>
      <c r="AP808" s="2"/>
      <c r="AQ808" s="2"/>
      <c r="AR808" s="2"/>
      <c r="AS808" s="2"/>
      <c r="AT808" s="2"/>
      <c r="AU808" s="2"/>
    </row>
    <row r="809" spans="1:47" x14ac:dyDescent="0.25">
      <c r="A809" s="24"/>
      <c r="B809" s="24"/>
      <c r="C809" s="24"/>
      <c r="D809" s="24"/>
      <c r="E809" s="24"/>
      <c r="F809" s="24"/>
      <c r="G809" s="24"/>
      <c r="H809" s="26"/>
      <c r="I809" s="24"/>
      <c r="J809" s="25"/>
      <c r="K809" s="25"/>
      <c r="L809" s="24"/>
      <c r="M809" s="25"/>
      <c r="N809" s="24"/>
      <c r="O809" s="24"/>
      <c r="P809" s="24"/>
      <c r="Q809" s="24"/>
      <c r="R809" s="24"/>
      <c r="S809" s="25"/>
      <c r="T809" s="24"/>
      <c r="U809" s="24"/>
      <c r="V809" s="25"/>
      <c r="W809" s="24"/>
      <c r="X809" s="24"/>
      <c r="Y809" s="24"/>
      <c r="Z809" s="24"/>
      <c r="AA809" s="24"/>
      <c r="AB809" s="24"/>
      <c r="AC809" s="2"/>
      <c r="AD809" s="2"/>
      <c r="AE809" s="2"/>
      <c r="AF809" s="2"/>
      <c r="AG809" s="2"/>
      <c r="AH809" s="2" t="e">
        <f>VLOOKUP(F809,vlookup!$A$2:$E$660,3,0)</f>
        <v>#N/A</v>
      </c>
      <c r="AI809" s="2"/>
      <c r="AJ809" s="2"/>
      <c r="AK809" s="2"/>
      <c r="AL809" s="2"/>
      <c r="AM809" s="2"/>
      <c r="AO809" s="2"/>
      <c r="AP809" s="2"/>
      <c r="AQ809" s="2"/>
      <c r="AR809" s="2"/>
      <c r="AS809" s="2"/>
      <c r="AT809" s="2"/>
      <c r="AU809" s="2"/>
    </row>
    <row r="810" spans="1:47" x14ac:dyDescent="0.25">
      <c r="A810" s="24"/>
      <c r="B810" s="24"/>
      <c r="C810" s="24"/>
      <c r="D810" s="24"/>
      <c r="E810" s="24"/>
      <c r="F810" s="24"/>
      <c r="G810" s="24"/>
      <c r="H810" s="26"/>
      <c r="I810" s="24"/>
      <c r="J810" s="25"/>
      <c r="K810" s="25"/>
      <c r="L810" s="24"/>
      <c r="M810" s="25"/>
      <c r="N810" s="24"/>
      <c r="O810" s="24"/>
      <c r="P810" s="24"/>
      <c r="Q810" s="24"/>
      <c r="R810" s="24"/>
      <c r="S810" s="25"/>
      <c r="T810" s="24"/>
      <c r="U810" s="24"/>
      <c r="V810" s="25"/>
      <c r="W810" s="24"/>
      <c r="X810" s="24"/>
      <c r="Y810" s="24"/>
      <c r="Z810" s="24"/>
      <c r="AA810" s="24"/>
      <c r="AB810" s="24"/>
      <c r="AC810" s="2"/>
      <c r="AD810" s="2"/>
      <c r="AE810" s="2"/>
      <c r="AF810" s="2"/>
      <c r="AG810" s="2"/>
      <c r="AH810" s="2" t="e">
        <f>VLOOKUP(F810,vlookup!$A$2:$E$660,3,0)</f>
        <v>#N/A</v>
      </c>
      <c r="AI810" s="2"/>
      <c r="AJ810" s="2"/>
      <c r="AK810" s="2"/>
      <c r="AL810" s="2"/>
      <c r="AM810" s="2"/>
      <c r="AO810" s="2"/>
      <c r="AP810" s="2"/>
      <c r="AQ810" s="2"/>
      <c r="AR810" s="2"/>
      <c r="AS810" s="2"/>
      <c r="AT810" s="2"/>
      <c r="AU810" s="2"/>
    </row>
    <row r="811" spans="1:47" x14ac:dyDescent="0.25">
      <c r="A811" s="24"/>
      <c r="B811" s="24"/>
      <c r="C811" s="24"/>
      <c r="D811" s="24"/>
      <c r="E811" s="24"/>
      <c r="F811" s="24"/>
      <c r="G811" s="24"/>
      <c r="H811" s="26"/>
      <c r="I811" s="24"/>
      <c r="J811" s="25"/>
      <c r="K811" s="25"/>
      <c r="L811" s="24"/>
      <c r="M811" s="25"/>
      <c r="N811" s="24"/>
      <c r="O811" s="24"/>
      <c r="P811" s="24"/>
      <c r="Q811" s="24"/>
      <c r="R811" s="24"/>
      <c r="S811" s="25"/>
      <c r="T811" s="24"/>
      <c r="U811" s="24"/>
      <c r="V811" s="25"/>
      <c r="W811" s="24"/>
      <c r="X811" s="24"/>
      <c r="Y811" s="24"/>
      <c r="Z811" s="24"/>
      <c r="AA811" s="24"/>
      <c r="AB811" s="24"/>
      <c r="AC811" s="2"/>
      <c r="AD811" s="2"/>
      <c r="AE811" s="2"/>
      <c r="AF811" s="2"/>
      <c r="AG811" s="2"/>
      <c r="AH811" s="2" t="e">
        <f>VLOOKUP(F811,vlookup!$A$2:$E$660,3,0)</f>
        <v>#N/A</v>
      </c>
      <c r="AI811" s="2"/>
      <c r="AJ811" s="2"/>
      <c r="AK811" s="2"/>
      <c r="AL811" s="2"/>
      <c r="AM811" s="2"/>
      <c r="AO811" s="2"/>
      <c r="AP811" s="2"/>
      <c r="AQ811" s="2"/>
      <c r="AR811" s="2"/>
      <c r="AS811" s="2"/>
      <c r="AT811" s="2"/>
      <c r="AU811" s="2"/>
    </row>
    <row r="812" spans="1:47" x14ac:dyDescent="0.25">
      <c r="A812" s="24"/>
      <c r="B812" s="24"/>
      <c r="C812" s="24"/>
      <c r="D812" s="24"/>
      <c r="E812" s="24"/>
      <c r="F812" s="24"/>
      <c r="G812" s="24"/>
      <c r="H812" s="26"/>
      <c r="I812" s="24"/>
      <c r="J812" s="25"/>
      <c r="K812" s="25"/>
      <c r="L812" s="24"/>
      <c r="M812" s="25"/>
      <c r="N812" s="24"/>
      <c r="O812" s="24"/>
      <c r="P812" s="24"/>
      <c r="Q812" s="24"/>
      <c r="R812" s="24"/>
      <c r="S812" s="25"/>
      <c r="T812" s="24"/>
      <c r="U812" s="24"/>
      <c r="V812" s="25"/>
      <c r="W812" s="24"/>
      <c r="X812" s="24"/>
      <c r="Y812" s="24"/>
      <c r="Z812" s="24"/>
      <c r="AA812" s="24"/>
      <c r="AB812" s="24"/>
      <c r="AC812" s="2"/>
      <c r="AD812" s="2"/>
      <c r="AE812" s="2"/>
      <c r="AF812" s="2"/>
      <c r="AG812" s="2"/>
      <c r="AH812" s="2" t="e">
        <f>VLOOKUP(F812,vlookup!$A$2:$E$660,3,0)</f>
        <v>#N/A</v>
      </c>
      <c r="AI812" s="2"/>
      <c r="AJ812" s="2"/>
      <c r="AK812" s="2"/>
      <c r="AL812" s="2"/>
      <c r="AM812" s="2"/>
      <c r="AO812" s="2"/>
      <c r="AP812" s="2"/>
      <c r="AQ812" s="2"/>
      <c r="AR812" s="2"/>
      <c r="AS812" s="2"/>
      <c r="AT812" s="2"/>
      <c r="AU812" s="2"/>
    </row>
    <row r="813" spans="1:47" x14ac:dyDescent="0.25">
      <c r="A813" s="24"/>
      <c r="B813" s="24"/>
      <c r="C813" s="24"/>
      <c r="D813" s="24"/>
      <c r="E813" s="24"/>
      <c r="F813" s="24"/>
      <c r="G813" s="24"/>
      <c r="H813" s="26"/>
      <c r="I813" s="24"/>
      <c r="J813" s="25"/>
      <c r="K813" s="25"/>
      <c r="L813" s="24"/>
      <c r="M813" s="25"/>
      <c r="N813" s="24"/>
      <c r="O813" s="24"/>
      <c r="P813" s="24"/>
      <c r="Q813" s="24"/>
      <c r="R813" s="24"/>
      <c r="S813" s="25"/>
      <c r="T813" s="24"/>
      <c r="U813" s="24"/>
      <c r="V813" s="25"/>
      <c r="W813" s="24"/>
      <c r="X813" s="24"/>
      <c r="Y813" s="24"/>
      <c r="Z813" s="24"/>
      <c r="AA813" s="24"/>
      <c r="AB813" s="24"/>
      <c r="AC813" s="2"/>
      <c r="AD813" s="2"/>
      <c r="AE813" s="2"/>
      <c r="AF813" s="2"/>
      <c r="AG813" s="2"/>
      <c r="AH813" s="2" t="e">
        <f>VLOOKUP(F813,vlookup!$A$2:$E$660,3,0)</f>
        <v>#N/A</v>
      </c>
      <c r="AI813" s="2"/>
      <c r="AJ813" s="2"/>
      <c r="AK813" s="2"/>
      <c r="AL813" s="2"/>
      <c r="AM813" s="2"/>
      <c r="AO813" s="2"/>
      <c r="AP813" s="2"/>
      <c r="AQ813" s="2"/>
      <c r="AR813" s="2"/>
      <c r="AS813" s="2"/>
      <c r="AT813" s="2"/>
      <c r="AU813" s="2"/>
    </row>
    <row r="814" spans="1:47" x14ac:dyDescent="0.25">
      <c r="A814" s="24"/>
      <c r="B814" s="24"/>
      <c r="C814" s="24"/>
      <c r="D814" s="24"/>
      <c r="E814" s="24"/>
      <c r="F814" s="24"/>
      <c r="G814" s="24"/>
      <c r="H814" s="26"/>
      <c r="I814" s="24"/>
      <c r="J814" s="25"/>
      <c r="K814" s="25"/>
      <c r="L814" s="24"/>
      <c r="M814" s="25"/>
      <c r="N814" s="24"/>
      <c r="O814" s="24"/>
      <c r="P814" s="24"/>
      <c r="Q814" s="24"/>
      <c r="R814" s="24"/>
      <c r="S814" s="25"/>
      <c r="T814" s="24"/>
      <c r="U814" s="24"/>
      <c r="V814" s="25"/>
      <c r="W814" s="24"/>
      <c r="X814" s="24"/>
      <c r="Y814" s="24"/>
      <c r="Z814" s="24"/>
      <c r="AA814" s="24"/>
      <c r="AB814" s="24"/>
      <c r="AC814" s="2"/>
      <c r="AD814" s="2"/>
      <c r="AE814" s="2"/>
      <c r="AF814" s="2"/>
      <c r="AG814" s="2"/>
      <c r="AH814" s="2" t="e">
        <f>VLOOKUP(F814,vlookup!$A$2:$E$660,3,0)</f>
        <v>#N/A</v>
      </c>
      <c r="AI814" s="2"/>
      <c r="AJ814" s="2"/>
      <c r="AK814" s="2"/>
      <c r="AL814" s="2"/>
      <c r="AM814" s="2"/>
      <c r="AO814" s="2"/>
      <c r="AP814" s="2"/>
      <c r="AQ814" s="2"/>
      <c r="AR814" s="2"/>
      <c r="AS814" s="2"/>
      <c r="AT814" s="2"/>
      <c r="AU814" s="2"/>
    </row>
    <row r="815" spans="1:47" x14ac:dyDescent="0.25">
      <c r="A815" s="24"/>
      <c r="B815" s="24"/>
      <c r="C815" s="24"/>
      <c r="D815" s="24"/>
      <c r="E815" s="24"/>
      <c r="F815" s="24"/>
      <c r="G815" s="24"/>
      <c r="H815" s="26"/>
      <c r="I815" s="24"/>
      <c r="J815" s="25"/>
      <c r="K815" s="25"/>
      <c r="L815" s="24"/>
      <c r="M815" s="25"/>
      <c r="N815" s="24"/>
      <c r="O815" s="24"/>
      <c r="P815" s="24"/>
      <c r="Q815" s="24"/>
      <c r="R815" s="24"/>
      <c r="S815" s="25"/>
      <c r="T815" s="24"/>
      <c r="U815" s="24"/>
      <c r="V815" s="25"/>
      <c r="W815" s="24"/>
      <c r="X815" s="24"/>
      <c r="Y815" s="24"/>
      <c r="Z815" s="24"/>
      <c r="AA815" s="24"/>
      <c r="AB815" s="24"/>
      <c r="AC815" s="2"/>
      <c r="AD815" s="2"/>
      <c r="AE815" s="2"/>
      <c r="AF815" s="2"/>
      <c r="AG815" s="2"/>
      <c r="AH815" s="2" t="e">
        <f>VLOOKUP(F815,vlookup!$A$2:$E$660,3,0)</f>
        <v>#N/A</v>
      </c>
      <c r="AI815" s="2"/>
      <c r="AJ815" s="2"/>
      <c r="AK815" s="2"/>
      <c r="AL815" s="2"/>
      <c r="AM815" s="2"/>
      <c r="AO815" s="2"/>
      <c r="AP815" s="2"/>
      <c r="AQ815" s="2"/>
      <c r="AR815" s="2"/>
      <c r="AS815" s="2"/>
      <c r="AT815" s="2"/>
      <c r="AU815" s="2"/>
    </row>
    <row r="816" spans="1:47" x14ac:dyDescent="0.25">
      <c r="A816" s="24"/>
      <c r="B816" s="24"/>
      <c r="C816" s="24"/>
      <c r="D816" s="24"/>
      <c r="E816" s="24"/>
      <c r="F816" s="24"/>
      <c r="G816" s="24"/>
      <c r="H816" s="26"/>
      <c r="I816" s="24"/>
      <c r="J816" s="25"/>
      <c r="K816" s="25"/>
      <c r="L816" s="24"/>
      <c r="M816" s="25"/>
      <c r="N816" s="24"/>
      <c r="O816" s="24"/>
      <c r="P816" s="24"/>
      <c r="Q816" s="24"/>
      <c r="R816" s="24"/>
      <c r="S816" s="25"/>
      <c r="T816" s="24"/>
      <c r="U816" s="24"/>
      <c r="V816" s="25"/>
      <c r="W816" s="24"/>
      <c r="X816" s="24"/>
      <c r="Y816" s="24"/>
      <c r="Z816" s="24"/>
      <c r="AA816" s="24"/>
      <c r="AB816" s="24"/>
      <c r="AC816" s="2"/>
      <c r="AD816" s="2"/>
      <c r="AE816" s="2"/>
      <c r="AF816" s="2"/>
      <c r="AG816" s="2"/>
      <c r="AH816" s="2" t="e">
        <f>VLOOKUP(F816,vlookup!$A$2:$E$660,3,0)</f>
        <v>#N/A</v>
      </c>
      <c r="AI816" s="2"/>
      <c r="AJ816" s="2"/>
      <c r="AK816" s="2"/>
      <c r="AL816" s="2"/>
      <c r="AM816" s="2"/>
      <c r="AO816" s="2"/>
      <c r="AP816" s="2"/>
      <c r="AQ816" s="2"/>
      <c r="AR816" s="2"/>
      <c r="AS816" s="2"/>
      <c r="AT816" s="2"/>
      <c r="AU816" s="2"/>
    </row>
    <row r="817" spans="1:47" x14ac:dyDescent="0.25">
      <c r="A817" s="24"/>
      <c r="B817" s="24"/>
      <c r="C817" s="24"/>
      <c r="D817" s="24"/>
      <c r="E817" s="24"/>
      <c r="F817" s="24"/>
      <c r="G817" s="24"/>
      <c r="H817" s="26"/>
      <c r="I817" s="24"/>
      <c r="J817" s="25"/>
      <c r="K817" s="25"/>
      <c r="L817" s="24"/>
      <c r="M817" s="25"/>
      <c r="N817" s="24"/>
      <c r="O817" s="24"/>
      <c r="P817" s="24"/>
      <c r="Q817" s="24"/>
      <c r="R817" s="24"/>
      <c r="S817" s="25"/>
      <c r="T817" s="24"/>
      <c r="U817" s="24"/>
      <c r="V817" s="25"/>
      <c r="W817" s="24"/>
      <c r="X817" s="24"/>
      <c r="Y817" s="24"/>
      <c r="Z817" s="24"/>
      <c r="AA817" s="24"/>
      <c r="AB817" s="24"/>
      <c r="AC817" s="2"/>
      <c r="AD817" s="2"/>
      <c r="AE817" s="2"/>
      <c r="AF817" s="2"/>
      <c r="AG817" s="2"/>
      <c r="AH817" s="2" t="e">
        <f>VLOOKUP(F817,vlookup!$A$2:$E$660,3,0)</f>
        <v>#N/A</v>
      </c>
      <c r="AI817" s="2"/>
      <c r="AJ817" s="2"/>
      <c r="AK817" s="2"/>
      <c r="AL817" s="2"/>
      <c r="AM817" s="2"/>
      <c r="AO817" s="2"/>
      <c r="AP817" s="2"/>
      <c r="AQ817" s="2"/>
      <c r="AR817" s="2"/>
      <c r="AS817" s="2"/>
      <c r="AT817" s="2"/>
      <c r="AU817" s="2"/>
    </row>
    <row r="818" spans="1:47" x14ac:dyDescent="0.25">
      <c r="A818" s="24"/>
      <c r="B818" s="24"/>
      <c r="C818" s="24"/>
      <c r="D818" s="24"/>
      <c r="E818" s="24"/>
      <c r="F818" s="24"/>
      <c r="G818" s="24"/>
      <c r="H818" s="26"/>
      <c r="I818" s="24"/>
      <c r="J818" s="25"/>
      <c r="K818" s="25"/>
      <c r="L818" s="24"/>
      <c r="M818" s="25"/>
      <c r="N818" s="24"/>
      <c r="O818" s="24"/>
      <c r="P818" s="24"/>
      <c r="Q818" s="24"/>
      <c r="R818" s="24"/>
      <c r="S818" s="25"/>
      <c r="T818" s="24"/>
      <c r="U818" s="24"/>
      <c r="V818" s="25"/>
      <c r="W818" s="24"/>
      <c r="X818" s="24"/>
      <c r="Y818" s="24"/>
      <c r="Z818" s="24"/>
      <c r="AA818" s="24"/>
      <c r="AB818" s="24"/>
      <c r="AC818" s="2"/>
      <c r="AD818" s="2"/>
      <c r="AE818" s="2"/>
      <c r="AF818" s="2"/>
      <c r="AG818" s="2"/>
      <c r="AH818" s="2" t="e">
        <f>VLOOKUP(F818,vlookup!$A$2:$E$660,3,0)</f>
        <v>#N/A</v>
      </c>
      <c r="AI818" s="2"/>
      <c r="AJ818" s="2"/>
      <c r="AK818" s="2"/>
      <c r="AL818" s="2"/>
      <c r="AM818" s="2"/>
      <c r="AO818" s="2"/>
      <c r="AP818" s="2"/>
      <c r="AQ818" s="2"/>
      <c r="AR818" s="2"/>
      <c r="AS818" s="2"/>
      <c r="AT818" s="2"/>
      <c r="AU818" s="2"/>
    </row>
    <row r="819" spans="1:47" x14ac:dyDescent="0.25">
      <c r="A819" s="24"/>
      <c r="B819" s="24"/>
      <c r="C819" s="24"/>
      <c r="D819" s="24"/>
      <c r="E819" s="24"/>
      <c r="F819" s="24"/>
      <c r="G819" s="24"/>
      <c r="H819" s="26"/>
      <c r="I819" s="24"/>
      <c r="J819" s="25"/>
      <c r="K819" s="25"/>
      <c r="L819" s="24"/>
      <c r="M819" s="25"/>
      <c r="N819" s="24"/>
      <c r="O819" s="24"/>
      <c r="P819" s="24"/>
      <c r="Q819" s="24"/>
      <c r="R819" s="24"/>
      <c r="S819" s="25"/>
      <c r="T819" s="24"/>
      <c r="U819" s="24"/>
      <c r="V819" s="25"/>
      <c r="W819" s="24"/>
      <c r="X819" s="24"/>
      <c r="Y819" s="24"/>
      <c r="Z819" s="24"/>
      <c r="AA819" s="24"/>
      <c r="AB819" s="24"/>
      <c r="AC819" s="2"/>
      <c r="AD819" s="2"/>
      <c r="AE819" s="2"/>
      <c r="AF819" s="2"/>
      <c r="AG819" s="2"/>
      <c r="AH819" s="2" t="e">
        <f>VLOOKUP(F819,vlookup!$A$2:$E$660,3,0)</f>
        <v>#N/A</v>
      </c>
      <c r="AI819" s="2"/>
      <c r="AJ819" s="2"/>
      <c r="AK819" s="2"/>
      <c r="AL819" s="2"/>
      <c r="AM819" s="2"/>
      <c r="AO819" s="2"/>
      <c r="AP819" s="2"/>
      <c r="AQ819" s="2"/>
      <c r="AR819" s="2"/>
      <c r="AS819" s="2"/>
      <c r="AT819" s="2"/>
      <c r="AU819" s="2"/>
    </row>
    <row r="820" spans="1:47" x14ac:dyDescent="0.25">
      <c r="A820" s="24"/>
      <c r="B820" s="24"/>
      <c r="C820" s="24"/>
      <c r="D820" s="24"/>
      <c r="E820" s="24"/>
      <c r="F820" s="24"/>
      <c r="G820" s="24"/>
      <c r="H820" s="26"/>
      <c r="I820" s="24"/>
      <c r="J820" s="25"/>
      <c r="K820" s="25"/>
      <c r="L820" s="24"/>
      <c r="M820" s="25"/>
      <c r="N820" s="24"/>
      <c r="O820" s="24"/>
      <c r="P820" s="24"/>
      <c r="Q820" s="24"/>
      <c r="R820" s="24"/>
      <c r="S820" s="25"/>
      <c r="T820" s="24"/>
      <c r="U820" s="24"/>
      <c r="V820" s="25"/>
      <c r="W820" s="24"/>
      <c r="X820" s="24"/>
      <c r="Y820" s="24"/>
      <c r="Z820" s="24"/>
      <c r="AA820" s="24"/>
      <c r="AB820" s="24"/>
      <c r="AC820" s="2"/>
      <c r="AD820" s="2"/>
      <c r="AE820" s="2"/>
      <c r="AF820" s="2"/>
      <c r="AG820" s="2"/>
      <c r="AH820" s="2" t="e">
        <f>VLOOKUP(F820,vlookup!$A$2:$E$660,3,0)</f>
        <v>#N/A</v>
      </c>
      <c r="AI820" s="2"/>
      <c r="AJ820" s="2"/>
      <c r="AK820" s="2"/>
      <c r="AL820" s="2"/>
      <c r="AM820" s="2"/>
      <c r="AO820" s="2"/>
      <c r="AP820" s="2"/>
      <c r="AQ820" s="2"/>
      <c r="AR820" s="2"/>
      <c r="AS820" s="2"/>
      <c r="AT820" s="2"/>
      <c r="AU820" s="2"/>
    </row>
    <row r="821" spans="1:47" x14ac:dyDescent="0.25">
      <c r="A821" s="24"/>
      <c r="B821" s="24"/>
      <c r="C821" s="24"/>
      <c r="D821" s="24"/>
      <c r="E821" s="24"/>
      <c r="F821" s="24"/>
      <c r="G821" s="24"/>
      <c r="H821" s="26"/>
      <c r="I821" s="24"/>
      <c r="J821" s="25"/>
      <c r="K821" s="25"/>
      <c r="L821" s="24"/>
      <c r="M821" s="25"/>
      <c r="N821" s="24"/>
      <c r="O821" s="24"/>
      <c r="P821" s="24"/>
      <c r="Q821" s="24"/>
      <c r="R821" s="24"/>
      <c r="S821" s="25"/>
      <c r="T821" s="24"/>
      <c r="U821" s="24"/>
      <c r="V821" s="25"/>
      <c r="W821" s="24"/>
      <c r="X821" s="24"/>
      <c r="Y821" s="24"/>
      <c r="Z821" s="24"/>
      <c r="AA821" s="24"/>
      <c r="AB821" s="24"/>
      <c r="AC821" s="2"/>
      <c r="AD821" s="2"/>
      <c r="AE821" s="2"/>
      <c r="AF821" s="2"/>
      <c r="AG821" s="2"/>
      <c r="AH821" s="2" t="e">
        <f>VLOOKUP(F821,vlookup!$A$2:$E$660,3,0)</f>
        <v>#N/A</v>
      </c>
      <c r="AI821" s="2"/>
      <c r="AJ821" s="2"/>
      <c r="AK821" s="2"/>
      <c r="AL821" s="2"/>
      <c r="AM821" s="2"/>
      <c r="AO821" s="2"/>
      <c r="AP821" s="2"/>
      <c r="AQ821" s="2"/>
      <c r="AR821" s="2"/>
      <c r="AS821" s="2"/>
      <c r="AT821" s="2"/>
      <c r="AU821" s="2"/>
    </row>
    <row r="822" spans="1:47" x14ac:dyDescent="0.25">
      <c r="A822" s="24"/>
      <c r="B822" s="24"/>
      <c r="C822" s="24"/>
      <c r="D822" s="24"/>
      <c r="E822" s="24"/>
      <c r="F822" s="24"/>
      <c r="G822" s="24"/>
      <c r="H822" s="26"/>
      <c r="I822" s="24"/>
      <c r="J822" s="25"/>
      <c r="K822" s="25"/>
      <c r="L822" s="24"/>
      <c r="M822" s="25"/>
      <c r="N822" s="24"/>
      <c r="O822" s="24"/>
      <c r="P822" s="24"/>
      <c r="Q822" s="24"/>
      <c r="R822" s="24"/>
      <c r="S822" s="25"/>
      <c r="T822" s="24"/>
      <c r="U822" s="24"/>
      <c r="V822" s="25"/>
      <c r="W822" s="24"/>
      <c r="X822" s="24"/>
      <c r="Y822" s="24"/>
      <c r="Z822" s="24"/>
      <c r="AA822" s="24"/>
      <c r="AB822" s="24"/>
      <c r="AC822" s="2"/>
      <c r="AD822" s="2"/>
      <c r="AE822" s="2"/>
      <c r="AF822" s="2"/>
      <c r="AG822" s="2"/>
      <c r="AH822" s="2" t="e">
        <f>VLOOKUP(F822,vlookup!$A$2:$E$660,3,0)</f>
        <v>#N/A</v>
      </c>
      <c r="AI822" s="2"/>
      <c r="AJ822" s="2"/>
      <c r="AK822" s="2"/>
      <c r="AL822" s="2"/>
      <c r="AM822" s="2"/>
      <c r="AO822" s="2"/>
      <c r="AP822" s="2"/>
      <c r="AQ822" s="2"/>
      <c r="AR822" s="2"/>
      <c r="AS822" s="2"/>
      <c r="AT822" s="2"/>
      <c r="AU822" s="2"/>
    </row>
    <row r="823" spans="1:47" x14ac:dyDescent="0.25">
      <c r="A823" s="24"/>
      <c r="B823" s="24"/>
      <c r="C823" s="24"/>
      <c r="D823" s="24"/>
      <c r="E823" s="24"/>
      <c r="F823" s="24"/>
      <c r="G823" s="24"/>
      <c r="H823" s="26"/>
      <c r="I823" s="24"/>
      <c r="J823" s="25"/>
      <c r="K823" s="25"/>
      <c r="L823" s="24"/>
      <c r="M823" s="25"/>
      <c r="N823" s="24"/>
      <c r="O823" s="24"/>
      <c r="P823" s="24"/>
      <c r="Q823" s="24"/>
      <c r="R823" s="24"/>
      <c r="S823" s="25"/>
      <c r="T823" s="24"/>
      <c r="U823" s="24"/>
      <c r="V823" s="25"/>
      <c r="W823" s="24"/>
      <c r="X823" s="24"/>
      <c r="Y823" s="24"/>
      <c r="Z823" s="24"/>
      <c r="AA823" s="24"/>
      <c r="AB823" s="24"/>
      <c r="AC823" s="2"/>
      <c r="AD823" s="2"/>
      <c r="AE823" s="2"/>
      <c r="AF823" s="2"/>
      <c r="AG823" s="2"/>
      <c r="AH823" s="2" t="e">
        <f>VLOOKUP(F823,vlookup!$A$2:$E$660,3,0)</f>
        <v>#N/A</v>
      </c>
      <c r="AI823" s="2"/>
      <c r="AJ823" s="2"/>
      <c r="AK823" s="2"/>
      <c r="AL823" s="2"/>
      <c r="AM823" s="2"/>
      <c r="AO823" s="2"/>
      <c r="AP823" s="2"/>
      <c r="AQ823" s="2"/>
      <c r="AR823" s="2"/>
      <c r="AS823" s="2"/>
      <c r="AT823" s="2"/>
      <c r="AU823" s="2"/>
    </row>
    <row r="824" spans="1:47" x14ac:dyDescent="0.25">
      <c r="A824" s="24"/>
      <c r="B824" s="24"/>
      <c r="C824" s="24"/>
      <c r="D824" s="24"/>
      <c r="E824" s="24"/>
      <c r="F824" s="24"/>
      <c r="G824" s="24"/>
      <c r="H824" s="26"/>
      <c r="I824" s="24"/>
      <c r="J824" s="25"/>
      <c r="K824" s="25"/>
      <c r="L824" s="24"/>
      <c r="M824" s="25"/>
      <c r="N824" s="24"/>
      <c r="O824" s="24"/>
      <c r="P824" s="24"/>
      <c r="Q824" s="24"/>
      <c r="R824" s="24"/>
      <c r="S824" s="25"/>
      <c r="T824" s="24"/>
      <c r="U824" s="24"/>
      <c r="V824" s="25"/>
      <c r="W824" s="24"/>
      <c r="X824" s="24"/>
      <c r="Y824" s="24"/>
      <c r="Z824" s="24"/>
      <c r="AA824" s="24"/>
      <c r="AB824" s="24"/>
      <c r="AC824" s="2"/>
      <c r="AD824" s="2"/>
      <c r="AE824" s="2"/>
      <c r="AF824" s="2"/>
      <c r="AG824" s="2"/>
      <c r="AH824" s="2" t="e">
        <f>VLOOKUP(F824,vlookup!$A$2:$E$660,3,0)</f>
        <v>#N/A</v>
      </c>
      <c r="AI824" s="2"/>
      <c r="AJ824" s="2"/>
      <c r="AK824" s="2"/>
      <c r="AL824" s="2"/>
      <c r="AM824" s="2"/>
      <c r="AO824" s="2"/>
      <c r="AP824" s="2"/>
      <c r="AQ824" s="2"/>
      <c r="AR824" s="2"/>
      <c r="AS824" s="2"/>
      <c r="AT824" s="2"/>
      <c r="AU824" s="2"/>
    </row>
    <row r="825" spans="1:47" x14ac:dyDescent="0.25">
      <c r="A825" s="24"/>
      <c r="B825" s="24"/>
      <c r="C825" s="24"/>
      <c r="D825" s="24"/>
      <c r="E825" s="24"/>
      <c r="F825" s="24"/>
      <c r="G825" s="24"/>
      <c r="H825" s="26"/>
      <c r="I825" s="24"/>
      <c r="J825" s="25"/>
      <c r="K825" s="25"/>
      <c r="L825" s="24"/>
      <c r="M825" s="25"/>
      <c r="N825" s="24"/>
      <c r="O825" s="24"/>
      <c r="P825" s="24"/>
      <c r="Q825" s="24"/>
      <c r="R825" s="24"/>
      <c r="S825" s="25"/>
      <c r="T825" s="24"/>
      <c r="U825" s="24"/>
      <c r="V825" s="25"/>
      <c r="W825" s="24"/>
      <c r="X825" s="24"/>
      <c r="Y825" s="24"/>
      <c r="Z825" s="24"/>
      <c r="AA825" s="24"/>
      <c r="AB825" s="24"/>
      <c r="AC825" s="2"/>
      <c r="AD825" s="2"/>
      <c r="AE825" s="2"/>
      <c r="AF825" s="2"/>
      <c r="AG825" s="2"/>
      <c r="AH825" s="2" t="e">
        <f>VLOOKUP(F825,vlookup!$A$2:$E$660,3,0)</f>
        <v>#N/A</v>
      </c>
      <c r="AI825" s="2"/>
      <c r="AJ825" s="2"/>
      <c r="AK825" s="2"/>
      <c r="AL825" s="2"/>
      <c r="AM825" s="2"/>
      <c r="AO825" s="2"/>
      <c r="AP825" s="2"/>
      <c r="AQ825" s="2"/>
      <c r="AR825" s="2"/>
      <c r="AS825" s="2"/>
      <c r="AT825" s="2"/>
      <c r="AU825" s="2"/>
    </row>
    <row r="826" spans="1:47" x14ac:dyDescent="0.25">
      <c r="A826" s="24"/>
      <c r="B826" s="24"/>
      <c r="C826" s="24"/>
      <c r="D826" s="24"/>
      <c r="E826" s="24"/>
      <c r="F826" s="24"/>
      <c r="G826" s="24"/>
      <c r="H826" s="26"/>
      <c r="I826" s="24"/>
      <c r="J826" s="25"/>
      <c r="K826" s="25"/>
      <c r="L826" s="24"/>
      <c r="M826" s="25"/>
      <c r="N826" s="24"/>
      <c r="O826" s="24"/>
      <c r="P826" s="24"/>
      <c r="Q826" s="24"/>
      <c r="R826" s="24"/>
      <c r="S826" s="25"/>
      <c r="T826" s="24"/>
      <c r="U826" s="24"/>
      <c r="V826" s="25"/>
      <c r="W826" s="24"/>
      <c r="X826" s="24"/>
      <c r="Y826" s="24"/>
      <c r="Z826" s="24"/>
      <c r="AA826" s="24"/>
      <c r="AB826" s="24"/>
      <c r="AC826" s="2"/>
      <c r="AD826" s="2"/>
      <c r="AE826" s="2"/>
      <c r="AF826" s="2"/>
      <c r="AG826" s="2"/>
      <c r="AH826" s="2" t="e">
        <f>VLOOKUP(F826,vlookup!$A$2:$E$660,3,0)</f>
        <v>#N/A</v>
      </c>
      <c r="AI826" s="2"/>
      <c r="AJ826" s="2"/>
      <c r="AK826" s="2"/>
      <c r="AL826" s="2"/>
      <c r="AM826" s="2"/>
      <c r="AO826" s="2"/>
      <c r="AP826" s="2"/>
      <c r="AQ826" s="2"/>
      <c r="AR826" s="2"/>
      <c r="AS826" s="2"/>
      <c r="AT826" s="2"/>
      <c r="AU826" s="2"/>
    </row>
    <row r="827" spans="1:47" x14ac:dyDescent="0.25">
      <c r="A827" s="24"/>
      <c r="B827" s="24"/>
      <c r="C827" s="24"/>
      <c r="D827" s="24"/>
      <c r="E827" s="24"/>
      <c r="F827" s="24"/>
      <c r="G827" s="24"/>
      <c r="H827" s="26"/>
      <c r="I827" s="24"/>
      <c r="J827" s="25"/>
      <c r="K827" s="25"/>
      <c r="L827" s="24"/>
      <c r="M827" s="25"/>
      <c r="N827" s="24"/>
      <c r="O827" s="24"/>
      <c r="P827" s="24"/>
      <c r="Q827" s="24"/>
      <c r="R827" s="24"/>
      <c r="S827" s="25"/>
      <c r="T827" s="24"/>
      <c r="U827" s="24"/>
      <c r="V827" s="25"/>
      <c r="W827" s="24"/>
      <c r="X827" s="24"/>
      <c r="Y827" s="24"/>
      <c r="Z827" s="24"/>
      <c r="AA827" s="24"/>
      <c r="AB827" s="24"/>
      <c r="AC827" s="2"/>
      <c r="AD827" s="2"/>
      <c r="AE827" s="2"/>
      <c r="AF827" s="2"/>
      <c r="AG827" s="2"/>
      <c r="AH827" s="2" t="e">
        <f>VLOOKUP(F827,vlookup!$A$2:$E$660,3,0)</f>
        <v>#N/A</v>
      </c>
      <c r="AI827" s="2"/>
      <c r="AJ827" s="2"/>
      <c r="AK827" s="2"/>
      <c r="AL827" s="2"/>
      <c r="AM827" s="2"/>
      <c r="AO827" s="2"/>
      <c r="AP827" s="2"/>
      <c r="AQ827" s="2"/>
      <c r="AR827" s="2"/>
      <c r="AS827" s="2"/>
      <c r="AT827" s="2"/>
      <c r="AU827" s="2"/>
    </row>
    <row r="828" spans="1:47" x14ac:dyDescent="0.25">
      <c r="A828" s="24"/>
      <c r="B828" s="24"/>
      <c r="C828" s="24"/>
      <c r="D828" s="24"/>
      <c r="E828" s="24"/>
      <c r="F828" s="24"/>
      <c r="G828" s="24"/>
      <c r="H828" s="26"/>
      <c r="I828" s="24"/>
      <c r="J828" s="25"/>
      <c r="K828" s="25"/>
      <c r="L828" s="24"/>
      <c r="M828" s="25"/>
      <c r="N828" s="24"/>
      <c r="O828" s="24"/>
      <c r="P828" s="24"/>
      <c r="Q828" s="24"/>
      <c r="R828" s="24"/>
      <c r="S828" s="25"/>
      <c r="T828" s="24"/>
      <c r="U828" s="24"/>
      <c r="V828" s="25"/>
      <c r="W828" s="24"/>
      <c r="X828" s="24"/>
      <c r="Y828" s="24"/>
      <c r="Z828" s="24"/>
      <c r="AA828" s="24"/>
      <c r="AB828" s="24"/>
      <c r="AC828" s="2"/>
      <c r="AD828" s="2"/>
      <c r="AE828" s="2"/>
      <c r="AF828" s="2"/>
      <c r="AG828" s="2"/>
      <c r="AH828" s="2" t="e">
        <f>VLOOKUP(F828,vlookup!$A$2:$E$660,3,0)</f>
        <v>#N/A</v>
      </c>
      <c r="AI828" s="2"/>
      <c r="AJ828" s="2"/>
      <c r="AK828" s="2"/>
      <c r="AL828" s="2"/>
      <c r="AM828" s="2"/>
      <c r="AO828" s="2"/>
      <c r="AP828" s="2"/>
      <c r="AQ828" s="2"/>
      <c r="AR828" s="2"/>
      <c r="AS828" s="2"/>
      <c r="AT828" s="2"/>
      <c r="AU828" s="2"/>
    </row>
    <row r="829" spans="1:47" x14ac:dyDescent="0.25">
      <c r="A829" s="24"/>
      <c r="B829" s="24"/>
      <c r="C829" s="24"/>
      <c r="D829" s="24"/>
      <c r="E829" s="24"/>
      <c r="F829" s="24"/>
      <c r="G829" s="24"/>
      <c r="H829" s="26"/>
      <c r="I829" s="24"/>
      <c r="J829" s="25"/>
      <c r="K829" s="25"/>
      <c r="L829" s="24"/>
      <c r="M829" s="25"/>
      <c r="N829" s="24"/>
      <c r="O829" s="24"/>
      <c r="P829" s="24"/>
      <c r="Q829" s="24"/>
      <c r="R829" s="24"/>
      <c r="S829" s="25"/>
      <c r="T829" s="24"/>
      <c r="U829" s="24"/>
      <c r="V829" s="25"/>
      <c r="W829" s="24"/>
      <c r="X829" s="24"/>
      <c r="Y829" s="24"/>
      <c r="Z829" s="24"/>
      <c r="AA829" s="24"/>
      <c r="AB829" s="24"/>
      <c r="AC829" s="2"/>
      <c r="AD829" s="2"/>
      <c r="AE829" s="2"/>
      <c r="AF829" s="2"/>
      <c r="AG829" s="2"/>
      <c r="AH829" s="2" t="e">
        <f>VLOOKUP(F829,vlookup!$A$2:$E$660,3,0)</f>
        <v>#N/A</v>
      </c>
      <c r="AI829" s="2"/>
      <c r="AJ829" s="2"/>
      <c r="AK829" s="2"/>
      <c r="AL829" s="2"/>
      <c r="AM829" s="2"/>
      <c r="AO829" s="2"/>
      <c r="AP829" s="2"/>
      <c r="AQ829" s="2"/>
      <c r="AR829" s="2"/>
      <c r="AS829" s="2"/>
      <c r="AT829" s="2"/>
      <c r="AU829" s="2"/>
    </row>
    <row r="830" spans="1:47" x14ac:dyDescent="0.25">
      <c r="A830" s="24"/>
      <c r="B830" s="24"/>
      <c r="C830" s="24"/>
      <c r="D830" s="24"/>
      <c r="E830" s="24"/>
      <c r="F830" s="24"/>
      <c r="G830" s="24"/>
      <c r="H830" s="26"/>
      <c r="I830" s="24"/>
      <c r="J830" s="25"/>
      <c r="K830" s="25"/>
      <c r="L830" s="24"/>
      <c r="M830" s="25"/>
      <c r="N830" s="24"/>
      <c r="O830" s="24"/>
      <c r="P830" s="24"/>
      <c r="Q830" s="24"/>
      <c r="R830" s="24"/>
      <c r="S830" s="25"/>
      <c r="T830" s="24"/>
      <c r="U830" s="24"/>
      <c r="V830" s="25"/>
      <c r="W830" s="24"/>
      <c r="X830" s="24"/>
      <c r="Y830" s="24"/>
      <c r="Z830" s="24"/>
      <c r="AA830" s="24"/>
      <c r="AB830" s="24"/>
      <c r="AC830" s="2"/>
      <c r="AD830" s="2"/>
      <c r="AE830" s="2"/>
      <c r="AF830" s="2"/>
      <c r="AG830" s="2"/>
      <c r="AH830" s="2" t="e">
        <f>VLOOKUP(F830,vlookup!$A$2:$E$660,3,0)</f>
        <v>#N/A</v>
      </c>
      <c r="AI830" s="2"/>
      <c r="AJ830" s="2"/>
      <c r="AK830" s="2"/>
      <c r="AL830" s="2"/>
      <c r="AM830" s="2"/>
      <c r="AO830" s="2"/>
      <c r="AP830" s="2"/>
      <c r="AQ830" s="2"/>
      <c r="AR830" s="2"/>
      <c r="AS830" s="2"/>
      <c r="AT830" s="2"/>
      <c r="AU830" s="2"/>
    </row>
    <row r="831" spans="1:47" x14ac:dyDescent="0.25">
      <c r="A831" s="24"/>
      <c r="B831" s="24"/>
      <c r="C831" s="24"/>
      <c r="D831" s="24"/>
      <c r="E831" s="24"/>
      <c r="F831" s="24"/>
      <c r="G831" s="24"/>
      <c r="H831" s="26"/>
      <c r="I831" s="24"/>
      <c r="J831" s="25"/>
      <c r="K831" s="25"/>
      <c r="L831" s="24"/>
      <c r="M831" s="25"/>
      <c r="N831" s="24"/>
      <c r="O831" s="24"/>
      <c r="P831" s="24"/>
      <c r="Q831" s="24"/>
      <c r="R831" s="24"/>
      <c r="S831" s="25"/>
      <c r="T831" s="24"/>
      <c r="U831" s="24"/>
      <c r="V831" s="25"/>
      <c r="W831" s="24"/>
      <c r="X831" s="24"/>
      <c r="Y831" s="24"/>
      <c r="Z831" s="24"/>
      <c r="AA831" s="24"/>
      <c r="AB831" s="24"/>
      <c r="AC831" s="2"/>
      <c r="AD831" s="2"/>
      <c r="AE831" s="2"/>
      <c r="AF831" s="2"/>
      <c r="AG831" s="2"/>
      <c r="AH831" s="2" t="e">
        <f>VLOOKUP(F831,vlookup!$A$2:$E$660,3,0)</f>
        <v>#N/A</v>
      </c>
      <c r="AI831" s="2"/>
      <c r="AJ831" s="2"/>
      <c r="AK831" s="2"/>
      <c r="AL831" s="2"/>
      <c r="AM831" s="2"/>
      <c r="AO831" s="2"/>
      <c r="AP831" s="2"/>
      <c r="AQ831" s="2"/>
      <c r="AR831" s="2"/>
      <c r="AS831" s="2"/>
      <c r="AT831" s="2"/>
      <c r="AU831" s="2"/>
    </row>
    <row r="832" spans="1:47" x14ac:dyDescent="0.25">
      <c r="A832" s="24"/>
      <c r="B832" s="24"/>
      <c r="C832" s="24"/>
      <c r="D832" s="24"/>
      <c r="E832" s="24"/>
      <c r="F832" s="24"/>
      <c r="G832" s="24"/>
      <c r="H832" s="26"/>
      <c r="I832" s="24"/>
      <c r="J832" s="25"/>
      <c r="K832" s="25"/>
      <c r="L832" s="24"/>
      <c r="M832" s="25"/>
      <c r="N832" s="24"/>
      <c r="O832" s="24"/>
      <c r="P832" s="24"/>
      <c r="Q832" s="24"/>
      <c r="R832" s="24"/>
      <c r="S832" s="25"/>
      <c r="T832" s="24"/>
      <c r="U832" s="24"/>
      <c r="V832" s="25"/>
      <c r="W832" s="24"/>
      <c r="X832" s="24"/>
      <c r="Y832" s="24"/>
      <c r="Z832" s="24"/>
      <c r="AA832" s="24"/>
      <c r="AB832" s="24"/>
      <c r="AC832" s="2"/>
      <c r="AD832" s="2"/>
      <c r="AE832" s="2"/>
      <c r="AF832" s="2"/>
      <c r="AG832" s="2"/>
      <c r="AH832" s="2" t="e">
        <f>VLOOKUP(F832,vlookup!$A$2:$E$660,3,0)</f>
        <v>#N/A</v>
      </c>
      <c r="AI832" s="2"/>
      <c r="AJ832" s="2"/>
      <c r="AK832" s="2"/>
      <c r="AL832" s="2"/>
      <c r="AM832" s="2"/>
      <c r="AO832" s="2"/>
      <c r="AP832" s="2"/>
      <c r="AQ832" s="2"/>
      <c r="AR832" s="2"/>
      <c r="AS832" s="2"/>
      <c r="AT832" s="2"/>
      <c r="AU832" s="2"/>
    </row>
    <row r="833" spans="1:47" x14ac:dyDescent="0.25">
      <c r="A833" s="24"/>
      <c r="B833" s="24"/>
      <c r="C833" s="24"/>
      <c r="D833" s="24"/>
      <c r="E833" s="24"/>
      <c r="F833" s="24"/>
      <c r="G833" s="24"/>
      <c r="H833" s="26"/>
      <c r="I833" s="24"/>
      <c r="J833" s="25"/>
      <c r="K833" s="25"/>
      <c r="L833" s="24"/>
      <c r="M833" s="25"/>
      <c r="N833" s="24"/>
      <c r="O833" s="24"/>
      <c r="P833" s="24"/>
      <c r="Q833" s="24"/>
      <c r="R833" s="24"/>
      <c r="S833" s="25"/>
      <c r="T833" s="24"/>
      <c r="U833" s="24"/>
      <c r="V833" s="25"/>
      <c r="W833" s="24"/>
      <c r="X833" s="24"/>
      <c r="Y833" s="24"/>
      <c r="Z833" s="24"/>
      <c r="AA833" s="24"/>
      <c r="AB833" s="24"/>
      <c r="AC833" s="2"/>
      <c r="AD833" s="2"/>
      <c r="AE833" s="2"/>
      <c r="AF833" s="2"/>
      <c r="AG833" s="2"/>
      <c r="AH833" s="2" t="e">
        <f>VLOOKUP(F833,vlookup!$A$2:$E$660,3,0)</f>
        <v>#N/A</v>
      </c>
      <c r="AI833" s="2"/>
      <c r="AJ833" s="2"/>
      <c r="AK833" s="2"/>
      <c r="AL833" s="2"/>
      <c r="AM833" s="2"/>
      <c r="AO833" s="2"/>
      <c r="AP833" s="2"/>
      <c r="AQ833" s="2"/>
      <c r="AR833" s="2"/>
      <c r="AS833" s="2"/>
      <c r="AT833" s="2"/>
      <c r="AU833" s="2"/>
    </row>
    <row r="834" spans="1:47" x14ac:dyDescent="0.25">
      <c r="A834" s="24"/>
      <c r="B834" s="24"/>
      <c r="C834" s="24"/>
      <c r="D834" s="24"/>
      <c r="E834" s="24"/>
      <c r="F834" s="24"/>
      <c r="G834" s="24"/>
      <c r="H834" s="26"/>
      <c r="I834" s="24"/>
      <c r="J834" s="25"/>
      <c r="K834" s="25"/>
      <c r="L834" s="24"/>
      <c r="M834" s="25"/>
      <c r="N834" s="24"/>
      <c r="O834" s="24"/>
      <c r="P834" s="24"/>
      <c r="Q834" s="24"/>
      <c r="R834" s="24"/>
      <c r="S834" s="25"/>
      <c r="T834" s="24"/>
      <c r="U834" s="24"/>
      <c r="V834" s="25"/>
      <c r="W834" s="24"/>
      <c r="X834" s="24"/>
      <c r="Y834" s="24"/>
      <c r="Z834" s="24"/>
      <c r="AA834" s="24"/>
      <c r="AB834" s="24"/>
      <c r="AC834" s="2"/>
      <c r="AD834" s="2"/>
      <c r="AE834" s="2"/>
      <c r="AF834" s="2"/>
      <c r="AG834" s="2"/>
      <c r="AH834" s="2" t="e">
        <f>VLOOKUP(F834,vlookup!$A$2:$E$660,3,0)</f>
        <v>#N/A</v>
      </c>
      <c r="AI834" s="2"/>
      <c r="AJ834" s="2"/>
      <c r="AK834" s="2"/>
      <c r="AL834" s="2"/>
      <c r="AM834" s="2"/>
      <c r="AO834" s="2"/>
      <c r="AP834" s="2"/>
      <c r="AQ834" s="2"/>
      <c r="AR834" s="2"/>
      <c r="AS834" s="2"/>
      <c r="AT834" s="2"/>
      <c r="AU834" s="2"/>
    </row>
    <row r="835" spans="1:47" x14ac:dyDescent="0.25">
      <c r="A835" s="24"/>
      <c r="B835" s="24"/>
      <c r="C835" s="24"/>
      <c r="D835" s="24"/>
      <c r="E835" s="24"/>
      <c r="F835" s="24"/>
      <c r="G835" s="24"/>
      <c r="H835" s="26"/>
      <c r="I835" s="24"/>
      <c r="J835" s="25"/>
      <c r="K835" s="25"/>
      <c r="L835" s="24"/>
      <c r="M835" s="25"/>
      <c r="N835" s="24"/>
      <c r="O835" s="24"/>
      <c r="P835" s="24"/>
      <c r="Q835" s="24"/>
      <c r="R835" s="24"/>
      <c r="S835" s="25"/>
      <c r="T835" s="24"/>
      <c r="U835" s="24"/>
      <c r="V835" s="25"/>
      <c r="W835" s="24"/>
      <c r="X835" s="24"/>
      <c r="Y835" s="24"/>
      <c r="Z835" s="24"/>
      <c r="AA835" s="24"/>
      <c r="AB835" s="24"/>
      <c r="AC835" s="2"/>
      <c r="AD835" s="2"/>
      <c r="AE835" s="2"/>
      <c r="AF835" s="2"/>
      <c r="AG835" s="2"/>
      <c r="AH835" s="2" t="e">
        <f>VLOOKUP(F835,vlookup!$A$2:$E$660,3,0)</f>
        <v>#N/A</v>
      </c>
      <c r="AI835" s="2"/>
      <c r="AJ835" s="2"/>
      <c r="AK835" s="2"/>
      <c r="AL835" s="2"/>
      <c r="AM835" s="2"/>
      <c r="AO835" s="2"/>
      <c r="AP835" s="2"/>
      <c r="AQ835" s="2"/>
      <c r="AR835" s="2"/>
      <c r="AS835" s="2"/>
      <c r="AT835" s="2"/>
      <c r="AU835" s="2"/>
    </row>
    <row r="836" spans="1:47" x14ac:dyDescent="0.25">
      <c r="A836" s="24"/>
      <c r="B836" s="24"/>
      <c r="C836" s="24"/>
      <c r="D836" s="24"/>
      <c r="E836" s="24"/>
      <c r="F836" s="24"/>
      <c r="G836" s="24"/>
      <c r="H836" s="26"/>
      <c r="I836" s="24"/>
      <c r="J836" s="25"/>
      <c r="K836" s="25"/>
      <c r="L836" s="24"/>
      <c r="M836" s="25"/>
      <c r="N836" s="24"/>
      <c r="O836" s="24"/>
      <c r="P836" s="24"/>
      <c r="Q836" s="24"/>
      <c r="R836" s="24"/>
      <c r="S836" s="25"/>
      <c r="T836" s="24"/>
      <c r="U836" s="24"/>
      <c r="V836" s="25"/>
      <c r="W836" s="24"/>
      <c r="X836" s="24"/>
      <c r="Y836" s="24"/>
      <c r="Z836" s="24"/>
      <c r="AA836" s="24"/>
      <c r="AB836" s="24"/>
      <c r="AC836" s="2"/>
      <c r="AD836" s="2"/>
      <c r="AE836" s="2"/>
      <c r="AF836" s="2"/>
      <c r="AG836" s="2"/>
      <c r="AH836" s="2" t="e">
        <f>VLOOKUP(F836,vlookup!$A$2:$E$660,3,0)</f>
        <v>#N/A</v>
      </c>
      <c r="AI836" s="2"/>
      <c r="AJ836" s="2"/>
      <c r="AK836" s="2"/>
      <c r="AL836" s="2"/>
      <c r="AM836" s="2"/>
      <c r="AO836" s="2"/>
      <c r="AP836" s="2"/>
      <c r="AQ836" s="2"/>
      <c r="AR836" s="2"/>
      <c r="AS836" s="2"/>
      <c r="AT836" s="2"/>
      <c r="AU836" s="2"/>
    </row>
    <row r="837" spans="1:47" x14ac:dyDescent="0.25">
      <c r="A837" s="24"/>
      <c r="B837" s="24"/>
      <c r="C837" s="24"/>
      <c r="D837" s="24"/>
      <c r="E837" s="24"/>
      <c r="F837" s="24"/>
      <c r="G837" s="24"/>
      <c r="H837" s="26"/>
      <c r="I837" s="24"/>
      <c r="J837" s="25"/>
      <c r="K837" s="25"/>
      <c r="L837" s="24"/>
      <c r="M837" s="25"/>
      <c r="N837" s="24"/>
      <c r="O837" s="24"/>
      <c r="P837" s="24"/>
      <c r="Q837" s="24"/>
      <c r="R837" s="24"/>
      <c r="S837" s="25"/>
      <c r="T837" s="24"/>
      <c r="U837" s="24"/>
      <c r="V837" s="25"/>
      <c r="W837" s="24"/>
      <c r="X837" s="24"/>
      <c r="Y837" s="24"/>
      <c r="Z837" s="24"/>
      <c r="AA837" s="24"/>
      <c r="AB837" s="24"/>
      <c r="AC837" s="2"/>
      <c r="AD837" s="2"/>
      <c r="AE837" s="2"/>
      <c r="AF837" s="2"/>
      <c r="AG837" s="2"/>
      <c r="AH837" s="2" t="e">
        <f>VLOOKUP(F837,vlookup!$A$2:$E$660,3,0)</f>
        <v>#N/A</v>
      </c>
      <c r="AI837" s="2"/>
      <c r="AJ837" s="2"/>
      <c r="AK837" s="2"/>
      <c r="AL837" s="2"/>
      <c r="AM837" s="2"/>
      <c r="AO837" s="2"/>
      <c r="AP837" s="2"/>
      <c r="AQ837" s="2"/>
      <c r="AR837" s="2"/>
      <c r="AS837" s="2"/>
      <c r="AT837" s="2"/>
      <c r="AU837" s="2"/>
    </row>
    <row r="838" spans="1:47" x14ac:dyDescent="0.25">
      <c r="A838" s="24"/>
      <c r="B838" s="24"/>
      <c r="C838" s="24"/>
      <c r="D838" s="24"/>
      <c r="E838" s="24"/>
      <c r="F838" s="24"/>
      <c r="G838" s="24"/>
      <c r="H838" s="26"/>
      <c r="I838" s="24"/>
      <c r="J838" s="25"/>
      <c r="K838" s="25"/>
      <c r="L838" s="24"/>
      <c r="M838" s="25"/>
      <c r="N838" s="24"/>
      <c r="O838" s="24"/>
      <c r="P838" s="24"/>
      <c r="Q838" s="24"/>
      <c r="R838" s="24"/>
      <c r="S838" s="25"/>
      <c r="T838" s="24"/>
      <c r="U838" s="24"/>
      <c r="V838" s="25"/>
      <c r="W838" s="24"/>
      <c r="X838" s="24"/>
      <c r="Y838" s="24"/>
      <c r="Z838" s="24"/>
      <c r="AA838" s="24"/>
      <c r="AB838" s="24"/>
      <c r="AC838" s="2"/>
      <c r="AD838" s="2"/>
      <c r="AE838" s="2"/>
      <c r="AF838" s="2"/>
      <c r="AG838" s="2"/>
      <c r="AH838" s="2" t="e">
        <f>VLOOKUP(F838,vlookup!$A$2:$E$660,3,0)</f>
        <v>#N/A</v>
      </c>
      <c r="AI838" s="2"/>
      <c r="AJ838" s="2"/>
      <c r="AK838" s="2"/>
      <c r="AL838" s="2"/>
      <c r="AM838" s="2"/>
      <c r="AO838" s="2"/>
      <c r="AP838" s="2"/>
      <c r="AQ838" s="2"/>
      <c r="AR838" s="2"/>
      <c r="AS838" s="2"/>
      <c r="AT838" s="2"/>
      <c r="AU838" s="2"/>
    </row>
    <row r="839" spans="1:47" x14ac:dyDescent="0.25">
      <c r="A839" s="24"/>
      <c r="B839" s="24"/>
      <c r="C839" s="24"/>
      <c r="D839" s="24"/>
      <c r="E839" s="24"/>
      <c r="F839" s="24"/>
      <c r="G839" s="24"/>
      <c r="H839" s="26"/>
      <c r="I839" s="24"/>
      <c r="J839" s="25"/>
      <c r="K839" s="25"/>
      <c r="L839" s="24"/>
      <c r="M839" s="25"/>
      <c r="N839" s="24"/>
      <c r="O839" s="24"/>
      <c r="P839" s="24"/>
      <c r="Q839" s="24"/>
      <c r="R839" s="24"/>
      <c r="S839" s="25"/>
      <c r="T839" s="24"/>
      <c r="U839" s="24"/>
      <c r="V839" s="25"/>
      <c r="W839" s="24"/>
      <c r="X839" s="24"/>
      <c r="Y839" s="24"/>
      <c r="Z839" s="24"/>
      <c r="AA839" s="24"/>
      <c r="AB839" s="24"/>
      <c r="AC839" s="2"/>
      <c r="AD839" s="2"/>
      <c r="AE839" s="2"/>
      <c r="AF839" s="2"/>
      <c r="AG839" s="2"/>
      <c r="AH839" s="2" t="e">
        <f>VLOOKUP(F839,vlookup!$A$2:$E$660,3,0)</f>
        <v>#N/A</v>
      </c>
      <c r="AI839" s="2"/>
      <c r="AJ839" s="2"/>
      <c r="AK839" s="2"/>
      <c r="AL839" s="2"/>
      <c r="AM839" s="2"/>
      <c r="AO839" s="2"/>
      <c r="AP839" s="2"/>
      <c r="AQ839" s="2"/>
      <c r="AR839" s="2"/>
      <c r="AS839" s="2"/>
      <c r="AT839" s="2"/>
      <c r="AU839" s="2"/>
    </row>
    <row r="840" spans="1:47" x14ac:dyDescent="0.25">
      <c r="A840" s="24"/>
      <c r="B840" s="24"/>
      <c r="C840" s="24"/>
      <c r="D840" s="24"/>
      <c r="E840" s="24"/>
      <c r="F840" s="24"/>
      <c r="G840" s="24"/>
      <c r="H840" s="26"/>
      <c r="I840" s="24"/>
      <c r="J840" s="25"/>
      <c r="K840" s="25"/>
      <c r="L840" s="24"/>
      <c r="M840" s="25"/>
      <c r="N840" s="24"/>
      <c r="O840" s="24"/>
      <c r="P840" s="24"/>
      <c r="Q840" s="24"/>
      <c r="R840" s="24"/>
      <c r="S840" s="25"/>
      <c r="T840" s="24"/>
      <c r="U840" s="24"/>
      <c r="V840" s="25"/>
      <c r="W840" s="24"/>
      <c r="X840" s="24"/>
      <c r="Y840" s="24"/>
      <c r="Z840" s="24"/>
      <c r="AA840" s="24"/>
      <c r="AB840" s="24"/>
      <c r="AC840" s="2"/>
      <c r="AD840" s="2"/>
      <c r="AE840" s="2"/>
      <c r="AF840" s="2"/>
      <c r="AG840" s="2"/>
      <c r="AH840" s="2" t="e">
        <f>VLOOKUP(F840,vlookup!$A$2:$E$660,3,0)</f>
        <v>#N/A</v>
      </c>
      <c r="AI840" s="2"/>
      <c r="AJ840" s="2"/>
      <c r="AK840" s="2"/>
      <c r="AL840" s="2"/>
      <c r="AM840" s="2"/>
      <c r="AO840" s="2"/>
      <c r="AP840" s="2"/>
      <c r="AQ840" s="2"/>
      <c r="AR840" s="2"/>
      <c r="AS840" s="2"/>
      <c r="AT840" s="2"/>
      <c r="AU840" s="2"/>
    </row>
    <row r="841" spans="1:47" x14ac:dyDescent="0.25">
      <c r="A841" s="24"/>
      <c r="B841" s="24"/>
      <c r="C841" s="24"/>
      <c r="D841" s="24"/>
      <c r="E841" s="24"/>
      <c r="F841" s="24"/>
      <c r="G841" s="24"/>
      <c r="H841" s="26"/>
      <c r="I841" s="24"/>
      <c r="J841" s="25"/>
      <c r="K841" s="25"/>
      <c r="L841" s="24"/>
      <c r="M841" s="25"/>
      <c r="N841" s="24"/>
      <c r="O841" s="24"/>
      <c r="P841" s="24"/>
      <c r="Q841" s="24"/>
      <c r="R841" s="24"/>
      <c r="S841" s="25"/>
      <c r="T841" s="24"/>
      <c r="U841" s="24"/>
      <c r="V841" s="25"/>
      <c r="W841" s="24"/>
      <c r="X841" s="24"/>
      <c r="Y841" s="24"/>
      <c r="Z841" s="24"/>
      <c r="AA841" s="24"/>
      <c r="AB841" s="24"/>
      <c r="AC841" s="2"/>
      <c r="AD841" s="2"/>
      <c r="AE841" s="2"/>
      <c r="AF841" s="2"/>
      <c r="AG841" s="2"/>
      <c r="AH841" s="2" t="e">
        <f>VLOOKUP(F841,vlookup!$A$2:$E$660,3,0)</f>
        <v>#N/A</v>
      </c>
      <c r="AI841" s="2"/>
      <c r="AJ841" s="2"/>
      <c r="AK841" s="2"/>
      <c r="AL841" s="2"/>
      <c r="AM841" s="2"/>
      <c r="AO841" s="2"/>
      <c r="AP841" s="2"/>
      <c r="AQ841" s="2"/>
      <c r="AR841" s="2"/>
      <c r="AS841" s="2"/>
      <c r="AT841" s="2"/>
      <c r="AU841" s="2"/>
    </row>
    <row r="842" spans="1:47" x14ac:dyDescent="0.25">
      <c r="A842" s="24"/>
      <c r="B842" s="24"/>
      <c r="C842" s="24"/>
      <c r="D842" s="24"/>
      <c r="E842" s="24"/>
      <c r="F842" s="24"/>
      <c r="G842" s="24"/>
      <c r="H842" s="26"/>
      <c r="I842" s="24"/>
      <c r="J842" s="25"/>
      <c r="K842" s="25"/>
      <c r="L842" s="24"/>
      <c r="M842" s="25"/>
      <c r="N842" s="24"/>
      <c r="O842" s="24"/>
      <c r="P842" s="24"/>
      <c r="Q842" s="24"/>
      <c r="R842" s="24"/>
      <c r="S842" s="25"/>
      <c r="T842" s="24"/>
      <c r="U842" s="24"/>
      <c r="V842" s="25"/>
      <c r="W842" s="24"/>
      <c r="X842" s="24"/>
      <c r="Y842" s="24"/>
      <c r="Z842" s="24"/>
      <c r="AA842" s="24"/>
      <c r="AB842" s="24"/>
      <c r="AC842" s="2"/>
      <c r="AD842" s="2"/>
      <c r="AE842" s="2"/>
      <c r="AF842" s="2"/>
      <c r="AG842" s="2"/>
      <c r="AH842" s="2" t="e">
        <f>VLOOKUP(F842,vlookup!$A$2:$E$660,3,0)</f>
        <v>#N/A</v>
      </c>
      <c r="AI842" s="2"/>
      <c r="AJ842" s="2"/>
      <c r="AK842" s="2"/>
      <c r="AL842" s="2"/>
      <c r="AM842" s="2"/>
      <c r="AO842" s="2"/>
      <c r="AP842" s="2"/>
      <c r="AQ842" s="2"/>
      <c r="AR842" s="2"/>
      <c r="AS842" s="2"/>
      <c r="AT842" s="2"/>
      <c r="AU842" s="2"/>
    </row>
    <row r="843" spans="1:47" x14ac:dyDescent="0.25">
      <c r="A843" s="24"/>
      <c r="B843" s="24"/>
      <c r="C843" s="24"/>
      <c r="D843" s="24"/>
      <c r="E843" s="24"/>
      <c r="F843" s="24"/>
      <c r="G843" s="24"/>
      <c r="H843" s="26"/>
      <c r="I843" s="24"/>
      <c r="J843" s="25"/>
      <c r="K843" s="25"/>
      <c r="L843" s="24"/>
      <c r="M843" s="25"/>
      <c r="N843" s="24"/>
      <c r="O843" s="24"/>
      <c r="P843" s="24"/>
      <c r="Q843" s="24"/>
      <c r="R843" s="24"/>
      <c r="S843" s="25"/>
      <c r="T843" s="24"/>
      <c r="U843" s="24"/>
      <c r="V843" s="25"/>
      <c r="W843" s="24"/>
      <c r="X843" s="24"/>
      <c r="Y843" s="24"/>
      <c r="Z843" s="24"/>
      <c r="AA843" s="24"/>
      <c r="AB843" s="24"/>
      <c r="AC843" s="2"/>
      <c r="AD843" s="2"/>
      <c r="AE843" s="2"/>
      <c r="AF843" s="2"/>
      <c r="AG843" s="2"/>
      <c r="AH843" s="2" t="e">
        <f>VLOOKUP(F843,vlookup!$A$2:$E$660,3,0)</f>
        <v>#N/A</v>
      </c>
      <c r="AI843" s="2"/>
      <c r="AJ843" s="2"/>
      <c r="AK843" s="2"/>
      <c r="AL843" s="2"/>
      <c r="AM843" s="2"/>
      <c r="AO843" s="2"/>
      <c r="AP843" s="2"/>
      <c r="AQ843" s="2"/>
      <c r="AR843" s="2"/>
      <c r="AS843" s="2"/>
      <c r="AT843" s="2"/>
      <c r="AU843" s="2"/>
    </row>
    <row r="844" spans="1:47" x14ac:dyDescent="0.25">
      <c r="A844" s="24"/>
      <c r="B844" s="24"/>
      <c r="C844" s="24"/>
      <c r="D844" s="24"/>
      <c r="E844" s="24"/>
      <c r="F844" s="24"/>
      <c r="G844" s="24"/>
      <c r="H844" s="26"/>
      <c r="I844" s="24"/>
      <c r="J844" s="25"/>
      <c r="K844" s="25"/>
      <c r="L844" s="24"/>
      <c r="M844" s="25"/>
      <c r="N844" s="24"/>
      <c r="O844" s="24"/>
      <c r="P844" s="24"/>
      <c r="Q844" s="24"/>
      <c r="R844" s="24"/>
      <c r="S844" s="25"/>
      <c r="T844" s="24"/>
      <c r="U844" s="24"/>
      <c r="V844" s="25"/>
      <c r="W844" s="24"/>
      <c r="X844" s="24"/>
      <c r="Y844" s="24"/>
      <c r="Z844" s="24"/>
      <c r="AA844" s="24"/>
      <c r="AB844" s="24"/>
      <c r="AC844" s="2"/>
      <c r="AD844" s="2"/>
      <c r="AE844" s="2"/>
      <c r="AF844" s="2"/>
      <c r="AG844" s="2"/>
      <c r="AH844" s="2" t="e">
        <f>VLOOKUP(F844,vlookup!$A$2:$E$660,3,0)</f>
        <v>#N/A</v>
      </c>
      <c r="AI844" s="2"/>
      <c r="AJ844" s="2"/>
      <c r="AK844" s="2"/>
      <c r="AL844" s="2"/>
      <c r="AM844" s="2"/>
      <c r="AO844" s="2"/>
      <c r="AP844" s="2"/>
      <c r="AQ844" s="2"/>
      <c r="AR844" s="2"/>
      <c r="AS844" s="2"/>
      <c r="AT844" s="2"/>
      <c r="AU844" s="2"/>
    </row>
    <row r="845" spans="1:47" x14ac:dyDescent="0.25">
      <c r="A845" s="24"/>
      <c r="B845" s="24"/>
      <c r="C845" s="24"/>
      <c r="D845" s="24"/>
      <c r="E845" s="24"/>
      <c r="F845" s="24"/>
      <c r="G845" s="24"/>
      <c r="H845" s="26"/>
      <c r="I845" s="24"/>
      <c r="J845" s="25"/>
      <c r="K845" s="25"/>
      <c r="L845" s="24"/>
      <c r="M845" s="25"/>
      <c r="N845" s="24"/>
      <c r="O845" s="24"/>
      <c r="P845" s="24"/>
      <c r="Q845" s="24"/>
      <c r="R845" s="24"/>
      <c r="S845" s="25"/>
      <c r="T845" s="24"/>
      <c r="U845" s="24"/>
      <c r="V845" s="25"/>
      <c r="W845" s="24"/>
      <c r="X845" s="24"/>
      <c r="Y845" s="24"/>
      <c r="Z845" s="24"/>
      <c r="AA845" s="24"/>
      <c r="AB845" s="24"/>
      <c r="AC845" s="2"/>
      <c r="AD845" s="2"/>
      <c r="AE845" s="2"/>
      <c r="AF845" s="2"/>
      <c r="AG845" s="2"/>
      <c r="AH845" s="2" t="e">
        <f>VLOOKUP(F845,vlookup!$A$2:$E$660,3,0)</f>
        <v>#N/A</v>
      </c>
      <c r="AI845" s="2"/>
      <c r="AJ845" s="2"/>
      <c r="AK845" s="2"/>
      <c r="AL845" s="2"/>
      <c r="AM845" s="2"/>
      <c r="AO845" s="2"/>
      <c r="AP845" s="2"/>
      <c r="AQ845" s="2"/>
      <c r="AR845" s="2"/>
      <c r="AS845" s="2"/>
      <c r="AT845" s="2"/>
      <c r="AU845" s="2"/>
    </row>
    <row r="846" spans="1:47" x14ac:dyDescent="0.25">
      <c r="A846" s="24"/>
      <c r="B846" s="24"/>
      <c r="C846" s="24"/>
      <c r="D846" s="24"/>
      <c r="E846" s="24"/>
      <c r="F846" s="24"/>
      <c r="G846" s="24"/>
      <c r="H846" s="26"/>
      <c r="I846" s="24"/>
      <c r="J846" s="25"/>
      <c r="K846" s="25"/>
      <c r="L846" s="24"/>
      <c r="M846" s="25"/>
      <c r="N846" s="24"/>
      <c r="O846" s="24"/>
      <c r="P846" s="24"/>
      <c r="Q846" s="24"/>
      <c r="R846" s="24"/>
      <c r="S846" s="25"/>
      <c r="T846" s="24"/>
      <c r="U846" s="24"/>
      <c r="V846" s="25"/>
      <c r="W846" s="24"/>
      <c r="X846" s="24"/>
      <c r="Y846" s="24"/>
      <c r="Z846" s="24"/>
      <c r="AA846" s="24"/>
      <c r="AB846" s="24"/>
      <c r="AC846" s="2"/>
      <c r="AD846" s="2"/>
      <c r="AE846" s="2"/>
      <c r="AF846" s="2"/>
      <c r="AG846" s="2"/>
      <c r="AH846" s="2" t="e">
        <f>VLOOKUP(F846,vlookup!$A$2:$E$660,3,0)</f>
        <v>#N/A</v>
      </c>
      <c r="AI846" s="2"/>
      <c r="AJ846" s="2"/>
      <c r="AK846" s="2"/>
      <c r="AL846" s="2"/>
      <c r="AM846" s="2"/>
      <c r="AO846" s="2"/>
      <c r="AP846" s="2"/>
      <c r="AQ846" s="2"/>
      <c r="AR846" s="2"/>
      <c r="AS846" s="2"/>
      <c r="AT846" s="2"/>
      <c r="AU846" s="2"/>
    </row>
    <row r="847" spans="1:47" x14ac:dyDescent="0.25">
      <c r="A847" s="24"/>
      <c r="B847" s="24"/>
      <c r="C847" s="24"/>
      <c r="D847" s="24"/>
      <c r="E847" s="24"/>
      <c r="F847" s="24"/>
      <c r="G847" s="24"/>
      <c r="H847" s="26"/>
      <c r="I847" s="24"/>
      <c r="J847" s="25"/>
      <c r="K847" s="25"/>
      <c r="L847" s="24"/>
      <c r="M847" s="25"/>
      <c r="N847" s="24"/>
      <c r="O847" s="24"/>
      <c r="P847" s="24"/>
      <c r="Q847" s="24"/>
      <c r="R847" s="24"/>
      <c r="S847" s="25"/>
      <c r="T847" s="24"/>
      <c r="U847" s="24"/>
      <c r="V847" s="25"/>
      <c r="W847" s="24"/>
      <c r="X847" s="24"/>
      <c r="Y847" s="24"/>
      <c r="Z847" s="24"/>
      <c r="AA847" s="24"/>
      <c r="AB847" s="24"/>
      <c r="AC847" s="2"/>
      <c r="AD847" s="2"/>
      <c r="AE847" s="2"/>
      <c r="AF847" s="2"/>
      <c r="AG847" s="2"/>
      <c r="AH847" s="2" t="e">
        <f>VLOOKUP(F847,vlookup!$A$2:$E$660,3,0)</f>
        <v>#N/A</v>
      </c>
      <c r="AI847" s="2"/>
      <c r="AJ847" s="2"/>
      <c r="AK847" s="2"/>
      <c r="AL847" s="2"/>
      <c r="AM847" s="2"/>
      <c r="AO847" s="2"/>
      <c r="AP847" s="2"/>
      <c r="AQ847" s="2"/>
      <c r="AR847" s="2"/>
      <c r="AS847" s="2"/>
      <c r="AT847" s="2"/>
      <c r="AU847" s="2"/>
    </row>
    <row r="848" spans="1:47" x14ac:dyDescent="0.25">
      <c r="A848" s="24"/>
      <c r="B848" s="24"/>
      <c r="C848" s="24"/>
      <c r="D848" s="24"/>
      <c r="E848" s="24"/>
      <c r="F848" s="24"/>
      <c r="G848" s="24"/>
      <c r="H848" s="26"/>
      <c r="I848" s="24"/>
      <c r="J848" s="25"/>
      <c r="K848" s="25"/>
      <c r="L848" s="24"/>
      <c r="M848" s="25"/>
      <c r="N848" s="24"/>
      <c r="O848" s="24"/>
      <c r="P848" s="24"/>
      <c r="Q848" s="24"/>
      <c r="R848" s="24"/>
      <c r="S848" s="25"/>
      <c r="T848" s="24"/>
      <c r="U848" s="24"/>
      <c r="V848" s="25"/>
      <c r="W848" s="24"/>
      <c r="X848" s="24"/>
      <c r="Y848" s="24"/>
      <c r="Z848" s="24"/>
      <c r="AA848" s="24"/>
      <c r="AB848" s="24"/>
      <c r="AC848" s="2"/>
      <c r="AD848" s="2"/>
      <c r="AE848" s="2"/>
      <c r="AF848" s="2"/>
      <c r="AG848" s="2"/>
      <c r="AH848" s="2" t="e">
        <f>VLOOKUP(F848,vlookup!$A$2:$E$660,3,0)</f>
        <v>#N/A</v>
      </c>
      <c r="AI848" s="2"/>
      <c r="AJ848" s="2"/>
      <c r="AK848" s="2"/>
      <c r="AL848" s="2"/>
      <c r="AM848" s="2"/>
      <c r="AO848" s="2"/>
      <c r="AP848" s="2"/>
      <c r="AQ848" s="2"/>
      <c r="AR848" s="2"/>
      <c r="AS848" s="2"/>
      <c r="AT848" s="2"/>
      <c r="AU848" s="2"/>
    </row>
    <row r="849" spans="1:47" x14ac:dyDescent="0.25">
      <c r="A849" s="24"/>
      <c r="B849" s="24"/>
      <c r="C849" s="24"/>
      <c r="D849" s="24"/>
      <c r="E849" s="24"/>
      <c r="F849" s="24"/>
      <c r="G849" s="24"/>
      <c r="H849" s="26"/>
      <c r="I849" s="24"/>
      <c r="J849" s="25"/>
      <c r="K849" s="25"/>
      <c r="L849" s="24"/>
      <c r="M849" s="25"/>
      <c r="N849" s="24"/>
      <c r="O849" s="24"/>
      <c r="P849" s="24"/>
      <c r="Q849" s="24"/>
      <c r="R849" s="24"/>
      <c r="S849" s="25"/>
      <c r="T849" s="24"/>
      <c r="U849" s="24"/>
      <c r="V849" s="25"/>
      <c r="W849" s="24"/>
      <c r="X849" s="24"/>
      <c r="Y849" s="24"/>
      <c r="Z849" s="24"/>
      <c r="AA849" s="24"/>
      <c r="AB849" s="24"/>
      <c r="AC849" s="2"/>
      <c r="AD849" s="2"/>
      <c r="AE849" s="2"/>
      <c r="AF849" s="2"/>
      <c r="AG849" s="2"/>
      <c r="AH849" s="2" t="e">
        <f>VLOOKUP(F849,vlookup!$A$2:$E$660,3,0)</f>
        <v>#N/A</v>
      </c>
      <c r="AI849" s="2"/>
      <c r="AJ849" s="2"/>
      <c r="AK849" s="2"/>
      <c r="AL849" s="2"/>
      <c r="AM849" s="2"/>
      <c r="AO849" s="2"/>
      <c r="AP849" s="2"/>
      <c r="AQ849" s="2"/>
      <c r="AR849" s="2"/>
      <c r="AS849" s="2"/>
      <c r="AT849" s="2"/>
      <c r="AU849" s="2"/>
    </row>
    <row r="850" spans="1:47" x14ac:dyDescent="0.25">
      <c r="A850" s="24"/>
      <c r="B850" s="24"/>
      <c r="C850" s="24"/>
      <c r="D850" s="24"/>
      <c r="E850" s="24"/>
      <c r="F850" s="24"/>
      <c r="G850" s="24"/>
      <c r="H850" s="26"/>
      <c r="I850" s="24"/>
      <c r="J850" s="25"/>
      <c r="K850" s="25"/>
      <c r="L850" s="24"/>
      <c r="M850" s="25"/>
      <c r="N850" s="24"/>
      <c r="O850" s="24"/>
      <c r="P850" s="24"/>
      <c r="Q850" s="24"/>
      <c r="R850" s="24"/>
      <c r="S850" s="25"/>
      <c r="T850" s="24"/>
      <c r="U850" s="24"/>
      <c r="V850" s="25"/>
      <c r="W850" s="24"/>
      <c r="X850" s="24"/>
      <c r="Y850" s="24"/>
      <c r="Z850" s="24"/>
      <c r="AA850" s="24"/>
      <c r="AB850" s="24"/>
      <c r="AC850" s="2"/>
      <c r="AD850" s="2"/>
      <c r="AE850" s="2"/>
      <c r="AF850" s="2"/>
      <c r="AG850" s="2"/>
      <c r="AH850" s="2" t="e">
        <f>VLOOKUP(F850,vlookup!$A$2:$E$660,3,0)</f>
        <v>#N/A</v>
      </c>
      <c r="AI850" s="2"/>
      <c r="AJ850" s="2"/>
      <c r="AK850" s="2"/>
      <c r="AL850" s="2"/>
      <c r="AM850" s="2"/>
      <c r="AO850" s="2"/>
      <c r="AP850" s="2"/>
      <c r="AQ850" s="2"/>
      <c r="AR850" s="2"/>
      <c r="AS850" s="2"/>
      <c r="AT850" s="2"/>
      <c r="AU850" s="2"/>
    </row>
    <row r="851" spans="1:47" x14ac:dyDescent="0.25">
      <c r="A851" s="24"/>
      <c r="B851" s="24"/>
      <c r="C851" s="24"/>
      <c r="D851" s="24"/>
      <c r="E851" s="24"/>
      <c r="F851" s="24"/>
      <c r="G851" s="24"/>
      <c r="H851" s="26"/>
      <c r="I851" s="24"/>
      <c r="J851" s="25"/>
      <c r="K851" s="25"/>
      <c r="L851" s="24"/>
      <c r="M851" s="25"/>
      <c r="N851" s="24"/>
      <c r="O851" s="24"/>
      <c r="P851" s="24"/>
      <c r="Q851" s="24"/>
      <c r="R851" s="24"/>
      <c r="S851" s="25"/>
      <c r="T851" s="24"/>
      <c r="U851" s="24"/>
      <c r="V851" s="25"/>
      <c r="W851" s="24"/>
      <c r="X851" s="24"/>
      <c r="Y851" s="24"/>
      <c r="Z851" s="24"/>
      <c r="AA851" s="24"/>
      <c r="AB851" s="24"/>
      <c r="AC851" s="2"/>
      <c r="AD851" s="2"/>
      <c r="AE851" s="2"/>
      <c r="AF851" s="2"/>
      <c r="AG851" s="2"/>
      <c r="AH851" s="2" t="e">
        <f>VLOOKUP(F851,vlookup!$A$2:$E$660,3,0)</f>
        <v>#N/A</v>
      </c>
      <c r="AI851" s="2"/>
      <c r="AJ851" s="2"/>
      <c r="AK851" s="2"/>
      <c r="AL851" s="2"/>
      <c r="AM851" s="2"/>
      <c r="AO851" s="2"/>
      <c r="AP851" s="2"/>
      <c r="AQ851" s="2"/>
      <c r="AR851" s="2"/>
      <c r="AS851" s="2"/>
      <c r="AT851" s="2"/>
      <c r="AU851" s="2"/>
    </row>
    <row r="852" spans="1:47" x14ac:dyDescent="0.25">
      <c r="A852" s="24"/>
      <c r="B852" s="24"/>
      <c r="C852" s="24"/>
      <c r="D852" s="24"/>
      <c r="E852" s="24"/>
      <c r="F852" s="24"/>
      <c r="G852" s="24"/>
      <c r="H852" s="26"/>
      <c r="I852" s="24"/>
      <c r="J852" s="25"/>
      <c r="K852" s="25"/>
      <c r="L852" s="24"/>
      <c r="M852" s="25"/>
      <c r="N852" s="24"/>
      <c r="O852" s="24"/>
      <c r="P852" s="24"/>
      <c r="Q852" s="24"/>
      <c r="R852" s="24"/>
      <c r="S852" s="25"/>
      <c r="T852" s="24"/>
      <c r="U852" s="24"/>
      <c r="V852" s="25"/>
      <c r="W852" s="24"/>
      <c r="X852" s="24"/>
      <c r="Y852" s="24"/>
      <c r="Z852" s="24"/>
      <c r="AA852" s="24"/>
      <c r="AB852" s="24"/>
      <c r="AC852" s="2"/>
      <c r="AD852" s="2"/>
      <c r="AE852" s="2"/>
      <c r="AF852" s="2"/>
      <c r="AG852" s="2"/>
      <c r="AH852" s="2" t="e">
        <f>VLOOKUP(F852,vlookup!$A$2:$E$660,3,0)</f>
        <v>#N/A</v>
      </c>
      <c r="AI852" s="2"/>
      <c r="AJ852" s="2"/>
      <c r="AK852" s="2"/>
      <c r="AL852" s="2"/>
      <c r="AM852" s="2"/>
      <c r="AO852" s="2"/>
      <c r="AP852" s="2"/>
      <c r="AQ852" s="2"/>
      <c r="AR852" s="2"/>
      <c r="AS852" s="2"/>
      <c r="AT852" s="2"/>
      <c r="AU852" s="2"/>
    </row>
    <row r="853" spans="1:47" x14ac:dyDescent="0.25">
      <c r="A853" s="24"/>
      <c r="B853" s="24"/>
      <c r="C853" s="24"/>
      <c r="D853" s="24"/>
      <c r="E853" s="24"/>
      <c r="F853" s="24"/>
      <c r="G853" s="24"/>
      <c r="H853" s="26"/>
      <c r="I853" s="24"/>
      <c r="J853" s="25"/>
      <c r="K853" s="25"/>
      <c r="L853" s="24"/>
      <c r="M853" s="25"/>
      <c r="N853" s="24"/>
      <c r="O853" s="24"/>
      <c r="P853" s="24"/>
      <c r="Q853" s="24"/>
      <c r="R853" s="24"/>
      <c r="S853" s="25"/>
      <c r="T853" s="24"/>
      <c r="U853" s="24"/>
      <c r="V853" s="25"/>
      <c r="W853" s="24"/>
      <c r="X853" s="24"/>
      <c r="Y853" s="24"/>
      <c r="Z853" s="24"/>
      <c r="AA853" s="24"/>
      <c r="AB853" s="24"/>
      <c r="AC853" s="2"/>
      <c r="AD853" s="2"/>
      <c r="AE853" s="2"/>
      <c r="AF853" s="2"/>
      <c r="AG853" s="2"/>
      <c r="AH853" s="2" t="e">
        <f>VLOOKUP(F853,vlookup!$A$2:$E$660,3,0)</f>
        <v>#N/A</v>
      </c>
      <c r="AI853" s="2"/>
      <c r="AJ853" s="2"/>
      <c r="AK853" s="2"/>
      <c r="AL853" s="2"/>
      <c r="AM853" s="2"/>
      <c r="AO853" s="2"/>
      <c r="AP853" s="2"/>
      <c r="AQ853" s="2"/>
      <c r="AR853" s="2"/>
      <c r="AS853" s="2"/>
      <c r="AT853" s="2"/>
      <c r="AU853" s="2"/>
    </row>
    <row r="854" spans="1:47" x14ac:dyDescent="0.25">
      <c r="A854" s="24"/>
      <c r="B854" s="24"/>
      <c r="C854" s="24"/>
      <c r="D854" s="24"/>
      <c r="E854" s="24"/>
      <c r="F854" s="24"/>
      <c r="G854" s="24"/>
      <c r="H854" s="26"/>
      <c r="I854" s="24"/>
      <c r="J854" s="25"/>
      <c r="K854" s="25"/>
      <c r="L854" s="24"/>
      <c r="M854" s="25"/>
      <c r="N854" s="24"/>
      <c r="O854" s="24"/>
      <c r="P854" s="24"/>
      <c r="Q854" s="24"/>
      <c r="R854" s="24"/>
      <c r="S854" s="25"/>
      <c r="T854" s="24"/>
      <c r="U854" s="24"/>
      <c r="V854" s="25"/>
      <c r="W854" s="24"/>
      <c r="X854" s="24"/>
      <c r="Y854" s="24"/>
      <c r="Z854" s="24"/>
      <c r="AA854" s="24"/>
      <c r="AB854" s="24"/>
      <c r="AC854" s="2"/>
      <c r="AD854" s="2"/>
      <c r="AE854" s="2"/>
      <c r="AF854" s="2"/>
      <c r="AG854" s="2"/>
      <c r="AH854" s="2" t="e">
        <f>VLOOKUP(F854,vlookup!$A$2:$E$660,3,0)</f>
        <v>#N/A</v>
      </c>
      <c r="AI854" s="2"/>
      <c r="AJ854" s="2"/>
      <c r="AK854" s="2"/>
      <c r="AL854" s="2"/>
      <c r="AM854" s="2"/>
      <c r="AO854" s="2"/>
      <c r="AP854" s="2"/>
      <c r="AQ854" s="2"/>
      <c r="AR854" s="2"/>
      <c r="AS854" s="2"/>
      <c r="AT854" s="2"/>
      <c r="AU854" s="2"/>
    </row>
    <row r="855" spans="1:47" x14ac:dyDescent="0.25">
      <c r="A855" s="24"/>
      <c r="B855" s="24"/>
      <c r="C855" s="24"/>
      <c r="D855" s="24"/>
      <c r="E855" s="24"/>
      <c r="F855" s="24"/>
      <c r="G855" s="24"/>
      <c r="H855" s="26"/>
      <c r="I855" s="24"/>
      <c r="J855" s="25"/>
      <c r="K855" s="25"/>
      <c r="L855" s="24"/>
      <c r="M855" s="25"/>
      <c r="N855" s="24"/>
      <c r="O855" s="24"/>
      <c r="P855" s="24"/>
      <c r="Q855" s="24"/>
      <c r="R855" s="24"/>
      <c r="S855" s="25"/>
      <c r="T855" s="24"/>
      <c r="U855" s="24"/>
      <c r="V855" s="25"/>
      <c r="W855" s="24"/>
      <c r="X855" s="24"/>
      <c r="Y855" s="24"/>
      <c r="Z855" s="24"/>
      <c r="AA855" s="24"/>
      <c r="AB855" s="24"/>
      <c r="AC855" s="2"/>
      <c r="AD855" s="2"/>
      <c r="AE855" s="2"/>
      <c r="AF855" s="2"/>
      <c r="AG855" s="2"/>
      <c r="AH855" s="2" t="e">
        <f>VLOOKUP(F855,vlookup!$A$2:$E$660,3,0)</f>
        <v>#N/A</v>
      </c>
      <c r="AI855" s="2"/>
      <c r="AJ855" s="2"/>
      <c r="AK855" s="2"/>
      <c r="AL855" s="2"/>
      <c r="AM855" s="2"/>
      <c r="AO855" s="2"/>
      <c r="AP855" s="2"/>
      <c r="AQ855" s="2"/>
      <c r="AR855" s="2"/>
      <c r="AS855" s="2"/>
      <c r="AT855" s="2"/>
      <c r="AU855" s="2"/>
    </row>
    <row r="856" spans="1:47" x14ac:dyDescent="0.25">
      <c r="A856" s="24"/>
      <c r="B856" s="24"/>
      <c r="C856" s="24"/>
      <c r="D856" s="24"/>
      <c r="E856" s="24"/>
      <c r="F856" s="24"/>
      <c r="G856" s="24"/>
      <c r="H856" s="26"/>
      <c r="I856" s="24"/>
      <c r="J856" s="25"/>
      <c r="K856" s="25"/>
      <c r="L856" s="24"/>
      <c r="M856" s="25"/>
      <c r="N856" s="24"/>
      <c r="O856" s="24"/>
      <c r="P856" s="24"/>
      <c r="Q856" s="24"/>
      <c r="R856" s="24"/>
      <c r="S856" s="25"/>
      <c r="T856" s="24"/>
      <c r="U856" s="24"/>
      <c r="V856" s="25"/>
      <c r="W856" s="24"/>
      <c r="X856" s="24"/>
      <c r="Y856" s="24"/>
      <c r="Z856" s="24"/>
      <c r="AA856" s="24"/>
      <c r="AB856" s="24"/>
      <c r="AC856" s="2"/>
      <c r="AD856" s="2"/>
      <c r="AE856" s="2"/>
      <c r="AF856" s="2"/>
      <c r="AG856" s="2"/>
      <c r="AH856" s="2" t="e">
        <f>VLOOKUP(F856,vlookup!$A$2:$E$660,3,0)</f>
        <v>#N/A</v>
      </c>
      <c r="AI856" s="2"/>
      <c r="AJ856" s="2"/>
      <c r="AK856" s="2"/>
      <c r="AL856" s="2"/>
      <c r="AM856" s="2"/>
      <c r="AO856" s="2"/>
      <c r="AP856" s="2"/>
      <c r="AQ856" s="2"/>
      <c r="AR856" s="2"/>
      <c r="AS856" s="2"/>
      <c r="AT856" s="2"/>
      <c r="AU856" s="2"/>
    </row>
    <row r="857" spans="1:47" x14ac:dyDescent="0.25">
      <c r="A857" s="24"/>
      <c r="B857" s="24"/>
      <c r="C857" s="24"/>
      <c r="D857" s="24"/>
      <c r="E857" s="24"/>
      <c r="F857" s="24"/>
      <c r="G857" s="24"/>
      <c r="H857" s="26"/>
      <c r="I857" s="24"/>
      <c r="J857" s="25"/>
      <c r="K857" s="25"/>
      <c r="L857" s="24"/>
      <c r="M857" s="25"/>
      <c r="N857" s="24"/>
      <c r="O857" s="24"/>
      <c r="P857" s="24"/>
      <c r="Q857" s="24"/>
      <c r="R857" s="24"/>
      <c r="S857" s="25"/>
      <c r="T857" s="24"/>
      <c r="U857" s="24"/>
      <c r="V857" s="25"/>
      <c r="W857" s="24"/>
      <c r="X857" s="24"/>
      <c r="Y857" s="24"/>
      <c r="Z857" s="24"/>
      <c r="AA857" s="24"/>
      <c r="AB857" s="24"/>
      <c r="AC857" s="2"/>
      <c r="AD857" s="2"/>
      <c r="AE857" s="2"/>
      <c r="AF857" s="2"/>
      <c r="AG857" s="2"/>
      <c r="AH857" s="2" t="e">
        <f>VLOOKUP(F857,vlookup!$A$2:$E$660,3,0)</f>
        <v>#N/A</v>
      </c>
      <c r="AI857" s="2"/>
      <c r="AJ857" s="2"/>
      <c r="AK857" s="2"/>
      <c r="AL857" s="2"/>
      <c r="AM857" s="2"/>
      <c r="AO857" s="2"/>
      <c r="AP857" s="2"/>
      <c r="AQ857" s="2"/>
      <c r="AR857" s="2"/>
      <c r="AS857" s="2"/>
      <c r="AT857" s="2"/>
      <c r="AU857" s="2"/>
    </row>
    <row r="858" spans="1:47" x14ac:dyDescent="0.25">
      <c r="A858" s="24"/>
      <c r="B858" s="24"/>
      <c r="C858" s="24"/>
      <c r="D858" s="24"/>
      <c r="E858" s="24"/>
      <c r="F858" s="24"/>
      <c r="G858" s="24"/>
      <c r="H858" s="26"/>
      <c r="I858" s="24"/>
      <c r="J858" s="25"/>
      <c r="K858" s="25"/>
      <c r="L858" s="24"/>
      <c r="M858" s="25"/>
      <c r="N858" s="24"/>
      <c r="O858" s="24"/>
      <c r="P858" s="24"/>
      <c r="Q858" s="24"/>
      <c r="R858" s="24"/>
      <c r="S858" s="25"/>
      <c r="T858" s="24"/>
      <c r="U858" s="24"/>
      <c r="V858" s="25"/>
      <c r="W858" s="24"/>
      <c r="X858" s="24"/>
      <c r="Y858" s="24"/>
      <c r="Z858" s="24"/>
      <c r="AA858" s="24"/>
      <c r="AB858" s="24"/>
      <c r="AC858" s="2"/>
      <c r="AD858" s="2"/>
      <c r="AE858" s="2"/>
      <c r="AF858" s="2"/>
      <c r="AG858" s="2"/>
      <c r="AH858" s="2" t="e">
        <f>VLOOKUP(F858,vlookup!$A$2:$E$660,3,0)</f>
        <v>#N/A</v>
      </c>
      <c r="AI858" s="2"/>
      <c r="AJ858" s="2"/>
      <c r="AK858" s="2"/>
      <c r="AL858" s="2"/>
      <c r="AM858" s="2"/>
      <c r="AO858" s="2"/>
      <c r="AP858" s="2"/>
      <c r="AQ858" s="2"/>
      <c r="AR858" s="2"/>
      <c r="AS858" s="2"/>
      <c r="AT858" s="2"/>
      <c r="AU858" s="2"/>
    </row>
    <row r="859" spans="1:47" x14ac:dyDescent="0.25">
      <c r="A859" s="24"/>
      <c r="B859" s="24"/>
      <c r="C859" s="24"/>
      <c r="D859" s="24"/>
      <c r="E859" s="24"/>
      <c r="F859" s="24"/>
      <c r="G859" s="24"/>
      <c r="H859" s="26"/>
      <c r="I859" s="24"/>
      <c r="J859" s="25"/>
      <c r="K859" s="25"/>
      <c r="L859" s="24"/>
      <c r="M859" s="25"/>
      <c r="N859" s="24"/>
      <c r="O859" s="24"/>
      <c r="P859" s="24"/>
      <c r="Q859" s="24"/>
      <c r="R859" s="24"/>
      <c r="S859" s="25"/>
      <c r="T859" s="24"/>
      <c r="U859" s="24"/>
      <c r="V859" s="25"/>
      <c r="W859" s="24"/>
      <c r="X859" s="24"/>
      <c r="Y859" s="24"/>
      <c r="Z859" s="24"/>
      <c r="AA859" s="24"/>
      <c r="AB859" s="24"/>
      <c r="AC859" s="2"/>
      <c r="AD859" s="2"/>
      <c r="AE859" s="2"/>
      <c r="AF859" s="2"/>
      <c r="AG859" s="2"/>
      <c r="AH859" s="2" t="e">
        <f>VLOOKUP(F859,vlookup!$A$2:$E$660,3,0)</f>
        <v>#N/A</v>
      </c>
      <c r="AI859" s="2"/>
      <c r="AJ859" s="2"/>
      <c r="AK859" s="2"/>
      <c r="AL859" s="2"/>
      <c r="AM859" s="2"/>
      <c r="AO859" s="2"/>
      <c r="AP859" s="2"/>
      <c r="AQ859" s="2"/>
      <c r="AR859" s="2"/>
      <c r="AS859" s="2"/>
      <c r="AT859" s="2"/>
      <c r="AU859" s="2"/>
    </row>
    <row r="860" spans="1:47" x14ac:dyDescent="0.25">
      <c r="A860" s="24"/>
      <c r="B860" s="24"/>
      <c r="C860" s="24"/>
      <c r="D860" s="24"/>
      <c r="E860" s="24"/>
      <c r="F860" s="24"/>
      <c r="G860" s="24"/>
      <c r="H860" s="26"/>
      <c r="I860" s="24"/>
      <c r="J860" s="25"/>
      <c r="K860" s="25"/>
      <c r="L860" s="24"/>
      <c r="M860" s="25"/>
      <c r="N860" s="24"/>
      <c r="O860" s="24"/>
      <c r="P860" s="24"/>
      <c r="Q860" s="24"/>
      <c r="R860" s="24"/>
      <c r="S860" s="25"/>
      <c r="T860" s="24"/>
      <c r="U860" s="24"/>
      <c r="V860" s="25"/>
      <c r="W860" s="24"/>
      <c r="X860" s="24"/>
      <c r="Y860" s="24"/>
      <c r="Z860" s="24"/>
      <c r="AA860" s="24"/>
      <c r="AB860" s="24"/>
      <c r="AC860" s="2"/>
      <c r="AD860" s="2"/>
      <c r="AE860" s="2"/>
      <c r="AF860" s="2"/>
      <c r="AG860" s="2"/>
      <c r="AH860" s="2" t="e">
        <f>VLOOKUP(F860,vlookup!$A$2:$E$660,3,0)</f>
        <v>#N/A</v>
      </c>
      <c r="AI860" s="2"/>
      <c r="AJ860" s="2"/>
      <c r="AK860" s="2"/>
      <c r="AL860" s="2"/>
      <c r="AM860" s="2"/>
      <c r="AO860" s="2"/>
      <c r="AP860" s="2"/>
      <c r="AQ860" s="2"/>
      <c r="AR860" s="2"/>
      <c r="AS860" s="2"/>
      <c r="AT860" s="2"/>
      <c r="AU860" s="2"/>
    </row>
    <row r="861" spans="1:47" x14ac:dyDescent="0.25">
      <c r="A861" s="24"/>
      <c r="B861" s="24"/>
      <c r="C861" s="24"/>
      <c r="D861" s="24"/>
      <c r="E861" s="24"/>
      <c r="F861" s="24"/>
      <c r="G861" s="24"/>
      <c r="H861" s="26"/>
      <c r="I861" s="24"/>
      <c r="J861" s="25"/>
      <c r="K861" s="25"/>
      <c r="L861" s="24"/>
      <c r="M861" s="25"/>
      <c r="N861" s="24"/>
      <c r="O861" s="24"/>
      <c r="P861" s="24"/>
      <c r="Q861" s="24"/>
      <c r="R861" s="24"/>
      <c r="S861" s="25"/>
      <c r="T861" s="24"/>
      <c r="U861" s="24"/>
      <c r="V861" s="25"/>
      <c r="W861" s="24"/>
      <c r="X861" s="24"/>
      <c r="Y861" s="24"/>
      <c r="Z861" s="24"/>
      <c r="AA861" s="24"/>
      <c r="AB861" s="24"/>
      <c r="AC861" s="2"/>
      <c r="AD861" s="2"/>
      <c r="AE861" s="2"/>
      <c r="AF861" s="2"/>
      <c r="AG861" s="2"/>
      <c r="AH861" s="2" t="e">
        <f>VLOOKUP(F861,vlookup!$A$2:$E$660,3,0)</f>
        <v>#N/A</v>
      </c>
      <c r="AI861" s="2"/>
      <c r="AJ861" s="2"/>
      <c r="AK861" s="2"/>
      <c r="AL861" s="2"/>
      <c r="AM861" s="2"/>
      <c r="AO861" s="2"/>
      <c r="AP861" s="2"/>
      <c r="AQ861" s="2"/>
      <c r="AR861" s="2"/>
      <c r="AS861" s="2"/>
      <c r="AT861" s="2"/>
      <c r="AU861" s="2"/>
    </row>
    <row r="862" spans="1:47" x14ac:dyDescent="0.25">
      <c r="A862" s="24"/>
      <c r="B862" s="24"/>
      <c r="C862" s="24"/>
      <c r="D862" s="24"/>
      <c r="E862" s="24"/>
      <c r="F862" s="24"/>
      <c r="G862" s="24"/>
      <c r="H862" s="26"/>
      <c r="I862" s="24"/>
      <c r="J862" s="25"/>
      <c r="K862" s="25"/>
      <c r="L862" s="24"/>
      <c r="M862" s="25"/>
      <c r="N862" s="24"/>
      <c r="O862" s="24"/>
      <c r="P862" s="24"/>
      <c r="Q862" s="24"/>
      <c r="R862" s="24"/>
      <c r="S862" s="25"/>
      <c r="T862" s="24"/>
      <c r="U862" s="24"/>
      <c r="V862" s="25"/>
      <c r="W862" s="24"/>
      <c r="X862" s="24"/>
      <c r="Y862" s="24"/>
      <c r="Z862" s="24"/>
      <c r="AA862" s="24"/>
      <c r="AB862" s="24"/>
      <c r="AC862" s="2"/>
      <c r="AD862" s="2"/>
      <c r="AE862" s="2"/>
      <c r="AF862" s="2"/>
      <c r="AG862" s="2"/>
      <c r="AH862" s="2" t="e">
        <f>VLOOKUP(F862,vlookup!$A$2:$E$660,3,0)</f>
        <v>#N/A</v>
      </c>
      <c r="AI862" s="2"/>
      <c r="AJ862" s="2"/>
      <c r="AK862" s="2"/>
      <c r="AL862" s="2"/>
      <c r="AM862" s="2"/>
      <c r="AO862" s="2"/>
      <c r="AP862" s="2"/>
      <c r="AQ862" s="2"/>
      <c r="AR862" s="2"/>
      <c r="AS862" s="2"/>
      <c r="AT862" s="2"/>
      <c r="AU862" s="2"/>
    </row>
    <row r="863" spans="1:47" x14ac:dyDescent="0.25">
      <c r="A863" s="24"/>
      <c r="B863" s="24"/>
      <c r="C863" s="24"/>
      <c r="D863" s="24"/>
      <c r="E863" s="24"/>
      <c r="F863" s="24"/>
      <c r="G863" s="24"/>
      <c r="H863" s="26"/>
      <c r="I863" s="24"/>
      <c r="J863" s="25"/>
      <c r="K863" s="25"/>
      <c r="L863" s="24"/>
      <c r="M863" s="25"/>
      <c r="N863" s="24"/>
      <c r="O863" s="24"/>
      <c r="P863" s="24"/>
      <c r="Q863" s="24"/>
      <c r="R863" s="24"/>
      <c r="S863" s="25"/>
      <c r="T863" s="24"/>
      <c r="U863" s="24"/>
      <c r="V863" s="25"/>
      <c r="W863" s="24"/>
      <c r="X863" s="24"/>
      <c r="Y863" s="24"/>
      <c r="Z863" s="24"/>
      <c r="AA863" s="24"/>
      <c r="AB863" s="24"/>
      <c r="AC863" s="2"/>
      <c r="AD863" s="2"/>
      <c r="AE863" s="2"/>
      <c r="AF863" s="2"/>
      <c r="AG863" s="2"/>
      <c r="AH863" s="2" t="e">
        <f>VLOOKUP(F863,vlookup!$A$2:$E$660,3,0)</f>
        <v>#N/A</v>
      </c>
      <c r="AI863" s="2"/>
      <c r="AJ863" s="2"/>
      <c r="AK863" s="2"/>
      <c r="AL863" s="2"/>
      <c r="AM863" s="2"/>
      <c r="AO863" s="2"/>
      <c r="AP863" s="2"/>
      <c r="AQ863" s="2"/>
      <c r="AR863" s="2"/>
      <c r="AS863" s="2"/>
      <c r="AT863" s="2"/>
      <c r="AU863" s="2"/>
    </row>
    <row r="864" spans="1:47" x14ac:dyDescent="0.25">
      <c r="A864" s="24"/>
      <c r="B864" s="24"/>
      <c r="C864" s="24"/>
      <c r="D864" s="24"/>
      <c r="E864" s="24"/>
      <c r="F864" s="24"/>
      <c r="G864" s="24"/>
      <c r="H864" s="26"/>
      <c r="I864" s="24"/>
      <c r="J864" s="25"/>
      <c r="K864" s="25"/>
      <c r="L864" s="24"/>
      <c r="M864" s="25"/>
      <c r="N864" s="24"/>
      <c r="O864" s="24"/>
      <c r="P864" s="24"/>
      <c r="Q864" s="24"/>
      <c r="R864" s="24"/>
      <c r="S864" s="25"/>
      <c r="T864" s="24"/>
      <c r="U864" s="24"/>
      <c r="V864" s="25"/>
      <c r="W864" s="24"/>
      <c r="X864" s="24"/>
      <c r="Y864" s="24"/>
      <c r="Z864" s="24"/>
      <c r="AA864" s="24"/>
      <c r="AB864" s="24"/>
      <c r="AC864" s="2"/>
      <c r="AD864" s="2"/>
      <c r="AE864" s="2"/>
      <c r="AF864" s="2"/>
      <c r="AG864" s="2"/>
      <c r="AH864" s="2" t="e">
        <f>VLOOKUP(F864,vlookup!$A$2:$E$660,3,0)</f>
        <v>#N/A</v>
      </c>
      <c r="AI864" s="2"/>
      <c r="AJ864" s="2"/>
      <c r="AK864" s="2"/>
      <c r="AL864" s="2"/>
      <c r="AM864" s="2"/>
      <c r="AO864" s="2"/>
      <c r="AP864" s="2"/>
      <c r="AQ864" s="2"/>
      <c r="AR864" s="2"/>
      <c r="AS864" s="2"/>
      <c r="AT864" s="2"/>
      <c r="AU864" s="2"/>
    </row>
    <row r="865" spans="1:47" x14ac:dyDescent="0.25">
      <c r="A865" s="24"/>
      <c r="B865" s="24"/>
      <c r="C865" s="24"/>
      <c r="D865" s="24"/>
      <c r="E865" s="24"/>
      <c r="F865" s="24"/>
      <c r="G865" s="24"/>
      <c r="H865" s="26"/>
      <c r="I865" s="24"/>
      <c r="J865" s="25"/>
      <c r="K865" s="25"/>
      <c r="L865" s="24"/>
      <c r="M865" s="25"/>
      <c r="N865" s="24"/>
      <c r="O865" s="24"/>
      <c r="P865" s="24"/>
      <c r="Q865" s="24"/>
      <c r="R865" s="24"/>
      <c r="S865" s="25"/>
      <c r="T865" s="24"/>
      <c r="U865" s="24"/>
      <c r="V865" s="25"/>
      <c r="W865" s="24"/>
      <c r="X865" s="24"/>
      <c r="Y865" s="24"/>
      <c r="Z865" s="24"/>
      <c r="AA865" s="24"/>
      <c r="AB865" s="24"/>
      <c r="AC865" s="2"/>
      <c r="AD865" s="2"/>
      <c r="AE865" s="2"/>
      <c r="AF865" s="2"/>
      <c r="AG865" s="2"/>
      <c r="AH865" s="2" t="e">
        <f>VLOOKUP(F865,vlookup!$A$2:$E$660,3,0)</f>
        <v>#N/A</v>
      </c>
      <c r="AI865" s="2"/>
      <c r="AJ865" s="2"/>
      <c r="AK865" s="2"/>
      <c r="AL865" s="2"/>
      <c r="AM865" s="2"/>
      <c r="AO865" s="2"/>
      <c r="AP865" s="2"/>
      <c r="AQ865" s="2"/>
      <c r="AR865" s="2"/>
      <c r="AS865" s="2"/>
      <c r="AT865" s="2"/>
      <c r="AU865" s="2"/>
    </row>
    <row r="866" spans="1:47" x14ac:dyDescent="0.25">
      <c r="A866" s="24"/>
      <c r="B866" s="24"/>
      <c r="C866" s="24"/>
      <c r="D866" s="24"/>
      <c r="E866" s="24"/>
      <c r="F866" s="24"/>
      <c r="G866" s="24"/>
      <c r="H866" s="26"/>
      <c r="I866" s="24"/>
      <c r="J866" s="25"/>
      <c r="K866" s="25"/>
      <c r="L866" s="24"/>
      <c r="M866" s="25"/>
      <c r="N866" s="24"/>
      <c r="O866" s="24"/>
      <c r="P866" s="24"/>
      <c r="Q866" s="24"/>
      <c r="R866" s="24"/>
      <c r="S866" s="25"/>
      <c r="T866" s="24"/>
      <c r="U866" s="24"/>
      <c r="V866" s="25"/>
      <c r="W866" s="24"/>
      <c r="X866" s="24"/>
      <c r="Y866" s="24"/>
      <c r="Z866" s="24"/>
      <c r="AA866" s="24"/>
      <c r="AB866" s="24"/>
      <c r="AC866" s="2"/>
      <c r="AD866" s="2"/>
      <c r="AE866" s="2"/>
      <c r="AF866" s="2"/>
      <c r="AG866" s="2"/>
      <c r="AH866" s="2" t="e">
        <f>VLOOKUP(F866,vlookup!$A$2:$E$660,3,0)</f>
        <v>#N/A</v>
      </c>
      <c r="AI866" s="2"/>
      <c r="AJ866" s="2"/>
      <c r="AK866" s="2"/>
      <c r="AL866" s="2"/>
      <c r="AM866" s="2"/>
      <c r="AO866" s="2"/>
      <c r="AP866" s="2"/>
      <c r="AQ866" s="2"/>
      <c r="AR866" s="2"/>
      <c r="AS866" s="2"/>
      <c r="AT866" s="2"/>
      <c r="AU866" s="2"/>
    </row>
    <row r="867" spans="1:47" x14ac:dyDescent="0.25">
      <c r="A867" s="24"/>
      <c r="B867" s="24"/>
      <c r="C867" s="24"/>
      <c r="D867" s="24"/>
      <c r="E867" s="24"/>
      <c r="F867" s="24"/>
      <c r="G867" s="24"/>
      <c r="H867" s="26"/>
      <c r="I867" s="24"/>
      <c r="J867" s="25"/>
      <c r="K867" s="25"/>
      <c r="L867" s="24"/>
      <c r="M867" s="25"/>
      <c r="N867" s="24"/>
      <c r="O867" s="24"/>
      <c r="P867" s="24"/>
      <c r="Q867" s="24"/>
      <c r="R867" s="24"/>
      <c r="S867" s="25"/>
      <c r="T867" s="24"/>
      <c r="U867" s="24"/>
      <c r="V867" s="25"/>
      <c r="W867" s="24"/>
      <c r="X867" s="24"/>
      <c r="Y867" s="24"/>
      <c r="Z867" s="24"/>
      <c r="AA867" s="24"/>
      <c r="AB867" s="24"/>
      <c r="AC867" s="2"/>
      <c r="AD867" s="2"/>
      <c r="AE867" s="2"/>
      <c r="AF867" s="2"/>
      <c r="AG867" s="2"/>
      <c r="AH867" s="2" t="e">
        <f>VLOOKUP(F867,vlookup!$A$2:$E$660,3,0)</f>
        <v>#N/A</v>
      </c>
      <c r="AI867" s="2"/>
      <c r="AJ867" s="2"/>
      <c r="AK867" s="2"/>
      <c r="AL867" s="2"/>
      <c r="AM867" s="2"/>
      <c r="AO867" s="2"/>
      <c r="AP867" s="2"/>
      <c r="AQ867" s="2"/>
      <c r="AR867" s="2"/>
      <c r="AS867" s="2"/>
      <c r="AT867" s="2"/>
      <c r="AU867" s="2"/>
    </row>
    <row r="868" spans="1:47" x14ac:dyDescent="0.25">
      <c r="A868" s="24"/>
      <c r="B868" s="24"/>
      <c r="C868" s="24"/>
      <c r="D868" s="24"/>
      <c r="E868" s="24"/>
      <c r="F868" s="24"/>
      <c r="G868" s="24"/>
      <c r="H868" s="26"/>
      <c r="I868" s="24"/>
      <c r="J868" s="25"/>
      <c r="K868" s="25"/>
      <c r="L868" s="24"/>
      <c r="M868" s="25"/>
      <c r="N868" s="24"/>
      <c r="O868" s="24"/>
      <c r="P868" s="24"/>
      <c r="Q868" s="24"/>
      <c r="R868" s="24"/>
      <c r="S868" s="25"/>
      <c r="T868" s="24"/>
      <c r="U868" s="24"/>
      <c r="V868" s="25"/>
      <c r="W868" s="24"/>
      <c r="X868" s="24"/>
      <c r="Y868" s="24"/>
      <c r="Z868" s="24"/>
      <c r="AA868" s="24"/>
      <c r="AB868" s="24"/>
      <c r="AC868" s="2"/>
      <c r="AD868" s="2"/>
      <c r="AE868" s="2"/>
      <c r="AF868" s="2"/>
      <c r="AG868" s="2"/>
      <c r="AH868" s="2" t="e">
        <f>VLOOKUP(F868,vlookup!$A$2:$E$660,3,0)</f>
        <v>#N/A</v>
      </c>
      <c r="AI868" s="2"/>
      <c r="AJ868" s="2"/>
      <c r="AK868" s="2"/>
      <c r="AL868" s="2"/>
      <c r="AM868" s="2"/>
      <c r="AO868" s="2"/>
      <c r="AP868" s="2"/>
      <c r="AQ868" s="2"/>
      <c r="AR868" s="2"/>
      <c r="AS868" s="2"/>
      <c r="AT868" s="2"/>
      <c r="AU868" s="2"/>
    </row>
    <row r="869" spans="1:47" x14ac:dyDescent="0.25">
      <c r="A869" s="24"/>
      <c r="B869" s="24"/>
      <c r="C869" s="24"/>
      <c r="D869" s="24"/>
      <c r="E869" s="24"/>
      <c r="F869" s="24"/>
      <c r="G869" s="24"/>
      <c r="H869" s="26"/>
      <c r="I869" s="24"/>
      <c r="J869" s="25"/>
      <c r="K869" s="25"/>
      <c r="L869" s="24"/>
      <c r="M869" s="25"/>
      <c r="N869" s="24"/>
      <c r="O869" s="24"/>
      <c r="P869" s="24"/>
      <c r="Q869" s="24"/>
      <c r="R869" s="24"/>
      <c r="S869" s="25"/>
      <c r="T869" s="24"/>
      <c r="U869" s="24"/>
      <c r="V869" s="25"/>
      <c r="W869" s="24"/>
      <c r="X869" s="24"/>
      <c r="Y869" s="24"/>
      <c r="Z869" s="24"/>
      <c r="AA869" s="24"/>
      <c r="AB869" s="24"/>
      <c r="AC869" s="2"/>
      <c r="AD869" s="2"/>
      <c r="AE869" s="2"/>
      <c r="AF869" s="2"/>
      <c r="AG869" s="2"/>
      <c r="AH869" s="2" t="e">
        <f>VLOOKUP(F869,vlookup!$A$2:$E$660,3,0)</f>
        <v>#N/A</v>
      </c>
      <c r="AI869" s="2"/>
      <c r="AJ869" s="2"/>
      <c r="AK869" s="2"/>
      <c r="AL869" s="2"/>
      <c r="AM869" s="2"/>
      <c r="AO869" s="2"/>
      <c r="AP869" s="2"/>
      <c r="AQ869" s="2"/>
      <c r="AR869" s="2"/>
      <c r="AS869" s="2"/>
      <c r="AT869" s="2"/>
      <c r="AU869" s="2"/>
    </row>
    <row r="870" spans="1:47" x14ac:dyDescent="0.25">
      <c r="A870" s="24"/>
      <c r="B870" s="24"/>
      <c r="C870" s="24"/>
      <c r="D870" s="24"/>
      <c r="E870" s="24"/>
      <c r="F870" s="24"/>
      <c r="G870" s="24"/>
      <c r="H870" s="26"/>
      <c r="I870" s="24"/>
      <c r="J870" s="25"/>
      <c r="K870" s="25"/>
      <c r="L870" s="24"/>
      <c r="M870" s="25"/>
      <c r="N870" s="24"/>
      <c r="O870" s="24"/>
      <c r="P870" s="24"/>
      <c r="Q870" s="24"/>
      <c r="R870" s="24"/>
      <c r="S870" s="25"/>
      <c r="T870" s="24"/>
      <c r="U870" s="24"/>
      <c r="V870" s="25"/>
      <c r="W870" s="24"/>
      <c r="X870" s="24"/>
      <c r="Y870" s="24"/>
      <c r="Z870" s="24"/>
      <c r="AA870" s="24"/>
      <c r="AB870" s="24"/>
      <c r="AC870" s="2"/>
      <c r="AD870" s="2"/>
      <c r="AE870" s="2"/>
      <c r="AF870" s="2"/>
      <c r="AG870" s="2"/>
      <c r="AH870" s="2" t="e">
        <f>VLOOKUP(F870,vlookup!$A$2:$E$660,3,0)</f>
        <v>#N/A</v>
      </c>
      <c r="AI870" s="2"/>
      <c r="AJ870" s="2"/>
      <c r="AK870" s="2"/>
      <c r="AL870" s="2"/>
      <c r="AM870" s="2"/>
      <c r="AO870" s="2"/>
      <c r="AP870" s="2"/>
      <c r="AQ870" s="2"/>
      <c r="AR870" s="2"/>
      <c r="AS870" s="2"/>
      <c r="AT870" s="2"/>
      <c r="AU870" s="2"/>
    </row>
    <row r="871" spans="1:47" x14ac:dyDescent="0.25">
      <c r="A871" s="24"/>
      <c r="B871" s="24"/>
      <c r="C871" s="24"/>
      <c r="D871" s="24"/>
      <c r="E871" s="24"/>
      <c r="F871" s="24"/>
      <c r="G871" s="24"/>
      <c r="H871" s="26"/>
      <c r="I871" s="24"/>
      <c r="J871" s="25"/>
      <c r="K871" s="25"/>
      <c r="L871" s="24"/>
      <c r="M871" s="25"/>
      <c r="N871" s="24"/>
      <c r="O871" s="24"/>
      <c r="P871" s="24"/>
      <c r="Q871" s="24"/>
      <c r="R871" s="24"/>
      <c r="S871" s="25"/>
      <c r="T871" s="24"/>
      <c r="U871" s="24"/>
      <c r="V871" s="25"/>
      <c r="W871" s="24"/>
      <c r="X871" s="24"/>
      <c r="Y871" s="24"/>
      <c r="Z871" s="24"/>
      <c r="AA871" s="24"/>
      <c r="AB871" s="24"/>
      <c r="AC871" s="2"/>
      <c r="AD871" s="2"/>
      <c r="AE871" s="2"/>
      <c r="AF871" s="2"/>
      <c r="AG871" s="2"/>
      <c r="AH871" s="2" t="e">
        <f>VLOOKUP(F871,vlookup!$A$2:$E$660,3,0)</f>
        <v>#N/A</v>
      </c>
      <c r="AI871" s="2"/>
      <c r="AJ871" s="2"/>
      <c r="AK871" s="2"/>
      <c r="AL871" s="2"/>
      <c r="AM871" s="2"/>
      <c r="AO871" s="2"/>
      <c r="AP871" s="2"/>
      <c r="AQ871" s="2"/>
      <c r="AR871" s="2"/>
      <c r="AS871" s="2"/>
      <c r="AT871" s="2"/>
      <c r="AU871" s="2"/>
    </row>
    <row r="872" spans="1:47" x14ac:dyDescent="0.25">
      <c r="A872" s="24"/>
      <c r="B872" s="24"/>
      <c r="C872" s="24"/>
      <c r="D872" s="24"/>
      <c r="E872" s="24"/>
      <c r="F872" s="24"/>
      <c r="G872" s="24"/>
      <c r="H872" s="26"/>
      <c r="I872" s="24"/>
      <c r="J872" s="25"/>
      <c r="K872" s="25"/>
      <c r="L872" s="24"/>
      <c r="M872" s="25"/>
      <c r="N872" s="24"/>
      <c r="O872" s="24"/>
      <c r="P872" s="24"/>
      <c r="Q872" s="24"/>
      <c r="R872" s="24"/>
      <c r="S872" s="25"/>
      <c r="T872" s="24"/>
      <c r="U872" s="24"/>
      <c r="V872" s="25"/>
      <c r="W872" s="24"/>
      <c r="X872" s="24"/>
      <c r="Y872" s="24"/>
      <c r="Z872" s="24"/>
      <c r="AA872" s="24"/>
      <c r="AB872" s="24"/>
      <c r="AC872" s="2"/>
      <c r="AD872" s="2"/>
      <c r="AE872" s="2"/>
      <c r="AF872" s="2"/>
      <c r="AG872" s="2"/>
      <c r="AH872" s="2" t="e">
        <f>VLOOKUP(F872,vlookup!$A$2:$E$660,3,0)</f>
        <v>#N/A</v>
      </c>
      <c r="AI872" s="2"/>
      <c r="AJ872" s="2"/>
      <c r="AK872" s="2"/>
      <c r="AL872" s="2"/>
      <c r="AM872" s="2"/>
      <c r="AO872" s="2"/>
      <c r="AP872" s="2"/>
      <c r="AQ872" s="2"/>
      <c r="AR872" s="2"/>
      <c r="AS872" s="2"/>
      <c r="AT872" s="2"/>
      <c r="AU872" s="2"/>
    </row>
    <row r="873" spans="1:47" x14ac:dyDescent="0.25">
      <c r="A873" s="24"/>
      <c r="B873" s="24"/>
      <c r="C873" s="24"/>
      <c r="D873" s="24"/>
      <c r="E873" s="24"/>
      <c r="F873" s="24"/>
      <c r="G873" s="24"/>
      <c r="H873" s="26"/>
      <c r="I873" s="24"/>
      <c r="J873" s="25"/>
      <c r="K873" s="25"/>
      <c r="L873" s="24"/>
      <c r="M873" s="25"/>
      <c r="N873" s="24"/>
      <c r="O873" s="24"/>
      <c r="P873" s="24"/>
      <c r="Q873" s="24"/>
      <c r="R873" s="24"/>
      <c r="S873" s="25"/>
      <c r="T873" s="24"/>
      <c r="U873" s="24"/>
      <c r="V873" s="25"/>
      <c r="W873" s="24"/>
      <c r="X873" s="24"/>
      <c r="Y873" s="24"/>
      <c r="Z873" s="24"/>
      <c r="AA873" s="24"/>
      <c r="AB873" s="24"/>
      <c r="AC873" s="2"/>
      <c r="AD873" s="2"/>
      <c r="AE873" s="2"/>
      <c r="AF873" s="2"/>
      <c r="AG873" s="2"/>
      <c r="AH873" s="2" t="e">
        <f>VLOOKUP(F873,vlookup!$A$2:$E$660,3,0)</f>
        <v>#N/A</v>
      </c>
      <c r="AI873" s="2"/>
      <c r="AJ873" s="2"/>
      <c r="AK873" s="2"/>
      <c r="AL873" s="2"/>
      <c r="AM873" s="2"/>
      <c r="AO873" s="2"/>
      <c r="AP873" s="2"/>
      <c r="AQ873" s="2"/>
      <c r="AR873" s="2"/>
      <c r="AS873" s="2"/>
      <c r="AT873" s="2"/>
      <c r="AU873" s="2"/>
    </row>
    <row r="874" spans="1:47" x14ac:dyDescent="0.25">
      <c r="A874" s="24"/>
      <c r="B874" s="24"/>
      <c r="C874" s="24"/>
      <c r="D874" s="24"/>
      <c r="E874" s="24"/>
      <c r="F874" s="24"/>
      <c r="G874" s="24"/>
      <c r="H874" s="26"/>
      <c r="I874" s="24"/>
      <c r="J874" s="25"/>
      <c r="K874" s="25"/>
      <c r="L874" s="24"/>
      <c r="M874" s="25"/>
      <c r="N874" s="24"/>
      <c r="O874" s="24"/>
      <c r="P874" s="24"/>
      <c r="Q874" s="24"/>
      <c r="R874" s="24"/>
      <c r="S874" s="25"/>
      <c r="T874" s="24"/>
      <c r="U874" s="24"/>
      <c r="V874" s="25"/>
      <c r="W874" s="24"/>
      <c r="X874" s="24"/>
      <c r="Y874" s="24"/>
      <c r="Z874" s="24"/>
      <c r="AA874" s="24"/>
      <c r="AB874" s="24"/>
      <c r="AC874" s="2"/>
      <c r="AD874" s="2"/>
      <c r="AE874" s="2"/>
      <c r="AF874" s="2"/>
      <c r="AG874" s="2"/>
      <c r="AH874" s="2" t="e">
        <f>VLOOKUP(F874,vlookup!$A$2:$E$660,3,0)</f>
        <v>#N/A</v>
      </c>
      <c r="AI874" s="2"/>
      <c r="AJ874" s="2"/>
      <c r="AK874" s="2"/>
      <c r="AL874" s="2"/>
      <c r="AM874" s="2"/>
      <c r="AO874" s="2"/>
      <c r="AP874" s="2"/>
      <c r="AQ874" s="2"/>
      <c r="AR874" s="2"/>
      <c r="AS874" s="2"/>
      <c r="AT874" s="2"/>
      <c r="AU874" s="2"/>
    </row>
    <row r="875" spans="1:47" x14ac:dyDescent="0.25">
      <c r="A875" s="24"/>
      <c r="B875" s="24"/>
      <c r="C875" s="24"/>
      <c r="D875" s="24"/>
      <c r="E875" s="24"/>
      <c r="F875" s="24"/>
      <c r="G875" s="24"/>
      <c r="H875" s="26"/>
      <c r="I875" s="24"/>
      <c r="J875" s="25"/>
      <c r="K875" s="25"/>
      <c r="L875" s="24"/>
      <c r="M875" s="25"/>
      <c r="N875" s="24"/>
      <c r="O875" s="24"/>
      <c r="P875" s="24"/>
      <c r="Q875" s="24"/>
      <c r="R875" s="24"/>
      <c r="S875" s="25"/>
      <c r="T875" s="24"/>
      <c r="U875" s="24"/>
      <c r="V875" s="25"/>
      <c r="W875" s="24"/>
      <c r="X875" s="24"/>
      <c r="Y875" s="24"/>
      <c r="Z875" s="24"/>
      <c r="AA875" s="24"/>
      <c r="AB875" s="24"/>
      <c r="AC875" s="2"/>
      <c r="AD875" s="2"/>
      <c r="AE875" s="2"/>
      <c r="AF875" s="2"/>
      <c r="AG875" s="2"/>
      <c r="AH875" s="2" t="e">
        <f>VLOOKUP(F875,vlookup!$A$2:$E$660,3,0)</f>
        <v>#N/A</v>
      </c>
      <c r="AI875" s="2"/>
      <c r="AJ875" s="2"/>
      <c r="AK875" s="2"/>
      <c r="AL875" s="2"/>
      <c r="AM875" s="2"/>
      <c r="AO875" s="2"/>
      <c r="AP875" s="2"/>
      <c r="AQ875" s="2"/>
      <c r="AR875" s="2"/>
      <c r="AS875" s="2"/>
      <c r="AT875" s="2"/>
      <c r="AU875" s="2"/>
    </row>
    <row r="876" spans="1:47" x14ac:dyDescent="0.25">
      <c r="A876" s="24"/>
      <c r="B876" s="24"/>
      <c r="C876" s="24"/>
      <c r="D876" s="24"/>
      <c r="E876" s="24"/>
      <c r="F876" s="24"/>
      <c r="G876" s="24"/>
      <c r="H876" s="26"/>
      <c r="I876" s="24"/>
      <c r="J876" s="25"/>
      <c r="K876" s="25"/>
      <c r="L876" s="24"/>
      <c r="M876" s="25"/>
      <c r="N876" s="24"/>
      <c r="O876" s="24"/>
      <c r="P876" s="24"/>
      <c r="Q876" s="24"/>
      <c r="R876" s="24"/>
      <c r="S876" s="25"/>
      <c r="T876" s="24"/>
      <c r="U876" s="24"/>
      <c r="V876" s="25"/>
      <c r="W876" s="24"/>
      <c r="X876" s="24"/>
      <c r="Y876" s="24"/>
      <c r="Z876" s="24"/>
      <c r="AA876" s="24"/>
      <c r="AB876" s="24"/>
      <c r="AC876" s="2"/>
      <c r="AD876" s="2"/>
      <c r="AE876" s="2"/>
      <c r="AF876" s="2"/>
      <c r="AG876" s="2"/>
      <c r="AH876" s="2" t="e">
        <f>VLOOKUP(F876,vlookup!$A$2:$E$660,3,0)</f>
        <v>#N/A</v>
      </c>
      <c r="AI876" s="2"/>
      <c r="AJ876" s="2"/>
      <c r="AK876" s="2"/>
      <c r="AL876" s="2"/>
      <c r="AM876" s="2"/>
      <c r="AO876" s="2"/>
      <c r="AP876" s="2"/>
      <c r="AQ876" s="2"/>
      <c r="AR876" s="2"/>
      <c r="AS876" s="2"/>
      <c r="AT876" s="2"/>
      <c r="AU876" s="2"/>
    </row>
    <row r="877" spans="1:47" x14ac:dyDescent="0.25">
      <c r="A877" s="24"/>
      <c r="B877" s="24"/>
      <c r="C877" s="24"/>
      <c r="D877" s="24"/>
      <c r="E877" s="24"/>
      <c r="F877" s="24"/>
      <c r="G877" s="24"/>
      <c r="H877" s="26"/>
      <c r="I877" s="24"/>
      <c r="J877" s="25"/>
      <c r="K877" s="25"/>
      <c r="L877" s="24"/>
      <c r="M877" s="25"/>
      <c r="N877" s="24"/>
      <c r="O877" s="24"/>
      <c r="P877" s="24"/>
      <c r="Q877" s="24"/>
      <c r="R877" s="24"/>
      <c r="S877" s="25"/>
      <c r="T877" s="24"/>
      <c r="U877" s="24"/>
      <c r="V877" s="25"/>
      <c r="W877" s="24"/>
      <c r="X877" s="24"/>
      <c r="Y877" s="24"/>
      <c r="Z877" s="24"/>
      <c r="AA877" s="24"/>
      <c r="AB877" s="24"/>
      <c r="AC877" s="2"/>
      <c r="AD877" s="2"/>
      <c r="AE877" s="2"/>
      <c r="AF877" s="2"/>
      <c r="AG877" s="2"/>
      <c r="AH877" s="2" t="e">
        <f>VLOOKUP(F877,vlookup!$A$2:$E$660,3,0)</f>
        <v>#N/A</v>
      </c>
      <c r="AI877" s="2"/>
      <c r="AJ877" s="2"/>
      <c r="AK877" s="2"/>
      <c r="AL877" s="2"/>
      <c r="AM877" s="2"/>
      <c r="AO877" s="2"/>
      <c r="AP877" s="2"/>
      <c r="AQ877" s="2"/>
      <c r="AR877" s="2"/>
      <c r="AS877" s="2"/>
      <c r="AT877" s="2"/>
      <c r="AU877" s="2"/>
    </row>
    <row r="878" spans="1:47" x14ac:dyDescent="0.25">
      <c r="A878" s="24"/>
      <c r="B878" s="24"/>
      <c r="C878" s="24"/>
      <c r="D878" s="24"/>
      <c r="E878" s="24"/>
      <c r="F878" s="24"/>
      <c r="G878" s="24"/>
      <c r="H878" s="26"/>
      <c r="I878" s="24"/>
      <c r="J878" s="25"/>
      <c r="K878" s="25"/>
      <c r="L878" s="24"/>
      <c r="M878" s="25"/>
      <c r="N878" s="24"/>
      <c r="O878" s="24"/>
      <c r="P878" s="24"/>
      <c r="Q878" s="24"/>
      <c r="R878" s="24"/>
      <c r="S878" s="25"/>
      <c r="T878" s="24"/>
      <c r="U878" s="24"/>
      <c r="V878" s="25"/>
      <c r="W878" s="24"/>
      <c r="X878" s="24"/>
      <c r="Y878" s="24"/>
      <c r="Z878" s="24"/>
      <c r="AA878" s="24"/>
      <c r="AB878" s="24"/>
      <c r="AC878" s="2"/>
      <c r="AD878" s="2"/>
      <c r="AE878" s="2"/>
      <c r="AF878" s="2"/>
      <c r="AG878" s="2"/>
      <c r="AH878" s="2" t="e">
        <f>VLOOKUP(F878,vlookup!$A$2:$E$660,3,0)</f>
        <v>#N/A</v>
      </c>
      <c r="AI878" s="2"/>
      <c r="AJ878" s="2"/>
      <c r="AK878" s="2"/>
      <c r="AL878" s="2"/>
      <c r="AM878" s="2"/>
      <c r="AO878" s="2"/>
      <c r="AP878" s="2"/>
      <c r="AQ878" s="2"/>
      <c r="AR878" s="2"/>
      <c r="AS878" s="2"/>
      <c r="AT878" s="2"/>
      <c r="AU878" s="2"/>
    </row>
    <row r="879" spans="1:47" x14ac:dyDescent="0.25">
      <c r="A879" s="24"/>
      <c r="B879" s="24"/>
      <c r="C879" s="24"/>
      <c r="D879" s="24"/>
      <c r="E879" s="24"/>
      <c r="F879" s="24"/>
      <c r="G879" s="24"/>
      <c r="H879" s="26"/>
      <c r="I879" s="24"/>
      <c r="J879" s="25"/>
      <c r="K879" s="25"/>
      <c r="L879" s="24"/>
      <c r="M879" s="25"/>
      <c r="N879" s="24"/>
      <c r="O879" s="24"/>
      <c r="P879" s="24"/>
      <c r="Q879" s="24"/>
      <c r="R879" s="24"/>
      <c r="S879" s="25"/>
      <c r="T879" s="24"/>
      <c r="U879" s="24"/>
      <c r="V879" s="25"/>
      <c r="W879" s="24"/>
      <c r="X879" s="24"/>
      <c r="Y879" s="24"/>
      <c r="Z879" s="24"/>
      <c r="AA879" s="24"/>
      <c r="AB879" s="24"/>
      <c r="AC879" s="2"/>
      <c r="AD879" s="2"/>
      <c r="AE879" s="2"/>
      <c r="AF879" s="2"/>
      <c r="AG879" s="2"/>
      <c r="AH879" s="2" t="e">
        <f>VLOOKUP(F879,vlookup!$A$2:$E$660,3,0)</f>
        <v>#N/A</v>
      </c>
      <c r="AI879" s="2"/>
      <c r="AJ879" s="2"/>
      <c r="AK879" s="2"/>
      <c r="AL879" s="2"/>
      <c r="AM879" s="2"/>
      <c r="AO879" s="2"/>
      <c r="AP879" s="2"/>
      <c r="AQ879" s="2"/>
      <c r="AR879" s="2"/>
      <c r="AS879" s="2"/>
      <c r="AT879" s="2"/>
      <c r="AU879" s="2"/>
    </row>
    <row r="880" spans="1:47" x14ac:dyDescent="0.25">
      <c r="A880" s="24"/>
      <c r="B880" s="24"/>
      <c r="C880" s="24"/>
      <c r="D880" s="24"/>
      <c r="E880" s="24"/>
      <c r="F880" s="24"/>
      <c r="G880" s="24"/>
      <c r="H880" s="26"/>
      <c r="I880" s="24"/>
      <c r="J880" s="25"/>
      <c r="K880" s="25"/>
      <c r="L880" s="24"/>
      <c r="M880" s="25"/>
      <c r="N880" s="24"/>
      <c r="O880" s="24"/>
      <c r="P880" s="24"/>
      <c r="Q880" s="24"/>
      <c r="R880" s="24"/>
      <c r="S880" s="25"/>
      <c r="T880" s="24"/>
      <c r="U880" s="24"/>
      <c r="V880" s="25"/>
      <c r="W880" s="24"/>
      <c r="X880" s="24"/>
      <c r="Y880" s="24"/>
      <c r="Z880" s="24"/>
      <c r="AA880" s="24"/>
      <c r="AB880" s="24"/>
      <c r="AC880" s="2"/>
      <c r="AD880" s="2"/>
      <c r="AE880" s="2"/>
      <c r="AF880" s="2"/>
      <c r="AG880" s="2"/>
      <c r="AH880" s="2" t="e">
        <f>VLOOKUP(F880,vlookup!$A$2:$E$660,3,0)</f>
        <v>#N/A</v>
      </c>
      <c r="AI880" s="2"/>
      <c r="AJ880" s="2"/>
      <c r="AK880" s="2"/>
      <c r="AL880" s="2"/>
      <c r="AM880" s="2"/>
      <c r="AO880" s="2"/>
      <c r="AP880" s="2"/>
      <c r="AQ880" s="2"/>
      <c r="AR880" s="2"/>
      <c r="AS880" s="2"/>
      <c r="AT880" s="2"/>
      <c r="AU880" s="2"/>
    </row>
    <row r="881" spans="1:47" x14ac:dyDescent="0.25">
      <c r="A881" s="24"/>
      <c r="B881" s="24"/>
      <c r="C881" s="24"/>
      <c r="D881" s="24"/>
      <c r="E881" s="24"/>
      <c r="F881" s="24"/>
      <c r="G881" s="24"/>
      <c r="H881" s="26"/>
      <c r="I881" s="24"/>
      <c r="J881" s="25"/>
      <c r="K881" s="25"/>
      <c r="L881" s="24"/>
      <c r="M881" s="25"/>
      <c r="N881" s="24"/>
      <c r="O881" s="24"/>
      <c r="P881" s="24"/>
      <c r="Q881" s="24"/>
      <c r="R881" s="24"/>
      <c r="S881" s="25"/>
      <c r="T881" s="24"/>
      <c r="U881" s="24"/>
      <c r="V881" s="25"/>
      <c r="W881" s="24"/>
      <c r="X881" s="24"/>
      <c r="Y881" s="24"/>
      <c r="Z881" s="24"/>
      <c r="AA881" s="24"/>
      <c r="AB881" s="24"/>
      <c r="AC881" s="2"/>
      <c r="AD881" s="2"/>
      <c r="AE881" s="2"/>
      <c r="AF881" s="2"/>
      <c r="AG881" s="2"/>
      <c r="AH881" s="2" t="e">
        <f>VLOOKUP(F881,vlookup!$A$2:$E$660,3,0)</f>
        <v>#N/A</v>
      </c>
      <c r="AI881" s="2"/>
      <c r="AJ881" s="2"/>
      <c r="AK881" s="2"/>
      <c r="AL881" s="2"/>
      <c r="AM881" s="2"/>
      <c r="AO881" s="2"/>
      <c r="AP881" s="2"/>
      <c r="AQ881" s="2"/>
      <c r="AR881" s="2"/>
      <c r="AS881" s="2"/>
      <c r="AT881" s="2"/>
      <c r="AU881" s="2"/>
    </row>
    <row r="882" spans="1:47" x14ac:dyDescent="0.25">
      <c r="A882" s="24"/>
      <c r="B882" s="24"/>
      <c r="C882" s="24"/>
      <c r="D882" s="24"/>
      <c r="E882" s="24"/>
      <c r="F882" s="24"/>
      <c r="G882" s="24"/>
      <c r="H882" s="26"/>
      <c r="I882" s="24"/>
      <c r="J882" s="25"/>
      <c r="K882" s="25"/>
      <c r="L882" s="24"/>
      <c r="M882" s="25"/>
      <c r="N882" s="24"/>
      <c r="O882" s="24"/>
      <c r="P882" s="24"/>
      <c r="Q882" s="24"/>
      <c r="R882" s="24"/>
      <c r="S882" s="25"/>
      <c r="T882" s="24"/>
      <c r="U882" s="24"/>
      <c r="V882" s="25"/>
      <c r="W882" s="24"/>
      <c r="X882" s="24"/>
      <c r="Y882" s="24"/>
      <c r="Z882" s="24"/>
      <c r="AA882" s="24"/>
      <c r="AB882" s="24"/>
      <c r="AC882" s="2"/>
      <c r="AD882" s="2"/>
      <c r="AE882" s="2"/>
      <c r="AF882" s="2"/>
      <c r="AG882" s="2"/>
      <c r="AH882" s="2" t="e">
        <f>VLOOKUP(F882,vlookup!$A$2:$E$660,3,0)</f>
        <v>#N/A</v>
      </c>
      <c r="AI882" s="2"/>
      <c r="AJ882" s="2"/>
      <c r="AK882" s="2"/>
      <c r="AL882" s="2"/>
      <c r="AM882" s="2"/>
      <c r="AO882" s="2"/>
      <c r="AP882" s="2"/>
      <c r="AQ882" s="2"/>
      <c r="AR882" s="2"/>
      <c r="AS882" s="2"/>
      <c r="AT882" s="2"/>
      <c r="AU882" s="2"/>
    </row>
    <row r="883" spans="1:47" x14ac:dyDescent="0.25">
      <c r="A883" s="24"/>
      <c r="B883" s="24"/>
      <c r="C883" s="24"/>
      <c r="D883" s="24"/>
      <c r="E883" s="24"/>
      <c r="F883" s="24"/>
      <c r="G883" s="24"/>
      <c r="H883" s="26"/>
      <c r="I883" s="24"/>
      <c r="J883" s="25"/>
      <c r="K883" s="25"/>
      <c r="L883" s="24"/>
      <c r="M883" s="25"/>
      <c r="N883" s="24"/>
      <c r="O883" s="24"/>
      <c r="P883" s="24"/>
      <c r="Q883" s="24"/>
      <c r="R883" s="24"/>
      <c r="S883" s="25"/>
      <c r="T883" s="24"/>
      <c r="U883" s="24"/>
      <c r="V883" s="25"/>
      <c r="W883" s="24"/>
      <c r="X883" s="24"/>
      <c r="Y883" s="24"/>
      <c r="Z883" s="24"/>
      <c r="AA883" s="24"/>
      <c r="AB883" s="24"/>
      <c r="AC883" s="2"/>
      <c r="AD883" s="2"/>
      <c r="AE883" s="2"/>
      <c r="AF883" s="2"/>
      <c r="AG883" s="2"/>
      <c r="AH883" s="2" t="e">
        <f>VLOOKUP(F883,vlookup!$A$2:$E$660,3,0)</f>
        <v>#N/A</v>
      </c>
      <c r="AI883" s="2"/>
      <c r="AJ883" s="2"/>
      <c r="AK883" s="2"/>
      <c r="AL883" s="2"/>
      <c r="AM883" s="2"/>
      <c r="AO883" s="2"/>
      <c r="AP883" s="2"/>
      <c r="AQ883" s="2"/>
      <c r="AR883" s="2"/>
      <c r="AS883" s="2"/>
      <c r="AT883" s="2"/>
      <c r="AU883" s="2"/>
    </row>
    <row r="884" spans="1:47" x14ac:dyDescent="0.25">
      <c r="A884" s="24"/>
      <c r="B884" s="24"/>
      <c r="C884" s="24"/>
      <c r="D884" s="24"/>
      <c r="E884" s="24"/>
      <c r="F884" s="24"/>
      <c r="G884" s="24"/>
      <c r="H884" s="26"/>
      <c r="I884" s="24"/>
      <c r="J884" s="25"/>
      <c r="K884" s="25"/>
      <c r="L884" s="24"/>
      <c r="M884" s="25"/>
      <c r="N884" s="24"/>
      <c r="O884" s="24"/>
      <c r="P884" s="24"/>
      <c r="Q884" s="24"/>
      <c r="R884" s="24"/>
      <c r="S884" s="25"/>
      <c r="T884" s="24"/>
      <c r="U884" s="24"/>
      <c r="V884" s="25"/>
      <c r="W884" s="24"/>
      <c r="X884" s="24"/>
      <c r="Y884" s="24"/>
      <c r="Z884" s="24"/>
      <c r="AA884" s="24"/>
      <c r="AB884" s="24"/>
      <c r="AC884" s="2"/>
      <c r="AD884" s="2"/>
      <c r="AE884" s="2"/>
      <c r="AF884" s="2"/>
      <c r="AG884" s="2"/>
      <c r="AH884" s="2" t="e">
        <f>VLOOKUP(F884,vlookup!$A$2:$E$660,3,0)</f>
        <v>#N/A</v>
      </c>
      <c r="AI884" s="2"/>
      <c r="AJ884" s="2"/>
      <c r="AK884" s="2"/>
      <c r="AL884" s="2"/>
      <c r="AM884" s="2"/>
      <c r="AO884" s="2"/>
      <c r="AP884" s="2"/>
      <c r="AQ884" s="2"/>
      <c r="AR884" s="2"/>
      <c r="AS884" s="2"/>
      <c r="AT884" s="2"/>
      <c r="AU884" s="2"/>
    </row>
    <row r="885" spans="1:47" x14ac:dyDescent="0.25">
      <c r="A885" s="24"/>
      <c r="B885" s="24"/>
      <c r="C885" s="24"/>
      <c r="D885" s="24"/>
      <c r="E885" s="24"/>
      <c r="F885" s="24"/>
      <c r="G885" s="24"/>
      <c r="H885" s="26"/>
      <c r="I885" s="24"/>
      <c r="J885" s="25"/>
      <c r="K885" s="25"/>
      <c r="L885" s="24"/>
      <c r="M885" s="25"/>
      <c r="N885" s="24"/>
      <c r="O885" s="24"/>
      <c r="P885" s="24"/>
      <c r="Q885" s="24"/>
      <c r="R885" s="24"/>
      <c r="S885" s="25"/>
      <c r="T885" s="24"/>
      <c r="U885" s="24"/>
      <c r="V885" s="25"/>
      <c r="W885" s="24"/>
      <c r="X885" s="24"/>
      <c r="Y885" s="24"/>
      <c r="Z885" s="24"/>
      <c r="AA885" s="24"/>
      <c r="AB885" s="24"/>
      <c r="AC885" s="2"/>
      <c r="AD885" s="2"/>
      <c r="AE885" s="2"/>
      <c r="AF885" s="2"/>
      <c r="AG885" s="2"/>
      <c r="AH885" s="2" t="e">
        <f>VLOOKUP(F885,vlookup!$A$2:$E$660,3,0)</f>
        <v>#N/A</v>
      </c>
      <c r="AI885" s="2"/>
      <c r="AJ885" s="2"/>
      <c r="AK885" s="2"/>
      <c r="AL885" s="2"/>
      <c r="AM885" s="2"/>
      <c r="AO885" s="2"/>
      <c r="AP885" s="2"/>
      <c r="AQ885" s="2"/>
      <c r="AR885" s="2"/>
      <c r="AS885" s="2"/>
      <c r="AT885" s="2"/>
      <c r="AU885" s="2"/>
    </row>
    <row r="886" spans="1:47" x14ac:dyDescent="0.25">
      <c r="A886" s="24"/>
      <c r="B886" s="24"/>
      <c r="C886" s="24"/>
      <c r="D886" s="24"/>
      <c r="E886" s="24"/>
      <c r="F886" s="24"/>
      <c r="G886" s="24"/>
      <c r="H886" s="26"/>
      <c r="I886" s="24"/>
      <c r="J886" s="25"/>
      <c r="K886" s="25"/>
      <c r="L886" s="24"/>
      <c r="M886" s="25"/>
      <c r="N886" s="24"/>
      <c r="O886" s="24"/>
      <c r="P886" s="24"/>
      <c r="Q886" s="24"/>
      <c r="R886" s="24"/>
      <c r="S886" s="25"/>
      <c r="T886" s="24"/>
      <c r="U886" s="24"/>
      <c r="V886" s="25"/>
      <c r="W886" s="24"/>
      <c r="X886" s="24"/>
      <c r="Y886" s="24"/>
      <c r="Z886" s="24"/>
      <c r="AA886" s="24"/>
      <c r="AB886" s="24"/>
      <c r="AC886" s="2"/>
      <c r="AD886" s="2"/>
      <c r="AE886" s="2"/>
      <c r="AF886" s="2"/>
      <c r="AG886" s="2"/>
      <c r="AH886" s="2" t="e">
        <f>VLOOKUP(F886,vlookup!$A$2:$E$660,3,0)</f>
        <v>#N/A</v>
      </c>
      <c r="AI886" s="2"/>
      <c r="AJ886" s="2"/>
      <c r="AK886" s="2"/>
      <c r="AL886" s="2"/>
      <c r="AM886" s="2"/>
      <c r="AO886" s="2"/>
      <c r="AP886" s="2"/>
      <c r="AQ886" s="2"/>
      <c r="AR886" s="2"/>
      <c r="AS886" s="2"/>
      <c r="AT886" s="2"/>
      <c r="AU886" s="2"/>
    </row>
    <row r="887" spans="1:47" x14ac:dyDescent="0.25">
      <c r="A887" s="24"/>
      <c r="B887" s="24"/>
      <c r="C887" s="24"/>
      <c r="D887" s="24"/>
      <c r="E887" s="24"/>
      <c r="F887" s="24"/>
      <c r="G887" s="24"/>
      <c r="H887" s="26"/>
      <c r="I887" s="24"/>
      <c r="J887" s="25"/>
      <c r="K887" s="25"/>
      <c r="L887" s="24"/>
      <c r="M887" s="25"/>
      <c r="N887" s="24"/>
      <c r="O887" s="24"/>
      <c r="P887" s="24"/>
      <c r="Q887" s="24"/>
      <c r="R887" s="24"/>
      <c r="S887" s="25"/>
      <c r="T887" s="24"/>
      <c r="U887" s="24"/>
      <c r="V887" s="25"/>
      <c r="W887" s="24"/>
      <c r="X887" s="24"/>
      <c r="Y887" s="24"/>
      <c r="Z887" s="24"/>
      <c r="AA887" s="24"/>
      <c r="AB887" s="24"/>
      <c r="AC887" s="2"/>
      <c r="AD887" s="2"/>
      <c r="AE887" s="2"/>
      <c r="AF887" s="2"/>
      <c r="AG887" s="2"/>
      <c r="AH887" s="2" t="e">
        <f>VLOOKUP(F887,vlookup!$A$2:$E$660,3,0)</f>
        <v>#N/A</v>
      </c>
      <c r="AI887" s="2"/>
      <c r="AJ887" s="2"/>
      <c r="AK887" s="2"/>
      <c r="AL887" s="2"/>
      <c r="AM887" s="2"/>
      <c r="AO887" s="2"/>
      <c r="AP887" s="2"/>
      <c r="AQ887" s="2"/>
      <c r="AR887" s="2"/>
      <c r="AS887" s="2"/>
      <c r="AT887" s="2"/>
      <c r="AU887" s="2"/>
    </row>
    <row r="888" spans="1:47" x14ac:dyDescent="0.25">
      <c r="A888" s="24"/>
      <c r="B888" s="24"/>
      <c r="C888" s="24"/>
      <c r="D888" s="24"/>
      <c r="E888" s="24"/>
      <c r="F888" s="24"/>
      <c r="G888" s="24"/>
      <c r="H888" s="26"/>
      <c r="I888" s="24"/>
      <c r="J888" s="25"/>
      <c r="K888" s="25"/>
      <c r="L888" s="24"/>
      <c r="M888" s="25"/>
      <c r="N888" s="24"/>
      <c r="O888" s="24"/>
      <c r="P888" s="24"/>
      <c r="Q888" s="24"/>
      <c r="R888" s="24"/>
      <c r="S888" s="25"/>
      <c r="T888" s="24"/>
      <c r="U888" s="24"/>
      <c r="V888" s="25"/>
      <c r="W888" s="24"/>
      <c r="X888" s="24"/>
      <c r="Y888" s="24"/>
      <c r="Z888" s="24"/>
      <c r="AA888" s="24"/>
      <c r="AB888" s="24"/>
      <c r="AC888" s="2"/>
      <c r="AD888" s="2"/>
      <c r="AE888" s="2"/>
      <c r="AF888" s="2"/>
      <c r="AG888" s="2"/>
      <c r="AH888" s="2" t="e">
        <f>VLOOKUP(F888,vlookup!$A$2:$E$660,3,0)</f>
        <v>#N/A</v>
      </c>
      <c r="AI888" s="2"/>
      <c r="AJ888" s="2"/>
      <c r="AK888" s="2"/>
      <c r="AL888" s="2"/>
      <c r="AM888" s="2"/>
      <c r="AO888" s="2"/>
      <c r="AP888" s="2"/>
      <c r="AQ888" s="2"/>
      <c r="AR888" s="2"/>
      <c r="AS888" s="2"/>
      <c r="AT888" s="2"/>
      <c r="AU888" s="2"/>
    </row>
    <row r="889" spans="1:47" x14ac:dyDescent="0.25">
      <c r="A889" s="24"/>
      <c r="B889" s="24"/>
      <c r="C889" s="24"/>
      <c r="D889" s="24"/>
      <c r="E889" s="24"/>
      <c r="F889" s="24"/>
      <c r="G889" s="24"/>
      <c r="H889" s="26"/>
      <c r="I889" s="24"/>
      <c r="J889" s="25"/>
      <c r="K889" s="25"/>
      <c r="L889" s="24"/>
      <c r="M889" s="25"/>
      <c r="N889" s="24"/>
      <c r="O889" s="24"/>
      <c r="P889" s="24"/>
      <c r="Q889" s="24"/>
      <c r="R889" s="24"/>
      <c r="S889" s="25"/>
      <c r="T889" s="24"/>
      <c r="U889" s="24"/>
      <c r="V889" s="25"/>
      <c r="W889" s="24"/>
      <c r="X889" s="24"/>
      <c r="Y889" s="24"/>
      <c r="Z889" s="24"/>
      <c r="AA889" s="24"/>
      <c r="AB889" s="24"/>
      <c r="AC889" s="2"/>
      <c r="AD889" s="2"/>
      <c r="AE889" s="2"/>
      <c r="AF889" s="2"/>
      <c r="AG889" s="2"/>
      <c r="AH889" s="2" t="e">
        <f>VLOOKUP(F889,vlookup!$A$2:$E$660,3,0)</f>
        <v>#N/A</v>
      </c>
      <c r="AI889" s="2"/>
      <c r="AJ889" s="2"/>
      <c r="AK889" s="2"/>
      <c r="AL889" s="2"/>
      <c r="AM889" s="2"/>
      <c r="AO889" s="2"/>
      <c r="AP889" s="2"/>
      <c r="AQ889" s="2"/>
      <c r="AR889" s="2"/>
      <c r="AS889" s="2"/>
      <c r="AT889" s="2"/>
      <c r="AU889" s="2"/>
    </row>
    <row r="890" spans="1:47" x14ac:dyDescent="0.25">
      <c r="A890" s="24"/>
      <c r="B890" s="24"/>
      <c r="C890" s="24"/>
      <c r="D890" s="24"/>
      <c r="E890" s="24"/>
      <c r="F890" s="24"/>
      <c r="G890" s="24"/>
      <c r="H890" s="26"/>
      <c r="I890" s="24"/>
      <c r="J890" s="25"/>
      <c r="K890" s="25"/>
      <c r="L890" s="24"/>
      <c r="M890" s="25"/>
      <c r="N890" s="24"/>
      <c r="O890" s="24"/>
      <c r="P890" s="24"/>
      <c r="Q890" s="24"/>
      <c r="R890" s="24"/>
      <c r="S890" s="25"/>
      <c r="T890" s="24"/>
      <c r="U890" s="24"/>
      <c r="V890" s="25"/>
      <c r="W890" s="24"/>
      <c r="X890" s="24"/>
      <c r="Y890" s="24"/>
      <c r="Z890" s="24"/>
      <c r="AA890" s="24"/>
      <c r="AB890" s="24"/>
      <c r="AC890" s="2"/>
      <c r="AD890" s="2"/>
      <c r="AE890" s="2"/>
      <c r="AF890" s="2"/>
      <c r="AG890" s="2"/>
      <c r="AH890" s="2" t="e">
        <f>VLOOKUP(F890,vlookup!$A$2:$E$660,3,0)</f>
        <v>#N/A</v>
      </c>
      <c r="AI890" s="2"/>
      <c r="AJ890" s="2"/>
      <c r="AK890" s="2"/>
      <c r="AL890" s="2"/>
      <c r="AM890" s="2"/>
      <c r="AO890" s="2"/>
      <c r="AP890" s="2"/>
      <c r="AQ890" s="2"/>
      <c r="AR890" s="2"/>
      <c r="AS890" s="2"/>
      <c r="AT890" s="2"/>
      <c r="AU890" s="2"/>
    </row>
    <row r="891" spans="1:47" x14ac:dyDescent="0.25">
      <c r="A891" s="24"/>
      <c r="B891" s="24"/>
      <c r="C891" s="24"/>
      <c r="D891" s="24"/>
      <c r="E891" s="24"/>
      <c r="F891" s="24"/>
      <c r="G891" s="24"/>
      <c r="H891" s="26"/>
      <c r="I891" s="24"/>
      <c r="J891" s="25"/>
      <c r="K891" s="25"/>
      <c r="L891" s="24"/>
      <c r="M891" s="25"/>
      <c r="N891" s="24"/>
      <c r="O891" s="24"/>
      <c r="P891" s="24"/>
      <c r="Q891" s="24"/>
      <c r="R891" s="24"/>
      <c r="S891" s="25"/>
      <c r="T891" s="24"/>
      <c r="U891" s="24"/>
      <c r="V891" s="25"/>
      <c r="W891" s="24"/>
      <c r="X891" s="24"/>
      <c r="Y891" s="24"/>
      <c r="Z891" s="24"/>
      <c r="AA891" s="24"/>
      <c r="AB891" s="24"/>
      <c r="AC891" s="2"/>
      <c r="AD891" s="2"/>
      <c r="AE891" s="2"/>
      <c r="AF891" s="2"/>
      <c r="AG891" s="2"/>
      <c r="AH891" s="2" t="e">
        <f>VLOOKUP(F891,vlookup!$A$2:$E$660,3,0)</f>
        <v>#N/A</v>
      </c>
      <c r="AI891" s="2"/>
      <c r="AJ891" s="2"/>
      <c r="AK891" s="2"/>
      <c r="AL891" s="2"/>
      <c r="AM891" s="2"/>
      <c r="AO891" s="2"/>
      <c r="AP891" s="2"/>
      <c r="AQ891" s="2"/>
      <c r="AR891" s="2"/>
      <c r="AS891" s="2"/>
      <c r="AT891" s="2"/>
      <c r="AU891" s="2"/>
    </row>
    <row r="892" spans="1:47" x14ac:dyDescent="0.25">
      <c r="A892" s="24"/>
      <c r="B892" s="24"/>
      <c r="C892" s="24"/>
      <c r="D892" s="24"/>
      <c r="E892" s="24"/>
      <c r="F892" s="24"/>
      <c r="G892" s="24"/>
      <c r="H892" s="26"/>
      <c r="I892" s="24"/>
      <c r="J892" s="25"/>
      <c r="K892" s="25"/>
      <c r="L892" s="24"/>
      <c r="M892" s="25"/>
      <c r="N892" s="24"/>
      <c r="O892" s="24"/>
      <c r="P892" s="24"/>
      <c r="Q892" s="24"/>
      <c r="R892" s="24"/>
      <c r="S892" s="25"/>
      <c r="T892" s="24"/>
      <c r="U892" s="24"/>
      <c r="V892" s="25"/>
      <c r="W892" s="24"/>
      <c r="X892" s="24"/>
      <c r="Y892" s="24"/>
      <c r="Z892" s="24"/>
      <c r="AA892" s="24"/>
      <c r="AB892" s="24"/>
      <c r="AC892" s="2"/>
      <c r="AD892" s="2"/>
      <c r="AE892" s="2"/>
      <c r="AF892" s="2"/>
      <c r="AG892" s="2"/>
      <c r="AH892" s="2" t="e">
        <f>VLOOKUP(F892,vlookup!$A$2:$E$660,3,0)</f>
        <v>#N/A</v>
      </c>
      <c r="AI892" s="2"/>
      <c r="AJ892" s="2"/>
      <c r="AK892" s="2"/>
      <c r="AL892" s="2"/>
      <c r="AM892" s="2"/>
      <c r="AO892" s="2"/>
      <c r="AP892" s="2"/>
      <c r="AQ892" s="2"/>
      <c r="AR892" s="2"/>
      <c r="AS892" s="2"/>
      <c r="AT892" s="2"/>
      <c r="AU892" s="2"/>
    </row>
    <row r="893" spans="1:47" x14ac:dyDescent="0.25">
      <c r="A893" s="24"/>
      <c r="B893" s="24"/>
      <c r="C893" s="24"/>
      <c r="D893" s="24"/>
      <c r="E893" s="24"/>
      <c r="F893" s="24"/>
      <c r="G893" s="24"/>
      <c r="H893" s="26"/>
      <c r="I893" s="24"/>
      <c r="J893" s="25"/>
      <c r="K893" s="25"/>
      <c r="L893" s="24"/>
      <c r="M893" s="25"/>
      <c r="N893" s="24"/>
      <c r="O893" s="24"/>
      <c r="P893" s="24"/>
      <c r="Q893" s="24"/>
      <c r="R893" s="24"/>
      <c r="S893" s="25"/>
      <c r="T893" s="24"/>
      <c r="U893" s="24"/>
      <c r="V893" s="25"/>
      <c r="W893" s="24"/>
      <c r="X893" s="24"/>
      <c r="Y893" s="24"/>
      <c r="Z893" s="24"/>
      <c r="AA893" s="24"/>
      <c r="AB893" s="24"/>
      <c r="AC893" s="2"/>
      <c r="AD893" s="2"/>
      <c r="AE893" s="2"/>
      <c r="AF893" s="2"/>
      <c r="AG893" s="2"/>
      <c r="AH893" s="2" t="e">
        <f>VLOOKUP(F893,vlookup!$A$2:$E$660,3,0)</f>
        <v>#N/A</v>
      </c>
      <c r="AI893" s="2"/>
      <c r="AJ893" s="2"/>
      <c r="AK893" s="2"/>
      <c r="AL893" s="2"/>
      <c r="AM893" s="2"/>
      <c r="AO893" s="2"/>
      <c r="AP893" s="2"/>
      <c r="AQ893" s="2"/>
      <c r="AR893" s="2"/>
      <c r="AS893" s="2"/>
      <c r="AT893" s="2"/>
      <c r="AU893" s="2"/>
    </row>
    <row r="894" spans="1:47" x14ac:dyDescent="0.25">
      <c r="A894" s="24"/>
      <c r="B894" s="24"/>
      <c r="C894" s="24"/>
      <c r="D894" s="24"/>
      <c r="E894" s="24"/>
      <c r="F894" s="24"/>
      <c r="G894" s="24"/>
      <c r="H894" s="26"/>
      <c r="I894" s="24"/>
      <c r="J894" s="25"/>
      <c r="K894" s="25"/>
      <c r="L894" s="24"/>
      <c r="M894" s="25"/>
      <c r="N894" s="24"/>
      <c r="O894" s="24"/>
      <c r="P894" s="24"/>
      <c r="Q894" s="24"/>
      <c r="R894" s="24"/>
      <c r="S894" s="25"/>
      <c r="T894" s="24"/>
      <c r="U894" s="24"/>
      <c r="V894" s="25"/>
      <c r="W894" s="24"/>
      <c r="X894" s="24"/>
      <c r="Y894" s="24"/>
      <c r="Z894" s="24"/>
      <c r="AA894" s="24"/>
      <c r="AB894" s="24"/>
      <c r="AC894" s="2"/>
      <c r="AD894" s="2"/>
      <c r="AE894" s="2"/>
      <c r="AF894" s="2"/>
      <c r="AG894" s="2"/>
      <c r="AH894" s="2" t="e">
        <f>VLOOKUP(F894,vlookup!$A$2:$E$660,3,0)</f>
        <v>#N/A</v>
      </c>
      <c r="AI894" s="2"/>
      <c r="AJ894" s="2"/>
      <c r="AK894" s="2"/>
      <c r="AL894" s="2"/>
      <c r="AM894" s="2"/>
      <c r="AO894" s="2"/>
      <c r="AP894" s="2"/>
      <c r="AQ894" s="2"/>
      <c r="AR894" s="2"/>
      <c r="AS894" s="2"/>
      <c r="AT894" s="2"/>
      <c r="AU894" s="2"/>
    </row>
    <row r="895" spans="1:47" x14ac:dyDescent="0.25">
      <c r="A895" s="24"/>
      <c r="B895" s="24"/>
      <c r="C895" s="24"/>
      <c r="D895" s="24"/>
      <c r="E895" s="24"/>
      <c r="F895" s="24"/>
      <c r="G895" s="24"/>
      <c r="H895" s="26"/>
      <c r="I895" s="24"/>
      <c r="J895" s="25"/>
      <c r="K895" s="25"/>
      <c r="L895" s="24"/>
      <c r="M895" s="25"/>
      <c r="N895" s="24"/>
      <c r="O895" s="24"/>
      <c r="P895" s="24"/>
      <c r="Q895" s="24"/>
      <c r="R895" s="24"/>
      <c r="S895" s="25"/>
      <c r="T895" s="24"/>
      <c r="U895" s="24"/>
      <c r="V895" s="25"/>
      <c r="W895" s="24"/>
      <c r="X895" s="24"/>
      <c r="Y895" s="24"/>
      <c r="Z895" s="24"/>
      <c r="AA895" s="24"/>
      <c r="AB895" s="24"/>
      <c r="AC895" s="2"/>
      <c r="AD895" s="2"/>
      <c r="AE895" s="2"/>
      <c r="AF895" s="2"/>
      <c r="AG895" s="2"/>
      <c r="AH895" s="2" t="e">
        <f>VLOOKUP(F895,vlookup!$A$2:$E$660,3,0)</f>
        <v>#N/A</v>
      </c>
      <c r="AI895" s="2"/>
      <c r="AJ895" s="2"/>
      <c r="AK895" s="2"/>
      <c r="AL895" s="2"/>
      <c r="AM895" s="2"/>
      <c r="AO895" s="2"/>
      <c r="AP895" s="2"/>
      <c r="AQ895" s="2"/>
      <c r="AR895" s="2"/>
      <c r="AS895" s="2"/>
      <c r="AT895" s="2"/>
      <c r="AU895" s="2"/>
    </row>
    <row r="896" spans="1:47" x14ac:dyDescent="0.25">
      <c r="A896" s="24"/>
      <c r="B896" s="24"/>
      <c r="C896" s="24"/>
      <c r="D896" s="24"/>
      <c r="E896" s="24"/>
      <c r="F896" s="24"/>
      <c r="G896" s="24"/>
      <c r="H896" s="26"/>
      <c r="I896" s="24"/>
      <c r="J896" s="25"/>
      <c r="K896" s="25"/>
      <c r="L896" s="24"/>
      <c r="M896" s="25"/>
      <c r="N896" s="24"/>
      <c r="O896" s="24"/>
      <c r="P896" s="24"/>
      <c r="Q896" s="24"/>
      <c r="R896" s="24"/>
      <c r="S896" s="25"/>
      <c r="T896" s="24"/>
      <c r="U896" s="24"/>
      <c r="V896" s="25"/>
      <c r="W896" s="24"/>
      <c r="X896" s="24"/>
      <c r="Y896" s="24"/>
      <c r="Z896" s="24"/>
      <c r="AA896" s="24"/>
      <c r="AB896" s="24"/>
      <c r="AC896" s="2"/>
      <c r="AD896" s="2"/>
      <c r="AE896" s="2"/>
      <c r="AF896" s="2"/>
      <c r="AG896" s="2"/>
      <c r="AH896" s="2" t="e">
        <f>VLOOKUP(F896,vlookup!$A$2:$E$660,3,0)</f>
        <v>#N/A</v>
      </c>
      <c r="AI896" s="2"/>
      <c r="AJ896" s="2"/>
      <c r="AK896" s="2"/>
      <c r="AL896" s="2"/>
      <c r="AM896" s="2"/>
      <c r="AO896" s="2"/>
      <c r="AP896" s="2"/>
      <c r="AQ896" s="2"/>
      <c r="AR896" s="2"/>
      <c r="AS896" s="2"/>
      <c r="AT896" s="2"/>
      <c r="AU896" s="2"/>
    </row>
    <row r="897" spans="1:47" x14ac:dyDescent="0.25">
      <c r="A897" s="24"/>
      <c r="B897" s="24"/>
      <c r="C897" s="24"/>
      <c r="D897" s="24"/>
      <c r="E897" s="24"/>
      <c r="F897" s="24"/>
      <c r="G897" s="24"/>
      <c r="H897" s="26"/>
      <c r="I897" s="24"/>
      <c r="J897" s="25"/>
      <c r="K897" s="25"/>
      <c r="L897" s="24"/>
      <c r="M897" s="25"/>
      <c r="N897" s="24"/>
      <c r="O897" s="24"/>
      <c r="P897" s="24"/>
      <c r="Q897" s="24"/>
      <c r="R897" s="24"/>
      <c r="S897" s="25"/>
      <c r="T897" s="24"/>
      <c r="U897" s="24"/>
      <c r="V897" s="25"/>
      <c r="W897" s="24"/>
      <c r="X897" s="24"/>
      <c r="Y897" s="24"/>
      <c r="Z897" s="24"/>
      <c r="AA897" s="24"/>
      <c r="AB897" s="24"/>
      <c r="AC897" s="2"/>
      <c r="AD897" s="2"/>
      <c r="AE897" s="2"/>
      <c r="AF897" s="2"/>
      <c r="AG897" s="2"/>
      <c r="AH897" s="2" t="e">
        <f>VLOOKUP(F897,vlookup!$A$2:$E$660,3,0)</f>
        <v>#N/A</v>
      </c>
      <c r="AI897" s="2"/>
      <c r="AJ897" s="2"/>
      <c r="AK897" s="2"/>
      <c r="AL897" s="2"/>
      <c r="AM897" s="2"/>
      <c r="AO897" s="2"/>
      <c r="AP897" s="2"/>
      <c r="AQ897" s="2"/>
      <c r="AR897" s="2"/>
      <c r="AS897" s="2"/>
      <c r="AT897" s="2"/>
      <c r="AU897" s="2"/>
    </row>
    <row r="898" spans="1:47" x14ac:dyDescent="0.25">
      <c r="A898" s="24"/>
      <c r="B898" s="24"/>
      <c r="C898" s="24"/>
      <c r="D898" s="24"/>
      <c r="E898" s="24"/>
      <c r="F898" s="24"/>
      <c r="G898" s="24"/>
      <c r="H898" s="26"/>
      <c r="I898" s="24"/>
      <c r="J898" s="25"/>
      <c r="K898" s="25"/>
      <c r="L898" s="24"/>
      <c r="M898" s="25"/>
      <c r="N898" s="24"/>
      <c r="O898" s="24"/>
      <c r="P898" s="24"/>
      <c r="Q898" s="24"/>
      <c r="R898" s="24"/>
      <c r="S898" s="25"/>
      <c r="T898" s="24"/>
      <c r="U898" s="24"/>
      <c r="V898" s="25"/>
      <c r="W898" s="24"/>
      <c r="X898" s="24"/>
      <c r="Y898" s="24"/>
      <c r="Z898" s="24"/>
      <c r="AA898" s="24"/>
      <c r="AB898" s="24"/>
      <c r="AC898" s="2"/>
      <c r="AD898" s="2"/>
      <c r="AE898" s="2"/>
      <c r="AF898" s="2"/>
      <c r="AG898" s="2"/>
      <c r="AH898" s="2" t="e">
        <f>VLOOKUP(F898,vlookup!$A$2:$E$660,3,0)</f>
        <v>#N/A</v>
      </c>
      <c r="AI898" s="2"/>
      <c r="AJ898" s="2"/>
      <c r="AK898" s="2"/>
      <c r="AL898" s="2"/>
      <c r="AM898" s="2"/>
      <c r="AO898" s="2"/>
      <c r="AP898" s="2"/>
      <c r="AQ898" s="2"/>
      <c r="AR898" s="2"/>
      <c r="AS898" s="2"/>
      <c r="AT898" s="2"/>
      <c r="AU898" s="2"/>
    </row>
    <row r="899" spans="1:47" x14ac:dyDescent="0.25">
      <c r="A899" s="24"/>
      <c r="B899" s="24"/>
      <c r="C899" s="24"/>
      <c r="D899" s="24"/>
      <c r="E899" s="24"/>
      <c r="F899" s="24"/>
      <c r="G899" s="24"/>
      <c r="H899" s="26"/>
      <c r="I899" s="24"/>
      <c r="J899" s="25"/>
      <c r="K899" s="25"/>
      <c r="L899" s="24"/>
      <c r="M899" s="25"/>
      <c r="N899" s="24"/>
      <c r="O899" s="24"/>
      <c r="P899" s="24"/>
      <c r="Q899" s="24"/>
      <c r="R899" s="24"/>
      <c r="S899" s="25"/>
      <c r="T899" s="24"/>
      <c r="U899" s="24"/>
      <c r="V899" s="25"/>
      <c r="W899" s="24"/>
      <c r="X899" s="24"/>
      <c r="Y899" s="24"/>
      <c r="Z899" s="24"/>
      <c r="AA899" s="24"/>
      <c r="AB899" s="24"/>
      <c r="AC899" s="2"/>
      <c r="AD899" s="2"/>
      <c r="AE899" s="2"/>
      <c r="AF899" s="2"/>
      <c r="AG899" s="2"/>
      <c r="AH899" s="2" t="e">
        <f>VLOOKUP(F899,vlookup!$A$2:$E$660,3,0)</f>
        <v>#N/A</v>
      </c>
      <c r="AI899" s="2"/>
      <c r="AJ899" s="2"/>
      <c r="AK899" s="2"/>
      <c r="AL899" s="2"/>
      <c r="AM899" s="2"/>
      <c r="AO899" s="2"/>
      <c r="AP899" s="2"/>
      <c r="AQ899" s="2"/>
      <c r="AR899" s="2"/>
      <c r="AS899" s="2"/>
      <c r="AT899" s="2"/>
      <c r="AU899" s="2"/>
    </row>
    <row r="900" spans="1:47" x14ac:dyDescent="0.25">
      <c r="A900" s="24"/>
      <c r="B900" s="24"/>
      <c r="C900" s="24"/>
      <c r="D900" s="24"/>
      <c r="E900" s="24"/>
      <c r="F900" s="24"/>
      <c r="G900" s="24"/>
      <c r="H900" s="26"/>
      <c r="I900" s="24"/>
      <c r="J900" s="25"/>
      <c r="K900" s="25"/>
      <c r="L900" s="24"/>
      <c r="M900" s="25"/>
      <c r="N900" s="24"/>
      <c r="O900" s="24"/>
      <c r="P900" s="24"/>
      <c r="Q900" s="24"/>
      <c r="R900" s="24"/>
      <c r="S900" s="25"/>
      <c r="T900" s="24"/>
      <c r="U900" s="24"/>
      <c r="V900" s="25"/>
      <c r="W900" s="24"/>
      <c r="X900" s="24"/>
      <c r="Y900" s="24"/>
      <c r="Z900" s="24"/>
      <c r="AA900" s="24"/>
      <c r="AB900" s="24"/>
      <c r="AC900" s="2"/>
      <c r="AD900" s="2"/>
      <c r="AE900" s="2"/>
      <c r="AF900" s="2"/>
      <c r="AG900" s="2"/>
      <c r="AH900" s="2" t="e">
        <f>VLOOKUP(F900,vlookup!$A$2:$E$660,3,0)</f>
        <v>#N/A</v>
      </c>
      <c r="AI900" s="2"/>
      <c r="AJ900" s="2"/>
      <c r="AK900" s="2"/>
      <c r="AL900" s="2"/>
      <c r="AM900" s="2"/>
      <c r="AO900" s="2"/>
      <c r="AP900" s="2"/>
      <c r="AQ900" s="2"/>
      <c r="AR900" s="2"/>
      <c r="AS900" s="2"/>
      <c r="AT900" s="2"/>
      <c r="AU900" s="2"/>
    </row>
    <row r="901" spans="1:47" x14ac:dyDescent="0.25">
      <c r="A901" s="24"/>
      <c r="B901" s="24"/>
      <c r="C901" s="24"/>
      <c r="D901" s="24"/>
      <c r="E901" s="24"/>
      <c r="F901" s="24"/>
      <c r="G901" s="24"/>
      <c r="H901" s="26"/>
      <c r="I901" s="24"/>
      <c r="J901" s="25"/>
      <c r="K901" s="25"/>
      <c r="L901" s="24"/>
      <c r="M901" s="25"/>
      <c r="N901" s="24"/>
      <c r="O901" s="24"/>
      <c r="P901" s="24"/>
      <c r="Q901" s="24"/>
      <c r="R901" s="24"/>
      <c r="S901" s="25"/>
      <c r="T901" s="24"/>
      <c r="U901" s="24"/>
      <c r="V901" s="25"/>
      <c r="W901" s="24"/>
      <c r="X901" s="24"/>
      <c r="Y901" s="24"/>
      <c r="Z901" s="24"/>
      <c r="AA901" s="24"/>
      <c r="AB901" s="24"/>
      <c r="AC901" s="2"/>
      <c r="AD901" s="2"/>
      <c r="AE901" s="2"/>
      <c r="AF901" s="2"/>
      <c r="AG901" s="2"/>
      <c r="AH901" s="2" t="e">
        <f>VLOOKUP(F901,vlookup!$A$2:$E$660,3,0)</f>
        <v>#N/A</v>
      </c>
      <c r="AI901" s="2"/>
      <c r="AJ901" s="2"/>
      <c r="AK901" s="2"/>
      <c r="AL901" s="2"/>
      <c r="AM901" s="2"/>
      <c r="AO901" s="2"/>
      <c r="AP901" s="2"/>
      <c r="AQ901" s="2"/>
      <c r="AR901" s="2"/>
      <c r="AS901" s="2"/>
      <c r="AT901" s="2"/>
      <c r="AU901" s="2"/>
    </row>
    <row r="902" spans="1:47" x14ac:dyDescent="0.25">
      <c r="A902" s="24"/>
      <c r="B902" s="24"/>
      <c r="C902" s="24"/>
      <c r="D902" s="24"/>
      <c r="E902" s="24"/>
      <c r="F902" s="24"/>
      <c r="G902" s="24"/>
      <c r="H902" s="26"/>
      <c r="I902" s="24"/>
      <c r="J902" s="25"/>
      <c r="K902" s="25"/>
      <c r="L902" s="24"/>
      <c r="M902" s="25"/>
      <c r="N902" s="24"/>
      <c r="O902" s="24"/>
      <c r="P902" s="24"/>
      <c r="Q902" s="24"/>
      <c r="R902" s="24"/>
      <c r="S902" s="25"/>
      <c r="T902" s="24"/>
      <c r="U902" s="24"/>
      <c r="V902" s="25"/>
      <c r="W902" s="24"/>
      <c r="X902" s="24"/>
      <c r="Y902" s="24"/>
      <c r="Z902" s="24"/>
      <c r="AA902" s="24"/>
      <c r="AB902" s="24"/>
      <c r="AC902" s="2"/>
      <c r="AD902" s="2"/>
      <c r="AE902" s="2"/>
      <c r="AF902" s="2"/>
      <c r="AG902" s="2"/>
      <c r="AH902" s="2" t="e">
        <f>VLOOKUP(F902,vlookup!$A$2:$E$660,3,0)</f>
        <v>#N/A</v>
      </c>
      <c r="AI902" s="2"/>
      <c r="AJ902" s="2"/>
      <c r="AK902" s="2"/>
      <c r="AL902" s="2"/>
      <c r="AM902" s="2"/>
      <c r="AO902" s="2"/>
      <c r="AP902" s="2"/>
      <c r="AQ902" s="2"/>
      <c r="AR902" s="2"/>
      <c r="AS902" s="2"/>
      <c r="AT902" s="2"/>
      <c r="AU902" s="2"/>
    </row>
    <row r="903" spans="1:47" x14ac:dyDescent="0.25">
      <c r="A903" s="24"/>
      <c r="B903" s="24"/>
      <c r="C903" s="24"/>
      <c r="D903" s="24"/>
      <c r="E903" s="24"/>
      <c r="F903" s="24"/>
      <c r="G903" s="24"/>
      <c r="H903" s="26"/>
      <c r="I903" s="24"/>
      <c r="J903" s="25"/>
      <c r="K903" s="25"/>
      <c r="L903" s="24"/>
      <c r="M903" s="25"/>
      <c r="N903" s="24"/>
      <c r="O903" s="24"/>
      <c r="P903" s="24"/>
      <c r="Q903" s="24"/>
      <c r="R903" s="24"/>
      <c r="S903" s="25"/>
      <c r="T903" s="24"/>
      <c r="U903" s="24"/>
      <c r="V903" s="25"/>
      <c r="W903" s="24"/>
      <c r="X903" s="24"/>
      <c r="Y903" s="24"/>
      <c r="Z903" s="24"/>
      <c r="AA903" s="24"/>
      <c r="AB903" s="24"/>
      <c r="AC903" s="2"/>
      <c r="AD903" s="2"/>
      <c r="AE903" s="2"/>
      <c r="AF903" s="2"/>
      <c r="AG903" s="2"/>
      <c r="AH903" s="2" t="e">
        <f>VLOOKUP(F903,vlookup!$A$2:$E$660,3,0)</f>
        <v>#N/A</v>
      </c>
      <c r="AI903" s="2"/>
      <c r="AJ903" s="2"/>
      <c r="AK903" s="2"/>
      <c r="AL903" s="2"/>
      <c r="AM903" s="2"/>
      <c r="AO903" s="2"/>
      <c r="AP903" s="2"/>
      <c r="AQ903" s="2"/>
      <c r="AR903" s="2"/>
      <c r="AS903" s="2"/>
      <c r="AT903" s="2"/>
      <c r="AU903" s="2"/>
    </row>
    <row r="904" spans="1:47" x14ac:dyDescent="0.25">
      <c r="A904" s="24"/>
      <c r="B904" s="24"/>
      <c r="C904" s="24"/>
      <c r="D904" s="24"/>
      <c r="E904" s="24"/>
      <c r="F904" s="24"/>
      <c r="G904" s="24"/>
      <c r="H904" s="26"/>
      <c r="I904" s="24"/>
      <c r="J904" s="25"/>
      <c r="K904" s="25"/>
      <c r="L904" s="24"/>
      <c r="M904" s="25"/>
      <c r="N904" s="24"/>
      <c r="O904" s="24"/>
      <c r="P904" s="24"/>
      <c r="Q904" s="24"/>
      <c r="R904" s="24"/>
      <c r="S904" s="25"/>
      <c r="T904" s="24"/>
      <c r="U904" s="24"/>
      <c r="V904" s="25"/>
      <c r="W904" s="24"/>
      <c r="X904" s="24"/>
      <c r="Y904" s="24"/>
      <c r="Z904" s="24"/>
      <c r="AA904" s="24"/>
      <c r="AB904" s="24"/>
      <c r="AC904" s="2"/>
      <c r="AD904" s="2"/>
      <c r="AE904" s="2"/>
      <c r="AF904" s="2"/>
      <c r="AG904" s="2"/>
      <c r="AH904" s="2" t="e">
        <f>VLOOKUP(F904,vlookup!$A$2:$E$660,3,0)</f>
        <v>#N/A</v>
      </c>
      <c r="AI904" s="2"/>
      <c r="AJ904" s="2"/>
      <c r="AK904" s="2"/>
      <c r="AL904" s="2"/>
      <c r="AM904" s="2"/>
      <c r="AO904" s="2"/>
      <c r="AP904" s="2"/>
      <c r="AQ904" s="2"/>
      <c r="AR904" s="2"/>
      <c r="AS904" s="2"/>
      <c r="AT904" s="2"/>
      <c r="AU904" s="2"/>
    </row>
    <row r="905" spans="1:47" x14ac:dyDescent="0.25">
      <c r="A905" s="24"/>
      <c r="B905" s="24"/>
      <c r="C905" s="24"/>
      <c r="D905" s="24"/>
      <c r="E905" s="24"/>
      <c r="F905" s="24"/>
      <c r="G905" s="24"/>
      <c r="H905" s="26"/>
      <c r="I905" s="24"/>
      <c r="J905" s="25"/>
      <c r="K905" s="25"/>
      <c r="L905" s="24"/>
      <c r="M905" s="25"/>
      <c r="N905" s="24"/>
      <c r="O905" s="24"/>
      <c r="P905" s="24"/>
      <c r="Q905" s="24"/>
      <c r="R905" s="24"/>
      <c r="S905" s="25"/>
      <c r="T905" s="24"/>
      <c r="U905" s="24"/>
      <c r="V905" s="25"/>
      <c r="W905" s="24"/>
      <c r="X905" s="24"/>
      <c r="Y905" s="24"/>
      <c r="Z905" s="24"/>
      <c r="AA905" s="24"/>
      <c r="AB905" s="24"/>
      <c r="AC905" s="2"/>
      <c r="AD905" s="2"/>
      <c r="AE905" s="2"/>
      <c r="AF905" s="2"/>
      <c r="AG905" s="2"/>
      <c r="AH905" s="2" t="e">
        <f>VLOOKUP(F905,vlookup!$A$2:$E$660,3,0)</f>
        <v>#N/A</v>
      </c>
      <c r="AI905" s="2"/>
      <c r="AJ905" s="2"/>
      <c r="AK905" s="2"/>
      <c r="AL905" s="2"/>
      <c r="AM905" s="2"/>
      <c r="AO905" s="2"/>
      <c r="AP905" s="2"/>
      <c r="AQ905" s="2"/>
      <c r="AR905" s="2"/>
      <c r="AS905" s="2"/>
      <c r="AT905" s="2"/>
      <c r="AU905" s="2"/>
    </row>
    <row r="906" spans="1:47" x14ac:dyDescent="0.25">
      <c r="A906" s="24"/>
      <c r="B906" s="24"/>
      <c r="C906" s="24"/>
      <c r="D906" s="24"/>
      <c r="E906" s="24"/>
      <c r="F906" s="24"/>
      <c r="G906" s="24"/>
      <c r="H906" s="26"/>
      <c r="I906" s="24"/>
      <c r="J906" s="25"/>
      <c r="K906" s="25"/>
      <c r="L906" s="24"/>
      <c r="M906" s="25"/>
      <c r="N906" s="24"/>
      <c r="O906" s="24"/>
      <c r="P906" s="24"/>
      <c r="Q906" s="24"/>
      <c r="R906" s="24"/>
      <c r="S906" s="25"/>
      <c r="T906" s="24"/>
      <c r="U906" s="24"/>
      <c r="V906" s="25"/>
      <c r="W906" s="24"/>
      <c r="X906" s="24"/>
      <c r="Y906" s="24"/>
      <c r="Z906" s="24"/>
      <c r="AA906" s="24"/>
      <c r="AB906" s="24"/>
      <c r="AC906" s="2"/>
      <c r="AD906" s="2"/>
      <c r="AE906" s="2"/>
      <c r="AF906" s="2"/>
      <c r="AG906" s="2"/>
      <c r="AH906" s="2" t="e">
        <f>VLOOKUP(F906,vlookup!$A$2:$E$660,3,0)</f>
        <v>#N/A</v>
      </c>
      <c r="AI906" s="2"/>
      <c r="AJ906" s="2"/>
      <c r="AK906" s="2"/>
      <c r="AL906" s="2"/>
      <c r="AM906" s="2"/>
      <c r="AO906" s="2"/>
      <c r="AP906" s="2"/>
      <c r="AQ906" s="2"/>
      <c r="AR906" s="2"/>
      <c r="AS906" s="2"/>
      <c r="AT906" s="2"/>
      <c r="AU906" s="2"/>
    </row>
    <row r="907" spans="1:47" x14ac:dyDescent="0.25">
      <c r="A907" s="24"/>
      <c r="B907" s="24"/>
      <c r="C907" s="24"/>
      <c r="D907" s="24"/>
      <c r="E907" s="24"/>
      <c r="F907" s="24"/>
      <c r="G907" s="24"/>
      <c r="H907" s="26"/>
      <c r="I907" s="24"/>
      <c r="J907" s="25"/>
      <c r="K907" s="25"/>
      <c r="L907" s="24"/>
      <c r="M907" s="25"/>
      <c r="N907" s="24"/>
      <c r="O907" s="24"/>
      <c r="P907" s="24"/>
      <c r="Q907" s="24"/>
      <c r="R907" s="24"/>
      <c r="S907" s="25"/>
      <c r="T907" s="24"/>
      <c r="U907" s="24"/>
      <c r="V907" s="25"/>
      <c r="W907" s="24"/>
      <c r="X907" s="24"/>
      <c r="Y907" s="24"/>
      <c r="Z907" s="24"/>
      <c r="AA907" s="24"/>
      <c r="AB907" s="24"/>
      <c r="AC907" s="2"/>
      <c r="AD907" s="2"/>
      <c r="AE907" s="2"/>
      <c r="AF907" s="2"/>
      <c r="AG907" s="2"/>
      <c r="AH907" s="2" t="e">
        <f>VLOOKUP(F907,vlookup!$A$2:$E$660,3,0)</f>
        <v>#N/A</v>
      </c>
      <c r="AI907" s="2"/>
      <c r="AJ907" s="2"/>
      <c r="AK907" s="2"/>
      <c r="AL907" s="2"/>
      <c r="AM907" s="2"/>
      <c r="AO907" s="2"/>
      <c r="AP907" s="2"/>
      <c r="AQ907" s="2"/>
      <c r="AR907" s="2"/>
      <c r="AS907" s="2"/>
      <c r="AT907" s="2"/>
      <c r="AU907" s="2"/>
    </row>
    <row r="908" spans="1:47" x14ac:dyDescent="0.25">
      <c r="A908" s="24"/>
      <c r="B908" s="24"/>
      <c r="C908" s="24"/>
      <c r="D908" s="24"/>
      <c r="E908" s="24"/>
      <c r="F908" s="24"/>
      <c r="G908" s="24"/>
      <c r="H908" s="26"/>
      <c r="I908" s="24"/>
      <c r="J908" s="25"/>
      <c r="K908" s="25"/>
      <c r="L908" s="24"/>
      <c r="M908" s="25"/>
      <c r="N908" s="24"/>
      <c r="O908" s="24"/>
      <c r="P908" s="24"/>
      <c r="Q908" s="24"/>
      <c r="R908" s="24"/>
      <c r="S908" s="25"/>
      <c r="T908" s="24"/>
      <c r="U908" s="24"/>
      <c r="V908" s="25"/>
      <c r="W908" s="24"/>
      <c r="X908" s="24"/>
      <c r="Y908" s="24"/>
      <c r="Z908" s="24"/>
      <c r="AA908" s="24"/>
      <c r="AB908" s="24"/>
      <c r="AC908" s="2"/>
      <c r="AD908" s="2"/>
      <c r="AE908" s="2"/>
      <c r="AF908" s="2"/>
      <c r="AG908" s="2"/>
      <c r="AH908" s="2" t="e">
        <f>VLOOKUP(F908,vlookup!$A$2:$E$660,3,0)</f>
        <v>#N/A</v>
      </c>
      <c r="AI908" s="2"/>
      <c r="AJ908" s="2"/>
      <c r="AK908" s="2"/>
      <c r="AL908" s="2"/>
      <c r="AM908" s="2"/>
      <c r="AO908" s="2"/>
      <c r="AP908" s="2"/>
      <c r="AQ908" s="2"/>
      <c r="AR908" s="2"/>
      <c r="AS908" s="2"/>
      <c r="AT908" s="2"/>
      <c r="AU908" s="2"/>
    </row>
    <row r="909" spans="1:47" x14ac:dyDescent="0.25">
      <c r="A909" s="24"/>
      <c r="B909" s="24"/>
      <c r="C909" s="24"/>
      <c r="D909" s="24"/>
      <c r="E909" s="24"/>
      <c r="F909" s="24"/>
      <c r="G909" s="24"/>
      <c r="H909" s="26"/>
      <c r="I909" s="24"/>
      <c r="J909" s="25"/>
      <c r="K909" s="25"/>
      <c r="L909" s="24"/>
      <c r="M909" s="25"/>
      <c r="N909" s="24"/>
      <c r="O909" s="24"/>
      <c r="P909" s="24"/>
      <c r="Q909" s="24"/>
      <c r="R909" s="24"/>
      <c r="S909" s="25"/>
      <c r="T909" s="24"/>
      <c r="U909" s="24"/>
      <c r="V909" s="25"/>
      <c r="W909" s="24"/>
      <c r="X909" s="24"/>
      <c r="Y909" s="24"/>
      <c r="Z909" s="24"/>
      <c r="AA909" s="24"/>
      <c r="AB909" s="24"/>
      <c r="AC909" s="2"/>
      <c r="AD909" s="2"/>
      <c r="AE909" s="2"/>
      <c r="AF909" s="2"/>
      <c r="AG909" s="2"/>
      <c r="AH909" s="2" t="e">
        <f>VLOOKUP(F909,vlookup!$A$2:$E$660,3,0)</f>
        <v>#N/A</v>
      </c>
      <c r="AI909" s="2"/>
      <c r="AJ909" s="2"/>
      <c r="AK909" s="2"/>
      <c r="AL909" s="2"/>
      <c r="AM909" s="2"/>
      <c r="AO909" s="2"/>
      <c r="AP909" s="2"/>
      <c r="AQ909" s="2"/>
      <c r="AR909" s="2"/>
      <c r="AS909" s="2"/>
      <c r="AT909" s="2"/>
      <c r="AU909" s="2"/>
    </row>
    <row r="910" spans="1:47" x14ac:dyDescent="0.25">
      <c r="A910" s="24"/>
      <c r="B910" s="24"/>
      <c r="C910" s="24"/>
      <c r="D910" s="24"/>
      <c r="E910" s="24"/>
      <c r="F910" s="24"/>
      <c r="G910" s="24"/>
      <c r="H910" s="26"/>
      <c r="I910" s="24"/>
      <c r="J910" s="25"/>
      <c r="K910" s="25"/>
      <c r="L910" s="24"/>
      <c r="M910" s="25"/>
      <c r="N910" s="24"/>
      <c r="O910" s="24"/>
      <c r="P910" s="24"/>
      <c r="Q910" s="24"/>
      <c r="R910" s="24"/>
      <c r="S910" s="25"/>
      <c r="T910" s="24"/>
      <c r="U910" s="24"/>
      <c r="V910" s="25"/>
      <c r="W910" s="24"/>
      <c r="X910" s="24"/>
      <c r="Y910" s="24"/>
      <c r="Z910" s="24"/>
      <c r="AA910" s="24"/>
      <c r="AB910" s="24"/>
      <c r="AC910" s="2"/>
      <c r="AD910" s="2"/>
      <c r="AE910" s="2"/>
      <c r="AF910" s="2"/>
      <c r="AG910" s="2"/>
      <c r="AH910" s="2" t="e">
        <f>VLOOKUP(F910,vlookup!$A$2:$E$660,3,0)</f>
        <v>#N/A</v>
      </c>
      <c r="AI910" s="2"/>
      <c r="AJ910" s="2"/>
      <c r="AK910" s="2"/>
      <c r="AL910" s="2"/>
      <c r="AM910" s="2"/>
      <c r="AO910" s="2"/>
      <c r="AP910" s="2"/>
      <c r="AQ910" s="2"/>
      <c r="AR910" s="2"/>
      <c r="AS910" s="2"/>
      <c r="AT910" s="2"/>
      <c r="AU910" s="2"/>
    </row>
    <row r="911" spans="1:47" x14ac:dyDescent="0.25">
      <c r="A911" s="24"/>
      <c r="B911" s="24"/>
      <c r="C911" s="24"/>
      <c r="D911" s="24"/>
      <c r="E911" s="24"/>
      <c r="F911" s="24"/>
      <c r="G911" s="24"/>
      <c r="H911" s="26"/>
      <c r="I911" s="24"/>
      <c r="J911" s="25"/>
      <c r="K911" s="25"/>
      <c r="L911" s="24"/>
      <c r="M911" s="25"/>
      <c r="N911" s="24"/>
      <c r="O911" s="24"/>
      <c r="P911" s="24"/>
      <c r="Q911" s="24"/>
      <c r="R911" s="24"/>
      <c r="S911" s="25"/>
      <c r="T911" s="24"/>
      <c r="U911" s="24"/>
      <c r="V911" s="25"/>
      <c r="W911" s="24"/>
      <c r="X911" s="24"/>
      <c r="Y911" s="24"/>
      <c r="Z911" s="24"/>
      <c r="AA911" s="24"/>
      <c r="AB911" s="24"/>
      <c r="AC911" s="2"/>
      <c r="AD911" s="2"/>
      <c r="AE911" s="2"/>
      <c r="AF911" s="2"/>
      <c r="AG911" s="2"/>
      <c r="AH911" s="2" t="e">
        <f>VLOOKUP(F911,vlookup!$A$2:$E$660,3,0)</f>
        <v>#N/A</v>
      </c>
      <c r="AI911" s="2"/>
      <c r="AJ911" s="2"/>
      <c r="AK911" s="2"/>
      <c r="AL911" s="2"/>
      <c r="AM911" s="2"/>
      <c r="AO911" s="2"/>
      <c r="AP911" s="2"/>
      <c r="AQ911" s="2"/>
      <c r="AR911" s="2"/>
      <c r="AS911" s="2"/>
      <c r="AT911" s="2"/>
      <c r="AU911" s="2"/>
    </row>
    <row r="912" spans="1:47" x14ac:dyDescent="0.25">
      <c r="A912" s="24"/>
      <c r="B912" s="24"/>
      <c r="C912" s="24"/>
      <c r="D912" s="24"/>
      <c r="E912" s="24"/>
      <c r="F912" s="24"/>
      <c r="G912" s="24"/>
      <c r="H912" s="26"/>
      <c r="I912" s="24"/>
      <c r="J912" s="25"/>
      <c r="K912" s="25"/>
      <c r="L912" s="24"/>
      <c r="M912" s="25"/>
      <c r="N912" s="24"/>
      <c r="O912" s="24"/>
      <c r="P912" s="24"/>
      <c r="Q912" s="24"/>
      <c r="R912" s="24"/>
      <c r="S912" s="25"/>
      <c r="T912" s="24"/>
      <c r="U912" s="24"/>
      <c r="V912" s="25"/>
      <c r="W912" s="24"/>
      <c r="X912" s="24"/>
      <c r="Y912" s="24"/>
      <c r="Z912" s="24"/>
      <c r="AA912" s="24"/>
      <c r="AB912" s="24"/>
      <c r="AC912" s="2"/>
      <c r="AD912" s="2"/>
      <c r="AE912" s="2"/>
      <c r="AF912" s="2"/>
      <c r="AG912" s="2"/>
      <c r="AH912" s="2" t="e">
        <f>VLOOKUP(F912,vlookup!$A$2:$E$660,3,0)</f>
        <v>#N/A</v>
      </c>
      <c r="AI912" s="2"/>
      <c r="AJ912" s="2"/>
      <c r="AK912" s="2"/>
      <c r="AL912" s="2"/>
      <c r="AM912" s="2"/>
      <c r="AO912" s="2"/>
      <c r="AP912" s="2"/>
      <c r="AQ912" s="2"/>
      <c r="AR912" s="2"/>
      <c r="AS912" s="2"/>
      <c r="AT912" s="2"/>
      <c r="AU912" s="2"/>
    </row>
    <row r="913" spans="1:47" x14ac:dyDescent="0.25">
      <c r="A913" s="24"/>
      <c r="B913" s="24"/>
      <c r="C913" s="24"/>
      <c r="D913" s="24"/>
      <c r="E913" s="24"/>
      <c r="F913" s="24"/>
      <c r="G913" s="24"/>
      <c r="H913" s="26"/>
      <c r="I913" s="24"/>
      <c r="J913" s="25"/>
      <c r="K913" s="25"/>
      <c r="L913" s="24"/>
      <c r="M913" s="25"/>
      <c r="N913" s="24"/>
      <c r="O913" s="24"/>
      <c r="P913" s="24"/>
      <c r="Q913" s="24"/>
      <c r="R913" s="24"/>
      <c r="S913" s="25"/>
      <c r="T913" s="24"/>
      <c r="U913" s="24"/>
      <c r="V913" s="25"/>
      <c r="W913" s="24"/>
      <c r="X913" s="24"/>
      <c r="Y913" s="24"/>
      <c r="Z913" s="24"/>
      <c r="AA913" s="24"/>
      <c r="AB913" s="24"/>
      <c r="AC913" s="2"/>
      <c r="AD913" s="2"/>
      <c r="AE913" s="2"/>
      <c r="AF913" s="2"/>
      <c r="AG913" s="2"/>
      <c r="AH913" s="2" t="e">
        <f>VLOOKUP(F913,vlookup!$A$2:$E$660,3,0)</f>
        <v>#N/A</v>
      </c>
      <c r="AI913" s="2"/>
      <c r="AJ913" s="2"/>
      <c r="AK913" s="2"/>
      <c r="AL913" s="2"/>
      <c r="AM913" s="2"/>
      <c r="AO913" s="2"/>
      <c r="AP913" s="2"/>
      <c r="AQ913" s="2"/>
      <c r="AR913" s="2"/>
      <c r="AS913" s="2"/>
      <c r="AT913" s="2"/>
      <c r="AU913" s="2"/>
    </row>
    <row r="914" spans="1:47" x14ac:dyDescent="0.25">
      <c r="A914" s="24"/>
      <c r="B914" s="24"/>
      <c r="C914" s="24"/>
      <c r="D914" s="24"/>
      <c r="E914" s="24"/>
      <c r="F914" s="24"/>
      <c r="G914" s="24"/>
      <c r="H914" s="26"/>
      <c r="I914" s="24"/>
      <c r="J914" s="25"/>
      <c r="K914" s="25"/>
      <c r="L914" s="24"/>
      <c r="M914" s="25"/>
      <c r="N914" s="24"/>
      <c r="O914" s="24"/>
      <c r="P914" s="24"/>
      <c r="Q914" s="24"/>
      <c r="R914" s="24"/>
      <c r="S914" s="25"/>
      <c r="T914" s="24"/>
      <c r="U914" s="24"/>
      <c r="V914" s="25"/>
      <c r="W914" s="24"/>
      <c r="X914" s="24"/>
      <c r="Y914" s="24"/>
      <c r="Z914" s="24"/>
      <c r="AA914" s="24"/>
      <c r="AB914" s="24"/>
      <c r="AC914" s="2"/>
      <c r="AD914" s="2"/>
      <c r="AE914" s="2"/>
      <c r="AF914" s="2"/>
      <c r="AG914" s="2"/>
      <c r="AH914" s="2" t="e">
        <f>VLOOKUP(F914,vlookup!$A$2:$E$660,3,0)</f>
        <v>#N/A</v>
      </c>
      <c r="AI914" s="2"/>
      <c r="AJ914" s="2"/>
      <c r="AK914" s="2"/>
      <c r="AL914" s="2"/>
      <c r="AM914" s="2"/>
      <c r="AO914" s="2"/>
      <c r="AP914" s="2"/>
      <c r="AQ914" s="2"/>
      <c r="AR914" s="2"/>
      <c r="AS914" s="2"/>
      <c r="AT914" s="2"/>
      <c r="AU914" s="2"/>
    </row>
    <row r="915" spans="1:47" x14ac:dyDescent="0.25">
      <c r="A915" s="24"/>
      <c r="B915" s="24"/>
      <c r="C915" s="24"/>
      <c r="D915" s="24"/>
      <c r="E915" s="24"/>
      <c r="F915" s="24"/>
      <c r="G915" s="24"/>
      <c r="H915" s="26"/>
      <c r="I915" s="24"/>
      <c r="J915" s="25"/>
      <c r="K915" s="25"/>
      <c r="L915" s="24"/>
      <c r="M915" s="25"/>
      <c r="N915" s="24"/>
      <c r="O915" s="24"/>
      <c r="P915" s="24"/>
      <c r="Q915" s="24"/>
      <c r="R915" s="24"/>
      <c r="S915" s="25"/>
      <c r="T915" s="24"/>
      <c r="U915" s="24"/>
      <c r="V915" s="25"/>
      <c r="W915" s="24"/>
      <c r="X915" s="24"/>
      <c r="Y915" s="24"/>
      <c r="Z915" s="24"/>
      <c r="AA915" s="24"/>
      <c r="AB915" s="24"/>
      <c r="AC915" s="2"/>
      <c r="AD915" s="2"/>
      <c r="AE915" s="2"/>
      <c r="AF915" s="2"/>
      <c r="AG915" s="2"/>
      <c r="AH915" s="2" t="e">
        <f>VLOOKUP(F915,vlookup!$A$2:$E$660,3,0)</f>
        <v>#N/A</v>
      </c>
      <c r="AI915" s="2"/>
      <c r="AJ915" s="2"/>
      <c r="AK915" s="2"/>
      <c r="AL915" s="2"/>
      <c r="AM915" s="2"/>
      <c r="AO915" s="2"/>
      <c r="AP915" s="2"/>
      <c r="AQ915" s="2"/>
      <c r="AR915" s="2"/>
      <c r="AS915" s="2"/>
      <c r="AT915" s="2"/>
      <c r="AU915" s="2"/>
    </row>
    <row r="916" spans="1:47" x14ac:dyDescent="0.25">
      <c r="A916" s="24"/>
      <c r="B916" s="24"/>
      <c r="C916" s="24"/>
      <c r="D916" s="24"/>
      <c r="E916" s="24"/>
      <c r="F916" s="24"/>
      <c r="G916" s="24"/>
      <c r="H916" s="26"/>
      <c r="I916" s="24"/>
      <c r="J916" s="25"/>
      <c r="K916" s="25"/>
      <c r="L916" s="24"/>
      <c r="M916" s="25"/>
      <c r="N916" s="24"/>
      <c r="O916" s="24"/>
      <c r="P916" s="24"/>
      <c r="Q916" s="24"/>
      <c r="R916" s="24"/>
      <c r="S916" s="25"/>
      <c r="T916" s="24"/>
      <c r="U916" s="24"/>
      <c r="V916" s="25"/>
      <c r="W916" s="24"/>
      <c r="X916" s="24"/>
      <c r="Y916" s="24"/>
      <c r="Z916" s="24"/>
      <c r="AA916" s="24"/>
      <c r="AB916" s="24"/>
      <c r="AC916" s="2"/>
      <c r="AD916" s="2"/>
      <c r="AE916" s="2"/>
      <c r="AF916" s="2"/>
      <c r="AG916" s="2"/>
      <c r="AH916" s="2" t="e">
        <f>VLOOKUP(F916,vlookup!$A$2:$E$660,3,0)</f>
        <v>#N/A</v>
      </c>
      <c r="AI916" s="2"/>
      <c r="AJ916" s="2"/>
      <c r="AK916" s="2"/>
      <c r="AL916" s="2"/>
      <c r="AM916" s="2"/>
      <c r="AO916" s="2"/>
      <c r="AP916" s="2"/>
      <c r="AQ916" s="2"/>
      <c r="AR916" s="2"/>
      <c r="AS916" s="2"/>
      <c r="AT916" s="2"/>
      <c r="AU916" s="2"/>
    </row>
    <row r="917" spans="1:47" x14ac:dyDescent="0.25">
      <c r="A917" s="24"/>
      <c r="B917" s="24"/>
      <c r="C917" s="24"/>
      <c r="D917" s="24"/>
      <c r="E917" s="24"/>
      <c r="F917" s="24"/>
      <c r="G917" s="24"/>
      <c r="H917" s="26"/>
      <c r="I917" s="24"/>
      <c r="J917" s="25"/>
      <c r="K917" s="25"/>
      <c r="L917" s="24"/>
      <c r="M917" s="25"/>
      <c r="N917" s="24"/>
      <c r="O917" s="24"/>
      <c r="P917" s="24"/>
      <c r="Q917" s="24"/>
      <c r="R917" s="24"/>
      <c r="S917" s="25"/>
      <c r="T917" s="24"/>
      <c r="U917" s="24"/>
      <c r="V917" s="25"/>
      <c r="W917" s="24"/>
      <c r="X917" s="24"/>
      <c r="Y917" s="24"/>
      <c r="Z917" s="24"/>
      <c r="AA917" s="24"/>
      <c r="AB917" s="24"/>
      <c r="AC917" s="2"/>
      <c r="AD917" s="2"/>
      <c r="AE917" s="2"/>
      <c r="AF917" s="2"/>
      <c r="AG917" s="2"/>
      <c r="AH917" s="2" t="e">
        <f>VLOOKUP(F917,vlookup!$A$2:$E$660,3,0)</f>
        <v>#N/A</v>
      </c>
      <c r="AI917" s="2"/>
      <c r="AJ917" s="2"/>
      <c r="AK917" s="2"/>
      <c r="AL917" s="2"/>
      <c r="AM917" s="2"/>
      <c r="AO917" s="2"/>
      <c r="AP917" s="2"/>
      <c r="AQ917" s="2"/>
      <c r="AR917" s="2"/>
      <c r="AS917" s="2"/>
      <c r="AT917" s="2"/>
      <c r="AU917" s="2"/>
    </row>
    <row r="918" spans="1:47" x14ac:dyDescent="0.25">
      <c r="A918" s="24"/>
      <c r="B918" s="24"/>
      <c r="C918" s="24"/>
      <c r="D918" s="24"/>
      <c r="E918" s="24"/>
      <c r="F918" s="24"/>
      <c r="G918" s="24"/>
      <c r="H918" s="26"/>
      <c r="I918" s="24"/>
      <c r="J918" s="25"/>
      <c r="K918" s="25"/>
      <c r="L918" s="24"/>
      <c r="M918" s="25"/>
      <c r="N918" s="24"/>
      <c r="O918" s="24"/>
      <c r="P918" s="24"/>
      <c r="Q918" s="24"/>
      <c r="R918" s="24"/>
      <c r="S918" s="25"/>
      <c r="T918" s="24"/>
      <c r="U918" s="24"/>
      <c r="V918" s="25"/>
      <c r="W918" s="24"/>
      <c r="X918" s="24"/>
      <c r="Y918" s="24"/>
      <c r="Z918" s="24"/>
      <c r="AA918" s="24"/>
      <c r="AB918" s="24"/>
      <c r="AC918" s="2"/>
      <c r="AD918" s="2"/>
      <c r="AE918" s="2"/>
      <c r="AF918" s="2"/>
      <c r="AG918" s="2"/>
      <c r="AH918" s="2" t="e">
        <f>VLOOKUP(F918,vlookup!$A$2:$E$660,3,0)</f>
        <v>#N/A</v>
      </c>
      <c r="AI918" s="2"/>
      <c r="AJ918" s="2"/>
      <c r="AK918" s="2"/>
      <c r="AL918" s="2"/>
      <c r="AM918" s="2"/>
      <c r="AO918" s="2"/>
      <c r="AP918" s="2"/>
      <c r="AQ918" s="2"/>
      <c r="AR918" s="2"/>
      <c r="AS918" s="2"/>
      <c r="AT918" s="2"/>
      <c r="AU918" s="2"/>
    </row>
    <row r="919" spans="1:47" x14ac:dyDescent="0.25">
      <c r="A919" s="24"/>
      <c r="B919" s="24"/>
      <c r="C919" s="24"/>
      <c r="D919" s="24"/>
      <c r="E919" s="24"/>
      <c r="F919" s="24"/>
      <c r="G919" s="24"/>
      <c r="H919" s="26"/>
      <c r="I919" s="24"/>
      <c r="J919" s="25"/>
      <c r="K919" s="25"/>
      <c r="L919" s="24"/>
      <c r="M919" s="25"/>
      <c r="N919" s="24"/>
      <c r="O919" s="24"/>
      <c r="P919" s="24"/>
      <c r="Q919" s="24"/>
      <c r="R919" s="24"/>
      <c r="S919" s="25"/>
      <c r="T919" s="24"/>
      <c r="U919" s="24"/>
      <c r="V919" s="25"/>
      <c r="W919" s="24"/>
      <c r="X919" s="24"/>
      <c r="Y919" s="24"/>
      <c r="Z919" s="24"/>
      <c r="AA919" s="24"/>
      <c r="AB919" s="24"/>
      <c r="AC919" s="2"/>
      <c r="AD919" s="2"/>
      <c r="AE919" s="2"/>
      <c r="AF919" s="2"/>
      <c r="AG919" s="2"/>
      <c r="AH919" s="2" t="e">
        <f>VLOOKUP(F919,vlookup!$A$2:$E$660,3,0)</f>
        <v>#N/A</v>
      </c>
      <c r="AI919" s="2"/>
      <c r="AJ919" s="2"/>
      <c r="AK919" s="2"/>
      <c r="AL919" s="2"/>
      <c r="AM919" s="2"/>
      <c r="AO919" s="2"/>
      <c r="AP919" s="2"/>
      <c r="AQ919" s="2"/>
      <c r="AR919" s="2"/>
      <c r="AS919" s="2"/>
      <c r="AT919" s="2"/>
      <c r="AU919" s="2"/>
    </row>
    <row r="920" spans="1:47" x14ac:dyDescent="0.25">
      <c r="A920" s="24"/>
      <c r="B920" s="24"/>
      <c r="C920" s="24"/>
      <c r="D920" s="24"/>
      <c r="E920" s="24"/>
      <c r="F920" s="24"/>
      <c r="G920" s="24"/>
      <c r="H920" s="26"/>
      <c r="I920" s="24"/>
      <c r="J920" s="25"/>
      <c r="K920" s="25"/>
      <c r="L920" s="24"/>
      <c r="M920" s="25"/>
      <c r="N920" s="24"/>
      <c r="O920" s="24"/>
      <c r="P920" s="24"/>
      <c r="Q920" s="24"/>
      <c r="R920" s="24"/>
      <c r="S920" s="25"/>
      <c r="T920" s="24"/>
      <c r="U920" s="24"/>
      <c r="V920" s="25"/>
      <c r="W920" s="24"/>
      <c r="X920" s="24"/>
      <c r="Y920" s="24"/>
      <c r="Z920" s="24"/>
      <c r="AA920" s="24"/>
      <c r="AB920" s="24"/>
      <c r="AC920" s="2"/>
      <c r="AD920" s="2"/>
      <c r="AE920" s="2"/>
      <c r="AF920" s="2"/>
      <c r="AG920" s="2"/>
      <c r="AH920" s="2" t="e">
        <f>VLOOKUP(F920,vlookup!$A$2:$E$660,3,0)</f>
        <v>#N/A</v>
      </c>
      <c r="AI920" s="2"/>
      <c r="AJ920" s="2"/>
      <c r="AK920" s="2"/>
      <c r="AL920" s="2"/>
      <c r="AM920" s="2"/>
      <c r="AO920" s="2"/>
      <c r="AP920" s="2"/>
      <c r="AQ920" s="2"/>
      <c r="AR920" s="2"/>
      <c r="AS920" s="2"/>
      <c r="AT920" s="2"/>
      <c r="AU920" s="2"/>
    </row>
    <row r="921" spans="1:47" x14ac:dyDescent="0.25">
      <c r="A921" s="24"/>
      <c r="B921" s="24"/>
      <c r="C921" s="24"/>
      <c r="D921" s="24"/>
      <c r="E921" s="24"/>
      <c r="F921" s="24"/>
      <c r="G921" s="24"/>
      <c r="H921" s="26"/>
      <c r="I921" s="24"/>
      <c r="J921" s="25"/>
      <c r="K921" s="25"/>
      <c r="L921" s="24"/>
      <c r="M921" s="25"/>
      <c r="N921" s="24"/>
      <c r="O921" s="24"/>
      <c r="P921" s="24"/>
      <c r="Q921" s="24"/>
      <c r="R921" s="24"/>
      <c r="S921" s="25"/>
      <c r="T921" s="24"/>
      <c r="U921" s="24"/>
      <c r="V921" s="25"/>
      <c r="W921" s="24"/>
      <c r="X921" s="24"/>
      <c r="Y921" s="24"/>
      <c r="Z921" s="24"/>
      <c r="AA921" s="24"/>
      <c r="AB921" s="24"/>
      <c r="AC921" s="2"/>
      <c r="AD921" s="2"/>
      <c r="AE921" s="2"/>
      <c r="AF921" s="2"/>
      <c r="AG921" s="2"/>
      <c r="AH921" s="2" t="e">
        <f>VLOOKUP(F921,vlookup!$A$2:$E$660,3,0)</f>
        <v>#N/A</v>
      </c>
      <c r="AI921" s="2"/>
      <c r="AJ921" s="2"/>
      <c r="AK921" s="2"/>
      <c r="AL921" s="2"/>
      <c r="AM921" s="2"/>
      <c r="AO921" s="2"/>
      <c r="AP921" s="2"/>
      <c r="AQ921" s="2"/>
      <c r="AR921" s="2"/>
      <c r="AS921" s="2"/>
      <c r="AT921" s="2"/>
      <c r="AU921" s="2"/>
    </row>
    <row r="922" spans="1:47" x14ac:dyDescent="0.25">
      <c r="A922" s="24"/>
      <c r="B922" s="24"/>
      <c r="C922" s="24"/>
      <c r="D922" s="24"/>
      <c r="E922" s="24"/>
      <c r="F922" s="24"/>
      <c r="G922" s="24"/>
      <c r="H922" s="26"/>
      <c r="I922" s="24"/>
      <c r="J922" s="25"/>
      <c r="K922" s="25"/>
      <c r="L922" s="24"/>
      <c r="M922" s="25"/>
      <c r="N922" s="24"/>
      <c r="O922" s="24"/>
      <c r="P922" s="24"/>
      <c r="Q922" s="24"/>
      <c r="R922" s="24"/>
      <c r="S922" s="25"/>
      <c r="T922" s="24"/>
      <c r="U922" s="24"/>
      <c r="V922" s="25"/>
      <c r="W922" s="24"/>
      <c r="X922" s="24"/>
      <c r="Y922" s="24"/>
      <c r="Z922" s="24"/>
      <c r="AA922" s="24"/>
      <c r="AB922" s="24"/>
      <c r="AC922" s="2"/>
      <c r="AD922" s="2"/>
      <c r="AE922" s="2"/>
      <c r="AF922" s="2"/>
      <c r="AG922" s="2"/>
      <c r="AH922" s="2" t="e">
        <f>VLOOKUP(F922,vlookup!$A$2:$E$660,3,0)</f>
        <v>#N/A</v>
      </c>
      <c r="AI922" s="2"/>
      <c r="AJ922" s="2"/>
      <c r="AK922" s="2"/>
      <c r="AL922" s="2"/>
      <c r="AM922" s="2"/>
      <c r="AO922" s="2"/>
      <c r="AP922" s="2"/>
      <c r="AQ922" s="2"/>
      <c r="AR922" s="2"/>
      <c r="AS922" s="2"/>
      <c r="AT922" s="2"/>
      <c r="AU922" s="2"/>
    </row>
    <row r="923" spans="1:47" x14ac:dyDescent="0.25">
      <c r="A923" s="24"/>
      <c r="B923" s="24"/>
      <c r="C923" s="24"/>
      <c r="D923" s="24"/>
      <c r="E923" s="24"/>
      <c r="F923" s="24"/>
      <c r="G923" s="24"/>
      <c r="H923" s="26"/>
      <c r="I923" s="24"/>
      <c r="J923" s="25"/>
      <c r="K923" s="25"/>
      <c r="L923" s="24"/>
      <c r="M923" s="25"/>
      <c r="N923" s="24"/>
      <c r="O923" s="24"/>
      <c r="P923" s="24"/>
      <c r="Q923" s="24"/>
      <c r="R923" s="24"/>
      <c r="S923" s="25"/>
      <c r="T923" s="24"/>
      <c r="U923" s="24"/>
      <c r="V923" s="25"/>
      <c r="W923" s="24"/>
      <c r="X923" s="24"/>
      <c r="Y923" s="24"/>
      <c r="Z923" s="24"/>
      <c r="AA923" s="24"/>
      <c r="AB923" s="24"/>
      <c r="AC923" s="2"/>
      <c r="AD923" s="2"/>
      <c r="AE923" s="2"/>
      <c r="AF923" s="2"/>
      <c r="AG923" s="2"/>
      <c r="AH923" s="2" t="e">
        <f>VLOOKUP(F923,vlookup!$A$2:$E$660,3,0)</f>
        <v>#N/A</v>
      </c>
      <c r="AI923" s="2"/>
      <c r="AJ923" s="2"/>
      <c r="AK923" s="2"/>
      <c r="AL923" s="2"/>
      <c r="AM923" s="2"/>
      <c r="AO923" s="2"/>
      <c r="AP923" s="2"/>
      <c r="AQ923" s="2"/>
      <c r="AR923" s="2"/>
      <c r="AS923" s="2"/>
      <c r="AT923" s="2"/>
      <c r="AU923" s="2"/>
    </row>
    <row r="924" spans="1:47" x14ac:dyDescent="0.25">
      <c r="A924" s="24"/>
      <c r="B924" s="24"/>
      <c r="C924" s="24"/>
      <c r="D924" s="24"/>
      <c r="E924" s="24"/>
      <c r="F924" s="24"/>
      <c r="G924" s="24"/>
      <c r="H924" s="26"/>
      <c r="I924" s="24"/>
      <c r="J924" s="25"/>
      <c r="K924" s="25"/>
      <c r="L924" s="24"/>
      <c r="M924" s="25"/>
      <c r="N924" s="24"/>
      <c r="O924" s="24"/>
      <c r="P924" s="24"/>
      <c r="Q924" s="24"/>
      <c r="R924" s="24"/>
      <c r="S924" s="25"/>
      <c r="T924" s="24"/>
      <c r="U924" s="24"/>
      <c r="V924" s="25"/>
      <c r="W924" s="24"/>
      <c r="X924" s="24"/>
      <c r="Y924" s="24"/>
      <c r="Z924" s="24"/>
      <c r="AA924" s="24"/>
      <c r="AB924" s="24"/>
      <c r="AC924" s="2"/>
      <c r="AD924" s="2"/>
      <c r="AE924" s="2"/>
      <c r="AF924" s="2"/>
      <c r="AG924" s="2"/>
      <c r="AH924" s="2" t="e">
        <f>VLOOKUP(F924,vlookup!$A$2:$E$660,3,0)</f>
        <v>#N/A</v>
      </c>
      <c r="AI924" s="2"/>
      <c r="AJ924" s="2"/>
      <c r="AK924" s="2"/>
      <c r="AL924" s="2"/>
      <c r="AM924" s="2"/>
      <c r="AO924" s="2"/>
      <c r="AP924" s="2"/>
      <c r="AQ924" s="2"/>
      <c r="AR924" s="2"/>
      <c r="AS924" s="2"/>
      <c r="AT924" s="2"/>
      <c r="AU924" s="2"/>
    </row>
    <row r="925" spans="1:47" x14ac:dyDescent="0.25">
      <c r="A925" s="24"/>
      <c r="B925" s="24"/>
      <c r="C925" s="24"/>
      <c r="D925" s="24"/>
      <c r="E925" s="24"/>
      <c r="F925" s="24"/>
      <c r="G925" s="24"/>
      <c r="H925" s="26"/>
      <c r="I925" s="24"/>
      <c r="J925" s="25"/>
      <c r="K925" s="25"/>
      <c r="L925" s="24"/>
      <c r="M925" s="25"/>
      <c r="N925" s="24"/>
      <c r="O925" s="24"/>
      <c r="P925" s="24"/>
      <c r="Q925" s="24"/>
      <c r="R925" s="24"/>
      <c r="S925" s="25"/>
      <c r="T925" s="24"/>
      <c r="U925" s="24"/>
      <c r="V925" s="25"/>
      <c r="W925" s="24"/>
      <c r="X925" s="24"/>
      <c r="Y925" s="24"/>
      <c r="Z925" s="24"/>
      <c r="AA925" s="24"/>
      <c r="AB925" s="24"/>
      <c r="AC925" s="2"/>
      <c r="AD925" s="2"/>
      <c r="AE925" s="2"/>
      <c r="AF925" s="2"/>
      <c r="AG925" s="2"/>
      <c r="AH925" s="2" t="e">
        <f>VLOOKUP(F925,vlookup!$A$2:$E$660,3,0)</f>
        <v>#N/A</v>
      </c>
      <c r="AI925" s="2"/>
      <c r="AJ925" s="2"/>
      <c r="AK925" s="2"/>
      <c r="AL925" s="2"/>
      <c r="AM925" s="2"/>
      <c r="AO925" s="2"/>
      <c r="AP925" s="2"/>
      <c r="AQ925" s="2"/>
      <c r="AR925" s="2"/>
      <c r="AS925" s="2"/>
      <c r="AT925" s="2"/>
      <c r="AU925" s="2"/>
    </row>
    <row r="926" spans="1:47" x14ac:dyDescent="0.25">
      <c r="A926" s="24"/>
      <c r="B926" s="24"/>
      <c r="C926" s="24"/>
      <c r="D926" s="24"/>
      <c r="E926" s="24"/>
      <c r="F926" s="24"/>
      <c r="G926" s="24"/>
      <c r="H926" s="26"/>
      <c r="I926" s="24"/>
      <c r="J926" s="25"/>
      <c r="K926" s="25"/>
      <c r="L926" s="24"/>
      <c r="M926" s="25"/>
      <c r="N926" s="24"/>
      <c r="O926" s="24"/>
      <c r="P926" s="24"/>
      <c r="Q926" s="24"/>
      <c r="R926" s="24"/>
      <c r="S926" s="25"/>
      <c r="T926" s="24"/>
      <c r="U926" s="24"/>
      <c r="V926" s="25"/>
      <c r="W926" s="24"/>
      <c r="X926" s="24"/>
      <c r="Y926" s="24"/>
      <c r="Z926" s="24"/>
      <c r="AA926" s="24"/>
      <c r="AB926" s="24"/>
      <c r="AC926" s="2"/>
      <c r="AD926" s="2"/>
      <c r="AE926" s="2"/>
      <c r="AF926" s="2"/>
      <c r="AG926" s="2"/>
      <c r="AH926" s="2" t="e">
        <f>VLOOKUP(F926,vlookup!$A$2:$E$660,3,0)</f>
        <v>#N/A</v>
      </c>
      <c r="AI926" s="2"/>
      <c r="AJ926" s="2"/>
      <c r="AK926" s="2"/>
      <c r="AL926" s="2"/>
      <c r="AM926" s="2"/>
      <c r="AO926" s="2"/>
      <c r="AP926" s="2"/>
      <c r="AQ926" s="2"/>
      <c r="AR926" s="2"/>
      <c r="AS926" s="2"/>
      <c r="AT926" s="2"/>
      <c r="AU926" s="2"/>
    </row>
    <row r="927" spans="1:47" x14ac:dyDescent="0.25">
      <c r="A927" s="24"/>
      <c r="B927" s="24"/>
      <c r="C927" s="24"/>
      <c r="D927" s="24"/>
      <c r="E927" s="24"/>
      <c r="F927" s="24"/>
      <c r="G927" s="24"/>
      <c r="H927" s="26"/>
      <c r="I927" s="24"/>
      <c r="J927" s="25"/>
      <c r="K927" s="25"/>
      <c r="L927" s="24"/>
      <c r="M927" s="25"/>
      <c r="N927" s="24"/>
      <c r="O927" s="24"/>
      <c r="P927" s="24"/>
      <c r="Q927" s="24"/>
      <c r="R927" s="24"/>
      <c r="S927" s="25"/>
      <c r="T927" s="24"/>
      <c r="U927" s="24"/>
      <c r="V927" s="25"/>
      <c r="W927" s="24"/>
      <c r="X927" s="24"/>
      <c r="Y927" s="24"/>
      <c r="Z927" s="24"/>
      <c r="AA927" s="24"/>
      <c r="AB927" s="24"/>
      <c r="AC927" s="2"/>
      <c r="AD927" s="2"/>
      <c r="AE927" s="2"/>
      <c r="AF927" s="2"/>
      <c r="AG927" s="2"/>
      <c r="AH927" s="2" t="e">
        <f>VLOOKUP(F927,vlookup!$A$2:$E$660,3,0)</f>
        <v>#N/A</v>
      </c>
      <c r="AI927" s="2"/>
      <c r="AJ927" s="2"/>
      <c r="AK927" s="2"/>
      <c r="AL927" s="2"/>
      <c r="AM927" s="2"/>
      <c r="AO927" s="2"/>
      <c r="AP927" s="2"/>
      <c r="AQ927" s="2"/>
      <c r="AR927" s="2"/>
      <c r="AS927" s="2"/>
      <c r="AT927" s="2"/>
      <c r="AU927" s="2"/>
    </row>
    <row r="928" spans="1:47" x14ac:dyDescent="0.25">
      <c r="A928" s="24"/>
      <c r="B928" s="24"/>
      <c r="C928" s="24"/>
      <c r="D928" s="24"/>
      <c r="E928" s="24"/>
      <c r="F928" s="24"/>
      <c r="G928" s="24"/>
      <c r="H928" s="26"/>
      <c r="I928" s="24"/>
      <c r="J928" s="25"/>
      <c r="K928" s="25"/>
      <c r="L928" s="24"/>
      <c r="M928" s="25"/>
      <c r="N928" s="24"/>
      <c r="O928" s="24"/>
      <c r="P928" s="24"/>
      <c r="Q928" s="24"/>
      <c r="R928" s="24"/>
      <c r="S928" s="25"/>
      <c r="T928" s="24"/>
      <c r="U928" s="24"/>
      <c r="V928" s="25"/>
      <c r="W928" s="24"/>
      <c r="X928" s="24"/>
      <c r="Y928" s="24"/>
      <c r="Z928" s="24"/>
      <c r="AA928" s="24"/>
      <c r="AB928" s="24"/>
      <c r="AC928" s="2"/>
      <c r="AD928" s="2"/>
      <c r="AE928" s="2"/>
      <c r="AF928" s="2"/>
      <c r="AG928" s="2"/>
      <c r="AH928" s="2" t="e">
        <f>VLOOKUP(F928,vlookup!$A$2:$E$660,3,0)</f>
        <v>#N/A</v>
      </c>
      <c r="AI928" s="2"/>
      <c r="AJ928" s="2"/>
      <c r="AK928" s="2"/>
      <c r="AL928" s="2"/>
      <c r="AM928" s="2"/>
      <c r="AO928" s="2"/>
      <c r="AP928" s="2"/>
      <c r="AQ928" s="2"/>
      <c r="AR928" s="2"/>
      <c r="AS928" s="2"/>
      <c r="AT928" s="2"/>
      <c r="AU928" s="2"/>
    </row>
    <row r="929" spans="1:47" x14ac:dyDescent="0.25">
      <c r="A929" s="24"/>
      <c r="B929" s="24"/>
      <c r="C929" s="24"/>
      <c r="D929" s="24"/>
      <c r="E929" s="24"/>
      <c r="F929" s="24"/>
      <c r="G929" s="24"/>
      <c r="H929" s="26"/>
      <c r="I929" s="24"/>
      <c r="J929" s="25"/>
      <c r="K929" s="25"/>
      <c r="L929" s="24"/>
      <c r="M929" s="25"/>
      <c r="N929" s="24"/>
      <c r="O929" s="24"/>
      <c r="P929" s="24"/>
      <c r="Q929" s="24"/>
      <c r="R929" s="24"/>
      <c r="S929" s="25"/>
      <c r="T929" s="24"/>
      <c r="U929" s="24"/>
      <c r="V929" s="25"/>
      <c r="W929" s="24"/>
      <c r="X929" s="24"/>
      <c r="Y929" s="24"/>
      <c r="Z929" s="24"/>
      <c r="AA929" s="24"/>
      <c r="AB929" s="24"/>
      <c r="AC929" s="2"/>
      <c r="AD929" s="2"/>
      <c r="AE929" s="2"/>
      <c r="AF929" s="2"/>
      <c r="AG929" s="2"/>
      <c r="AH929" s="2" t="e">
        <f>VLOOKUP(F929,vlookup!$A$2:$E$660,3,0)</f>
        <v>#N/A</v>
      </c>
      <c r="AI929" s="2"/>
      <c r="AJ929" s="2"/>
      <c r="AK929" s="2"/>
      <c r="AL929" s="2"/>
      <c r="AM929" s="2"/>
      <c r="AO929" s="2"/>
      <c r="AP929" s="2"/>
      <c r="AQ929" s="2"/>
      <c r="AR929" s="2"/>
      <c r="AS929" s="2"/>
      <c r="AT929" s="2"/>
      <c r="AU929" s="2"/>
    </row>
    <row r="930" spans="1:47" x14ac:dyDescent="0.25">
      <c r="A930" s="24"/>
      <c r="B930" s="24"/>
      <c r="C930" s="24"/>
      <c r="D930" s="24"/>
      <c r="E930" s="24"/>
      <c r="F930" s="24"/>
      <c r="G930" s="24"/>
      <c r="H930" s="26"/>
      <c r="I930" s="24"/>
      <c r="J930" s="25"/>
      <c r="K930" s="25"/>
      <c r="L930" s="24"/>
      <c r="M930" s="25"/>
      <c r="N930" s="24"/>
      <c r="O930" s="24"/>
      <c r="P930" s="24"/>
      <c r="Q930" s="24"/>
      <c r="R930" s="24"/>
      <c r="S930" s="25"/>
      <c r="T930" s="24"/>
      <c r="U930" s="24"/>
      <c r="V930" s="25"/>
      <c r="W930" s="24"/>
      <c r="X930" s="24"/>
      <c r="Y930" s="24"/>
      <c r="Z930" s="24"/>
      <c r="AA930" s="24"/>
      <c r="AB930" s="24"/>
      <c r="AC930" s="2"/>
      <c r="AD930" s="2"/>
      <c r="AE930" s="2"/>
      <c r="AF930" s="2"/>
      <c r="AG930" s="2"/>
      <c r="AH930" s="2" t="e">
        <f>VLOOKUP(F930,vlookup!$A$2:$E$660,3,0)</f>
        <v>#N/A</v>
      </c>
      <c r="AI930" s="2"/>
      <c r="AJ930" s="2"/>
      <c r="AK930" s="2"/>
      <c r="AL930" s="2"/>
      <c r="AM930" s="2"/>
      <c r="AO930" s="2"/>
      <c r="AP930" s="2"/>
      <c r="AQ930" s="2"/>
      <c r="AR930" s="2"/>
      <c r="AS930" s="2"/>
      <c r="AT930" s="2"/>
      <c r="AU930" s="2"/>
    </row>
    <row r="931" spans="1:47" x14ac:dyDescent="0.25">
      <c r="A931" s="24"/>
      <c r="B931" s="24"/>
      <c r="C931" s="24"/>
      <c r="D931" s="24"/>
      <c r="E931" s="24"/>
      <c r="F931" s="24"/>
      <c r="G931" s="24"/>
      <c r="H931" s="26"/>
      <c r="I931" s="24"/>
      <c r="J931" s="25"/>
      <c r="K931" s="25"/>
      <c r="L931" s="24"/>
      <c r="M931" s="25"/>
      <c r="N931" s="24"/>
      <c r="O931" s="24"/>
      <c r="P931" s="24"/>
      <c r="Q931" s="24"/>
      <c r="R931" s="24"/>
      <c r="S931" s="25"/>
      <c r="T931" s="24"/>
      <c r="U931" s="24"/>
      <c r="V931" s="25"/>
      <c r="W931" s="24"/>
      <c r="X931" s="24"/>
      <c r="Y931" s="24"/>
      <c r="Z931" s="24"/>
      <c r="AA931" s="24"/>
      <c r="AB931" s="24"/>
      <c r="AC931" s="2"/>
      <c r="AD931" s="2"/>
      <c r="AE931" s="2"/>
      <c r="AF931" s="2"/>
      <c r="AG931" s="2"/>
      <c r="AH931" s="2" t="e">
        <f>VLOOKUP(F931,vlookup!$A$2:$E$660,3,0)</f>
        <v>#N/A</v>
      </c>
      <c r="AI931" s="2"/>
      <c r="AJ931" s="2"/>
      <c r="AK931" s="2"/>
      <c r="AL931" s="2"/>
      <c r="AM931" s="2"/>
      <c r="AO931" s="2"/>
      <c r="AP931" s="2"/>
      <c r="AQ931" s="2"/>
      <c r="AR931" s="2"/>
      <c r="AS931" s="2"/>
      <c r="AT931" s="2"/>
      <c r="AU931" s="2"/>
    </row>
    <row r="932" spans="1:47" x14ac:dyDescent="0.25">
      <c r="A932" s="24"/>
      <c r="B932" s="24"/>
      <c r="C932" s="24"/>
      <c r="D932" s="24"/>
      <c r="E932" s="24"/>
      <c r="F932" s="24"/>
      <c r="G932" s="24"/>
      <c r="H932" s="26"/>
      <c r="I932" s="24"/>
      <c r="J932" s="25"/>
      <c r="K932" s="25"/>
      <c r="L932" s="24"/>
      <c r="M932" s="25"/>
      <c r="N932" s="24"/>
      <c r="O932" s="24"/>
      <c r="P932" s="24"/>
      <c r="Q932" s="24"/>
      <c r="R932" s="24"/>
      <c r="S932" s="25"/>
      <c r="T932" s="24"/>
      <c r="U932" s="24"/>
      <c r="V932" s="25"/>
      <c r="W932" s="24"/>
      <c r="X932" s="24"/>
      <c r="Y932" s="24"/>
      <c r="Z932" s="24"/>
      <c r="AA932" s="24"/>
      <c r="AB932" s="24"/>
      <c r="AC932" s="2"/>
      <c r="AD932" s="2"/>
      <c r="AE932" s="2"/>
      <c r="AF932" s="2"/>
      <c r="AG932" s="2"/>
      <c r="AH932" s="2" t="e">
        <f>VLOOKUP(F932,vlookup!$A$2:$E$660,3,0)</f>
        <v>#N/A</v>
      </c>
      <c r="AI932" s="2"/>
      <c r="AJ932" s="2"/>
      <c r="AK932" s="2"/>
      <c r="AL932" s="2"/>
      <c r="AM932" s="2"/>
      <c r="AO932" s="2"/>
      <c r="AP932" s="2"/>
      <c r="AQ932" s="2"/>
      <c r="AR932" s="2"/>
      <c r="AS932" s="2"/>
      <c r="AT932" s="2"/>
      <c r="AU932" s="2"/>
    </row>
    <row r="933" spans="1:47" x14ac:dyDescent="0.25">
      <c r="A933" s="24"/>
      <c r="B933" s="24"/>
      <c r="C933" s="24"/>
      <c r="D933" s="24"/>
      <c r="E933" s="24"/>
      <c r="F933" s="24"/>
      <c r="G933" s="24"/>
      <c r="H933" s="26"/>
      <c r="I933" s="24"/>
      <c r="J933" s="25"/>
      <c r="K933" s="25"/>
      <c r="L933" s="24"/>
      <c r="M933" s="25"/>
      <c r="N933" s="24"/>
      <c r="O933" s="24"/>
      <c r="P933" s="24"/>
      <c r="Q933" s="24"/>
      <c r="R933" s="24"/>
      <c r="S933" s="25"/>
      <c r="T933" s="24"/>
      <c r="U933" s="24"/>
      <c r="V933" s="25"/>
      <c r="W933" s="24"/>
      <c r="X933" s="24"/>
      <c r="Y933" s="24"/>
      <c r="Z933" s="24"/>
      <c r="AA933" s="24"/>
      <c r="AB933" s="24"/>
      <c r="AC933" s="2"/>
      <c r="AD933" s="2"/>
      <c r="AE933" s="2"/>
      <c r="AF933" s="2"/>
      <c r="AG933" s="2"/>
      <c r="AH933" s="2" t="e">
        <f>VLOOKUP(F933,vlookup!$A$2:$E$660,3,0)</f>
        <v>#N/A</v>
      </c>
      <c r="AI933" s="2"/>
      <c r="AJ933" s="2"/>
      <c r="AK933" s="2"/>
      <c r="AL933" s="2"/>
      <c r="AM933" s="2"/>
      <c r="AO933" s="2"/>
      <c r="AP933" s="2"/>
      <c r="AQ933" s="2"/>
      <c r="AR933" s="2"/>
      <c r="AS933" s="2"/>
      <c r="AT933" s="2"/>
      <c r="AU933" s="2"/>
    </row>
    <row r="934" spans="1:47" x14ac:dyDescent="0.25">
      <c r="A934" s="24"/>
      <c r="B934" s="24"/>
      <c r="C934" s="24"/>
      <c r="D934" s="24"/>
      <c r="E934" s="24"/>
      <c r="F934" s="24"/>
      <c r="G934" s="24"/>
      <c r="H934" s="26"/>
      <c r="I934" s="24"/>
      <c r="J934" s="25"/>
      <c r="K934" s="25"/>
      <c r="L934" s="24"/>
      <c r="M934" s="25"/>
      <c r="N934" s="24"/>
      <c r="O934" s="24"/>
      <c r="P934" s="24"/>
      <c r="Q934" s="24"/>
      <c r="R934" s="24"/>
      <c r="S934" s="25"/>
      <c r="T934" s="24"/>
      <c r="U934" s="24"/>
      <c r="V934" s="25"/>
      <c r="W934" s="24"/>
      <c r="X934" s="24"/>
      <c r="Y934" s="24"/>
      <c r="Z934" s="24"/>
      <c r="AA934" s="24"/>
      <c r="AB934" s="24"/>
      <c r="AC934" s="2"/>
      <c r="AD934" s="2"/>
      <c r="AE934" s="2"/>
      <c r="AF934" s="2"/>
      <c r="AG934" s="2"/>
      <c r="AH934" s="2" t="e">
        <f>VLOOKUP(F934,vlookup!$A$2:$E$660,3,0)</f>
        <v>#N/A</v>
      </c>
      <c r="AI934" s="2"/>
      <c r="AJ934" s="2"/>
      <c r="AK934" s="2"/>
      <c r="AL934" s="2"/>
      <c r="AM934" s="2"/>
      <c r="AO934" s="2"/>
      <c r="AP934" s="2"/>
      <c r="AQ934" s="2"/>
      <c r="AR934" s="2"/>
      <c r="AS934" s="2"/>
      <c r="AT934" s="2"/>
      <c r="AU934" s="2"/>
    </row>
    <row r="935" spans="1:47" x14ac:dyDescent="0.25">
      <c r="A935" s="24"/>
      <c r="B935" s="24"/>
      <c r="C935" s="24"/>
      <c r="D935" s="24"/>
      <c r="E935" s="24"/>
      <c r="F935" s="24"/>
      <c r="G935" s="24"/>
      <c r="H935" s="26"/>
      <c r="I935" s="24"/>
      <c r="J935" s="25"/>
      <c r="K935" s="25"/>
      <c r="L935" s="24"/>
      <c r="M935" s="25"/>
      <c r="N935" s="24"/>
      <c r="O935" s="24"/>
      <c r="P935" s="24"/>
      <c r="Q935" s="24"/>
      <c r="R935" s="24"/>
      <c r="S935" s="25"/>
      <c r="T935" s="24"/>
      <c r="U935" s="24"/>
      <c r="V935" s="25"/>
      <c r="W935" s="24"/>
      <c r="X935" s="24"/>
      <c r="Y935" s="24"/>
      <c r="Z935" s="24"/>
      <c r="AA935" s="24"/>
      <c r="AB935" s="24"/>
      <c r="AC935" s="2"/>
      <c r="AD935" s="2"/>
      <c r="AE935" s="2"/>
      <c r="AF935" s="2"/>
      <c r="AG935" s="2"/>
      <c r="AH935" s="2" t="e">
        <f>VLOOKUP(F935,vlookup!$A$2:$E$660,3,0)</f>
        <v>#N/A</v>
      </c>
      <c r="AI935" s="2"/>
      <c r="AJ935" s="2"/>
      <c r="AK935" s="2"/>
      <c r="AL935" s="2"/>
      <c r="AM935" s="2"/>
      <c r="AO935" s="2"/>
      <c r="AP935" s="2"/>
      <c r="AQ935" s="2"/>
      <c r="AR935" s="2"/>
      <c r="AS935" s="2"/>
      <c r="AT935" s="2"/>
      <c r="AU935" s="2"/>
    </row>
    <row r="936" spans="1:47" x14ac:dyDescent="0.25">
      <c r="A936" s="24"/>
      <c r="B936" s="24"/>
      <c r="C936" s="24"/>
      <c r="D936" s="24"/>
      <c r="E936" s="24"/>
      <c r="F936" s="24"/>
      <c r="G936" s="24"/>
      <c r="H936" s="26"/>
      <c r="I936" s="24"/>
      <c r="J936" s="25"/>
      <c r="K936" s="25"/>
      <c r="L936" s="24"/>
      <c r="M936" s="25"/>
      <c r="N936" s="24"/>
      <c r="O936" s="24"/>
      <c r="P936" s="24"/>
      <c r="Q936" s="24"/>
      <c r="R936" s="24"/>
      <c r="S936" s="25"/>
      <c r="T936" s="24"/>
      <c r="U936" s="24"/>
      <c r="V936" s="25"/>
      <c r="W936" s="24"/>
      <c r="X936" s="24"/>
      <c r="Y936" s="24"/>
      <c r="Z936" s="24"/>
      <c r="AA936" s="24"/>
      <c r="AB936" s="24"/>
      <c r="AC936" s="2"/>
      <c r="AD936" s="2"/>
      <c r="AE936" s="2"/>
      <c r="AF936" s="2"/>
      <c r="AG936" s="2"/>
      <c r="AH936" s="2" t="e">
        <f>VLOOKUP(F936,vlookup!$A$2:$E$660,3,0)</f>
        <v>#N/A</v>
      </c>
      <c r="AI936" s="2"/>
      <c r="AJ936" s="2"/>
      <c r="AK936" s="2"/>
      <c r="AL936" s="2"/>
      <c r="AM936" s="2"/>
      <c r="AO936" s="2"/>
      <c r="AP936" s="2"/>
      <c r="AQ936" s="2"/>
      <c r="AR936" s="2"/>
      <c r="AS936" s="2"/>
      <c r="AT936" s="2"/>
      <c r="AU936" s="2"/>
    </row>
    <row r="937" spans="1:47" x14ac:dyDescent="0.25">
      <c r="A937" s="24"/>
      <c r="B937" s="24"/>
      <c r="C937" s="24"/>
      <c r="D937" s="24"/>
      <c r="E937" s="24"/>
      <c r="F937" s="24"/>
      <c r="G937" s="24"/>
      <c r="H937" s="26"/>
      <c r="I937" s="24"/>
      <c r="J937" s="25"/>
      <c r="K937" s="25"/>
      <c r="L937" s="24"/>
      <c r="M937" s="25"/>
      <c r="N937" s="24"/>
      <c r="O937" s="24"/>
      <c r="P937" s="24"/>
      <c r="Q937" s="24"/>
      <c r="R937" s="24"/>
      <c r="S937" s="25"/>
      <c r="T937" s="24"/>
      <c r="U937" s="24"/>
      <c r="V937" s="25"/>
      <c r="W937" s="24"/>
      <c r="X937" s="24"/>
      <c r="Y937" s="24"/>
      <c r="Z937" s="24"/>
      <c r="AA937" s="24"/>
      <c r="AB937" s="24"/>
      <c r="AC937" s="2"/>
      <c r="AD937" s="2"/>
      <c r="AE937" s="2"/>
      <c r="AF937" s="2"/>
      <c r="AG937" s="2"/>
      <c r="AH937" s="2" t="e">
        <f>VLOOKUP(F937,vlookup!$A$2:$E$660,3,0)</f>
        <v>#N/A</v>
      </c>
      <c r="AI937" s="2"/>
      <c r="AJ937" s="2"/>
      <c r="AK937" s="2"/>
      <c r="AL937" s="2"/>
      <c r="AM937" s="2"/>
      <c r="AO937" s="2"/>
      <c r="AP937" s="2"/>
      <c r="AQ937" s="2"/>
      <c r="AR937" s="2"/>
      <c r="AS937" s="2"/>
      <c r="AT937" s="2"/>
      <c r="AU937" s="2"/>
    </row>
    <row r="938" spans="1:47" x14ac:dyDescent="0.25">
      <c r="A938" s="24"/>
      <c r="B938" s="24"/>
      <c r="C938" s="24"/>
      <c r="D938" s="24"/>
      <c r="E938" s="24"/>
      <c r="F938" s="24"/>
      <c r="G938" s="24"/>
      <c r="H938" s="26"/>
      <c r="I938" s="24"/>
      <c r="J938" s="25"/>
      <c r="K938" s="25"/>
      <c r="L938" s="24"/>
      <c r="M938" s="25"/>
      <c r="N938" s="24"/>
      <c r="O938" s="24"/>
      <c r="P938" s="24"/>
      <c r="Q938" s="24"/>
      <c r="R938" s="24"/>
      <c r="S938" s="25"/>
      <c r="T938" s="24"/>
      <c r="U938" s="24"/>
      <c r="V938" s="25"/>
      <c r="W938" s="24"/>
      <c r="X938" s="24"/>
      <c r="Y938" s="24"/>
      <c r="Z938" s="24"/>
      <c r="AA938" s="24"/>
      <c r="AB938" s="24"/>
      <c r="AC938" s="2"/>
      <c r="AD938" s="2"/>
      <c r="AE938" s="2"/>
      <c r="AF938" s="2"/>
      <c r="AG938" s="2"/>
      <c r="AH938" s="2" t="e">
        <f>VLOOKUP(F938,vlookup!$A$2:$E$660,3,0)</f>
        <v>#N/A</v>
      </c>
      <c r="AI938" s="2"/>
      <c r="AJ938" s="2"/>
      <c r="AK938" s="2"/>
      <c r="AL938" s="2"/>
      <c r="AM938" s="2"/>
      <c r="AO938" s="2"/>
      <c r="AP938" s="2"/>
      <c r="AQ938" s="2"/>
      <c r="AR938" s="2"/>
      <c r="AS938" s="2"/>
      <c r="AT938" s="2"/>
      <c r="AU938" s="2"/>
    </row>
    <row r="939" spans="1:47" x14ac:dyDescent="0.25">
      <c r="A939" s="24"/>
      <c r="B939" s="24"/>
      <c r="C939" s="24"/>
      <c r="D939" s="24"/>
      <c r="E939" s="24"/>
      <c r="F939" s="24"/>
      <c r="G939" s="24"/>
      <c r="H939" s="26"/>
      <c r="I939" s="24"/>
      <c r="J939" s="25"/>
      <c r="K939" s="25"/>
      <c r="L939" s="24"/>
      <c r="M939" s="25"/>
      <c r="N939" s="24"/>
      <c r="O939" s="24"/>
      <c r="P939" s="24"/>
      <c r="Q939" s="24"/>
      <c r="R939" s="24"/>
      <c r="S939" s="25"/>
      <c r="T939" s="24"/>
      <c r="U939" s="24"/>
      <c r="V939" s="25"/>
      <c r="W939" s="24"/>
      <c r="X939" s="24"/>
      <c r="Y939" s="24"/>
      <c r="Z939" s="24"/>
      <c r="AA939" s="24"/>
      <c r="AB939" s="24"/>
      <c r="AC939" s="2"/>
      <c r="AD939" s="2"/>
      <c r="AE939" s="2"/>
      <c r="AF939" s="2"/>
      <c r="AG939" s="2"/>
      <c r="AH939" s="2" t="e">
        <f>VLOOKUP(F939,vlookup!$A$2:$E$660,3,0)</f>
        <v>#N/A</v>
      </c>
      <c r="AI939" s="2"/>
      <c r="AJ939" s="2"/>
      <c r="AK939" s="2"/>
      <c r="AL939" s="2"/>
      <c r="AM939" s="2"/>
      <c r="AO939" s="2"/>
      <c r="AP939" s="2"/>
      <c r="AQ939" s="2"/>
      <c r="AR939" s="2"/>
      <c r="AS939" s="2"/>
      <c r="AT939" s="2"/>
      <c r="AU939" s="2"/>
    </row>
    <row r="940" spans="1:47" x14ac:dyDescent="0.25">
      <c r="A940" s="24"/>
      <c r="B940" s="24"/>
      <c r="C940" s="24"/>
      <c r="D940" s="24"/>
      <c r="E940" s="24"/>
      <c r="F940" s="24"/>
      <c r="G940" s="24"/>
      <c r="H940" s="26"/>
      <c r="I940" s="24"/>
      <c r="J940" s="25"/>
      <c r="K940" s="25"/>
      <c r="L940" s="24"/>
      <c r="M940" s="25"/>
      <c r="N940" s="24"/>
      <c r="O940" s="24"/>
      <c r="P940" s="24"/>
      <c r="Q940" s="24"/>
      <c r="R940" s="24"/>
      <c r="S940" s="25"/>
      <c r="T940" s="24"/>
      <c r="U940" s="24"/>
      <c r="V940" s="25"/>
      <c r="W940" s="24"/>
      <c r="X940" s="24"/>
      <c r="Y940" s="24"/>
      <c r="Z940" s="24"/>
      <c r="AA940" s="24"/>
      <c r="AB940" s="24"/>
      <c r="AC940" s="2"/>
      <c r="AD940" s="2"/>
      <c r="AE940" s="2"/>
      <c r="AF940" s="2"/>
      <c r="AG940" s="2"/>
      <c r="AH940" s="2" t="e">
        <f>VLOOKUP(F940,vlookup!$A$2:$E$660,3,0)</f>
        <v>#N/A</v>
      </c>
      <c r="AI940" s="2"/>
      <c r="AJ940" s="2"/>
      <c r="AK940" s="2"/>
      <c r="AL940" s="2"/>
      <c r="AM940" s="2"/>
      <c r="AO940" s="2"/>
      <c r="AP940" s="2"/>
      <c r="AQ940" s="2"/>
      <c r="AR940" s="2"/>
      <c r="AS940" s="2"/>
      <c r="AT940" s="2"/>
      <c r="AU940" s="2"/>
    </row>
    <row r="941" spans="1:47" x14ac:dyDescent="0.25">
      <c r="A941" s="24"/>
      <c r="B941" s="24"/>
      <c r="C941" s="24"/>
      <c r="D941" s="24"/>
      <c r="E941" s="24"/>
      <c r="F941" s="24"/>
      <c r="G941" s="24"/>
      <c r="H941" s="26"/>
      <c r="I941" s="24"/>
      <c r="J941" s="25"/>
      <c r="K941" s="25"/>
      <c r="L941" s="24"/>
      <c r="M941" s="25"/>
      <c r="N941" s="24"/>
      <c r="O941" s="24"/>
      <c r="P941" s="24"/>
      <c r="Q941" s="24"/>
      <c r="R941" s="24"/>
      <c r="S941" s="25"/>
      <c r="T941" s="24"/>
      <c r="U941" s="24"/>
      <c r="V941" s="25"/>
      <c r="W941" s="24"/>
      <c r="X941" s="24"/>
      <c r="Y941" s="24"/>
      <c r="Z941" s="24"/>
      <c r="AA941" s="24"/>
      <c r="AB941" s="24"/>
      <c r="AC941" s="2"/>
      <c r="AD941" s="2"/>
      <c r="AE941" s="2"/>
      <c r="AF941" s="2"/>
      <c r="AG941" s="2"/>
      <c r="AH941" s="2" t="e">
        <f>VLOOKUP(F941,vlookup!$A$2:$E$660,3,0)</f>
        <v>#N/A</v>
      </c>
      <c r="AI941" s="2"/>
      <c r="AJ941" s="2"/>
      <c r="AK941" s="2"/>
      <c r="AL941" s="2"/>
      <c r="AM941" s="2"/>
      <c r="AO941" s="2"/>
      <c r="AP941" s="2"/>
      <c r="AQ941" s="2"/>
      <c r="AR941" s="2"/>
      <c r="AS941" s="2"/>
      <c r="AT941" s="2"/>
      <c r="AU941" s="2"/>
    </row>
    <row r="942" spans="1:47" x14ac:dyDescent="0.25">
      <c r="A942" s="24"/>
      <c r="B942" s="24"/>
      <c r="C942" s="24"/>
      <c r="D942" s="24"/>
      <c r="E942" s="24"/>
      <c r="F942" s="24"/>
      <c r="G942" s="24"/>
      <c r="H942" s="26"/>
      <c r="I942" s="24"/>
      <c r="J942" s="25"/>
      <c r="K942" s="25"/>
      <c r="L942" s="24"/>
      <c r="M942" s="25"/>
      <c r="N942" s="24"/>
      <c r="O942" s="24"/>
      <c r="P942" s="24"/>
      <c r="Q942" s="24"/>
      <c r="R942" s="24"/>
      <c r="S942" s="25"/>
      <c r="T942" s="24"/>
      <c r="U942" s="24"/>
      <c r="V942" s="25"/>
      <c r="W942" s="24"/>
      <c r="X942" s="24"/>
      <c r="Y942" s="24"/>
      <c r="Z942" s="24"/>
      <c r="AA942" s="24"/>
      <c r="AB942" s="24"/>
      <c r="AC942" s="2"/>
      <c r="AD942" s="2"/>
      <c r="AE942" s="2"/>
      <c r="AF942" s="2"/>
      <c r="AG942" s="2"/>
      <c r="AH942" s="2" t="e">
        <f>VLOOKUP(F942,vlookup!$A$2:$E$660,3,0)</f>
        <v>#N/A</v>
      </c>
      <c r="AI942" s="2"/>
      <c r="AJ942" s="2"/>
      <c r="AK942" s="2"/>
      <c r="AL942" s="2"/>
      <c r="AM942" s="2"/>
      <c r="AO942" s="2"/>
      <c r="AP942" s="2"/>
      <c r="AQ942" s="2"/>
      <c r="AR942" s="2"/>
      <c r="AS942" s="2"/>
      <c r="AT942" s="2"/>
      <c r="AU942" s="2"/>
    </row>
    <row r="943" spans="1:47" x14ac:dyDescent="0.25">
      <c r="A943" s="24"/>
      <c r="B943" s="24"/>
      <c r="C943" s="24"/>
      <c r="D943" s="24"/>
      <c r="E943" s="24"/>
      <c r="F943" s="24"/>
      <c r="G943" s="24"/>
      <c r="H943" s="26"/>
      <c r="I943" s="24"/>
      <c r="J943" s="25"/>
      <c r="K943" s="25"/>
      <c r="L943" s="24"/>
      <c r="M943" s="25"/>
      <c r="N943" s="24"/>
      <c r="O943" s="24"/>
      <c r="P943" s="24"/>
      <c r="Q943" s="24"/>
      <c r="R943" s="24"/>
      <c r="S943" s="25"/>
      <c r="T943" s="24"/>
      <c r="U943" s="24"/>
      <c r="V943" s="25"/>
      <c r="W943" s="24"/>
      <c r="X943" s="24"/>
      <c r="Y943" s="24"/>
      <c r="Z943" s="24"/>
      <c r="AA943" s="24"/>
      <c r="AB943" s="24"/>
      <c r="AC943" s="2"/>
      <c r="AD943" s="2"/>
      <c r="AE943" s="2"/>
      <c r="AF943" s="2"/>
      <c r="AG943" s="2"/>
      <c r="AH943" s="2" t="e">
        <f>VLOOKUP(F943,vlookup!$A$2:$E$660,3,0)</f>
        <v>#N/A</v>
      </c>
      <c r="AI943" s="2"/>
      <c r="AJ943" s="2"/>
      <c r="AK943" s="2"/>
      <c r="AL943" s="2"/>
      <c r="AM943" s="2"/>
      <c r="AO943" s="2"/>
      <c r="AP943" s="2"/>
      <c r="AQ943" s="2"/>
      <c r="AR943" s="2"/>
      <c r="AS943" s="2"/>
      <c r="AT943" s="2"/>
      <c r="AU943" s="2"/>
    </row>
    <row r="944" spans="1:47" x14ac:dyDescent="0.25">
      <c r="A944" s="24"/>
      <c r="B944" s="24"/>
      <c r="C944" s="24"/>
      <c r="D944" s="24"/>
      <c r="E944" s="24"/>
      <c r="F944" s="24"/>
      <c r="G944" s="24"/>
      <c r="H944" s="26"/>
      <c r="I944" s="24"/>
      <c r="J944" s="25"/>
      <c r="K944" s="25"/>
      <c r="L944" s="24"/>
      <c r="M944" s="25"/>
      <c r="N944" s="24"/>
      <c r="O944" s="24"/>
      <c r="P944" s="24"/>
      <c r="Q944" s="24"/>
      <c r="R944" s="24"/>
      <c r="S944" s="25"/>
      <c r="T944" s="24"/>
      <c r="U944" s="24"/>
      <c r="V944" s="25"/>
      <c r="W944" s="24"/>
      <c r="X944" s="24"/>
      <c r="Y944" s="24"/>
      <c r="Z944" s="24"/>
      <c r="AA944" s="24"/>
      <c r="AB944" s="24"/>
      <c r="AC944" s="2"/>
      <c r="AD944" s="2"/>
      <c r="AE944" s="2"/>
      <c r="AF944" s="2"/>
      <c r="AG944" s="2"/>
      <c r="AH944" s="2" t="e">
        <f>VLOOKUP(F944,vlookup!$A$2:$E$660,3,0)</f>
        <v>#N/A</v>
      </c>
      <c r="AI944" s="2"/>
      <c r="AJ944" s="2"/>
      <c r="AK944" s="2"/>
      <c r="AL944" s="2"/>
      <c r="AM944" s="2"/>
      <c r="AO944" s="2"/>
      <c r="AP944" s="2"/>
      <c r="AQ944" s="2"/>
      <c r="AR944" s="2"/>
      <c r="AS944" s="2"/>
      <c r="AT944" s="2"/>
      <c r="AU944" s="2"/>
    </row>
    <row r="945" spans="1:47" x14ac:dyDescent="0.25">
      <c r="A945" s="24"/>
      <c r="B945" s="24"/>
      <c r="C945" s="24"/>
      <c r="D945" s="24"/>
      <c r="E945" s="24"/>
      <c r="F945" s="24"/>
      <c r="G945" s="24"/>
      <c r="H945" s="26"/>
      <c r="I945" s="24"/>
      <c r="J945" s="25"/>
      <c r="K945" s="25"/>
      <c r="L945" s="24"/>
      <c r="M945" s="25"/>
      <c r="N945" s="24"/>
      <c r="O945" s="24"/>
      <c r="P945" s="24"/>
      <c r="Q945" s="24"/>
      <c r="R945" s="24"/>
      <c r="S945" s="25"/>
      <c r="T945" s="24"/>
      <c r="U945" s="24"/>
      <c r="V945" s="25"/>
      <c r="W945" s="24"/>
      <c r="X945" s="24"/>
      <c r="Y945" s="24"/>
      <c r="Z945" s="24"/>
      <c r="AA945" s="24"/>
      <c r="AB945" s="24"/>
      <c r="AC945" s="2"/>
      <c r="AD945" s="2"/>
      <c r="AE945" s="2"/>
      <c r="AF945" s="2"/>
      <c r="AG945" s="2"/>
      <c r="AH945" s="2" t="e">
        <f>VLOOKUP(F945,vlookup!$A$2:$E$660,3,0)</f>
        <v>#N/A</v>
      </c>
      <c r="AI945" s="2"/>
      <c r="AJ945" s="2"/>
      <c r="AK945" s="2"/>
      <c r="AL945" s="2"/>
      <c r="AM945" s="2"/>
      <c r="AO945" s="2"/>
      <c r="AP945" s="2"/>
      <c r="AQ945" s="2"/>
      <c r="AR945" s="2"/>
      <c r="AS945" s="2"/>
      <c r="AT945" s="2"/>
      <c r="AU945" s="2"/>
    </row>
    <row r="946" spans="1:47" x14ac:dyDescent="0.25">
      <c r="A946" s="24"/>
      <c r="B946" s="24"/>
      <c r="C946" s="24"/>
      <c r="D946" s="24"/>
      <c r="E946" s="24"/>
      <c r="F946" s="24"/>
      <c r="G946" s="24"/>
      <c r="H946" s="26"/>
      <c r="I946" s="24"/>
      <c r="J946" s="25"/>
      <c r="K946" s="25"/>
      <c r="L946" s="24"/>
      <c r="M946" s="25"/>
      <c r="N946" s="24"/>
      <c r="O946" s="24"/>
      <c r="P946" s="24"/>
      <c r="Q946" s="24"/>
      <c r="R946" s="24"/>
      <c r="S946" s="25"/>
      <c r="T946" s="24"/>
      <c r="U946" s="24"/>
      <c r="V946" s="25"/>
      <c r="W946" s="24"/>
      <c r="X946" s="24"/>
      <c r="Y946" s="24"/>
      <c r="Z946" s="24"/>
      <c r="AA946" s="24"/>
      <c r="AB946" s="24"/>
      <c r="AC946" s="2"/>
      <c r="AD946" s="2"/>
      <c r="AE946" s="2"/>
      <c r="AF946" s="2"/>
      <c r="AG946" s="2"/>
      <c r="AH946" s="2" t="e">
        <f>VLOOKUP(F946,vlookup!$A$2:$E$660,3,0)</f>
        <v>#N/A</v>
      </c>
      <c r="AI946" s="2"/>
      <c r="AJ946" s="2"/>
      <c r="AK946" s="2"/>
      <c r="AL946" s="2"/>
      <c r="AM946" s="2"/>
      <c r="AO946" s="2"/>
      <c r="AP946" s="2"/>
      <c r="AQ946" s="2"/>
      <c r="AR946" s="2"/>
      <c r="AS946" s="2"/>
      <c r="AT946" s="2"/>
      <c r="AU946" s="2"/>
    </row>
    <row r="947" spans="1:47" x14ac:dyDescent="0.25">
      <c r="A947" s="24"/>
      <c r="B947" s="24"/>
      <c r="C947" s="24"/>
      <c r="D947" s="24"/>
      <c r="E947" s="24"/>
      <c r="F947" s="24"/>
      <c r="G947" s="24"/>
      <c r="H947" s="26"/>
      <c r="I947" s="24"/>
      <c r="J947" s="25"/>
      <c r="K947" s="25"/>
      <c r="L947" s="24"/>
      <c r="M947" s="25"/>
      <c r="N947" s="24"/>
      <c r="O947" s="24"/>
      <c r="P947" s="24"/>
      <c r="Q947" s="24"/>
      <c r="R947" s="24"/>
      <c r="S947" s="25"/>
      <c r="T947" s="24"/>
      <c r="U947" s="24"/>
      <c r="V947" s="25"/>
      <c r="W947" s="24"/>
      <c r="X947" s="24"/>
      <c r="Y947" s="24"/>
      <c r="Z947" s="24"/>
      <c r="AA947" s="24"/>
      <c r="AB947" s="24"/>
      <c r="AC947" s="2"/>
      <c r="AD947" s="2"/>
      <c r="AE947" s="2"/>
      <c r="AF947" s="2"/>
      <c r="AG947" s="2"/>
      <c r="AH947" s="2" t="e">
        <f>VLOOKUP(F947,vlookup!$A$2:$E$660,3,0)</f>
        <v>#N/A</v>
      </c>
      <c r="AI947" s="2"/>
      <c r="AJ947" s="2"/>
      <c r="AK947" s="2"/>
      <c r="AL947" s="2"/>
      <c r="AM947" s="2"/>
      <c r="AO947" s="2"/>
      <c r="AP947" s="2"/>
      <c r="AQ947" s="2"/>
      <c r="AR947" s="2"/>
      <c r="AS947" s="2"/>
      <c r="AT947" s="2"/>
      <c r="AU947" s="2"/>
    </row>
    <row r="948" spans="1:47" x14ac:dyDescent="0.25">
      <c r="A948" s="24"/>
      <c r="B948" s="24"/>
      <c r="C948" s="24"/>
      <c r="D948" s="24"/>
      <c r="E948" s="24"/>
      <c r="F948" s="24"/>
      <c r="G948" s="24"/>
      <c r="H948" s="26"/>
      <c r="I948" s="24"/>
      <c r="J948" s="25"/>
      <c r="K948" s="25"/>
      <c r="L948" s="24"/>
      <c r="M948" s="25"/>
      <c r="N948" s="24"/>
      <c r="O948" s="24"/>
      <c r="P948" s="24"/>
      <c r="Q948" s="24"/>
      <c r="R948" s="24"/>
      <c r="S948" s="25"/>
      <c r="T948" s="24"/>
      <c r="U948" s="24"/>
      <c r="V948" s="25"/>
      <c r="W948" s="24"/>
      <c r="X948" s="24"/>
      <c r="Y948" s="24"/>
      <c r="Z948" s="24"/>
      <c r="AA948" s="24"/>
      <c r="AB948" s="24"/>
      <c r="AC948" s="2"/>
      <c r="AD948" s="2"/>
      <c r="AE948" s="2"/>
      <c r="AF948" s="2"/>
      <c r="AG948" s="2"/>
      <c r="AH948" s="2" t="e">
        <f>VLOOKUP(F948,vlookup!$A$2:$E$660,3,0)</f>
        <v>#N/A</v>
      </c>
      <c r="AI948" s="2"/>
      <c r="AJ948" s="2"/>
      <c r="AK948" s="2"/>
      <c r="AL948" s="2"/>
      <c r="AM948" s="2"/>
      <c r="AO948" s="2"/>
      <c r="AP948" s="2"/>
      <c r="AQ948" s="2"/>
      <c r="AR948" s="2"/>
      <c r="AS948" s="2"/>
      <c r="AT948" s="2"/>
      <c r="AU948" s="2"/>
    </row>
    <row r="949" spans="1:47" x14ac:dyDescent="0.25">
      <c r="A949" s="24"/>
      <c r="B949" s="24"/>
      <c r="C949" s="24"/>
      <c r="D949" s="24"/>
      <c r="E949" s="24"/>
      <c r="F949" s="24"/>
      <c r="G949" s="24"/>
      <c r="H949" s="26"/>
      <c r="I949" s="24"/>
      <c r="J949" s="25"/>
      <c r="K949" s="25"/>
      <c r="L949" s="24"/>
      <c r="M949" s="25"/>
      <c r="N949" s="24"/>
      <c r="O949" s="24"/>
      <c r="P949" s="24"/>
      <c r="Q949" s="24"/>
      <c r="R949" s="24"/>
      <c r="S949" s="25"/>
      <c r="T949" s="24"/>
      <c r="U949" s="24"/>
      <c r="V949" s="25"/>
      <c r="W949" s="24"/>
      <c r="X949" s="24"/>
      <c r="Y949" s="24"/>
      <c r="Z949" s="24"/>
      <c r="AA949" s="24"/>
      <c r="AB949" s="24"/>
      <c r="AC949" s="2"/>
      <c r="AD949" s="2"/>
      <c r="AE949" s="2"/>
      <c r="AF949" s="2"/>
      <c r="AG949" s="2"/>
      <c r="AH949" s="2" t="e">
        <f>VLOOKUP(F949,vlookup!$A$2:$E$660,3,0)</f>
        <v>#N/A</v>
      </c>
      <c r="AI949" s="2"/>
      <c r="AJ949" s="2"/>
      <c r="AK949" s="2"/>
      <c r="AL949" s="2"/>
      <c r="AM949" s="2"/>
      <c r="AO949" s="2"/>
      <c r="AP949" s="2"/>
      <c r="AQ949" s="2"/>
      <c r="AR949" s="2"/>
      <c r="AS949" s="2"/>
      <c r="AT949" s="2"/>
      <c r="AU949" s="2"/>
    </row>
    <row r="950" spans="1:47" x14ac:dyDescent="0.25">
      <c r="A950" s="24"/>
      <c r="B950" s="24"/>
      <c r="C950" s="24"/>
      <c r="D950" s="24"/>
      <c r="E950" s="24"/>
      <c r="F950" s="24"/>
      <c r="G950" s="24"/>
      <c r="H950" s="26"/>
      <c r="I950" s="24"/>
      <c r="J950" s="25"/>
      <c r="K950" s="25"/>
      <c r="L950" s="24"/>
      <c r="M950" s="25"/>
      <c r="N950" s="24"/>
      <c r="O950" s="24"/>
      <c r="P950" s="24"/>
      <c r="Q950" s="24"/>
      <c r="R950" s="24"/>
      <c r="S950" s="25"/>
      <c r="T950" s="24"/>
      <c r="U950" s="24"/>
      <c r="V950" s="25"/>
      <c r="W950" s="24"/>
      <c r="X950" s="24"/>
      <c r="Y950" s="24"/>
      <c r="Z950" s="24"/>
      <c r="AA950" s="24"/>
      <c r="AB950" s="24"/>
      <c r="AC950" s="2"/>
      <c r="AD950" s="2"/>
      <c r="AE950" s="2"/>
      <c r="AF950" s="2"/>
      <c r="AG950" s="2"/>
      <c r="AH950" s="2" t="e">
        <f>VLOOKUP(F950,vlookup!$A$2:$E$660,3,0)</f>
        <v>#N/A</v>
      </c>
      <c r="AI950" s="2"/>
      <c r="AJ950" s="2"/>
      <c r="AK950" s="2"/>
      <c r="AL950" s="2"/>
      <c r="AM950" s="2"/>
      <c r="AO950" s="2"/>
      <c r="AP950" s="2"/>
      <c r="AQ950" s="2"/>
      <c r="AR950" s="2"/>
      <c r="AS950" s="2"/>
      <c r="AT950" s="2"/>
      <c r="AU950" s="2"/>
    </row>
    <row r="951" spans="1:47" x14ac:dyDescent="0.25">
      <c r="A951" s="24"/>
      <c r="B951" s="24"/>
      <c r="C951" s="24"/>
      <c r="D951" s="24"/>
      <c r="E951" s="24"/>
      <c r="F951" s="24"/>
      <c r="G951" s="24"/>
      <c r="H951" s="26"/>
      <c r="I951" s="24"/>
      <c r="J951" s="25"/>
      <c r="K951" s="25"/>
      <c r="L951" s="24"/>
      <c r="M951" s="25"/>
      <c r="N951" s="24"/>
      <c r="O951" s="24"/>
      <c r="P951" s="24"/>
      <c r="Q951" s="24"/>
      <c r="R951" s="24"/>
      <c r="S951" s="25"/>
      <c r="T951" s="24"/>
      <c r="U951" s="24"/>
      <c r="V951" s="25"/>
      <c r="W951" s="24"/>
      <c r="X951" s="24"/>
      <c r="Y951" s="24"/>
      <c r="Z951" s="24"/>
      <c r="AA951" s="24"/>
      <c r="AB951" s="24"/>
      <c r="AC951" s="2"/>
      <c r="AD951" s="2"/>
      <c r="AE951" s="2"/>
      <c r="AF951" s="2"/>
      <c r="AG951" s="2"/>
      <c r="AH951" s="2" t="e">
        <f>VLOOKUP(F951,vlookup!$A$2:$E$660,3,0)</f>
        <v>#N/A</v>
      </c>
      <c r="AI951" s="2"/>
      <c r="AJ951" s="2"/>
      <c r="AK951" s="2"/>
      <c r="AL951" s="2"/>
      <c r="AM951" s="2"/>
      <c r="AO951" s="2"/>
      <c r="AP951" s="2"/>
      <c r="AQ951" s="2"/>
      <c r="AR951" s="2"/>
      <c r="AS951" s="2"/>
      <c r="AT951" s="2"/>
      <c r="AU951" s="2"/>
    </row>
    <row r="952" spans="1:47" x14ac:dyDescent="0.25">
      <c r="A952" s="24"/>
      <c r="B952" s="24"/>
      <c r="C952" s="24"/>
      <c r="D952" s="24"/>
      <c r="E952" s="24"/>
      <c r="F952" s="24"/>
      <c r="G952" s="24"/>
      <c r="H952" s="26"/>
      <c r="I952" s="24"/>
      <c r="J952" s="25"/>
      <c r="K952" s="25"/>
      <c r="L952" s="24"/>
      <c r="M952" s="25"/>
      <c r="N952" s="24"/>
      <c r="O952" s="24"/>
      <c r="P952" s="24"/>
      <c r="Q952" s="24"/>
      <c r="R952" s="24"/>
      <c r="S952" s="25"/>
      <c r="T952" s="24"/>
      <c r="U952" s="24"/>
      <c r="V952" s="25"/>
      <c r="W952" s="24"/>
      <c r="X952" s="24"/>
      <c r="Y952" s="24"/>
      <c r="Z952" s="24"/>
      <c r="AA952" s="24"/>
      <c r="AB952" s="24"/>
      <c r="AC952" s="2"/>
      <c r="AD952" s="2"/>
      <c r="AE952" s="2"/>
      <c r="AF952" s="2"/>
      <c r="AG952" s="2"/>
      <c r="AH952" s="2" t="e">
        <f>VLOOKUP(F952,vlookup!$A$2:$E$660,3,0)</f>
        <v>#N/A</v>
      </c>
      <c r="AI952" s="2"/>
      <c r="AJ952" s="2"/>
      <c r="AK952" s="2"/>
      <c r="AL952" s="2"/>
      <c r="AM952" s="2"/>
      <c r="AO952" s="2"/>
      <c r="AP952" s="2"/>
      <c r="AQ952" s="2"/>
      <c r="AR952" s="2"/>
      <c r="AS952" s="2"/>
      <c r="AT952" s="2"/>
      <c r="AU952" s="2"/>
    </row>
    <row r="953" spans="1:47" x14ac:dyDescent="0.25">
      <c r="A953" s="24"/>
      <c r="B953" s="24"/>
      <c r="C953" s="24"/>
      <c r="D953" s="24"/>
      <c r="E953" s="24"/>
      <c r="F953" s="24"/>
      <c r="G953" s="24"/>
      <c r="H953" s="26"/>
      <c r="I953" s="24"/>
      <c r="J953" s="25"/>
      <c r="K953" s="25"/>
      <c r="L953" s="24"/>
      <c r="M953" s="25"/>
      <c r="N953" s="24"/>
      <c r="O953" s="24"/>
      <c r="P953" s="24"/>
      <c r="Q953" s="24"/>
      <c r="R953" s="24"/>
      <c r="S953" s="25"/>
      <c r="T953" s="24"/>
      <c r="U953" s="24"/>
      <c r="V953" s="25"/>
      <c r="W953" s="24"/>
      <c r="X953" s="24"/>
      <c r="Y953" s="24"/>
      <c r="Z953" s="24"/>
      <c r="AA953" s="24"/>
      <c r="AB953" s="24"/>
      <c r="AC953" s="2"/>
      <c r="AD953" s="2"/>
      <c r="AE953" s="2"/>
      <c r="AF953" s="2"/>
      <c r="AG953" s="2"/>
      <c r="AH953" s="2" t="e">
        <f>VLOOKUP(F953,vlookup!$A$2:$E$660,3,0)</f>
        <v>#N/A</v>
      </c>
      <c r="AI953" s="2"/>
      <c r="AJ953" s="2"/>
      <c r="AK953" s="2"/>
      <c r="AL953" s="2"/>
      <c r="AM953" s="2"/>
      <c r="AO953" s="2"/>
      <c r="AP953" s="2"/>
      <c r="AQ953" s="2"/>
      <c r="AR953" s="2"/>
      <c r="AS953" s="2"/>
      <c r="AT953" s="2"/>
      <c r="AU953" s="2"/>
    </row>
    <row r="954" spans="1:47" x14ac:dyDescent="0.25">
      <c r="A954" s="24"/>
      <c r="B954" s="24"/>
      <c r="C954" s="24"/>
      <c r="D954" s="24"/>
      <c r="E954" s="24"/>
      <c r="F954" s="24"/>
      <c r="G954" s="24"/>
      <c r="H954" s="26"/>
      <c r="I954" s="24"/>
      <c r="J954" s="25"/>
      <c r="K954" s="25"/>
      <c r="L954" s="24"/>
      <c r="M954" s="25"/>
      <c r="N954" s="24"/>
      <c r="O954" s="24"/>
      <c r="P954" s="24"/>
      <c r="Q954" s="24"/>
      <c r="R954" s="24"/>
      <c r="S954" s="25"/>
      <c r="T954" s="24"/>
      <c r="U954" s="24"/>
      <c r="V954" s="25"/>
      <c r="W954" s="24"/>
      <c r="X954" s="24"/>
      <c r="Y954" s="24"/>
      <c r="Z954" s="24"/>
      <c r="AA954" s="24"/>
      <c r="AB954" s="24"/>
      <c r="AC954" s="2"/>
      <c r="AD954" s="2"/>
      <c r="AE954" s="2"/>
      <c r="AF954" s="2"/>
      <c r="AG954" s="2"/>
      <c r="AH954" s="2" t="e">
        <f>VLOOKUP(F954,vlookup!$A$2:$E$660,3,0)</f>
        <v>#N/A</v>
      </c>
      <c r="AI954" s="2"/>
      <c r="AJ954" s="2"/>
      <c r="AK954" s="2"/>
      <c r="AL954" s="2"/>
      <c r="AM954" s="2"/>
      <c r="AO954" s="2"/>
      <c r="AP954" s="2"/>
      <c r="AQ954" s="2"/>
      <c r="AR954" s="2"/>
      <c r="AS954" s="2"/>
      <c r="AT954" s="2"/>
      <c r="AU954" s="2"/>
    </row>
    <row r="955" spans="1:47" x14ac:dyDescent="0.25">
      <c r="A955" s="24"/>
      <c r="B955" s="24"/>
      <c r="C955" s="24"/>
      <c r="D955" s="24"/>
      <c r="E955" s="24"/>
      <c r="F955" s="24"/>
      <c r="G955" s="24"/>
      <c r="H955" s="26"/>
      <c r="I955" s="24"/>
      <c r="J955" s="25"/>
      <c r="K955" s="25"/>
      <c r="L955" s="24"/>
      <c r="M955" s="25"/>
      <c r="N955" s="24"/>
      <c r="O955" s="24"/>
      <c r="P955" s="24"/>
      <c r="Q955" s="24"/>
      <c r="R955" s="24"/>
      <c r="S955" s="25"/>
      <c r="T955" s="24"/>
      <c r="U955" s="24"/>
      <c r="V955" s="25"/>
      <c r="W955" s="24"/>
      <c r="X955" s="24"/>
      <c r="Y955" s="24"/>
      <c r="Z955" s="24"/>
      <c r="AA955" s="24"/>
      <c r="AB955" s="24"/>
      <c r="AC955" s="2"/>
      <c r="AD955" s="2"/>
      <c r="AE955" s="2"/>
      <c r="AF955" s="2"/>
      <c r="AG955" s="2"/>
      <c r="AH955" s="2" t="e">
        <f>VLOOKUP(F955,vlookup!$A$2:$E$660,3,0)</f>
        <v>#N/A</v>
      </c>
      <c r="AI955" s="2"/>
      <c r="AJ955" s="2"/>
      <c r="AK955" s="2"/>
      <c r="AL955" s="2"/>
      <c r="AM955" s="2"/>
      <c r="AO955" s="2"/>
      <c r="AP955" s="2"/>
      <c r="AQ955" s="2"/>
      <c r="AR955" s="2"/>
      <c r="AS955" s="2"/>
      <c r="AT955" s="2"/>
      <c r="AU955" s="2"/>
    </row>
    <row r="956" spans="1:47" x14ac:dyDescent="0.25">
      <c r="A956" s="24"/>
      <c r="B956" s="24"/>
      <c r="C956" s="24"/>
      <c r="D956" s="24"/>
      <c r="E956" s="24"/>
      <c r="F956" s="24"/>
      <c r="G956" s="24"/>
      <c r="H956" s="26"/>
      <c r="I956" s="24"/>
      <c r="J956" s="25"/>
      <c r="K956" s="25"/>
      <c r="L956" s="24"/>
      <c r="M956" s="25"/>
      <c r="N956" s="24"/>
      <c r="O956" s="24"/>
      <c r="P956" s="24"/>
      <c r="Q956" s="24"/>
      <c r="R956" s="24"/>
      <c r="S956" s="25"/>
      <c r="T956" s="24"/>
      <c r="U956" s="24"/>
      <c r="V956" s="25"/>
      <c r="W956" s="24"/>
      <c r="X956" s="24"/>
      <c r="Y956" s="24"/>
      <c r="Z956" s="24"/>
      <c r="AA956" s="24"/>
      <c r="AB956" s="24"/>
      <c r="AC956" s="2"/>
      <c r="AD956" s="2"/>
      <c r="AE956" s="2"/>
      <c r="AF956" s="2"/>
      <c r="AG956" s="2"/>
      <c r="AH956" s="2" t="e">
        <f>VLOOKUP(F956,vlookup!$A$2:$E$660,3,0)</f>
        <v>#N/A</v>
      </c>
      <c r="AI956" s="2"/>
      <c r="AJ956" s="2"/>
      <c r="AK956" s="2"/>
      <c r="AL956" s="2"/>
      <c r="AM956" s="2"/>
      <c r="AO956" s="2"/>
      <c r="AP956" s="2"/>
      <c r="AQ956" s="2"/>
      <c r="AR956" s="2"/>
      <c r="AS956" s="2"/>
      <c r="AT956" s="2"/>
      <c r="AU956" s="2"/>
    </row>
    <row r="957" spans="1:47" x14ac:dyDescent="0.25">
      <c r="A957" s="24"/>
      <c r="B957" s="24"/>
      <c r="C957" s="24"/>
      <c r="D957" s="24"/>
      <c r="E957" s="24"/>
      <c r="F957" s="24"/>
      <c r="G957" s="24"/>
      <c r="H957" s="26"/>
      <c r="I957" s="24"/>
      <c r="J957" s="25"/>
      <c r="K957" s="25"/>
      <c r="L957" s="24"/>
      <c r="M957" s="25"/>
      <c r="N957" s="24"/>
      <c r="O957" s="24"/>
      <c r="P957" s="24"/>
      <c r="Q957" s="24"/>
      <c r="R957" s="24"/>
      <c r="S957" s="25"/>
      <c r="T957" s="24"/>
      <c r="U957" s="24"/>
      <c r="V957" s="25"/>
      <c r="W957" s="24"/>
      <c r="X957" s="24"/>
      <c r="Y957" s="24"/>
      <c r="Z957" s="24"/>
      <c r="AA957" s="24"/>
      <c r="AB957" s="24"/>
      <c r="AC957" s="2"/>
      <c r="AD957" s="2"/>
      <c r="AE957" s="2"/>
      <c r="AF957" s="2"/>
      <c r="AG957" s="2"/>
      <c r="AH957" s="2" t="e">
        <f>VLOOKUP(F957,vlookup!$A$2:$E$660,3,0)</f>
        <v>#N/A</v>
      </c>
      <c r="AI957" s="2"/>
      <c r="AJ957" s="2"/>
      <c r="AK957" s="2"/>
      <c r="AL957" s="2"/>
      <c r="AM957" s="2"/>
      <c r="AO957" s="2"/>
      <c r="AP957" s="2"/>
      <c r="AQ957" s="2"/>
      <c r="AR957" s="2"/>
      <c r="AS957" s="2"/>
      <c r="AT957" s="2"/>
      <c r="AU957" s="2"/>
    </row>
    <row r="958" spans="1:47" x14ac:dyDescent="0.25">
      <c r="A958" s="24"/>
      <c r="B958" s="24"/>
      <c r="C958" s="24"/>
      <c r="D958" s="24"/>
      <c r="E958" s="24"/>
      <c r="F958" s="24"/>
      <c r="G958" s="24"/>
      <c r="H958" s="26"/>
      <c r="I958" s="24"/>
      <c r="J958" s="25"/>
      <c r="K958" s="25"/>
      <c r="L958" s="24"/>
      <c r="M958" s="25"/>
      <c r="N958" s="24"/>
      <c r="O958" s="24"/>
      <c r="P958" s="24"/>
      <c r="Q958" s="24"/>
      <c r="R958" s="24"/>
      <c r="S958" s="25"/>
      <c r="T958" s="24"/>
      <c r="U958" s="24"/>
      <c r="V958" s="25"/>
      <c r="W958" s="24"/>
      <c r="X958" s="24"/>
      <c r="Y958" s="24"/>
      <c r="Z958" s="24"/>
      <c r="AA958" s="24"/>
      <c r="AB958" s="24"/>
      <c r="AC958" s="2"/>
      <c r="AD958" s="2"/>
      <c r="AE958" s="2"/>
      <c r="AF958" s="2"/>
      <c r="AG958" s="2"/>
      <c r="AH958" s="2" t="e">
        <f>VLOOKUP(F958,vlookup!$A$2:$E$660,3,0)</f>
        <v>#N/A</v>
      </c>
      <c r="AI958" s="2"/>
      <c r="AJ958" s="2"/>
      <c r="AK958" s="2"/>
      <c r="AL958" s="2"/>
      <c r="AM958" s="2"/>
      <c r="AO958" s="2"/>
      <c r="AP958" s="2"/>
      <c r="AQ958" s="2"/>
      <c r="AR958" s="2"/>
      <c r="AS958" s="2"/>
      <c r="AT958" s="2"/>
      <c r="AU958" s="2"/>
    </row>
    <row r="959" spans="1:47" x14ac:dyDescent="0.25">
      <c r="A959" s="24"/>
      <c r="B959" s="24"/>
      <c r="C959" s="24"/>
      <c r="D959" s="24"/>
      <c r="E959" s="24"/>
      <c r="F959" s="24"/>
      <c r="G959" s="24"/>
      <c r="H959" s="26"/>
      <c r="I959" s="24"/>
      <c r="J959" s="25"/>
      <c r="K959" s="25"/>
      <c r="L959" s="24"/>
      <c r="M959" s="25"/>
      <c r="N959" s="24"/>
      <c r="O959" s="24"/>
      <c r="P959" s="24"/>
      <c r="Q959" s="24"/>
      <c r="R959" s="24"/>
      <c r="S959" s="25"/>
      <c r="T959" s="24"/>
      <c r="U959" s="24"/>
      <c r="V959" s="25"/>
      <c r="W959" s="24"/>
      <c r="X959" s="24"/>
      <c r="Y959" s="24"/>
      <c r="Z959" s="24"/>
      <c r="AA959" s="24"/>
      <c r="AB959" s="24"/>
      <c r="AC959" s="2"/>
      <c r="AD959" s="2"/>
      <c r="AE959" s="2"/>
      <c r="AF959" s="2"/>
      <c r="AG959" s="2"/>
      <c r="AH959" s="2" t="e">
        <f>VLOOKUP(F959,vlookup!$A$2:$E$660,3,0)</f>
        <v>#N/A</v>
      </c>
      <c r="AI959" s="2"/>
      <c r="AJ959" s="2"/>
      <c r="AK959" s="2"/>
      <c r="AL959" s="2"/>
      <c r="AM959" s="2"/>
      <c r="AO959" s="2"/>
      <c r="AP959" s="2"/>
      <c r="AQ959" s="2"/>
      <c r="AR959" s="2"/>
      <c r="AS959" s="2"/>
      <c r="AT959" s="2"/>
      <c r="AU959" s="2"/>
    </row>
    <row r="960" spans="1:47" x14ac:dyDescent="0.25">
      <c r="A960" s="24"/>
      <c r="B960" s="24"/>
      <c r="C960" s="24"/>
      <c r="D960" s="24"/>
      <c r="E960" s="24"/>
      <c r="F960" s="24"/>
      <c r="G960" s="24"/>
      <c r="H960" s="26"/>
      <c r="I960" s="24"/>
      <c r="J960" s="25"/>
      <c r="K960" s="25"/>
      <c r="L960" s="24"/>
      <c r="M960" s="25"/>
      <c r="N960" s="24"/>
      <c r="O960" s="24"/>
      <c r="P960" s="24"/>
      <c r="Q960" s="24"/>
      <c r="R960" s="24"/>
      <c r="S960" s="25"/>
      <c r="T960" s="24"/>
      <c r="U960" s="24"/>
      <c r="V960" s="25"/>
      <c r="W960" s="24"/>
      <c r="X960" s="24"/>
      <c r="Y960" s="24"/>
      <c r="Z960" s="24"/>
      <c r="AA960" s="24"/>
      <c r="AB960" s="24"/>
      <c r="AC960" s="2"/>
      <c r="AD960" s="2"/>
      <c r="AE960" s="2"/>
      <c r="AF960" s="2"/>
      <c r="AG960" s="2"/>
      <c r="AH960" s="2" t="e">
        <f>VLOOKUP(F960,vlookup!$A$2:$E$660,3,0)</f>
        <v>#N/A</v>
      </c>
      <c r="AI960" s="2"/>
      <c r="AJ960" s="2"/>
      <c r="AK960" s="2"/>
      <c r="AL960" s="2"/>
      <c r="AM960" s="2"/>
      <c r="AO960" s="2"/>
      <c r="AP960" s="2"/>
      <c r="AQ960" s="2"/>
      <c r="AR960" s="2"/>
      <c r="AS960" s="2"/>
      <c r="AT960" s="2"/>
      <c r="AU960" s="2"/>
    </row>
    <row r="961" spans="1:47" x14ac:dyDescent="0.25">
      <c r="A961" s="24"/>
      <c r="B961" s="24"/>
      <c r="C961" s="24"/>
      <c r="D961" s="24"/>
      <c r="E961" s="24"/>
      <c r="F961" s="24"/>
      <c r="G961" s="24"/>
      <c r="H961" s="26"/>
      <c r="I961" s="24"/>
      <c r="J961" s="25"/>
      <c r="K961" s="25"/>
      <c r="L961" s="24"/>
      <c r="M961" s="25"/>
      <c r="N961" s="24"/>
      <c r="O961" s="24"/>
      <c r="P961" s="24"/>
      <c r="Q961" s="24"/>
      <c r="R961" s="24"/>
      <c r="S961" s="25"/>
      <c r="T961" s="24"/>
      <c r="U961" s="24"/>
      <c r="V961" s="25"/>
      <c r="W961" s="24"/>
      <c r="X961" s="24"/>
      <c r="Y961" s="24"/>
      <c r="Z961" s="24"/>
      <c r="AA961" s="24"/>
      <c r="AB961" s="24"/>
      <c r="AC961" s="2"/>
      <c r="AD961" s="2"/>
      <c r="AE961" s="2"/>
      <c r="AF961" s="2"/>
      <c r="AG961" s="2"/>
      <c r="AH961" s="2" t="e">
        <f>VLOOKUP(F961,vlookup!$A$2:$E$660,3,0)</f>
        <v>#N/A</v>
      </c>
      <c r="AI961" s="2"/>
      <c r="AJ961" s="2"/>
      <c r="AK961" s="2"/>
      <c r="AL961" s="2"/>
      <c r="AM961" s="2"/>
      <c r="AO961" s="2"/>
      <c r="AP961" s="2"/>
      <c r="AQ961" s="2"/>
      <c r="AR961" s="2"/>
      <c r="AS961" s="2"/>
      <c r="AT961" s="2"/>
      <c r="AU961" s="2"/>
    </row>
    <row r="962" spans="1:47" x14ac:dyDescent="0.25">
      <c r="A962" s="24"/>
      <c r="B962" s="24"/>
      <c r="C962" s="24"/>
      <c r="D962" s="24"/>
      <c r="E962" s="24"/>
      <c r="F962" s="24"/>
      <c r="G962" s="24"/>
      <c r="H962" s="26"/>
      <c r="I962" s="24"/>
      <c r="J962" s="25"/>
      <c r="K962" s="25"/>
      <c r="L962" s="24"/>
      <c r="M962" s="25"/>
      <c r="N962" s="24"/>
      <c r="O962" s="24"/>
      <c r="P962" s="24"/>
      <c r="Q962" s="24"/>
      <c r="R962" s="24"/>
      <c r="S962" s="25"/>
      <c r="T962" s="24"/>
      <c r="U962" s="24"/>
      <c r="V962" s="25"/>
      <c r="W962" s="24"/>
      <c r="X962" s="24"/>
      <c r="Y962" s="24"/>
      <c r="Z962" s="24"/>
      <c r="AA962" s="24"/>
      <c r="AB962" s="24"/>
      <c r="AC962" s="2"/>
      <c r="AD962" s="2"/>
      <c r="AE962" s="2"/>
      <c r="AF962" s="2"/>
      <c r="AG962" s="2"/>
      <c r="AH962" s="2" t="e">
        <f>VLOOKUP(F962,vlookup!$A$2:$E$660,3,0)</f>
        <v>#N/A</v>
      </c>
      <c r="AI962" s="2"/>
      <c r="AJ962" s="2"/>
      <c r="AK962" s="2"/>
      <c r="AL962" s="2"/>
      <c r="AM962" s="2"/>
      <c r="AO962" s="2"/>
      <c r="AP962" s="2"/>
      <c r="AQ962" s="2"/>
      <c r="AR962" s="2"/>
      <c r="AS962" s="2"/>
      <c r="AT962" s="2"/>
      <c r="AU962" s="2"/>
    </row>
    <row r="963" spans="1:47" x14ac:dyDescent="0.25">
      <c r="A963" s="24"/>
      <c r="B963" s="24"/>
      <c r="C963" s="24"/>
      <c r="D963" s="24"/>
      <c r="E963" s="24"/>
      <c r="F963" s="24"/>
      <c r="G963" s="24"/>
      <c r="H963" s="26"/>
      <c r="I963" s="24"/>
      <c r="J963" s="25"/>
      <c r="K963" s="25"/>
      <c r="L963" s="24"/>
      <c r="M963" s="25"/>
      <c r="N963" s="24"/>
      <c r="O963" s="24"/>
      <c r="P963" s="24"/>
      <c r="Q963" s="24"/>
      <c r="R963" s="24"/>
      <c r="S963" s="25"/>
      <c r="T963" s="24"/>
      <c r="U963" s="24"/>
      <c r="V963" s="25"/>
      <c r="W963" s="24"/>
      <c r="X963" s="24"/>
      <c r="Y963" s="24"/>
      <c r="Z963" s="24"/>
      <c r="AA963" s="24"/>
      <c r="AB963" s="24"/>
      <c r="AC963" s="2"/>
      <c r="AD963" s="2"/>
      <c r="AE963" s="2"/>
      <c r="AF963" s="2"/>
      <c r="AG963" s="2"/>
      <c r="AH963" s="2" t="e">
        <f>VLOOKUP(F963,vlookup!$A$2:$E$660,3,0)</f>
        <v>#N/A</v>
      </c>
      <c r="AI963" s="2"/>
      <c r="AJ963" s="2"/>
      <c r="AK963" s="2"/>
      <c r="AL963" s="2"/>
      <c r="AM963" s="2"/>
      <c r="AO963" s="2"/>
      <c r="AP963" s="2"/>
      <c r="AQ963" s="2"/>
      <c r="AR963" s="2"/>
      <c r="AS963" s="2"/>
      <c r="AT963" s="2"/>
      <c r="AU963" s="2"/>
    </row>
    <row r="964" spans="1:47" x14ac:dyDescent="0.25">
      <c r="A964" s="24"/>
      <c r="B964" s="24"/>
      <c r="C964" s="24"/>
      <c r="D964" s="24"/>
      <c r="E964" s="24"/>
      <c r="F964" s="24"/>
      <c r="G964" s="24"/>
      <c r="H964" s="26"/>
      <c r="I964" s="24"/>
      <c r="J964" s="25"/>
      <c r="K964" s="25"/>
      <c r="L964" s="24"/>
      <c r="M964" s="25"/>
      <c r="N964" s="24"/>
      <c r="O964" s="24"/>
      <c r="P964" s="24"/>
      <c r="Q964" s="24"/>
      <c r="R964" s="24"/>
      <c r="S964" s="25"/>
      <c r="T964" s="24"/>
      <c r="U964" s="24"/>
      <c r="V964" s="25"/>
      <c r="W964" s="24"/>
      <c r="X964" s="24"/>
      <c r="Y964" s="24"/>
      <c r="Z964" s="24"/>
      <c r="AA964" s="24"/>
      <c r="AB964" s="24"/>
      <c r="AC964" s="2"/>
      <c r="AD964" s="2"/>
      <c r="AE964" s="2"/>
      <c r="AF964" s="2"/>
      <c r="AG964" s="2"/>
      <c r="AH964" s="2" t="e">
        <f>VLOOKUP(F964,vlookup!$A$2:$E$660,3,0)</f>
        <v>#N/A</v>
      </c>
      <c r="AI964" s="2"/>
      <c r="AJ964" s="2"/>
      <c r="AK964" s="2"/>
      <c r="AL964" s="2"/>
      <c r="AM964" s="2"/>
      <c r="AO964" s="2"/>
      <c r="AP964" s="2"/>
      <c r="AQ964" s="2"/>
      <c r="AR964" s="2"/>
      <c r="AS964" s="2"/>
      <c r="AT964" s="2"/>
      <c r="AU964" s="2"/>
    </row>
    <row r="965" spans="1:47" x14ac:dyDescent="0.25">
      <c r="A965" s="24"/>
      <c r="B965" s="24"/>
      <c r="C965" s="24"/>
      <c r="D965" s="24"/>
      <c r="E965" s="24"/>
      <c r="F965" s="24"/>
      <c r="G965" s="24"/>
      <c r="H965" s="26"/>
      <c r="I965" s="24"/>
      <c r="J965" s="25"/>
      <c r="K965" s="25"/>
      <c r="L965" s="24"/>
      <c r="M965" s="25"/>
      <c r="N965" s="24"/>
      <c r="O965" s="24"/>
      <c r="P965" s="24"/>
      <c r="Q965" s="24"/>
      <c r="R965" s="24"/>
      <c r="S965" s="25"/>
      <c r="T965" s="24"/>
      <c r="U965" s="24"/>
      <c r="V965" s="25"/>
      <c r="W965" s="24"/>
      <c r="X965" s="24"/>
      <c r="Y965" s="24"/>
      <c r="Z965" s="24"/>
      <c r="AA965" s="24"/>
      <c r="AB965" s="24"/>
      <c r="AC965" s="2"/>
      <c r="AD965" s="2"/>
      <c r="AE965" s="2"/>
      <c r="AF965" s="2"/>
      <c r="AG965" s="2"/>
      <c r="AH965" s="2" t="e">
        <f>VLOOKUP(F965,vlookup!$A$2:$E$660,3,0)</f>
        <v>#N/A</v>
      </c>
      <c r="AI965" s="2"/>
      <c r="AJ965" s="2"/>
      <c r="AK965" s="2"/>
      <c r="AL965" s="2"/>
      <c r="AM965" s="2"/>
      <c r="AO965" s="2"/>
      <c r="AP965" s="2"/>
      <c r="AQ965" s="2"/>
      <c r="AR965" s="2"/>
      <c r="AS965" s="2"/>
      <c r="AT965" s="2"/>
      <c r="AU965" s="2"/>
    </row>
    <row r="966" spans="1:47" x14ac:dyDescent="0.25">
      <c r="A966" s="24"/>
      <c r="B966" s="24"/>
      <c r="C966" s="24"/>
      <c r="D966" s="24"/>
      <c r="E966" s="24"/>
      <c r="F966" s="24"/>
      <c r="G966" s="24"/>
      <c r="H966" s="26"/>
      <c r="I966" s="24"/>
      <c r="J966" s="25"/>
      <c r="K966" s="25"/>
      <c r="L966" s="24"/>
      <c r="M966" s="25"/>
      <c r="N966" s="24"/>
      <c r="O966" s="24"/>
      <c r="P966" s="24"/>
      <c r="Q966" s="24"/>
      <c r="R966" s="24"/>
      <c r="S966" s="25"/>
      <c r="T966" s="24"/>
      <c r="U966" s="24"/>
      <c r="V966" s="25"/>
      <c r="W966" s="24"/>
      <c r="X966" s="24"/>
      <c r="Y966" s="24"/>
      <c r="Z966" s="24"/>
      <c r="AA966" s="24"/>
      <c r="AB966" s="24"/>
      <c r="AC966" s="2"/>
      <c r="AD966" s="2"/>
      <c r="AE966" s="2"/>
      <c r="AF966" s="2"/>
      <c r="AG966" s="2"/>
      <c r="AH966" s="2" t="e">
        <f>VLOOKUP(F966,vlookup!$A$2:$E$660,3,0)</f>
        <v>#N/A</v>
      </c>
      <c r="AI966" s="2"/>
      <c r="AJ966" s="2"/>
      <c r="AK966" s="2"/>
      <c r="AL966" s="2"/>
      <c r="AM966" s="2"/>
      <c r="AO966" s="2"/>
      <c r="AP966" s="2"/>
      <c r="AQ966" s="2"/>
      <c r="AR966" s="2"/>
      <c r="AS966" s="2"/>
      <c r="AT966" s="2"/>
      <c r="AU966" s="2"/>
    </row>
    <row r="967" spans="1:47" x14ac:dyDescent="0.25">
      <c r="A967" s="24"/>
      <c r="B967" s="24"/>
      <c r="C967" s="24"/>
      <c r="D967" s="24"/>
      <c r="E967" s="24"/>
      <c r="F967" s="24"/>
      <c r="G967" s="24"/>
      <c r="H967" s="26"/>
      <c r="I967" s="24"/>
      <c r="J967" s="25"/>
      <c r="K967" s="25"/>
      <c r="L967" s="24"/>
      <c r="M967" s="25"/>
      <c r="N967" s="24"/>
      <c r="O967" s="24"/>
      <c r="P967" s="24"/>
      <c r="Q967" s="24"/>
      <c r="R967" s="24"/>
      <c r="S967" s="25"/>
      <c r="T967" s="24"/>
      <c r="U967" s="24"/>
      <c r="V967" s="25"/>
      <c r="W967" s="24"/>
      <c r="X967" s="24"/>
      <c r="Y967" s="24"/>
      <c r="Z967" s="24"/>
      <c r="AA967" s="24"/>
      <c r="AB967" s="24"/>
      <c r="AC967" s="2"/>
      <c r="AD967" s="2"/>
      <c r="AE967" s="2"/>
      <c r="AF967" s="2"/>
      <c r="AG967" s="2"/>
      <c r="AH967" s="2" t="e">
        <f>VLOOKUP(F967,vlookup!$A$2:$E$660,3,0)</f>
        <v>#N/A</v>
      </c>
      <c r="AI967" s="2"/>
      <c r="AJ967" s="2"/>
      <c r="AK967" s="2"/>
      <c r="AL967" s="2"/>
      <c r="AM967" s="2"/>
      <c r="AO967" s="2"/>
      <c r="AP967" s="2"/>
      <c r="AQ967" s="2"/>
      <c r="AR967" s="2"/>
      <c r="AS967" s="2"/>
      <c r="AT967" s="2"/>
      <c r="AU967" s="2"/>
    </row>
    <row r="968" spans="1:47" x14ac:dyDescent="0.25">
      <c r="A968" s="24"/>
      <c r="B968" s="24"/>
      <c r="C968" s="24"/>
      <c r="D968" s="24"/>
      <c r="E968" s="24"/>
      <c r="F968" s="24"/>
      <c r="G968" s="24"/>
      <c r="H968" s="26"/>
      <c r="I968" s="24"/>
      <c r="J968" s="25"/>
      <c r="K968" s="25"/>
      <c r="L968" s="24"/>
      <c r="M968" s="25"/>
      <c r="N968" s="24"/>
      <c r="O968" s="24"/>
      <c r="P968" s="24"/>
      <c r="Q968" s="24"/>
      <c r="R968" s="24"/>
      <c r="S968" s="25"/>
      <c r="T968" s="24"/>
      <c r="U968" s="24"/>
      <c r="V968" s="25"/>
      <c r="W968" s="24"/>
      <c r="X968" s="24"/>
      <c r="Y968" s="24"/>
      <c r="Z968" s="24"/>
      <c r="AA968" s="24"/>
      <c r="AB968" s="24"/>
      <c r="AC968" s="2"/>
      <c r="AD968" s="2"/>
      <c r="AE968" s="2"/>
      <c r="AF968" s="2"/>
      <c r="AG968" s="2"/>
      <c r="AH968" s="2" t="e">
        <f>VLOOKUP(F968,vlookup!$A$2:$E$660,3,0)</f>
        <v>#N/A</v>
      </c>
      <c r="AI968" s="2"/>
      <c r="AJ968" s="2"/>
      <c r="AK968" s="2"/>
      <c r="AL968" s="2"/>
      <c r="AM968" s="2"/>
      <c r="AO968" s="2"/>
      <c r="AP968" s="2"/>
      <c r="AQ968" s="2"/>
      <c r="AR968" s="2"/>
      <c r="AS968" s="2"/>
      <c r="AT968" s="2"/>
      <c r="AU968" s="2"/>
    </row>
    <row r="969" spans="1:47" x14ac:dyDescent="0.25">
      <c r="A969" s="24"/>
      <c r="B969" s="24"/>
      <c r="C969" s="24"/>
      <c r="D969" s="24"/>
      <c r="E969" s="24"/>
      <c r="F969" s="24"/>
      <c r="G969" s="24"/>
      <c r="H969" s="26"/>
      <c r="I969" s="24"/>
      <c r="J969" s="25"/>
      <c r="K969" s="25"/>
      <c r="L969" s="24"/>
      <c r="M969" s="25"/>
      <c r="N969" s="24"/>
      <c r="O969" s="24"/>
      <c r="P969" s="24"/>
      <c r="Q969" s="24"/>
      <c r="R969" s="24"/>
      <c r="S969" s="25"/>
      <c r="T969" s="24"/>
      <c r="U969" s="24"/>
      <c r="V969" s="25"/>
      <c r="W969" s="24"/>
      <c r="X969" s="24"/>
      <c r="Y969" s="24"/>
      <c r="Z969" s="24"/>
      <c r="AA969" s="24"/>
      <c r="AB969" s="24"/>
      <c r="AC969" s="2"/>
      <c r="AD969" s="2"/>
      <c r="AE969" s="2"/>
      <c r="AF969" s="2"/>
      <c r="AG969" s="2"/>
      <c r="AH969" s="2" t="e">
        <f>VLOOKUP(F969,vlookup!$A$2:$E$660,3,0)</f>
        <v>#N/A</v>
      </c>
      <c r="AI969" s="2"/>
      <c r="AJ969" s="2"/>
      <c r="AK969" s="2"/>
      <c r="AL969" s="2"/>
      <c r="AM969" s="2"/>
      <c r="AO969" s="2"/>
      <c r="AP969" s="2"/>
      <c r="AQ969" s="2"/>
      <c r="AR969" s="2"/>
      <c r="AS969" s="2"/>
      <c r="AT969" s="2"/>
      <c r="AU969" s="2"/>
    </row>
    <row r="970" spans="1:47" x14ac:dyDescent="0.25">
      <c r="A970" s="24"/>
      <c r="B970" s="24"/>
      <c r="C970" s="24"/>
      <c r="D970" s="24"/>
      <c r="E970" s="24"/>
      <c r="F970" s="24"/>
      <c r="G970" s="24"/>
      <c r="H970" s="26"/>
      <c r="I970" s="24"/>
      <c r="J970" s="25"/>
      <c r="K970" s="25"/>
      <c r="L970" s="24"/>
      <c r="M970" s="25"/>
      <c r="N970" s="24"/>
      <c r="O970" s="24"/>
      <c r="P970" s="24"/>
      <c r="Q970" s="24"/>
      <c r="R970" s="24"/>
      <c r="S970" s="25"/>
      <c r="T970" s="24"/>
      <c r="U970" s="24"/>
      <c r="V970" s="25"/>
      <c r="W970" s="24"/>
      <c r="X970" s="24"/>
      <c r="Y970" s="24"/>
      <c r="Z970" s="24"/>
      <c r="AA970" s="24"/>
      <c r="AB970" s="24"/>
      <c r="AC970" s="2"/>
      <c r="AD970" s="2"/>
      <c r="AE970" s="2"/>
      <c r="AF970" s="2"/>
      <c r="AG970" s="2"/>
      <c r="AH970" s="2" t="e">
        <f>VLOOKUP(F970,vlookup!$A$2:$E$660,3,0)</f>
        <v>#N/A</v>
      </c>
      <c r="AI970" s="2"/>
      <c r="AJ970" s="2"/>
      <c r="AK970" s="2"/>
      <c r="AL970" s="2"/>
      <c r="AM970" s="2"/>
      <c r="AO970" s="2"/>
      <c r="AP970" s="2"/>
      <c r="AQ970" s="2"/>
      <c r="AR970" s="2"/>
      <c r="AS970" s="2"/>
      <c r="AT970" s="2"/>
      <c r="AU970" s="2"/>
    </row>
    <row r="971" spans="1:47" x14ac:dyDescent="0.25">
      <c r="A971" s="24"/>
      <c r="B971" s="24"/>
      <c r="C971" s="24"/>
      <c r="D971" s="24"/>
      <c r="E971" s="24"/>
      <c r="F971" s="24"/>
      <c r="G971" s="24"/>
      <c r="H971" s="26"/>
      <c r="I971" s="24"/>
      <c r="J971" s="25"/>
      <c r="K971" s="25"/>
      <c r="L971" s="24"/>
      <c r="M971" s="25"/>
      <c r="N971" s="24"/>
      <c r="O971" s="24"/>
      <c r="P971" s="24"/>
      <c r="Q971" s="24"/>
      <c r="R971" s="24"/>
      <c r="S971" s="25"/>
      <c r="T971" s="24"/>
      <c r="U971" s="24"/>
      <c r="V971" s="25"/>
      <c r="W971" s="24"/>
      <c r="X971" s="24"/>
      <c r="Y971" s="24"/>
      <c r="Z971" s="24"/>
      <c r="AA971" s="24"/>
      <c r="AB971" s="24"/>
      <c r="AC971" s="2"/>
      <c r="AD971" s="2"/>
      <c r="AE971" s="2"/>
      <c r="AF971" s="2"/>
      <c r="AG971" s="2"/>
      <c r="AH971" s="2" t="e">
        <f>VLOOKUP(F971,vlookup!$A$2:$E$660,3,0)</f>
        <v>#N/A</v>
      </c>
      <c r="AI971" s="2"/>
      <c r="AJ971" s="2"/>
      <c r="AK971" s="2"/>
      <c r="AL971" s="2"/>
      <c r="AM971" s="2"/>
      <c r="AO971" s="2"/>
      <c r="AP971" s="2"/>
      <c r="AQ971" s="2"/>
      <c r="AR971" s="2"/>
      <c r="AS971" s="2"/>
      <c r="AT971" s="2"/>
      <c r="AU971" s="2"/>
    </row>
    <row r="972" spans="1:47" x14ac:dyDescent="0.25">
      <c r="A972" s="24"/>
      <c r="B972" s="24"/>
      <c r="C972" s="24"/>
      <c r="D972" s="24"/>
      <c r="E972" s="24"/>
      <c r="F972" s="24"/>
      <c r="G972" s="24"/>
      <c r="H972" s="26"/>
      <c r="I972" s="24"/>
      <c r="J972" s="25"/>
      <c r="K972" s="25"/>
      <c r="L972" s="24"/>
      <c r="M972" s="25"/>
      <c r="N972" s="24"/>
      <c r="O972" s="24"/>
      <c r="P972" s="24"/>
      <c r="Q972" s="24"/>
      <c r="R972" s="24"/>
      <c r="S972" s="25"/>
      <c r="T972" s="24"/>
      <c r="U972" s="24"/>
      <c r="V972" s="25"/>
      <c r="W972" s="24"/>
      <c r="X972" s="24"/>
      <c r="Y972" s="24"/>
      <c r="Z972" s="24"/>
      <c r="AA972" s="24"/>
      <c r="AB972" s="24"/>
      <c r="AC972" s="2"/>
      <c r="AD972" s="2"/>
      <c r="AE972" s="2"/>
      <c r="AF972" s="2"/>
      <c r="AG972" s="2"/>
      <c r="AH972" s="2" t="e">
        <f>VLOOKUP(F972,vlookup!$A$2:$E$660,3,0)</f>
        <v>#N/A</v>
      </c>
      <c r="AI972" s="2"/>
      <c r="AJ972" s="2"/>
      <c r="AK972" s="2"/>
      <c r="AL972" s="2"/>
      <c r="AM972" s="2"/>
      <c r="AO972" s="2"/>
      <c r="AP972" s="2"/>
      <c r="AQ972" s="2"/>
      <c r="AR972" s="2"/>
      <c r="AS972" s="2"/>
      <c r="AT972" s="2"/>
      <c r="AU972" s="2"/>
    </row>
    <row r="973" spans="1:47" x14ac:dyDescent="0.25">
      <c r="A973" s="24"/>
      <c r="B973" s="24"/>
      <c r="C973" s="24"/>
      <c r="D973" s="24"/>
      <c r="E973" s="24"/>
      <c r="F973" s="24"/>
      <c r="G973" s="24"/>
      <c r="H973" s="26"/>
      <c r="I973" s="24"/>
      <c r="J973" s="25"/>
      <c r="K973" s="25"/>
      <c r="L973" s="24"/>
      <c r="M973" s="25"/>
      <c r="N973" s="24"/>
      <c r="O973" s="24"/>
      <c r="P973" s="24"/>
      <c r="Q973" s="24"/>
      <c r="R973" s="24"/>
      <c r="S973" s="25"/>
      <c r="T973" s="24"/>
      <c r="U973" s="24"/>
      <c r="V973" s="25"/>
      <c r="W973" s="24"/>
      <c r="X973" s="24"/>
      <c r="Y973" s="24"/>
      <c r="Z973" s="24"/>
      <c r="AA973" s="24"/>
      <c r="AB973" s="24"/>
      <c r="AC973" s="2"/>
      <c r="AD973" s="2"/>
      <c r="AE973" s="2"/>
      <c r="AF973" s="2"/>
      <c r="AG973" s="2"/>
      <c r="AH973" s="2" t="e">
        <f>VLOOKUP(F973,vlookup!$A$2:$E$660,3,0)</f>
        <v>#N/A</v>
      </c>
      <c r="AI973" s="2"/>
      <c r="AJ973" s="2"/>
      <c r="AK973" s="2"/>
      <c r="AL973" s="2"/>
      <c r="AM973" s="2"/>
      <c r="AO973" s="2"/>
      <c r="AP973" s="2"/>
      <c r="AQ973" s="2"/>
      <c r="AR973" s="2"/>
      <c r="AS973" s="2"/>
      <c r="AT973" s="2"/>
      <c r="AU973" s="2"/>
    </row>
    <row r="974" spans="1:47" x14ac:dyDescent="0.25">
      <c r="A974" s="24"/>
      <c r="B974" s="24"/>
      <c r="C974" s="24"/>
      <c r="D974" s="24"/>
      <c r="E974" s="24"/>
      <c r="F974" s="24"/>
      <c r="G974" s="24"/>
      <c r="H974" s="26"/>
      <c r="I974" s="24"/>
      <c r="J974" s="25"/>
      <c r="K974" s="25"/>
      <c r="L974" s="24"/>
      <c r="M974" s="25"/>
      <c r="N974" s="24"/>
      <c r="O974" s="24"/>
      <c r="P974" s="24"/>
      <c r="Q974" s="24"/>
      <c r="R974" s="24"/>
      <c r="S974" s="25"/>
      <c r="T974" s="24"/>
      <c r="U974" s="24"/>
      <c r="V974" s="25"/>
      <c r="W974" s="24"/>
      <c r="X974" s="24"/>
      <c r="Y974" s="24"/>
      <c r="Z974" s="24"/>
      <c r="AA974" s="24"/>
      <c r="AB974" s="24"/>
      <c r="AC974" s="2"/>
      <c r="AD974" s="2"/>
      <c r="AE974" s="2"/>
      <c r="AF974" s="2"/>
      <c r="AG974" s="2"/>
      <c r="AH974" s="2" t="e">
        <f>VLOOKUP(F974,vlookup!$A$2:$E$660,3,0)</f>
        <v>#N/A</v>
      </c>
      <c r="AI974" s="2"/>
      <c r="AJ974" s="2"/>
      <c r="AK974" s="2"/>
      <c r="AL974" s="2"/>
      <c r="AM974" s="2"/>
      <c r="AO974" s="2"/>
      <c r="AP974" s="2"/>
      <c r="AQ974" s="2"/>
      <c r="AR974" s="2"/>
      <c r="AS974" s="2"/>
      <c r="AT974" s="2"/>
      <c r="AU974" s="2"/>
    </row>
    <row r="975" spans="1:47" x14ac:dyDescent="0.25">
      <c r="A975" s="24"/>
      <c r="B975" s="24"/>
      <c r="C975" s="24"/>
      <c r="D975" s="24"/>
      <c r="E975" s="24"/>
      <c r="F975" s="24"/>
      <c r="G975" s="24"/>
      <c r="H975" s="26"/>
      <c r="I975" s="24"/>
      <c r="J975" s="25"/>
      <c r="K975" s="25"/>
      <c r="L975" s="24"/>
      <c r="M975" s="25"/>
      <c r="N975" s="24"/>
      <c r="O975" s="24"/>
      <c r="P975" s="24"/>
      <c r="Q975" s="24"/>
      <c r="R975" s="24"/>
      <c r="S975" s="25"/>
      <c r="T975" s="24"/>
      <c r="U975" s="24"/>
      <c r="V975" s="25"/>
      <c r="W975" s="24"/>
      <c r="X975" s="24"/>
      <c r="Y975" s="24"/>
      <c r="Z975" s="24"/>
      <c r="AA975" s="24"/>
      <c r="AB975" s="24"/>
      <c r="AC975" s="2"/>
      <c r="AD975" s="2"/>
      <c r="AE975" s="2"/>
      <c r="AF975" s="2"/>
      <c r="AG975" s="2"/>
      <c r="AH975" s="2" t="e">
        <f>VLOOKUP(F975,vlookup!$A$2:$E$660,3,0)</f>
        <v>#N/A</v>
      </c>
      <c r="AI975" s="2"/>
      <c r="AJ975" s="2"/>
      <c r="AK975" s="2"/>
      <c r="AL975" s="2"/>
      <c r="AM975" s="2"/>
      <c r="AO975" s="2"/>
      <c r="AP975" s="2"/>
      <c r="AQ975" s="2"/>
      <c r="AR975" s="2"/>
      <c r="AS975" s="2"/>
      <c r="AT975" s="2"/>
      <c r="AU975" s="2"/>
    </row>
    <row r="976" spans="1:47" x14ac:dyDescent="0.25">
      <c r="A976" s="24"/>
      <c r="B976" s="24"/>
      <c r="C976" s="24"/>
      <c r="D976" s="24"/>
      <c r="E976" s="24"/>
      <c r="F976" s="24"/>
      <c r="G976" s="24"/>
      <c r="H976" s="26"/>
      <c r="I976" s="24"/>
      <c r="J976" s="25"/>
      <c r="K976" s="25"/>
      <c r="L976" s="24"/>
      <c r="M976" s="25"/>
      <c r="N976" s="24"/>
      <c r="O976" s="24"/>
      <c r="P976" s="24"/>
      <c r="Q976" s="24"/>
      <c r="R976" s="24"/>
      <c r="S976" s="25"/>
      <c r="T976" s="24"/>
      <c r="U976" s="24"/>
      <c r="V976" s="25"/>
      <c r="W976" s="24"/>
      <c r="X976" s="24"/>
      <c r="Y976" s="24"/>
      <c r="Z976" s="24"/>
      <c r="AA976" s="24"/>
      <c r="AB976" s="24"/>
      <c r="AC976" s="2"/>
      <c r="AD976" s="2"/>
      <c r="AE976" s="2"/>
      <c r="AF976" s="2"/>
      <c r="AG976" s="2"/>
      <c r="AH976" s="2" t="e">
        <f>VLOOKUP(F976,vlookup!$A$2:$E$660,3,0)</f>
        <v>#N/A</v>
      </c>
      <c r="AI976" s="2"/>
      <c r="AJ976" s="2"/>
      <c r="AK976" s="2"/>
      <c r="AL976" s="2"/>
      <c r="AM976" s="2"/>
      <c r="AO976" s="2"/>
      <c r="AP976" s="2"/>
      <c r="AQ976" s="2"/>
      <c r="AR976" s="2"/>
      <c r="AS976" s="2"/>
      <c r="AT976" s="2"/>
      <c r="AU976" s="2"/>
    </row>
    <row r="977" spans="1:47" x14ac:dyDescent="0.25">
      <c r="A977" s="24"/>
      <c r="B977" s="24"/>
      <c r="C977" s="24"/>
      <c r="D977" s="24"/>
      <c r="E977" s="24"/>
      <c r="F977" s="24"/>
      <c r="G977" s="24"/>
      <c r="H977" s="26"/>
      <c r="I977" s="24"/>
      <c r="J977" s="25"/>
      <c r="K977" s="25"/>
      <c r="L977" s="24"/>
      <c r="M977" s="25"/>
      <c r="N977" s="24"/>
      <c r="O977" s="24"/>
      <c r="P977" s="24"/>
      <c r="Q977" s="24"/>
      <c r="R977" s="24"/>
      <c r="S977" s="25"/>
      <c r="T977" s="24"/>
      <c r="U977" s="24"/>
      <c r="V977" s="25"/>
      <c r="W977" s="24"/>
      <c r="X977" s="24"/>
      <c r="Y977" s="24"/>
      <c r="Z977" s="24"/>
      <c r="AA977" s="24"/>
      <c r="AB977" s="24"/>
      <c r="AC977" s="2"/>
      <c r="AD977" s="2"/>
      <c r="AE977" s="2"/>
      <c r="AF977" s="2"/>
      <c r="AG977" s="2"/>
      <c r="AH977" s="2" t="e">
        <f>VLOOKUP(F977,vlookup!$A$2:$E$660,3,0)</f>
        <v>#N/A</v>
      </c>
      <c r="AI977" s="2"/>
      <c r="AJ977" s="2"/>
      <c r="AK977" s="2"/>
      <c r="AL977" s="2"/>
      <c r="AM977" s="2"/>
      <c r="AO977" s="2"/>
      <c r="AP977" s="2"/>
      <c r="AQ977" s="2"/>
      <c r="AR977" s="2"/>
      <c r="AS977" s="2"/>
      <c r="AT977" s="2"/>
      <c r="AU977" s="2"/>
    </row>
    <row r="978" spans="1:47" x14ac:dyDescent="0.25">
      <c r="A978" s="24"/>
      <c r="B978" s="24"/>
      <c r="C978" s="24"/>
      <c r="D978" s="24"/>
      <c r="E978" s="24"/>
      <c r="F978" s="24"/>
      <c r="G978" s="24"/>
      <c r="H978" s="26"/>
      <c r="I978" s="24"/>
      <c r="J978" s="25"/>
      <c r="K978" s="25"/>
      <c r="L978" s="24"/>
      <c r="M978" s="25"/>
      <c r="N978" s="24"/>
      <c r="O978" s="24"/>
      <c r="P978" s="24"/>
      <c r="Q978" s="24"/>
      <c r="R978" s="24"/>
      <c r="S978" s="25"/>
      <c r="T978" s="24"/>
      <c r="U978" s="24"/>
      <c r="V978" s="25"/>
      <c r="W978" s="24"/>
      <c r="X978" s="24"/>
      <c r="Y978" s="24"/>
      <c r="Z978" s="24"/>
      <c r="AA978" s="24"/>
      <c r="AB978" s="24"/>
      <c r="AC978" s="2"/>
      <c r="AD978" s="2"/>
      <c r="AE978" s="2"/>
      <c r="AF978" s="2"/>
      <c r="AG978" s="2"/>
      <c r="AH978" s="2" t="e">
        <f>VLOOKUP(F978,vlookup!$A$2:$E$660,3,0)</f>
        <v>#N/A</v>
      </c>
      <c r="AI978" s="2"/>
      <c r="AJ978" s="2"/>
      <c r="AK978" s="2"/>
      <c r="AL978" s="2"/>
      <c r="AM978" s="2"/>
      <c r="AO978" s="2"/>
      <c r="AP978" s="2"/>
      <c r="AQ978" s="2"/>
      <c r="AR978" s="2"/>
      <c r="AS978" s="2"/>
      <c r="AT978" s="2"/>
      <c r="AU978" s="2"/>
    </row>
    <row r="979" spans="1:47" x14ac:dyDescent="0.25">
      <c r="A979" s="24"/>
      <c r="B979" s="24"/>
      <c r="C979" s="24"/>
      <c r="D979" s="24"/>
      <c r="E979" s="24"/>
      <c r="F979" s="24"/>
      <c r="G979" s="24"/>
      <c r="H979" s="26"/>
      <c r="I979" s="24"/>
      <c r="J979" s="25"/>
      <c r="K979" s="25"/>
      <c r="L979" s="24"/>
      <c r="M979" s="25"/>
      <c r="N979" s="24"/>
      <c r="O979" s="24"/>
      <c r="P979" s="24"/>
      <c r="Q979" s="24"/>
      <c r="R979" s="24"/>
      <c r="S979" s="25"/>
      <c r="T979" s="24"/>
      <c r="U979" s="24"/>
      <c r="V979" s="25"/>
      <c r="W979" s="24"/>
      <c r="X979" s="24"/>
      <c r="Y979" s="24"/>
      <c r="Z979" s="24"/>
      <c r="AA979" s="24"/>
      <c r="AB979" s="24"/>
      <c r="AC979" s="2"/>
      <c r="AD979" s="2"/>
      <c r="AE979" s="2"/>
      <c r="AF979" s="2"/>
      <c r="AG979" s="2"/>
      <c r="AH979" s="2" t="e">
        <f>VLOOKUP(F979,vlookup!$A$2:$E$660,3,0)</f>
        <v>#N/A</v>
      </c>
      <c r="AI979" s="2"/>
      <c r="AJ979" s="2"/>
      <c r="AK979" s="2"/>
      <c r="AL979" s="2"/>
      <c r="AM979" s="2"/>
      <c r="AO979" s="2"/>
      <c r="AP979" s="2"/>
      <c r="AQ979" s="2"/>
      <c r="AR979" s="2"/>
      <c r="AS979" s="2"/>
      <c r="AT979" s="2"/>
      <c r="AU979" s="2"/>
    </row>
    <row r="980" spans="1:47" x14ac:dyDescent="0.25">
      <c r="A980" s="24"/>
      <c r="B980" s="24"/>
      <c r="C980" s="24"/>
      <c r="D980" s="24"/>
      <c r="E980" s="24"/>
      <c r="F980" s="24"/>
      <c r="G980" s="24"/>
      <c r="H980" s="26"/>
      <c r="I980" s="24"/>
      <c r="J980" s="25"/>
      <c r="K980" s="25"/>
      <c r="L980" s="24"/>
      <c r="M980" s="25"/>
      <c r="N980" s="24"/>
      <c r="O980" s="24"/>
      <c r="P980" s="24"/>
      <c r="Q980" s="24"/>
      <c r="R980" s="24"/>
      <c r="S980" s="25"/>
      <c r="T980" s="24"/>
      <c r="U980" s="24"/>
      <c r="V980" s="25"/>
      <c r="W980" s="24"/>
      <c r="X980" s="24"/>
      <c r="Y980" s="24"/>
      <c r="Z980" s="24"/>
      <c r="AA980" s="24"/>
      <c r="AB980" s="24"/>
      <c r="AC980" s="2"/>
      <c r="AD980" s="2"/>
      <c r="AE980" s="2"/>
      <c r="AF980" s="2"/>
      <c r="AG980" s="2"/>
      <c r="AH980" s="2" t="e">
        <f>VLOOKUP(F980,vlookup!$A$2:$E$660,3,0)</f>
        <v>#N/A</v>
      </c>
      <c r="AI980" s="2"/>
      <c r="AJ980" s="2"/>
      <c r="AK980" s="2"/>
      <c r="AL980" s="2"/>
      <c r="AM980" s="2"/>
      <c r="AO980" s="2"/>
      <c r="AP980" s="2"/>
      <c r="AQ980" s="2"/>
      <c r="AR980" s="2"/>
      <c r="AS980" s="2"/>
      <c r="AT980" s="2"/>
      <c r="AU980" s="2"/>
    </row>
    <row r="981" spans="1:47" x14ac:dyDescent="0.25">
      <c r="A981" s="24"/>
      <c r="B981" s="24"/>
      <c r="C981" s="24"/>
      <c r="D981" s="24"/>
      <c r="E981" s="24"/>
      <c r="F981" s="24"/>
      <c r="G981" s="24"/>
      <c r="H981" s="26"/>
      <c r="I981" s="24"/>
      <c r="J981" s="25"/>
      <c r="K981" s="25"/>
      <c r="L981" s="24"/>
      <c r="M981" s="25"/>
      <c r="N981" s="24"/>
      <c r="O981" s="24"/>
      <c r="P981" s="24"/>
      <c r="Q981" s="24"/>
      <c r="R981" s="24"/>
      <c r="S981" s="25"/>
      <c r="T981" s="24"/>
      <c r="U981" s="24"/>
      <c r="V981" s="25"/>
      <c r="W981" s="24"/>
      <c r="X981" s="24"/>
      <c r="Y981" s="24"/>
      <c r="Z981" s="24"/>
      <c r="AA981" s="24"/>
      <c r="AB981" s="24"/>
      <c r="AC981" s="2"/>
      <c r="AD981" s="2"/>
      <c r="AE981" s="2"/>
      <c r="AF981" s="2"/>
      <c r="AG981" s="2"/>
      <c r="AH981" s="2" t="e">
        <f>VLOOKUP(F981,vlookup!$A$2:$E$660,3,0)</f>
        <v>#N/A</v>
      </c>
      <c r="AI981" s="2"/>
      <c r="AJ981" s="2"/>
      <c r="AK981" s="2"/>
      <c r="AL981" s="2"/>
      <c r="AM981" s="2"/>
      <c r="AO981" s="2"/>
      <c r="AP981" s="2"/>
      <c r="AQ981" s="2"/>
      <c r="AR981" s="2"/>
      <c r="AS981" s="2"/>
      <c r="AT981" s="2"/>
      <c r="AU981" s="2"/>
    </row>
    <row r="982" spans="1:47" x14ac:dyDescent="0.25">
      <c r="A982" s="24"/>
      <c r="B982" s="24"/>
      <c r="C982" s="24"/>
      <c r="D982" s="24"/>
      <c r="E982" s="24"/>
      <c r="F982" s="24"/>
      <c r="G982" s="24"/>
      <c r="H982" s="26"/>
      <c r="I982" s="24"/>
      <c r="J982" s="25"/>
      <c r="K982" s="25"/>
      <c r="L982" s="24"/>
      <c r="M982" s="25"/>
      <c r="N982" s="24"/>
      <c r="O982" s="24"/>
      <c r="P982" s="24"/>
      <c r="Q982" s="24"/>
      <c r="R982" s="24"/>
      <c r="S982" s="25"/>
      <c r="T982" s="24"/>
      <c r="U982" s="24"/>
      <c r="V982" s="25"/>
      <c r="W982" s="24"/>
      <c r="X982" s="24"/>
      <c r="Y982" s="24"/>
      <c r="Z982" s="24"/>
      <c r="AA982" s="24"/>
      <c r="AB982" s="24"/>
      <c r="AC982" s="2"/>
      <c r="AD982" s="2"/>
      <c r="AE982" s="2"/>
      <c r="AF982" s="2"/>
      <c r="AG982" s="2"/>
      <c r="AH982" s="2" t="e">
        <f>VLOOKUP(F982,vlookup!$A$2:$E$660,3,0)</f>
        <v>#N/A</v>
      </c>
      <c r="AI982" s="2"/>
      <c r="AJ982" s="2"/>
      <c r="AK982" s="2"/>
      <c r="AL982" s="2"/>
      <c r="AM982" s="2"/>
      <c r="AO982" s="2"/>
      <c r="AP982" s="2"/>
      <c r="AQ982" s="2"/>
      <c r="AR982" s="2"/>
      <c r="AS982" s="2"/>
      <c r="AT982" s="2"/>
      <c r="AU982" s="2"/>
    </row>
    <row r="983" spans="1:47" x14ac:dyDescent="0.25">
      <c r="A983" s="24"/>
      <c r="B983" s="24"/>
      <c r="C983" s="24"/>
      <c r="D983" s="24"/>
      <c r="E983" s="24"/>
      <c r="F983" s="24"/>
      <c r="G983" s="24"/>
      <c r="H983" s="26"/>
      <c r="I983" s="24"/>
      <c r="J983" s="25"/>
      <c r="K983" s="25"/>
      <c r="L983" s="24"/>
      <c r="M983" s="25"/>
      <c r="N983" s="24"/>
      <c r="O983" s="24"/>
      <c r="P983" s="24"/>
      <c r="Q983" s="24"/>
      <c r="R983" s="24"/>
      <c r="S983" s="25"/>
      <c r="T983" s="24"/>
      <c r="U983" s="24"/>
      <c r="V983" s="25"/>
      <c r="W983" s="24"/>
      <c r="X983" s="24"/>
      <c r="Y983" s="24"/>
      <c r="Z983" s="24"/>
      <c r="AA983" s="24"/>
      <c r="AB983" s="24"/>
      <c r="AC983" s="2"/>
      <c r="AD983" s="2"/>
      <c r="AE983" s="2"/>
      <c r="AF983" s="2"/>
      <c r="AG983" s="2"/>
      <c r="AH983" s="2" t="e">
        <f>VLOOKUP(F983,vlookup!$A$2:$E$660,3,0)</f>
        <v>#N/A</v>
      </c>
      <c r="AI983" s="2"/>
      <c r="AJ983" s="2"/>
      <c r="AK983" s="2"/>
      <c r="AL983" s="2"/>
      <c r="AM983" s="2"/>
      <c r="AO983" s="2"/>
      <c r="AP983" s="2"/>
      <c r="AQ983" s="2"/>
      <c r="AR983" s="2"/>
      <c r="AS983" s="2"/>
      <c r="AT983" s="2"/>
      <c r="AU983" s="2"/>
    </row>
    <row r="984" spans="1:47" x14ac:dyDescent="0.25">
      <c r="A984" s="24"/>
      <c r="B984" s="24"/>
      <c r="C984" s="24"/>
      <c r="D984" s="24"/>
      <c r="E984" s="24"/>
      <c r="F984" s="24"/>
      <c r="G984" s="24"/>
      <c r="H984" s="26"/>
      <c r="I984" s="24"/>
      <c r="J984" s="25"/>
      <c r="K984" s="25"/>
      <c r="L984" s="24"/>
      <c r="M984" s="25"/>
      <c r="N984" s="24"/>
      <c r="O984" s="24"/>
      <c r="P984" s="24"/>
      <c r="Q984" s="24"/>
      <c r="R984" s="24"/>
      <c r="S984" s="25"/>
      <c r="T984" s="24"/>
      <c r="U984" s="24"/>
      <c r="V984" s="25"/>
      <c r="W984" s="24"/>
      <c r="X984" s="24"/>
      <c r="Y984" s="24"/>
      <c r="Z984" s="24"/>
      <c r="AA984" s="24"/>
      <c r="AB984" s="24"/>
      <c r="AC984" s="2"/>
      <c r="AD984" s="2"/>
      <c r="AE984" s="2"/>
      <c r="AF984" s="2"/>
      <c r="AG984" s="2"/>
      <c r="AH984" s="2" t="e">
        <f>VLOOKUP(F984,vlookup!$A$2:$E$660,3,0)</f>
        <v>#N/A</v>
      </c>
      <c r="AI984" s="2"/>
      <c r="AJ984" s="2"/>
      <c r="AK984" s="2"/>
      <c r="AL984" s="2"/>
      <c r="AM984" s="2"/>
      <c r="AO984" s="2"/>
      <c r="AP984" s="2"/>
      <c r="AQ984" s="2"/>
      <c r="AR984" s="2"/>
      <c r="AS984" s="2"/>
      <c r="AT984" s="2"/>
      <c r="AU984" s="2"/>
    </row>
    <row r="985" spans="1:47" x14ac:dyDescent="0.25">
      <c r="A985" s="24"/>
      <c r="B985" s="24"/>
      <c r="C985" s="24"/>
      <c r="D985" s="24"/>
      <c r="E985" s="24"/>
      <c r="F985" s="24"/>
      <c r="G985" s="24"/>
      <c r="H985" s="26"/>
      <c r="I985" s="24"/>
      <c r="J985" s="25"/>
      <c r="K985" s="25"/>
      <c r="L985" s="24"/>
      <c r="M985" s="25"/>
      <c r="N985" s="24"/>
      <c r="O985" s="24"/>
      <c r="P985" s="24"/>
      <c r="Q985" s="24"/>
      <c r="R985" s="24"/>
      <c r="S985" s="25"/>
      <c r="T985" s="24"/>
      <c r="U985" s="24"/>
      <c r="V985" s="25"/>
      <c r="W985" s="24"/>
      <c r="X985" s="24"/>
      <c r="Y985" s="24"/>
      <c r="Z985" s="24"/>
      <c r="AA985" s="24"/>
      <c r="AB985" s="24"/>
      <c r="AC985" s="2"/>
      <c r="AD985" s="2"/>
      <c r="AE985" s="2"/>
      <c r="AF985" s="2"/>
      <c r="AG985" s="2"/>
      <c r="AH985" s="2" t="e">
        <f>VLOOKUP(F985,vlookup!$A$2:$E$660,3,0)</f>
        <v>#N/A</v>
      </c>
      <c r="AI985" s="2"/>
      <c r="AJ985" s="2"/>
      <c r="AK985" s="2"/>
      <c r="AL985" s="2"/>
      <c r="AM985" s="2"/>
      <c r="AO985" s="2"/>
      <c r="AP985" s="2"/>
      <c r="AQ985" s="2"/>
      <c r="AR985" s="2"/>
      <c r="AS985" s="2"/>
      <c r="AT985" s="2"/>
      <c r="AU985" s="2"/>
    </row>
    <row r="986" spans="1:47" x14ac:dyDescent="0.25">
      <c r="A986" s="24"/>
      <c r="B986" s="24"/>
      <c r="C986" s="24"/>
      <c r="D986" s="24"/>
      <c r="E986" s="24"/>
      <c r="F986" s="24"/>
      <c r="G986" s="24"/>
      <c r="H986" s="26"/>
      <c r="I986" s="24"/>
      <c r="J986" s="25"/>
      <c r="K986" s="25"/>
      <c r="L986" s="24"/>
      <c r="M986" s="25"/>
      <c r="N986" s="24"/>
      <c r="O986" s="24"/>
      <c r="P986" s="24"/>
      <c r="Q986" s="24"/>
      <c r="R986" s="24"/>
      <c r="S986" s="25"/>
      <c r="T986" s="24"/>
      <c r="U986" s="24"/>
      <c r="V986" s="25"/>
      <c r="W986" s="24"/>
      <c r="X986" s="24"/>
      <c r="Y986" s="24"/>
      <c r="Z986" s="24"/>
      <c r="AA986" s="24"/>
      <c r="AB986" s="24"/>
      <c r="AC986" s="2"/>
      <c r="AD986" s="2"/>
      <c r="AE986" s="2"/>
      <c r="AF986" s="2"/>
      <c r="AG986" s="2"/>
      <c r="AH986" s="2" t="e">
        <f>VLOOKUP(F986,vlookup!$A$2:$E$660,3,0)</f>
        <v>#N/A</v>
      </c>
      <c r="AI986" s="2"/>
      <c r="AJ986" s="2"/>
      <c r="AK986" s="2"/>
      <c r="AL986" s="2"/>
      <c r="AM986" s="2"/>
      <c r="AO986" s="2"/>
      <c r="AP986" s="2"/>
      <c r="AQ986" s="2"/>
      <c r="AR986" s="2"/>
      <c r="AS986" s="2"/>
      <c r="AT986" s="2"/>
      <c r="AU986" s="2"/>
    </row>
    <row r="987" spans="1:47" x14ac:dyDescent="0.25">
      <c r="A987" s="24"/>
      <c r="B987" s="24"/>
      <c r="C987" s="24"/>
      <c r="D987" s="24"/>
      <c r="E987" s="24"/>
      <c r="F987" s="24"/>
      <c r="G987" s="24"/>
      <c r="H987" s="26"/>
      <c r="I987" s="24"/>
      <c r="J987" s="25"/>
      <c r="K987" s="25"/>
      <c r="L987" s="24"/>
      <c r="M987" s="25"/>
      <c r="N987" s="24"/>
      <c r="O987" s="24"/>
      <c r="P987" s="24"/>
      <c r="Q987" s="24"/>
      <c r="R987" s="24"/>
      <c r="S987" s="25"/>
      <c r="T987" s="24"/>
      <c r="U987" s="24"/>
      <c r="V987" s="25"/>
      <c r="W987" s="24"/>
      <c r="X987" s="24"/>
      <c r="Y987" s="24"/>
      <c r="Z987" s="24"/>
      <c r="AA987" s="24"/>
      <c r="AB987" s="24"/>
      <c r="AC987" s="2"/>
      <c r="AD987" s="2"/>
      <c r="AE987" s="2"/>
      <c r="AF987" s="2"/>
      <c r="AG987" s="2"/>
      <c r="AH987" s="2" t="e">
        <f>VLOOKUP(F987,vlookup!$A$2:$E$660,3,0)</f>
        <v>#N/A</v>
      </c>
      <c r="AI987" s="2"/>
      <c r="AJ987" s="2"/>
      <c r="AK987" s="2"/>
      <c r="AL987" s="2"/>
      <c r="AM987" s="2"/>
      <c r="AO987" s="2"/>
      <c r="AP987" s="2"/>
      <c r="AQ987" s="2"/>
      <c r="AR987" s="2"/>
      <c r="AS987" s="2"/>
      <c r="AT987" s="2"/>
      <c r="AU987" s="2"/>
    </row>
    <row r="988" spans="1:47" x14ac:dyDescent="0.25">
      <c r="A988" s="24"/>
      <c r="B988" s="24"/>
      <c r="C988" s="24"/>
      <c r="D988" s="24"/>
      <c r="E988" s="24"/>
      <c r="F988" s="24"/>
      <c r="G988" s="24"/>
      <c r="H988" s="26"/>
      <c r="I988" s="24"/>
      <c r="J988" s="25"/>
      <c r="K988" s="25"/>
      <c r="L988" s="24"/>
      <c r="M988" s="25"/>
      <c r="N988" s="24"/>
      <c r="O988" s="24"/>
      <c r="P988" s="24"/>
      <c r="Q988" s="24"/>
      <c r="R988" s="24"/>
      <c r="S988" s="25"/>
      <c r="T988" s="24"/>
      <c r="U988" s="24"/>
      <c r="V988" s="25"/>
      <c r="W988" s="24"/>
      <c r="X988" s="24"/>
      <c r="Y988" s="24"/>
      <c r="Z988" s="24"/>
      <c r="AA988" s="24"/>
      <c r="AB988" s="24"/>
      <c r="AC988" s="2"/>
      <c r="AD988" s="2"/>
      <c r="AE988" s="2"/>
      <c r="AF988" s="2"/>
      <c r="AG988" s="2"/>
      <c r="AH988" s="2" t="e">
        <f>VLOOKUP(F988,vlookup!$A$2:$E$660,3,0)</f>
        <v>#N/A</v>
      </c>
      <c r="AI988" s="2"/>
      <c r="AJ988" s="2"/>
      <c r="AK988" s="2"/>
      <c r="AL988" s="2"/>
      <c r="AM988" s="2"/>
      <c r="AO988" s="2"/>
      <c r="AP988" s="2"/>
      <c r="AQ988" s="2"/>
      <c r="AR988" s="2"/>
      <c r="AS988" s="2"/>
      <c r="AT988" s="2"/>
      <c r="AU988" s="2"/>
    </row>
    <row r="989" spans="1:47" x14ac:dyDescent="0.25">
      <c r="A989" s="24"/>
      <c r="B989" s="24"/>
      <c r="C989" s="24"/>
      <c r="D989" s="24"/>
      <c r="E989" s="24"/>
      <c r="F989" s="24"/>
      <c r="G989" s="24"/>
      <c r="H989" s="26"/>
      <c r="I989" s="24"/>
      <c r="J989" s="25"/>
      <c r="K989" s="25"/>
      <c r="L989" s="24"/>
      <c r="M989" s="25"/>
      <c r="N989" s="24"/>
      <c r="O989" s="24"/>
      <c r="P989" s="24"/>
      <c r="Q989" s="24"/>
      <c r="R989" s="24"/>
      <c r="S989" s="25"/>
      <c r="T989" s="24"/>
      <c r="U989" s="24"/>
      <c r="V989" s="25"/>
      <c r="W989" s="24"/>
      <c r="X989" s="24"/>
      <c r="Y989" s="24"/>
      <c r="Z989" s="24"/>
      <c r="AA989" s="24"/>
      <c r="AB989" s="24"/>
      <c r="AC989" s="2"/>
      <c r="AD989" s="2"/>
      <c r="AE989" s="2"/>
      <c r="AF989" s="2"/>
      <c r="AG989" s="2"/>
      <c r="AH989" s="2" t="e">
        <f>VLOOKUP(F989,vlookup!$A$2:$E$660,3,0)</f>
        <v>#N/A</v>
      </c>
      <c r="AI989" s="2"/>
      <c r="AJ989" s="2"/>
      <c r="AK989" s="2"/>
      <c r="AL989" s="2"/>
      <c r="AM989" s="2"/>
      <c r="AO989" s="2"/>
      <c r="AP989" s="2"/>
      <c r="AQ989" s="2"/>
      <c r="AR989" s="2"/>
      <c r="AS989" s="2"/>
      <c r="AT989" s="2"/>
      <c r="AU989" s="2"/>
    </row>
    <row r="990" spans="1:47" x14ac:dyDescent="0.25">
      <c r="A990" s="24"/>
      <c r="B990" s="24"/>
      <c r="C990" s="24"/>
      <c r="D990" s="24"/>
      <c r="E990" s="24"/>
      <c r="F990" s="24"/>
      <c r="G990" s="24"/>
      <c r="H990" s="26"/>
      <c r="I990" s="24"/>
      <c r="J990" s="25"/>
      <c r="K990" s="25"/>
      <c r="L990" s="24"/>
      <c r="M990" s="25"/>
      <c r="N990" s="24"/>
      <c r="O990" s="24"/>
      <c r="P990" s="24"/>
      <c r="Q990" s="24"/>
      <c r="R990" s="24"/>
      <c r="S990" s="25"/>
      <c r="T990" s="24"/>
      <c r="U990" s="24"/>
      <c r="V990" s="25"/>
      <c r="W990" s="24"/>
      <c r="X990" s="24"/>
      <c r="Y990" s="24"/>
      <c r="Z990" s="24"/>
      <c r="AA990" s="24"/>
      <c r="AB990" s="24"/>
      <c r="AC990" s="2"/>
      <c r="AD990" s="2"/>
      <c r="AE990" s="2"/>
      <c r="AF990" s="2"/>
      <c r="AG990" s="2"/>
      <c r="AH990" s="2" t="e">
        <f>VLOOKUP(F990,vlookup!$A$2:$E$660,3,0)</f>
        <v>#N/A</v>
      </c>
      <c r="AI990" s="2"/>
      <c r="AJ990" s="2"/>
      <c r="AK990" s="2"/>
      <c r="AL990" s="2"/>
      <c r="AM990" s="2"/>
      <c r="AO990" s="2"/>
      <c r="AP990" s="2"/>
      <c r="AQ990" s="2"/>
      <c r="AR990" s="2"/>
      <c r="AS990" s="2"/>
      <c r="AT990" s="2"/>
      <c r="AU990" s="2"/>
    </row>
    <row r="991" spans="1:47" x14ac:dyDescent="0.25">
      <c r="A991" s="24"/>
      <c r="B991" s="24"/>
      <c r="C991" s="24"/>
      <c r="D991" s="24"/>
      <c r="E991" s="24"/>
      <c r="F991" s="24"/>
      <c r="G991" s="24"/>
      <c r="H991" s="26"/>
      <c r="I991" s="24"/>
      <c r="J991" s="25"/>
      <c r="K991" s="25"/>
      <c r="L991" s="24"/>
      <c r="M991" s="25"/>
      <c r="N991" s="24"/>
      <c r="O991" s="24"/>
      <c r="P991" s="24"/>
      <c r="Q991" s="24"/>
      <c r="R991" s="24"/>
      <c r="S991" s="25"/>
      <c r="T991" s="24"/>
      <c r="U991" s="24"/>
      <c r="V991" s="25"/>
      <c r="W991" s="24"/>
      <c r="X991" s="24"/>
      <c r="Y991" s="24"/>
      <c r="Z991" s="24"/>
      <c r="AA991" s="24"/>
      <c r="AB991" s="24"/>
      <c r="AC991" s="2"/>
      <c r="AD991" s="2"/>
      <c r="AE991" s="2"/>
      <c r="AF991" s="2"/>
      <c r="AG991" s="2"/>
      <c r="AH991" s="2" t="e">
        <f>VLOOKUP(F991,vlookup!$A$2:$E$660,3,0)</f>
        <v>#N/A</v>
      </c>
      <c r="AI991" s="2"/>
      <c r="AJ991" s="2"/>
      <c r="AK991" s="2"/>
      <c r="AL991" s="2"/>
      <c r="AM991" s="2"/>
      <c r="AO991" s="2"/>
      <c r="AP991" s="2"/>
      <c r="AQ991" s="2"/>
      <c r="AR991" s="2"/>
      <c r="AS991" s="2"/>
      <c r="AT991" s="2"/>
      <c r="AU991" s="2"/>
    </row>
    <row r="992" spans="1:47" x14ac:dyDescent="0.25">
      <c r="A992" s="24"/>
      <c r="B992" s="24"/>
      <c r="C992" s="24"/>
      <c r="D992" s="24"/>
      <c r="E992" s="24"/>
      <c r="F992" s="24"/>
      <c r="G992" s="24"/>
      <c r="H992" s="26"/>
      <c r="I992" s="24"/>
      <c r="J992" s="25"/>
      <c r="K992" s="25"/>
      <c r="L992" s="24"/>
      <c r="M992" s="25"/>
      <c r="N992" s="24"/>
      <c r="O992" s="24"/>
      <c r="P992" s="24"/>
      <c r="Q992" s="24"/>
      <c r="R992" s="24"/>
      <c r="S992" s="25"/>
      <c r="T992" s="24"/>
      <c r="U992" s="24"/>
      <c r="V992" s="25"/>
      <c r="W992" s="24"/>
      <c r="X992" s="24"/>
      <c r="Y992" s="24"/>
      <c r="Z992" s="24"/>
      <c r="AA992" s="24"/>
      <c r="AB992" s="24"/>
      <c r="AC992" s="2"/>
      <c r="AD992" s="2"/>
      <c r="AE992" s="2"/>
      <c r="AF992" s="2"/>
      <c r="AG992" s="2"/>
      <c r="AH992" s="2" t="e">
        <f>VLOOKUP(F992,vlookup!$A$2:$E$660,3,0)</f>
        <v>#N/A</v>
      </c>
      <c r="AI992" s="2"/>
      <c r="AJ992" s="2"/>
      <c r="AK992" s="2"/>
      <c r="AL992" s="2"/>
      <c r="AM992" s="2"/>
      <c r="AO992" s="2"/>
      <c r="AP992" s="2"/>
      <c r="AQ992" s="2"/>
      <c r="AR992" s="2"/>
      <c r="AS992" s="2"/>
      <c r="AT992" s="2"/>
      <c r="AU992" s="2"/>
    </row>
    <row r="993" spans="1:47" x14ac:dyDescent="0.25">
      <c r="A993" s="24"/>
      <c r="B993" s="24"/>
      <c r="C993" s="24"/>
      <c r="D993" s="24"/>
      <c r="E993" s="24"/>
      <c r="F993" s="24"/>
      <c r="G993" s="24"/>
      <c r="H993" s="26"/>
      <c r="I993" s="24"/>
      <c r="J993" s="25"/>
      <c r="K993" s="25"/>
      <c r="L993" s="24"/>
      <c r="M993" s="25"/>
      <c r="N993" s="24"/>
      <c r="O993" s="24"/>
      <c r="P993" s="24"/>
      <c r="Q993" s="24"/>
      <c r="R993" s="24"/>
      <c r="S993" s="25"/>
      <c r="T993" s="24"/>
      <c r="U993" s="24"/>
      <c r="V993" s="25"/>
      <c r="W993" s="24"/>
      <c r="X993" s="24"/>
      <c r="Y993" s="24"/>
      <c r="Z993" s="24"/>
      <c r="AA993" s="24"/>
      <c r="AB993" s="24"/>
      <c r="AC993" s="2"/>
      <c r="AD993" s="2"/>
      <c r="AE993" s="2"/>
      <c r="AF993" s="2"/>
      <c r="AG993" s="2"/>
      <c r="AH993" s="2" t="e">
        <f>VLOOKUP(F993,vlookup!$A$2:$E$660,3,0)</f>
        <v>#N/A</v>
      </c>
      <c r="AI993" s="2"/>
      <c r="AJ993" s="2"/>
      <c r="AK993" s="2"/>
      <c r="AL993" s="2"/>
      <c r="AM993" s="2"/>
      <c r="AO993" s="2"/>
      <c r="AP993" s="2"/>
      <c r="AQ993" s="2"/>
      <c r="AR993" s="2"/>
      <c r="AS993" s="2"/>
      <c r="AT993" s="2"/>
      <c r="AU993" s="2"/>
    </row>
    <row r="994" spans="1:47" x14ac:dyDescent="0.25">
      <c r="A994" s="24"/>
      <c r="B994" s="24"/>
      <c r="C994" s="24"/>
      <c r="D994" s="24"/>
      <c r="E994" s="24"/>
      <c r="F994" s="24"/>
      <c r="G994" s="24"/>
      <c r="H994" s="26"/>
      <c r="I994" s="24"/>
      <c r="J994" s="25"/>
      <c r="K994" s="25"/>
      <c r="L994" s="24"/>
      <c r="M994" s="25"/>
      <c r="N994" s="24"/>
      <c r="O994" s="24"/>
      <c r="P994" s="24"/>
      <c r="Q994" s="24"/>
      <c r="R994" s="24"/>
      <c r="S994" s="25"/>
      <c r="T994" s="24"/>
      <c r="U994" s="24"/>
      <c r="V994" s="25"/>
      <c r="W994" s="24"/>
      <c r="X994" s="24"/>
      <c r="Y994" s="24"/>
      <c r="Z994" s="24"/>
      <c r="AA994" s="24"/>
      <c r="AB994" s="24"/>
      <c r="AC994" s="2"/>
      <c r="AD994" s="2"/>
      <c r="AE994" s="2"/>
      <c r="AF994" s="2"/>
      <c r="AG994" s="2"/>
      <c r="AH994" s="2" t="e">
        <f>VLOOKUP(F994,vlookup!$A$2:$E$660,3,0)</f>
        <v>#N/A</v>
      </c>
      <c r="AI994" s="2"/>
      <c r="AJ994" s="2"/>
      <c r="AK994" s="2"/>
      <c r="AL994" s="2"/>
      <c r="AM994" s="2"/>
      <c r="AO994" s="2"/>
      <c r="AP994" s="2"/>
      <c r="AQ994" s="2"/>
      <c r="AR994" s="2"/>
      <c r="AS994" s="2"/>
      <c r="AT994" s="2"/>
      <c r="AU994" s="2"/>
    </row>
    <row r="995" spans="1:47" x14ac:dyDescent="0.25">
      <c r="A995" s="24"/>
      <c r="B995" s="24"/>
      <c r="C995" s="24"/>
      <c r="D995" s="24"/>
      <c r="E995" s="24"/>
      <c r="F995" s="24"/>
      <c r="G995" s="24"/>
      <c r="H995" s="26"/>
      <c r="I995" s="24"/>
      <c r="J995" s="25"/>
      <c r="K995" s="25"/>
      <c r="L995" s="24"/>
      <c r="M995" s="25"/>
      <c r="N995" s="24"/>
      <c r="O995" s="24"/>
      <c r="P995" s="24"/>
      <c r="Q995" s="24"/>
      <c r="R995" s="24"/>
      <c r="S995" s="25"/>
      <c r="T995" s="24"/>
      <c r="U995" s="24"/>
      <c r="V995" s="25"/>
      <c r="W995" s="24"/>
      <c r="X995" s="24"/>
      <c r="Y995" s="24"/>
      <c r="Z995" s="24"/>
      <c r="AA995" s="24"/>
      <c r="AB995" s="24"/>
      <c r="AC995" s="2"/>
      <c r="AD995" s="2"/>
      <c r="AE995" s="2"/>
      <c r="AF995" s="2"/>
      <c r="AG995" s="2"/>
      <c r="AH995" s="2" t="e">
        <f>VLOOKUP(F995,vlookup!$A$2:$E$660,3,0)</f>
        <v>#N/A</v>
      </c>
      <c r="AI995" s="2"/>
      <c r="AJ995" s="2"/>
      <c r="AK995" s="2"/>
      <c r="AL995" s="2"/>
      <c r="AM995" s="2"/>
      <c r="AO995" s="2"/>
      <c r="AP995" s="2"/>
      <c r="AQ995" s="2"/>
      <c r="AR995" s="2"/>
      <c r="AS995" s="2"/>
      <c r="AT995" s="2"/>
      <c r="AU995" s="2"/>
    </row>
    <row r="996" spans="1:47" x14ac:dyDescent="0.25">
      <c r="A996" s="24"/>
      <c r="B996" s="24"/>
      <c r="C996" s="24"/>
      <c r="D996" s="24"/>
      <c r="E996" s="24"/>
      <c r="F996" s="24"/>
      <c r="G996" s="24"/>
      <c r="H996" s="26"/>
      <c r="I996" s="24"/>
      <c r="J996" s="25"/>
      <c r="K996" s="25"/>
      <c r="L996" s="24"/>
      <c r="M996" s="25"/>
      <c r="N996" s="24"/>
      <c r="O996" s="24"/>
      <c r="P996" s="24"/>
      <c r="Q996" s="24"/>
      <c r="R996" s="24"/>
      <c r="S996" s="25"/>
      <c r="T996" s="24"/>
      <c r="U996" s="24"/>
      <c r="V996" s="25"/>
      <c r="W996" s="24"/>
      <c r="X996" s="24"/>
      <c r="Y996" s="24"/>
      <c r="Z996" s="24"/>
      <c r="AA996" s="24"/>
      <c r="AB996" s="24"/>
      <c r="AC996" s="2"/>
      <c r="AD996" s="2"/>
      <c r="AE996" s="2"/>
      <c r="AF996" s="2"/>
      <c r="AG996" s="2"/>
      <c r="AH996" s="2" t="e">
        <f>VLOOKUP(F996,vlookup!$A$2:$E$660,3,0)</f>
        <v>#N/A</v>
      </c>
      <c r="AI996" s="2"/>
      <c r="AJ996" s="2"/>
      <c r="AK996" s="2"/>
      <c r="AL996" s="2"/>
      <c r="AM996" s="2"/>
      <c r="AO996" s="2"/>
      <c r="AP996" s="2"/>
      <c r="AQ996" s="2"/>
      <c r="AR996" s="2"/>
      <c r="AS996" s="2"/>
      <c r="AT996" s="2"/>
      <c r="AU996" s="2"/>
    </row>
    <row r="997" spans="1:47" x14ac:dyDescent="0.25">
      <c r="A997" s="24"/>
      <c r="B997" s="24"/>
      <c r="C997" s="24"/>
      <c r="D997" s="24"/>
      <c r="E997" s="24"/>
      <c r="F997" s="24"/>
      <c r="G997" s="24"/>
      <c r="H997" s="26"/>
      <c r="I997" s="24"/>
      <c r="J997" s="25"/>
      <c r="K997" s="25"/>
      <c r="L997" s="24"/>
      <c r="M997" s="25"/>
      <c r="N997" s="24"/>
      <c r="O997" s="24"/>
      <c r="P997" s="24"/>
      <c r="Q997" s="24"/>
      <c r="R997" s="24"/>
      <c r="S997" s="25"/>
      <c r="T997" s="24"/>
      <c r="U997" s="24"/>
      <c r="V997" s="25"/>
      <c r="W997" s="24"/>
      <c r="X997" s="24"/>
      <c r="Y997" s="24"/>
      <c r="Z997" s="24"/>
      <c r="AA997" s="24"/>
      <c r="AB997" s="24"/>
      <c r="AC997" s="2"/>
      <c r="AD997" s="2"/>
      <c r="AE997" s="2"/>
      <c r="AF997" s="2"/>
      <c r="AG997" s="2"/>
      <c r="AH997" s="2" t="e">
        <f>VLOOKUP(F997,vlookup!$A$2:$E$660,3,0)</f>
        <v>#N/A</v>
      </c>
      <c r="AI997" s="2"/>
      <c r="AJ997" s="2"/>
      <c r="AK997" s="2"/>
      <c r="AL997" s="2"/>
      <c r="AM997" s="2"/>
      <c r="AO997" s="2"/>
      <c r="AP997" s="2"/>
      <c r="AQ997" s="2"/>
      <c r="AR997" s="2"/>
      <c r="AS997" s="2"/>
      <c r="AT997" s="2"/>
      <c r="AU997" s="2"/>
    </row>
    <row r="998" spans="1:47" x14ac:dyDescent="0.25">
      <c r="A998" s="24"/>
      <c r="B998" s="24"/>
      <c r="C998" s="24"/>
      <c r="D998" s="24"/>
      <c r="E998" s="24"/>
      <c r="F998" s="24"/>
      <c r="G998" s="24"/>
      <c r="H998" s="26"/>
      <c r="I998" s="24"/>
      <c r="J998" s="25"/>
      <c r="K998" s="25"/>
      <c r="L998" s="24"/>
      <c r="M998" s="25"/>
      <c r="N998" s="24"/>
      <c r="O998" s="24"/>
      <c r="P998" s="24"/>
      <c r="Q998" s="24"/>
      <c r="R998" s="24"/>
      <c r="S998" s="25"/>
      <c r="T998" s="24"/>
      <c r="U998" s="24"/>
      <c r="V998" s="25"/>
      <c r="W998" s="24"/>
      <c r="X998" s="24"/>
      <c r="Y998" s="24"/>
      <c r="Z998" s="24"/>
      <c r="AA998" s="24"/>
      <c r="AB998" s="24"/>
      <c r="AC998" s="2"/>
      <c r="AD998" s="2"/>
      <c r="AE998" s="2"/>
      <c r="AF998" s="2"/>
      <c r="AG998" s="2"/>
      <c r="AH998" s="2" t="e">
        <f>VLOOKUP(F998,vlookup!$A$2:$E$660,3,0)</f>
        <v>#N/A</v>
      </c>
      <c r="AI998" s="2"/>
      <c r="AJ998" s="2"/>
      <c r="AK998" s="2"/>
      <c r="AL998" s="2"/>
      <c r="AM998" s="2"/>
      <c r="AO998" s="2"/>
      <c r="AP998" s="2"/>
      <c r="AQ998" s="2"/>
      <c r="AR998" s="2"/>
      <c r="AS998" s="2"/>
      <c r="AT998" s="2"/>
      <c r="AU998" s="2"/>
    </row>
    <row r="999" spans="1:47" x14ac:dyDescent="0.25">
      <c r="A999" s="24"/>
      <c r="B999" s="24"/>
      <c r="C999" s="24"/>
      <c r="D999" s="24"/>
      <c r="E999" s="24"/>
      <c r="F999" s="24"/>
      <c r="G999" s="24"/>
      <c r="H999" s="26"/>
      <c r="I999" s="24"/>
      <c r="J999" s="25"/>
      <c r="K999" s="25"/>
      <c r="L999" s="24"/>
      <c r="M999" s="25"/>
      <c r="N999" s="24"/>
      <c r="O999" s="24"/>
      <c r="P999" s="24"/>
      <c r="Q999" s="24"/>
      <c r="R999" s="24"/>
      <c r="S999" s="25"/>
      <c r="T999" s="24"/>
      <c r="U999" s="24"/>
      <c r="V999" s="25"/>
      <c r="W999" s="24"/>
      <c r="X999" s="24"/>
      <c r="Y999" s="24"/>
      <c r="Z999" s="24"/>
      <c r="AA999" s="24"/>
      <c r="AB999" s="24"/>
      <c r="AC999" s="2"/>
      <c r="AD999" s="2"/>
      <c r="AE999" s="2"/>
      <c r="AF999" s="2"/>
      <c r="AG999" s="2"/>
      <c r="AH999" s="2" t="e">
        <f>VLOOKUP(F999,vlookup!$A$2:$E$660,3,0)</f>
        <v>#N/A</v>
      </c>
      <c r="AI999" s="2"/>
      <c r="AJ999" s="2"/>
      <c r="AK999" s="2"/>
      <c r="AL999" s="2"/>
      <c r="AM999" s="2"/>
      <c r="AO999" s="2"/>
      <c r="AP999" s="2"/>
      <c r="AQ999" s="2"/>
      <c r="AR999" s="2"/>
      <c r="AS999" s="2"/>
      <c r="AT999" s="2"/>
      <c r="AU999" s="2"/>
    </row>
    <row r="1000" spans="1:47" x14ac:dyDescent="0.25">
      <c r="A1000" s="24"/>
      <c r="B1000" s="24"/>
      <c r="C1000" s="24"/>
      <c r="D1000" s="24"/>
      <c r="E1000" s="24"/>
      <c r="F1000" s="24"/>
      <c r="G1000" s="24"/>
      <c r="H1000" s="26"/>
      <c r="I1000" s="24"/>
      <c r="J1000" s="25"/>
      <c r="K1000" s="25"/>
      <c r="L1000" s="24"/>
      <c r="M1000" s="25"/>
      <c r="N1000" s="24"/>
      <c r="O1000" s="24"/>
      <c r="P1000" s="24"/>
      <c r="Q1000" s="24"/>
      <c r="R1000" s="24"/>
      <c r="S1000" s="25"/>
      <c r="T1000" s="24"/>
      <c r="U1000" s="24"/>
      <c r="V1000" s="25"/>
      <c r="W1000" s="24"/>
      <c r="X1000" s="24"/>
      <c r="Y1000" s="24"/>
      <c r="Z1000" s="24"/>
      <c r="AA1000" s="24"/>
      <c r="AB1000" s="24"/>
      <c r="AC1000" s="2"/>
      <c r="AD1000" s="2"/>
      <c r="AE1000" s="2"/>
      <c r="AF1000" s="2"/>
      <c r="AG1000" s="2"/>
      <c r="AH1000" s="2" t="e">
        <f>VLOOKUP(F1000,vlookup!$A$2:$E$660,3,0)</f>
        <v>#N/A</v>
      </c>
      <c r="AI1000" s="2"/>
      <c r="AJ1000" s="2"/>
      <c r="AK1000" s="2"/>
      <c r="AL1000" s="2"/>
      <c r="AM1000" s="2"/>
      <c r="AO1000" s="2"/>
      <c r="AP1000" s="2"/>
      <c r="AQ1000" s="2"/>
      <c r="AR1000" s="2"/>
      <c r="AS1000" s="2"/>
      <c r="AT1000" s="2"/>
      <c r="AU1000" s="2"/>
    </row>
    <row r="1001" spans="1:47" x14ac:dyDescent="0.25">
      <c r="A1001" s="24"/>
      <c r="B1001" s="24"/>
      <c r="C1001" s="24"/>
      <c r="D1001" s="24"/>
      <c r="E1001" s="24"/>
      <c r="F1001" s="24"/>
      <c r="G1001" s="24"/>
      <c r="H1001" s="26"/>
      <c r="I1001" s="24"/>
      <c r="J1001" s="25"/>
      <c r="K1001" s="25"/>
      <c r="L1001" s="24"/>
      <c r="M1001" s="25"/>
      <c r="N1001" s="24"/>
      <c r="O1001" s="24"/>
      <c r="P1001" s="24"/>
      <c r="Q1001" s="24"/>
      <c r="R1001" s="24"/>
      <c r="S1001" s="25"/>
      <c r="T1001" s="24"/>
      <c r="U1001" s="24"/>
      <c r="V1001" s="25"/>
      <c r="W1001" s="24"/>
      <c r="X1001" s="24"/>
      <c r="Y1001" s="24"/>
      <c r="Z1001" s="24"/>
      <c r="AA1001" s="24"/>
      <c r="AB1001" s="24"/>
      <c r="AC1001" s="2"/>
      <c r="AD1001" s="2"/>
      <c r="AE1001" s="2"/>
      <c r="AF1001" s="2"/>
      <c r="AG1001" s="2"/>
      <c r="AH1001" s="2" t="e">
        <f>VLOOKUP(F1001,vlookup!$A$2:$E$660,3,0)</f>
        <v>#N/A</v>
      </c>
      <c r="AI1001" s="2"/>
      <c r="AJ1001" s="2"/>
      <c r="AK1001" s="2"/>
      <c r="AL1001" s="2"/>
      <c r="AM1001" s="2"/>
      <c r="AO1001" s="2"/>
      <c r="AP1001" s="2"/>
      <c r="AQ1001" s="2"/>
      <c r="AR1001" s="2"/>
      <c r="AS1001" s="2"/>
      <c r="AT1001" s="2"/>
      <c r="AU1001" s="2"/>
    </row>
    <row r="1002" spans="1:47" x14ac:dyDescent="0.25">
      <c r="A1002" s="24"/>
      <c r="B1002" s="24"/>
      <c r="C1002" s="24"/>
      <c r="D1002" s="24"/>
      <c r="E1002" s="24"/>
      <c r="F1002" s="24"/>
      <c r="G1002" s="24"/>
      <c r="H1002" s="26"/>
      <c r="I1002" s="24"/>
      <c r="J1002" s="25"/>
      <c r="K1002" s="25"/>
      <c r="L1002" s="24"/>
      <c r="M1002" s="25"/>
      <c r="N1002" s="24"/>
      <c r="O1002" s="24"/>
      <c r="P1002" s="24"/>
      <c r="Q1002" s="24"/>
      <c r="R1002" s="24"/>
      <c r="S1002" s="25"/>
      <c r="T1002" s="24"/>
      <c r="U1002" s="24"/>
      <c r="V1002" s="25"/>
      <c r="W1002" s="24"/>
      <c r="X1002" s="24"/>
      <c r="Y1002" s="24"/>
      <c r="Z1002" s="24"/>
      <c r="AA1002" s="24"/>
      <c r="AB1002" s="24"/>
      <c r="AC1002" s="2"/>
      <c r="AD1002" s="2"/>
      <c r="AE1002" s="2"/>
      <c r="AF1002" s="2"/>
      <c r="AG1002" s="2"/>
      <c r="AH1002" s="2" t="e">
        <f>VLOOKUP(F1002,vlookup!$A$2:$E$660,3,0)</f>
        <v>#N/A</v>
      </c>
      <c r="AI1002" s="2"/>
      <c r="AJ1002" s="2"/>
      <c r="AK1002" s="2"/>
      <c r="AL1002" s="2"/>
      <c r="AM1002" s="2"/>
      <c r="AO1002" s="2"/>
      <c r="AP1002" s="2"/>
      <c r="AQ1002" s="2"/>
      <c r="AR1002" s="2"/>
      <c r="AS1002" s="2"/>
      <c r="AT1002" s="2"/>
      <c r="AU1002" s="2"/>
    </row>
    <row r="1003" spans="1:47" x14ac:dyDescent="0.25">
      <c r="A1003" s="24"/>
      <c r="B1003" s="24"/>
      <c r="C1003" s="24"/>
      <c r="D1003" s="24"/>
      <c r="E1003" s="24"/>
      <c r="F1003" s="24"/>
      <c r="G1003" s="24"/>
      <c r="H1003" s="26"/>
      <c r="I1003" s="24"/>
      <c r="J1003" s="25"/>
      <c r="K1003" s="25"/>
      <c r="L1003" s="24"/>
      <c r="M1003" s="25"/>
      <c r="N1003" s="24"/>
      <c r="O1003" s="24"/>
      <c r="P1003" s="24"/>
      <c r="Q1003" s="24"/>
      <c r="R1003" s="24"/>
      <c r="S1003" s="25"/>
      <c r="T1003" s="24"/>
      <c r="U1003" s="24"/>
      <c r="V1003" s="25"/>
      <c r="W1003" s="24"/>
      <c r="X1003" s="24"/>
      <c r="Y1003" s="24"/>
      <c r="Z1003" s="24"/>
      <c r="AA1003" s="24"/>
      <c r="AB1003" s="24"/>
      <c r="AC1003" s="2"/>
      <c r="AD1003" s="2"/>
      <c r="AE1003" s="2"/>
      <c r="AF1003" s="2"/>
      <c r="AG1003" s="2"/>
      <c r="AH1003" s="2" t="e">
        <f>VLOOKUP(F1003,vlookup!$A$2:$E$660,3,0)</f>
        <v>#N/A</v>
      </c>
      <c r="AI1003" s="2"/>
      <c r="AJ1003" s="2"/>
      <c r="AK1003" s="2"/>
      <c r="AL1003" s="2"/>
      <c r="AM1003" s="2"/>
      <c r="AO1003" s="2"/>
      <c r="AP1003" s="2"/>
      <c r="AQ1003" s="2"/>
      <c r="AR1003" s="2"/>
      <c r="AS1003" s="2"/>
      <c r="AT1003" s="2"/>
      <c r="AU1003" s="2"/>
    </row>
    <row r="1004" spans="1:47" x14ac:dyDescent="0.25">
      <c r="A1004" s="24"/>
      <c r="B1004" s="24"/>
      <c r="C1004" s="24"/>
      <c r="D1004" s="24"/>
      <c r="E1004" s="24"/>
      <c r="F1004" s="24"/>
      <c r="G1004" s="24"/>
      <c r="H1004" s="26"/>
      <c r="I1004" s="24"/>
      <c r="J1004" s="25"/>
      <c r="K1004" s="25"/>
      <c r="L1004" s="24"/>
      <c r="M1004" s="25"/>
      <c r="N1004" s="24"/>
      <c r="O1004" s="24"/>
      <c r="P1004" s="24"/>
      <c r="Q1004" s="24"/>
      <c r="R1004" s="24"/>
      <c r="S1004" s="25"/>
      <c r="T1004" s="24"/>
      <c r="U1004" s="24"/>
      <c r="V1004" s="25"/>
      <c r="W1004" s="24"/>
      <c r="X1004" s="24"/>
      <c r="Y1004" s="24"/>
      <c r="Z1004" s="24"/>
      <c r="AA1004" s="24"/>
      <c r="AB1004" s="24"/>
      <c r="AC1004" s="2"/>
      <c r="AD1004" s="2"/>
      <c r="AE1004" s="2"/>
      <c r="AF1004" s="2"/>
      <c r="AG1004" s="2"/>
      <c r="AH1004" s="2" t="e">
        <f>VLOOKUP(F1004,vlookup!$A$2:$E$660,3,0)</f>
        <v>#N/A</v>
      </c>
      <c r="AI1004" s="2"/>
      <c r="AJ1004" s="2"/>
      <c r="AK1004" s="2"/>
      <c r="AL1004" s="2"/>
      <c r="AM1004" s="2"/>
      <c r="AO1004" s="2"/>
      <c r="AP1004" s="2"/>
      <c r="AQ1004" s="2"/>
      <c r="AR1004" s="2"/>
      <c r="AS1004" s="2"/>
      <c r="AT1004" s="2"/>
      <c r="AU1004" s="2"/>
    </row>
    <row r="1005" spans="1:47" x14ac:dyDescent="0.25">
      <c r="A1005" s="24"/>
      <c r="B1005" s="24"/>
      <c r="C1005" s="24"/>
      <c r="D1005" s="24"/>
      <c r="E1005" s="24"/>
      <c r="F1005" s="24"/>
      <c r="G1005" s="24"/>
      <c r="H1005" s="26"/>
      <c r="I1005" s="24"/>
      <c r="J1005" s="25"/>
      <c r="K1005" s="25"/>
      <c r="L1005" s="24"/>
      <c r="M1005" s="25"/>
      <c r="N1005" s="24"/>
      <c r="O1005" s="24"/>
      <c r="P1005" s="24"/>
      <c r="Q1005" s="24"/>
      <c r="R1005" s="24"/>
      <c r="S1005" s="25"/>
      <c r="T1005" s="24"/>
      <c r="U1005" s="24"/>
      <c r="V1005" s="25"/>
      <c r="W1005" s="24"/>
      <c r="X1005" s="24"/>
      <c r="Y1005" s="24"/>
      <c r="Z1005" s="24"/>
      <c r="AA1005" s="24"/>
      <c r="AB1005" s="24"/>
      <c r="AC1005" s="2"/>
      <c r="AD1005" s="2"/>
      <c r="AE1005" s="2"/>
      <c r="AF1005" s="2"/>
      <c r="AG1005" s="2"/>
      <c r="AH1005" s="2" t="e">
        <f>VLOOKUP(F1005,vlookup!$A$2:$E$660,3,0)</f>
        <v>#N/A</v>
      </c>
      <c r="AI1005" s="2"/>
      <c r="AJ1005" s="2"/>
      <c r="AK1005" s="2"/>
      <c r="AL1005" s="2"/>
      <c r="AM1005" s="2"/>
      <c r="AO1005" s="2"/>
      <c r="AP1005" s="2"/>
      <c r="AQ1005" s="2"/>
      <c r="AR1005" s="2"/>
      <c r="AS1005" s="2"/>
      <c r="AT1005" s="2"/>
      <c r="AU1005" s="2"/>
    </row>
    <row r="1006" spans="1:47" x14ac:dyDescent="0.25">
      <c r="A1006" s="24"/>
      <c r="B1006" s="24"/>
      <c r="C1006" s="24"/>
      <c r="D1006" s="24"/>
      <c r="E1006" s="24"/>
      <c r="F1006" s="24"/>
      <c r="G1006" s="24"/>
      <c r="H1006" s="26"/>
      <c r="I1006" s="24"/>
      <c r="J1006" s="25"/>
      <c r="K1006" s="25"/>
      <c r="L1006" s="24"/>
      <c r="M1006" s="25"/>
      <c r="N1006" s="24"/>
      <c r="O1006" s="24"/>
      <c r="P1006" s="24"/>
      <c r="Q1006" s="24"/>
      <c r="R1006" s="24"/>
      <c r="S1006" s="25"/>
      <c r="T1006" s="24"/>
      <c r="U1006" s="24"/>
      <c r="V1006" s="25"/>
      <c r="W1006" s="24"/>
      <c r="X1006" s="24"/>
      <c r="Y1006" s="24"/>
      <c r="Z1006" s="24"/>
      <c r="AA1006" s="24"/>
      <c r="AB1006" s="24"/>
      <c r="AC1006" s="2"/>
      <c r="AD1006" s="2"/>
      <c r="AE1006" s="2"/>
      <c r="AF1006" s="2"/>
      <c r="AG1006" s="2"/>
      <c r="AH1006" s="2" t="e">
        <f>VLOOKUP(F1006,vlookup!$A$2:$E$660,3,0)</f>
        <v>#N/A</v>
      </c>
      <c r="AI1006" s="2"/>
      <c r="AJ1006" s="2"/>
      <c r="AK1006" s="2"/>
      <c r="AL1006" s="2"/>
      <c r="AM1006" s="2"/>
      <c r="AO1006" s="2"/>
      <c r="AP1006" s="2"/>
      <c r="AQ1006" s="2"/>
      <c r="AR1006" s="2"/>
      <c r="AS1006" s="2"/>
      <c r="AT1006" s="2"/>
      <c r="AU1006" s="2"/>
    </row>
    <row r="1007" spans="1:47" x14ac:dyDescent="0.25">
      <c r="A1007" s="24"/>
      <c r="B1007" s="24"/>
      <c r="C1007" s="24"/>
      <c r="D1007" s="24"/>
      <c r="E1007" s="24"/>
      <c r="F1007" s="24"/>
      <c r="G1007" s="24"/>
      <c r="H1007" s="26"/>
      <c r="I1007" s="24"/>
      <c r="J1007" s="25"/>
      <c r="K1007" s="25"/>
      <c r="L1007" s="24"/>
      <c r="M1007" s="25"/>
      <c r="N1007" s="24"/>
      <c r="O1007" s="24"/>
      <c r="P1007" s="24"/>
      <c r="Q1007" s="24"/>
      <c r="R1007" s="24"/>
      <c r="S1007" s="25"/>
      <c r="T1007" s="24"/>
      <c r="U1007" s="24"/>
      <c r="V1007" s="25"/>
      <c r="W1007" s="24"/>
      <c r="X1007" s="24"/>
      <c r="Y1007" s="24"/>
      <c r="Z1007" s="24"/>
      <c r="AA1007" s="24"/>
      <c r="AB1007" s="24"/>
      <c r="AC1007" s="2"/>
      <c r="AD1007" s="2"/>
      <c r="AE1007" s="2"/>
      <c r="AF1007" s="2"/>
      <c r="AG1007" s="2"/>
      <c r="AH1007" s="2" t="e">
        <f>VLOOKUP(F1007,vlookup!$A$2:$E$660,3,0)</f>
        <v>#N/A</v>
      </c>
      <c r="AI1007" s="2"/>
      <c r="AJ1007" s="2"/>
      <c r="AK1007" s="2"/>
      <c r="AL1007" s="2"/>
      <c r="AM1007" s="2"/>
      <c r="AO1007" s="2"/>
      <c r="AP1007" s="2"/>
      <c r="AQ1007" s="2"/>
      <c r="AR1007" s="2"/>
      <c r="AS1007" s="2"/>
      <c r="AT1007" s="2"/>
      <c r="AU1007" s="2"/>
    </row>
    <row r="1008" spans="1:47" x14ac:dyDescent="0.25">
      <c r="A1008" s="24"/>
      <c r="B1008" s="24"/>
      <c r="C1008" s="24"/>
      <c r="D1008" s="24"/>
      <c r="E1008" s="24"/>
      <c r="F1008" s="24"/>
      <c r="G1008" s="24"/>
      <c r="H1008" s="26"/>
      <c r="I1008" s="24"/>
      <c r="J1008" s="25"/>
      <c r="K1008" s="25"/>
      <c r="L1008" s="24"/>
      <c r="M1008" s="25"/>
      <c r="N1008" s="24"/>
      <c r="O1008" s="24"/>
      <c r="P1008" s="24"/>
      <c r="Q1008" s="24"/>
      <c r="R1008" s="24"/>
      <c r="S1008" s="25"/>
      <c r="T1008" s="24"/>
      <c r="U1008" s="24"/>
      <c r="V1008" s="25"/>
      <c r="W1008" s="24"/>
      <c r="X1008" s="24"/>
      <c r="Y1008" s="24"/>
      <c r="Z1008" s="24"/>
      <c r="AA1008" s="24"/>
      <c r="AB1008" s="24"/>
      <c r="AC1008" s="2"/>
      <c r="AD1008" s="2"/>
      <c r="AE1008" s="2"/>
      <c r="AF1008" s="2"/>
      <c r="AG1008" s="2"/>
      <c r="AH1008" s="2" t="e">
        <f>VLOOKUP(F1008,vlookup!$A$2:$E$660,3,0)</f>
        <v>#N/A</v>
      </c>
      <c r="AI1008" s="2"/>
      <c r="AJ1008" s="2"/>
      <c r="AK1008" s="2"/>
      <c r="AL1008" s="2"/>
      <c r="AM1008" s="2"/>
      <c r="AO1008" s="2"/>
      <c r="AP1008" s="2"/>
      <c r="AQ1008" s="2"/>
      <c r="AR1008" s="2"/>
      <c r="AS1008" s="2"/>
      <c r="AT1008" s="2"/>
      <c r="AU1008" s="2"/>
    </row>
    <row r="1009" spans="1:47" x14ac:dyDescent="0.25">
      <c r="A1009" s="24"/>
      <c r="B1009" s="24"/>
      <c r="C1009" s="24"/>
      <c r="D1009" s="24"/>
      <c r="E1009" s="24"/>
      <c r="F1009" s="24"/>
      <c r="G1009" s="24"/>
      <c r="H1009" s="26"/>
      <c r="I1009" s="24"/>
      <c r="J1009" s="25"/>
      <c r="K1009" s="25"/>
      <c r="L1009" s="24"/>
      <c r="M1009" s="25"/>
      <c r="N1009" s="24"/>
      <c r="O1009" s="24"/>
      <c r="P1009" s="24"/>
      <c r="Q1009" s="24"/>
      <c r="R1009" s="24"/>
      <c r="S1009" s="25"/>
      <c r="T1009" s="24"/>
      <c r="U1009" s="24"/>
      <c r="V1009" s="25"/>
      <c r="W1009" s="24"/>
      <c r="X1009" s="24"/>
      <c r="Y1009" s="24"/>
      <c r="Z1009" s="24"/>
      <c r="AA1009" s="24"/>
      <c r="AB1009" s="24"/>
      <c r="AC1009" s="2"/>
      <c r="AD1009" s="2"/>
      <c r="AE1009" s="2"/>
      <c r="AF1009" s="2"/>
      <c r="AG1009" s="2"/>
      <c r="AH1009" s="2" t="e">
        <f>VLOOKUP(F1009,vlookup!$A$2:$E$660,3,0)</f>
        <v>#N/A</v>
      </c>
      <c r="AI1009" s="2"/>
      <c r="AJ1009" s="2"/>
      <c r="AK1009" s="2"/>
      <c r="AL1009" s="2"/>
      <c r="AM1009" s="2"/>
      <c r="AO1009" s="2"/>
      <c r="AP1009" s="2"/>
      <c r="AQ1009" s="2"/>
      <c r="AR1009" s="2"/>
      <c r="AS1009" s="2"/>
      <c r="AT1009" s="2"/>
      <c r="AU1009" s="2"/>
    </row>
    <row r="1010" spans="1:47" x14ac:dyDescent="0.25">
      <c r="A1010" s="24"/>
      <c r="B1010" s="24"/>
      <c r="C1010" s="24"/>
      <c r="D1010" s="24"/>
      <c r="E1010" s="24"/>
      <c r="F1010" s="24"/>
      <c r="G1010" s="24"/>
      <c r="H1010" s="26"/>
      <c r="I1010" s="24"/>
      <c r="J1010" s="25"/>
      <c r="K1010" s="25"/>
      <c r="L1010" s="24"/>
      <c r="M1010" s="25"/>
      <c r="N1010" s="24"/>
      <c r="O1010" s="24"/>
      <c r="P1010" s="24"/>
      <c r="Q1010" s="24"/>
      <c r="R1010" s="24"/>
      <c r="S1010" s="25"/>
      <c r="T1010" s="24"/>
      <c r="U1010" s="24"/>
      <c r="V1010" s="25"/>
      <c r="W1010" s="24"/>
      <c r="X1010" s="24"/>
      <c r="Y1010" s="24"/>
      <c r="Z1010" s="24"/>
      <c r="AA1010" s="24"/>
      <c r="AB1010" s="24"/>
      <c r="AC1010" s="2"/>
      <c r="AD1010" s="2"/>
      <c r="AE1010" s="2"/>
      <c r="AF1010" s="2"/>
      <c r="AG1010" s="2"/>
      <c r="AH1010" s="2" t="e">
        <f>VLOOKUP(F1010,vlookup!$A$2:$E$660,3,0)</f>
        <v>#N/A</v>
      </c>
      <c r="AI1010" s="2"/>
      <c r="AJ1010" s="2"/>
      <c r="AK1010" s="2"/>
      <c r="AL1010" s="2"/>
      <c r="AM1010" s="2"/>
      <c r="AO1010" s="2"/>
      <c r="AP1010" s="2"/>
      <c r="AQ1010" s="2"/>
      <c r="AR1010" s="2"/>
      <c r="AS1010" s="2"/>
      <c r="AT1010" s="2"/>
      <c r="AU1010" s="2"/>
    </row>
    <row r="1011" spans="1:47" x14ac:dyDescent="0.25">
      <c r="A1011" s="24"/>
      <c r="B1011" s="24"/>
      <c r="C1011" s="24"/>
      <c r="D1011" s="24"/>
      <c r="E1011" s="24"/>
      <c r="F1011" s="24"/>
      <c r="G1011" s="24"/>
      <c r="H1011" s="26"/>
      <c r="I1011" s="24"/>
      <c r="J1011" s="25"/>
      <c r="K1011" s="25"/>
      <c r="L1011" s="24"/>
      <c r="M1011" s="25"/>
      <c r="N1011" s="24"/>
      <c r="O1011" s="24"/>
      <c r="P1011" s="24"/>
      <c r="Q1011" s="24"/>
      <c r="R1011" s="24"/>
      <c r="S1011" s="25"/>
      <c r="T1011" s="24"/>
      <c r="U1011" s="24"/>
      <c r="V1011" s="25"/>
      <c r="W1011" s="24"/>
      <c r="X1011" s="24"/>
      <c r="Y1011" s="24"/>
      <c r="Z1011" s="24"/>
      <c r="AA1011" s="24"/>
      <c r="AB1011" s="24"/>
      <c r="AC1011" s="2"/>
      <c r="AD1011" s="2"/>
      <c r="AE1011" s="2"/>
      <c r="AF1011" s="2"/>
      <c r="AG1011" s="2"/>
      <c r="AH1011" s="2" t="e">
        <f>VLOOKUP(F1011,vlookup!$A$2:$E$660,3,0)</f>
        <v>#N/A</v>
      </c>
      <c r="AI1011" s="2"/>
      <c r="AJ1011" s="2"/>
      <c r="AK1011" s="2"/>
      <c r="AL1011" s="2"/>
      <c r="AM1011" s="2"/>
      <c r="AO1011" s="2"/>
      <c r="AP1011" s="2"/>
      <c r="AQ1011" s="2"/>
      <c r="AR1011" s="2"/>
      <c r="AS1011" s="2"/>
      <c r="AT1011" s="2"/>
      <c r="AU1011" s="2"/>
    </row>
    <row r="1012" spans="1:47" x14ac:dyDescent="0.25">
      <c r="A1012" s="24"/>
      <c r="B1012" s="24"/>
      <c r="C1012" s="24"/>
      <c r="D1012" s="24"/>
      <c r="E1012" s="24"/>
      <c r="F1012" s="24"/>
      <c r="G1012" s="24"/>
      <c r="H1012" s="26"/>
      <c r="I1012" s="24"/>
      <c r="J1012" s="25"/>
      <c r="K1012" s="25"/>
      <c r="L1012" s="24"/>
      <c r="M1012" s="25"/>
      <c r="N1012" s="24"/>
      <c r="O1012" s="24"/>
      <c r="P1012" s="24"/>
      <c r="Q1012" s="24"/>
      <c r="R1012" s="24"/>
      <c r="S1012" s="25"/>
      <c r="T1012" s="24"/>
      <c r="U1012" s="24"/>
      <c r="V1012" s="25"/>
      <c r="W1012" s="24"/>
      <c r="X1012" s="24"/>
      <c r="Y1012" s="24"/>
      <c r="Z1012" s="24"/>
      <c r="AA1012" s="24"/>
      <c r="AB1012" s="24"/>
      <c r="AC1012" s="2"/>
      <c r="AD1012" s="2"/>
      <c r="AE1012" s="2"/>
      <c r="AF1012" s="2"/>
      <c r="AG1012" s="2"/>
      <c r="AH1012" s="2" t="e">
        <f>VLOOKUP(F1012,vlookup!$A$2:$E$660,3,0)</f>
        <v>#N/A</v>
      </c>
      <c r="AI1012" s="2"/>
      <c r="AJ1012" s="2"/>
      <c r="AK1012" s="2"/>
      <c r="AL1012" s="2"/>
      <c r="AM1012" s="2"/>
      <c r="AO1012" s="2"/>
      <c r="AP1012" s="2"/>
      <c r="AQ1012" s="2"/>
      <c r="AR1012" s="2"/>
      <c r="AS1012" s="2"/>
      <c r="AT1012" s="2"/>
      <c r="AU1012" s="2"/>
    </row>
    <row r="1013" spans="1:47" x14ac:dyDescent="0.25">
      <c r="A1013" s="24"/>
      <c r="B1013" s="24"/>
      <c r="C1013" s="24"/>
      <c r="D1013" s="24"/>
      <c r="E1013" s="24"/>
      <c r="F1013" s="24"/>
      <c r="G1013" s="24"/>
      <c r="H1013" s="26"/>
      <c r="I1013" s="24"/>
      <c r="J1013" s="25"/>
      <c r="K1013" s="25"/>
      <c r="L1013" s="24"/>
      <c r="M1013" s="25"/>
      <c r="N1013" s="24"/>
      <c r="O1013" s="24"/>
      <c r="P1013" s="24"/>
      <c r="Q1013" s="24"/>
      <c r="R1013" s="24"/>
      <c r="S1013" s="25"/>
      <c r="T1013" s="24"/>
      <c r="U1013" s="24"/>
      <c r="V1013" s="25"/>
      <c r="W1013" s="24"/>
      <c r="X1013" s="24"/>
      <c r="Y1013" s="24"/>
      <c r="Z1013" s="24"/>
      <c r="AA1013" s="24"/>
      <c r="AB1013" s="24"/>
      <c r="AC1013" s="2"/>
      <c r="AD1013" s="2"/>
      <c r="AE1013" s="2"/>
      <c r="AF1013" s="2"/>
      <c r="AG1013" s="2"/>
      <c r="AH1013" s="2" t="e">
        <f>VLOOKUP(F1013,vlookup!$A$2:$E$660,3,0)</f>
        <v>#N/A</v>
      </c>
      <c r="AI1013" s="2"/>
      <c r="AJ1013" s="2"/>
      <c r="AK1013" s="2"/>
      <c r="AL1013" s="2"/>
      <c r="AM1013" s="2"/>
      <c r="AO1013" s="2"/>
      <c r="AP1013" s="2"/>
      <c r="AQ1013" s="2"/>
      <c r="AR1013" s="2"/>
      <c r="AS1013" s="2"/>
      <c r="AT1013" s="2"/>
      <c r="AU1013" s="2"/>
    </row>
    <row r="1014" spans="1:47" x14ac:dyDescent="0.25">
      <c r="A1014" s="24"/>
      <c r="B1014" s="24"/>
      <c r="C1014" s="24"/>
      <c r="D1014" s="24"/>
      <c r="E1014" s="24"/>
      <c r="F1014" s="24"/>
      <c r="G1014" s="24"/>
      <c r="H1014" s="26"/>
      <c r="I1014" s="24"/>
      <c r="J1014" s="25"/>
      <c r="K1014" s="25"/>
      <c r="L1014" s="24"/>
      <c r="M1014" s="25"/>
      <c r="N1014" s="24"/>
      <c r="O1014" s="24"/>
      <c r="P1014" s="24"/>
      <c r="Q1014" s="24"/>
      <c r="R1014" s="24"/>
      <c r="S1014" s="25"/>
      <c r="T1014" s="24"/>
      <c r="U1014" s="24"/>
      <c r="V1014" s="25"/>
      <c r="W1014" s="24"/>
      <c r="X1014" s="24"/>
      <c r="Y1014" s="24"/>
      <c r="Z1014" s="24"/>
      <c r="AA1014" s="24"/>
      <c r="AB1014" s="24"/>
      <c r="AC1014" s="2"/>
      <c r="AD1014" s="2"/>
      <c r="AE1014" s="2"/>
      <c r="AF1014" s="2"/>
      <c r="AG1014" s="2"/>
      <c r="AH1014" s="2" t="e">
        <f>VLOOKUP(F1014,vlookup!$A$2:$E$660,3,0)</f>
        <v>#N/A</v>
      </c>
      <c r="AI1014" s="2"/>
      <c r="AJ1014" s="2"/>
      <c r="AK1014" s="2"/>
      <c r="AL1014" s="2"/>
      <c r="AM1014" s="2"/>
      <c r="AO1014" s="2"/>
      <c r="AP1014" s="2"/>
      <c r="AQ1014" s="2"/>
      <c r="AR1014" s="2"/>
      <c r="AS1014" s="2"/>
      <c r="AT1014" s="2"/>
      <c r="AU1014" s="2"/>
    </row>
    <row r="1015" spans="1:47" x14ac:dyDescent="0.25">
      <c r="A1015" s="24"/>
      <c r="B1015" s="24"/>
      <c r="C1015" s="24"/>
      <c r="D1015" s="24"/>
      <c r="E1015" s="24"/>
      <c r="F1015" s="24"/>
      <c r="G1015" s="24"/>
      <c r="H1015" s="26"/>
      <c r="I1015" s="24"/>
      <c r="J1015" s="25"/>
      <c r="K1015" s="25"/>
      <c r="L1015" s="24"/>
      <c r="M1015" s="25"/>
      <c r="N1015" s="24"/>
      <c r="O1015" s="24"/>
      <c r="P1015" s="24"/>
      <c r="Q1015" s="24"/>
      <c r="R1015" s="24"/>
      <c r="S1015" s="25"/>
      <c r="T1015" s="24"/>
      <c r="U1015" s="24"/>
      <c r="V1015" s="25"/>
      <c r="W1015" s="24"/>
      <c r="X1015" s="24"/>
      <c r="Y1015" s="24"/>
      <c r="Z1015" s="24"/>
      <c r="AA1015" s="24"/>
      <c r="AB1015" s="24"/>
      <c r="AC1015" s="2"/>
      <c r="AD1015" s="2"/>
      <c r="AE1015" s="2"/>
      <c r="AF1015" s="2"/>
      <c r="AG1015" s="2"/>
      <c r="AH1015" s="2" t="e">
        <f>VLOOKUP(F1015,vlookup!$A$2:$E$660,3,0)</f>
        <v>#N/A</v>
      </c>
      <c r="AI1015" s="2"/>
      <c r="AJ1015" s="2"/>
      <c r="AK1015" s="2"/>
      <c r="AL1015" s="2"/>
      <c r="AM1015" s="2"/>
      <c r="AO1015" s="2"/>
      <c r="AP1015" s="2"/>
      <c r="AQ1015" s="2"/>
      <c r="AR1015" s="2"/>
      <c r="AS1015" s="2"/>
      <c r="AT1015" s="2"/>
      <c r="AU1015" s="2"/>
    </row>
    <row r="1016" spans="1:47" x14ac:dyDescent="0.25">
      <c r="A1016" s="24"/>
      <c r="B1016" s="24"/>
      <c r="C1016" s="24"/>
      <c r="D1016" s="24"/>
      <c r="E1016" s="24"/>
      <c r="F1016" s="24"/>
      <c r="G1016" s="24"/>
      <c r="H1016" s="26"/>
      <c r="I1016" s="24"/>
      <c r="J1016" s="25"/>
      <c r="K1016" s="25"/>
      <c r="L1016" s="24"/>
      <c r="M1016" s="25"/>
      <c r="N1016" s="24"/>
      <c r="O1016" s="24"/>
      <c r="P1016" s="24"/>
      <c r="Q1016" s="24"/>
      <c r="R1016" s="24"/>
      <c r="S1016" s="25"/>
      <c r="T1016" s="24"/>
      <c r="U1016" s="24"/>
      <c r="V1016" s="25"/>
      <c r="W1016" s="24"/>
      <c r="X1016" s="24"/>
      <c r="Y1016" s="24"/>
      <c r="Z1016" s="24"/>
      <c r="AA1016" s="24"/>
      <c r="AB1016" s="24"/>
      <c r="AC1016" s="2"/>
      <c r="AD1016" s="2"/>
      <c r="AE1016" s="2"/>
      <c r="AF1016" s="2"/>
      <c r="AG1016" s="2"/>
      <c r="AH1016" s="2" t="e">
        <f>VLOOKUP(F1016,vlookup!$A$2:$E$660,3,0)</f>
        <v>#N/A</v>
      </c>
      <c r="AI1016" s="2"/>
      <c r="AJ1016" s="2"/>
      <c r="AK1016" s="2"/>
      <c r="AL1016" s="2"/>
      <c r="AM1016" s="2"/>
      <c r="AO1016" s="2"/>
      <c r="AP1016" s="2"/>
      <c r="AQ1016" s="2"/>
      <c r="AR1016" s="2"/>
      <c r="AS1016" s="2"/>
      <c r="AT1016" s="2"/>
      <c r="AU1016" s="2"/>
    </row>
    <row r="1017" spans="1:47" x14ac:dyDescent="0.25">
      <c r="A1017" s="24"/>
      <c r="B1017" s="24"/>
      <c r="C1017" s="24"/>
      <c r="D1017" s="24"/>
      <c r="E1017" s="24"/>
      <c r="F1017" s="24"/>
      <c r="G1017" s="24"/>
      <c r="H1017" s="26"/>
      <c r="I1017" s="24"/>
      <c r="J1017" s="25"/>
      <c r="K1017" s="25"/>
      <c r="L1017" s="24"/>
      <c r="M1017" s="25"/>
      <c r="N1017" s="24"/>
      <c r="O1017" s="24"/>
      <c r="P1017" s="24"/>
      <c r="Q1017" s="24"/>
      <c r="R1017" s="24"/>
      <c r="S1017" s="25"/>
      <c r="T1017" s="24"/>
      <c r="U1017" s="24"/>
      <c r="V1017" s="25"/>
      <c r="W1017" s="24"/>
      <c r="X1017" s="24"/>
      <c r="Y1017" s="24"/>
      <c r="Z1017" s="24"/>
      <c r="AA1017" s="24"/>
      <c r="AB1017" s="24"/>
      <c r="AC1017" s="2"/>
      <c r="AD1017" s="2"/>
      <c r="AE1017" s="2"/>
      <c r="AF1017" s="2"/>
      <c r="AG1017" s="2"/>
      <c r="AH1017" s="2" t="e">
        <f>VLOOKUP(F1017,vlookup!$A$2:$E$660,3,0)</f>
        <v>#N/A</v>
      </c>
      <c r="AI1017" s="2"/>
      <c r="AJ1017" s="2"/>
      <c r="AK1017" s="2"/>
      <c r="AL1017" s="2"/>
      <c r="AM1017" s="2"/>
      <c r="AO1017" s="2"/>
      <c r="AP1017" s="2"/>
      <c r="AQ1017" s="2"/>
      <c r="AR1017" s="2"/>
      <c r="AS1017" s="2"/>
      <c r="AT1017" s="2"/>
      <c r="AU1017" s="2"/>
    </row>
    <row r="1018" spans="1:47" x14ac:dyDescent="0.25">
      <c r="A1018" s="24"/>
      <c r="B1018" s="24"/>
      <c r="C1018" s="24"/>
      <c r="D1018" s="24"/>
      <c r="E1018" s="24"/>
      <c r="F1018" s="24"/>
      <c r="G1018" s="24"/>
      <c r="H1018" s="26"/>
      <c r="I1018" s="24"/>
      <c r="J1018" s="25"/>
      <c r="K1018" s="25"/>
      <c r="L1018" s="24"/>
      <c r="M1018" s="25"/>
      <c r="N1018" s="24"/>
      <c r="O1018" s="24"/>
      <c r="P1018" s="24"/>
      <c r="Q1018" s="24"/>
      <c r="R1018" s="24"/>
      <c r="S1018" s="25"/>
      <c r="T1018" s="24"/>
      <c r="U1018" s="24"/>
      <c r="V1018" s="25"/>
      <c r="W1018" s="24"/>
      <c r="X1018" s="24"/>
      <c r="Y1018" s="24"/>
      <c r="Z1018" s="24"/>
      <c r="AA1018" s="24"/>
      <c r="AB1018" s="24"/>
      <c r="AC1018" s="2"/>
      <c r="AD1018" s="2"/>
      <c r="AE1018" s="2"/>
      <c r="AF1018" s="2"/>
      <c r="AG1018" s="2"/>
      <c r="AH1018" s="2" t="e">
        <f>VLOOKUP(F1018,vlookup!$A$2:$E$660,3,0)</f>
        <v>#N/A</v>
      </c>
      <c r="AI1018" s="2"/>
      <c r="AJ1018" s="2"/>
      <c r="AK1018" s="2"/>
      <c r="AL1018" s="2"/>
      <c r="AM1018" s="2"/>
      <c r="AO1018" s="2"/>
      <c r="AP1018" s="2"/>
      <c r="AQ1018" s="2"/>
      <c r="AR1018" s="2"/>
      <c r="AS1018" s="2"/>
      <c r="AT1018" s="2"/>
      <c r="AU1018" s="2"/>
    </row>
    <row r="1019" spans="1:47" x14ac:dyDescent="0.25">
      <c r="A1019" s="24"/>
      <c r="B1019" s="24"/>
      <c r="C1019" s="24"/>
      <c r="D1019" s="24"/>
      <c r="E1019" s="24"/>
      <c r="F1019" s="24"/>
      <c r="G1019" s="24"/>
      <c r="H1019" s="26"/>
      <c r="I1019" s="24"/>
      <c r="J1019" s="25"/>
      <c r="K1019" s="25"/>
      <c r="L1019" s="24"/>
      <c r="M1019" s="25"/>
      <c r="N1019" s="24"/>
      <c r="O1019" s="24"/>
      <c r="P1019" s="24"/>
      <c r="Q1019" s="24"/>
      <c r="R1019" s="24"/>
      <c r="S1019" s="25"/>
      <c r="T1019" s="24"/>
      <c r="U1019" s="24"/>
      <c r="V1019" s="25"/>
      <c r="W1019" s="24"/>
      <c r="X1019" s="24"/>
      <c r="Y1019" s="24"/>
      <c r="Z1019" s="24"/>
      <c r="AA1019" s="24"/>
      <c r="AB1019" s="24"/>
      <c r="AC1019" s="2"/>
      <c r="AD1019" s="2"/>
      <c r="AE1019" s="2"/>
      <c r="AF1019" s="2"/>
      <c r="AG1019" s="2"/>
      <c r="AH1019" s="2" t="e">
        <f>VLOOKUP(F1019,vlookup!$A$2:$E$660,3,0)</f>
        <v>#N/A</v>
      </c>
      <c r="AI1019" s="2"/>
      <c r="AJ1019" s="2"/>
      <c r="AK1019" s="2"/>
      <c r="AL1019" s="2"/>
      <c r="AM1019" s="2"/>
      <c r="AO1019" s="2"/>
      <c r="AP1019" s="2"/>
      <c r="AQ1019" s="2"/>
      <c r="AR1019" s="2"/>
      <c r="AS1019" s="2"/>
      <c r="AT1019" s="2"/>
      <c r="AU1019" s="2"/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60"/>
  <sheetViews>
    <sheetView zoomScale="75" zoomScaleNormal="75" workbookViewId="0"/>
  </sheetViews>
  <sheetFormatPr defaultColWidth="9.140625" defaultRowHeight="12.75" x14ac:dyDescent="0.2"/>
  <cols>
    <col min="1" max="1" width="13.140625" style="3" bestFit="1" customWidth="1"/>
    <col min="2" max="2" width="13.140625" style="3" customWidth="1"/>
    <col min="3" max="3" width="17.28515625" style="3" bestFit="1" customWidth="1"/>
    <col min="4" max="4" width="18.7109375" style="3" bestFit="1" customWidth="1"/>
    <col min="5" max="6" width="13.42578125" style="3" customWidth="1"/>
    <col min="7" max="7" width="17.28515625" style="3" bestFit="1" customWidth="1"/>
    <col min="8" max="8" width="8.85546875" style="3" bestFit="1" customWidth="1"/>
    <col min="9" max="9" width="13.7109375" style="3" bestFit="1" customWidth="1"/>
    <col min="10" max="10" width="19.140625" style="3" bestFit="1" customWidth="1"/>
    <col min="11" max="11" width="8.140625" style="3" customWidth="1"/>
    <col min="12" max="12" width="20.42578125" style="3" bestFit="1" customWidth="1"/>
    <col min="13" max="16384" width="9.140625" style="3"/>
  </cols>
  <sheetData>
    <row r="1" spans="1:12" ht="25.5" x14ac:dyDescent="0.2">
      <c r="A1" s="27" t="s">
        <v>900</v>
      </c>
      <c r="B1" s="27" t="s">
        <v>568</v>
      </c>
      <c r="C1" s="27" t="s">
        <v>901</v>
      </c>
      <c r="D1" s="27" t="s">
        <v>902</v>
      </c>
      <c r="E1" s="27" t="s">
        <v>903</v>
      </c>
      <c r="F1" s="27"/>
      <c r="G1" s="4" t="s">
        <v>2</v>
      </c>
      <c r="H1" s="4" t="s">
        <v>98</v>
      </c>
      <c r="I1" s="4" t="s">
        <v>350</v>
      </c>
      <c r="J1" s="4" t="s">
        <v>351</v>
      </c>
      <c r="K1" s="4"/>
      <c r="L1" s="4" t="s">
        <v>534</v>
      </c>
    </row>
    <row r="2" spans="1:12" ht="15" x14ac:dyDescent="0.25">
      <c r="A2" t="s">
        <v>51</v>
      </c>
      <c r="B2" t="s">
        <v>547</v>
      </c>
      <c r="C2" t="s">
        <v>904</v>
      </c>
      <c r="D2" t="s">
        <v>261</v>
      </c>
      <c r="E2" t="s">
        <v>905</v>
      </c>
      <c r="F2"/>
      <c r="G2" s="3" t="s">
        <v>42</v>
      </c>
      <c r="H2" s="3" t="s">
        <v>100</v>
      </c>
      <c r="I2" s="18" t="s">
        <v>24</v>
      </c>
      <c r="J2" s="18" t="s">
        <v>352</v>
      </c>
      <c r="L2" t="s">
        <v>532</v>
      </c>
    </row>
    <row r="3" spans="1:12" ht="15" x14ac:dyDescent="0.25">
      <c r="A3" t="s">
        <v>262</v>
      </c>
      <c r="B3" t="s">
        <v>547</v>
      </c>
      <c r="C3" t="s">
        <v>904</v>
      </c>
      <c r="D3" t="s">
        <v>261</v>
      </c>
      <c r="E3" t="s">
        <v>905</v>
      </c>
      <c r="F3"/>
      <c r="G3" s="3" t="s">
        <v>78</v>
      </c>
      <c r="H3" s="3" t="s">
        <v>100</v>
      </c>
      <c r="I3" s="18" t="s">
        <v>259</v>
      </c>
      <c r="J3" s="18" t="s">
        <v>352</v>
      </c>
      <c r="L3" t="s">
        <v>533</v>
      </c>
    </row>
    <row r="4" spans="1:12" ht="15" x14ac:dyDescent="0.25">
      <c r="A4" t="s">
        <v>263</v>
      </c>
      <c r="B4" t="s">
        <v>547</v>
      </c>
      <c r="C4" t="s">
        <v>904</v>
      </c>
      <c r="D4" t="s">
        <v>261</v>
      </c>
      <c r="E4" t="s">
        <v>905</v>
      </c>
      <c r="F4"/>
      <c r="G4" s="3" t="s">
        <v>26</v>
      </c>
      <c r="H4" s="3" t="s">
        <v>100</v>
      </c>
      <c r="I4" s="18" t="s">
        <v>258</v>
      </c>
      <c r="J4" s="18" t="s">
        <v>352</v>
      </c>
      <c r="L4" t="s">
        <v>389</v>
      </c>
    </row>
    <row r="5" spans="1:12" ht="15" x14ac:dyDescent="0.25">
      <c r="A5" t="s">
        <v>264</v>
      </c>
      <c r="B5" t="s">
        <v>547</v>
      </c>
      <c r="C5" t="s">
        <v>904</v>
      </c>
      <c r="D5" t="s">
        <v>261</v>
      </c>
      <c r="E5" t="s">
        <v>905</v>
      </c>
      <c r="F5"/>
      <c r="G5" s="3" t="s">
        <v>39</v>
      </c>
      <c r="H5" s="3" t="s">
        <v>100</v>
      </c>
      <c r="I5" s="18" t="s">
        <v>43</v>
      </c>
      <c r="J5" s="18" t="s">
        <v>352</v>
      </c>
      <c r="L5" t="s">
        <v>385</v>
      </c>
    </row>
    <row r="6" spans="1:12" ht="15" x14ac:dyDescent="0.25">
      <c r="A6" t="s">
        <v>265</v>
      </c>
      <c r="B6" t="s">
        <v>547</v>
      </c>
      <c r="C6" t="s">
        <v>904</v>
      </c>
      <c r="D6" t="s">
        <v>266</v>
      </c>
      <c r="E6" t="s">
        <v>905</v>
      </c>
      <c r="F6"/>
      <c r="G6" s="3" t="s">
        <v>34</v>
      </c>
      <c r="H6" s="3" t="s">
        <v>100</v>
      </c>
      <c r="I6" s="18" t="s">
        <v>260</v>
      </c>
      <c r="J6" s="18" t="s">
        <v>352</v>
      </c>
      <c r="L6" t="s">
        <v>386</v>
      </c>
    </row>
    <row r="7" spans="1:12" ht="15" x14ac:dyDescent="0.25">
      <c r="A7" t="s">
        <v>237</v>
      </c>
      <c r="B7" t="s">
        <v>547</v>
      </c>
      <c r="C7" t="s">
        <v>904</v>
      </c>
      <c r="D7" t="s">
        <v>266</v>
      </c>
      <c r="E7" t="s">
        <v>906</v>
      </c>
      <c r="F7"/>
      <c r="G7" s="3" t="s">
        <v>58</v>
      </c>
      <c r="H7" s="3" t="s">
        <v>100</v>
      </c>
      <c r="I7" s="18" t="s">
        <v>383</v>
      </c>
      <c r="J7" s="18" t="s">
        <v>352</v>
      </c>
      <c r="L7" t="s">
        <v>387</v>
      </c>
    </row>
    <row r="8" spans="1:12" ht="15" x14ac:dyDescent="0.25">
      <c r="A8" t="s">
        <v>394</v>
      </c>
      <c r="B8" t="s">
        <v>547</v>
      </c>
      <c r="C8" t="s">
        <v>904</v>
      </c>
      <c r="D8" t="s">
        <v>261</v>
      </c>
      <c r="E8" t="s">
        <v>906</v>
      </c>
      <c r="F8"/>
      <c r="G8" s="3" t="s">
        <v>35</v>
      </c>
      <c r="H8" s="3" t="s">
        <v>100</v>
      </c>
      <c r="I8" s="18" t="s">
        <v>353</v>
      </c>
      <c r="J8" s="18" t="s">
        <v>354</v>
      </c>
      <c r="L8" t="s">
        <v>391</v>
      </c>
    </row>
    <row r="9" spans="1:12" ht="15" x14ac:dyDescent="0.25">
      <c r="A9" t="s">
        <v>270</v>
      </c>
      <c r="B9" t="s">
        <v>547</v>
      </c>
      <c r="C9" t="s">
        <v>907</v>
      </c>
      <c r="D9" t="s">
        <v>261</v>
      </c>
      <c r="E9" t="s">
        <v>395</v>
      </c>
      <c r="F9"/>
      <c r="G9" s="3" t="s">
        <v>38</v>
      </c>
      <c r="H9" s="3" t="s">
        <v>100</v>
      </c>
      <c r="I9" s="18" t="s">
        <v>64</v>
      </c>
      <c r="J9" s="18" t="s">
        <v>354</v>
      </c>
      <c r="L9" t="s">
        <v>390</v>
      </c>
    </row>
    <row r="10" spans="1:12" ht="15" x14ac:dyDescent="0.25">
      <c r="A10" t="s">
        <v>271</v>
      </c>
      <c r="B10" t="s">
        <v>547</v>
      </c>
      <c r="C10" t="s">
        <v>904</v>
      </c>
      <c r="D10" t="s">
        <v>261</v>
      </c>
      <c r="E10" t="s">
        <v>905</v>
      </c>
      <c r="F10"/>
      <c r="G10" s="3" t="s">
        <v>44</v>
      </c>
      <c r="H10" s="3" t="s">
        <v>100</v>
      </c>
      <c r="L10" t="s">
        <v>384</v>
      </c>
    </row>
    <row r="11" spans="1:12" ht="15" x14ac:dyDescent="0.25">
      <c r="A11" t="s">
        <v>396</v>
      </c>
      <c r="B11" t="s">
        <v>547</v>
      </c>
      <c r="C11" t="s">
        <v>904</v>
      </c>
      <c r="D11" t="s">
        <v>261</v>
      </c>
      <c r="E11" t="s">
        <v>905</v>
      </c>
      <c r="F11"/>
      <c r="G11" s="3" t="s">
        <v>45</v>
      </c>
      <c r="H11" s="3" t="s">
        <v>100</v>
      </c>
    </row>
    <row r="12" spans="1:12" ht="15" x14ac:dyDescent="0.25">
      <c r="A12" t="s">
        <v>272</v>
      </c>
      <c r="B12" t="s">
        <v>548</v>
      </c>
      <c r="C12" t="s">
        <v>904</v>
      </c>
      <c r="D12" t="s">
        <v>261</v>
      </c>
      <c r="E12" t="s">
        <v>905</v>
      </c>
      <c r="F12"/>
      <c r="G12" s="3" t="s">
        <v>16</v>
      </c>
      <c r="H12" s="3" t="s">
        <v>100</v>
      </c>
    </row>
    <row r="13" spans="1:12" ht="15" x14ac:dyDescent="0.25">
      <c r="A13" t="s">
        <v>185</v>
      </c>
      <c r="B13" t="s">
        <v>547</v>
      </c>
      <c r="C13" t="s">
        <v>904</v>
      </c>
      <c r="D13" t="s">
        <v>261</v>
      </c>
      <c r="E13" t="s">
        <v>905</v>
      </c>
      <c r="F13"/>
      <c r="G13" s="3" t="s">
        <v>33</v>
      </c>
      <c r="H13" s="3" t="s">
        <v>100</v>
      </c>
    </row>
    <row r="14" spans="1:12" ht="15" x14ac:dyDescent="0.25">
      <c r="A14" t="s">
        <v>273</v>
      </c>
      <c r="B14" t="s">
        <v>547</v>
      </c>
      <c r="C14" t="s">
        <v>904</v>
      </c>
      <c r="D14" t="s">
        <v>261</v>
      </c>
      <c r="E14" t="s">
        <v>905</v>
      </c>
      <c r="F14"/>
      <c r="G14" s="3" t="s">
        <v>49</v>
      </c>
      <c r="H14" s="3" t="s">
        <v>100</v>
      </c>
    </row>
    <row r="15" spans="1:12" ht="15" x14ac:dyDescent="0.25">
      <c r="A15" t="s">
        <v>274</v>
      </c>
      <c r="B15" t="s">
        <v>547</v>
      </c>
      <c r="C15" t="s">
        <v>904</v>
      </c>
      <c r="D15" t="s">
        <v>261</v>
      </c>
      <c r="E15" t="s">
        <v>905</v>
      </c>
      <c r="F15"/>
      <c r="G15" s="3" t="s">
        <v>81</v>
      </c>
      <c r="H15" s="3" t="s">
        <v>100</v>
      </c>
    </row>
    <row r="16" spans="1:12" ht="15" x14ac:dyDescent="0.25">
      <c r="A16" t="s">
        <v>275</v>
      </c>
      <c r="B16" t="s">
        <v>547</v>
      </c>
      <c r="C16" t="s">
        <v>904</v>
      </c>
      <c r="D16" t="s">
        <v>266</v>
      </c>
      <c r="E16" t="s">
        <v>905</v>
      </c>
      <c r="F16"/>
      <c r="G16" s="3" t="s">
        <v>32</v>
      </c>
      <c r="H16" s="3" t="s">
        <v>100</v>
      </c>
    </row>
    <row r="17" spans="1:8" ht="15" x14ac:dyDescent="0.25">
      <c r="A17" t="s">
        <v>276</v>
      </c>
      <c r="B17" t="s">
        <v>547</v>
      </c>
      <c r="C17" t="s">
        <v>904</v>
      </c>
      <c r="D17" t="s">
        <v>261</v>
      </c>
      <c r="E17" t="s">
        <v>905</v>
      </c>
      <c r="F17"/>
      <c r="G17" s="3" t="s">
        <v>36</v>
      </c>
      <c r="H17" s="3" t="s">
        <v>109</v>
      </c>
    </row>
    <row r="18" spans="1:8" ht="15" x14ac:dyDescent="0.25">
      <c r="A18" t="s">
        <v>277</v>
      </c>
      <c r="B18" t="s">
        <v>547</v>
      </c>
      <c r="C18" t="s">
        <v>904</v>
      </c>
      <c r="D18" t="s">
        <v>261</v>
      </c>
      <c r="E18" t="s">
        <v>905</v>
      </c>
      <c r="F18"/>
      <c r="G18" s="3" t="s">
        <v>28</v>
      </c>
      <c r="H18" s="3" t="s">
        <v>109</v>
      </c>
    </row>
    <row r="19" spans="1:8" ht="15" x14ac:dyDescent="0.25">
      <c r="A19" t="s">
        <v>278</v>
      </c>
      <c r="B19" t="s">
        <v>547</v>
      </c>
      <c r="C19" t="s">
        <v>904</v>
      </c>
      <c r="D19" t="s">
        <v>266</v>
      </c>
      <c r="E19" t="s">
        <v>905</v>
      </c>
      <c r="F19"/>
      <c r="G19" s="3" t="s">
        <v>20</v>
      </c>
      <c r="H19" s="3" t="s">
        <v>109</v>
      </c>
    </row>
    <row r="20" spans="1:8" ht="15" x14ac:dyDescent="0.25">
      <c r="A20" t="s">
        <v>397</v>
      </c>
      <c r="B20" t="s">
        <v>547</v>
      </c>
      <c r="C20" t="s">
        <v>904</v>
      </c>
      <c r="D20" t="s">
        <v>266</v>
      </c>
      <c r="E20" t="s">
        <v>268</v>
      </c>
      <c r="F20"/>
      <c r="G20" s="3" t="s">
        <v>25</v>
      </c>
      <c r="H20" s="3" t="s">
        <v>109</v>
      </c>
    </row>
    <row r="21" spans="1:8" ht="15" x14ac:dyDescent="0.25">
      <c r="A21" t="s">
        <v>279</v>
      </c>
      <c r="B21" t="s">
        <v>547</v>
      </c>
      <c r="C21" t="s">
        <v>904</v>
      </c>
      <c r="D21" t="s">
        <v>266</v>
      </c>
      <c r="E21" t="s">
        <v>268</v>
      </c>
      <c r="F21"/>
      <c r="G21" s="3" t="s">
        <v>19</v>
      </c>
      <c r="H21" s="3" t="s">
        <v>109</v>
      </c>
    </row>
    <row r="22" spans="1:8" ht="15" x14ac:dyDescent="0.25">
      <c r="A22" t="s">
        <v>280</v>
      </c>
      <c r="B22" t="s">
        <v>547</v>
      </c>
      <c r="C22" t="s">
        <v>907</v>
      </c>
      <c r="D22" t="s">
        <v>266</v>
      </c>
      <c r="E22" t="s">
        <v>268</v>
      </c>
      <c r="F22"/>
      <c r="G22" s="3" t="s">
        <v>111</v>
      </c>
      <c r="H22" s="3" t="s">
        <v>109</v>
      </c>
    </row>
    <row r="23" spans="1:8" ht="15" x14ac:dyDescent="0.25">
      <c r="A23" t="s">
        <v>281</v>
      </c>
      <c r="B23" t="s">
        <v>547</v>
      </c>
      <c r="C23" t="s">
        <v>904</v>
      </c>
      <c r="D23" t="s">
        <v>266</v>
      </c>
      <c r="E23" t="s">
        <v>268</v>
      </c>
      <c r="F23"/>
      <c r="G23" s="3" t="s">
        <v>22</v>
      </c>
      <c r="H23" s="3" t="s">
        <v>109</v>
      </c>
    </row>
    <row r="24" spans="1:8" ht="15" x14ac:dyDescent="0.25">
      <c r="A24" t="s">
        <v>282</v>
      </c>
      <c r="B24" t="s">
        <v>547</v>
      </c>
      <c r="C24" t="s">
        <v>907</v>
      </c>
      <c r="D24" t="s">
        <v>266</v>
      </c>
      <c r="E24" t="s">
        <v>268</v>
      </c>
      <c r="F24"/>
      <c r="G24" s="3" t="s">
        <v>85</v>
      </c>
      <c r="H24" s="3" t="s">
        <v>109</v>
      </c>
    </row>
    <row r="25" spans="1:8" ht="15" x14ac:dyDescent="0.25">
      <c r="A25" t="s">
        <v>283</v>
      </c>
      <c r="B25" t="s">
        <v>547</v>
      </c>
      <c r="C25" t="s">
        <v>904</v>
      </c>
      <c r="D25" t="s">
        <v>266</v>
      </c>
      <c r="E25" t="s">
        <v>268</v>
      </c>
      <c r="F25"/>
      <c r="G25" s="3" t="s">
        <v>30</v>
      </c>
      <c r="H25" s="3" t="s">
        <v>109</v>
      </c>
    </row>
    <row r="26" spans="1:8" ht="15" x14ac:dyDescent="0.25">
      <c r="A26" t="s">
        <v>284</v>
      </c>
      <c r="B26" t="s">
        <v>547</v>
      </c>
      <c r="C26" t="s">
        <v>904</v>
      </c>
      <c r="D26" t="s">
        <v>266</v>
      </c>
      <c r="E26" t="s">
        <v>268</v>
      </c>
      <c r="F26"/>
      <c r="G26" s="3" t="s">
        <v>41</v>
      </c>
      <c r="H26" s="3" t="s">
        <v>109</v>
      </c>
    </row>
    <row r="27" spans="1:8" ht="15" x14ac:dyDescent="0.25">
      <c r="A27" t="s">
        <v>285</v>
      </c>
      <c r="B27" t="s">
        <v>547</v>
      </c>
      <c r="C27" t="s">
        <v>904</v>
      </c>
      <c r="D27" t="s">
        <v>266</v>
      </c>
      <c r="E27" t="s">
        <v>268</v>
      </c>
      <c r="F27"/>
      <c r="G27" s="3" t="s">
        <v>18</v>
      </c>
      <c r="H27" s="3" t="s">
        <v>109</v>
      </c>
    </row>
    <row r="28" spans="1:8" ht="15" x14ac:dyDescent="0.25">
      <c r="A28" t="s">
        <v>286</v>
      </c>
      <c r="B28" t="s">
        <v>547</v>
      </c>
      <c r="C28" t="s">
        <v>907</v>
      </c>
      <c r="D28" t="s">
        <v>266</v>
      </c>
      <c r="E28" t="s">
        <v>268</v>
      </c>
      <c r="F28"/>
      <c r="G28" s="3" t="s">
        <v>29</v>
      </c>
      <c r="H28" s="3" t="s">
        <v>109</v>
      </c>
    </row>
    <row r="29" spans="1:8" ht="15" x14ac:dyDescent="0.25">
      <c r="A29" t="s">
        <v>287</v>
      </c>
      <c r="B29" t="s">
        <v>547</v>
      </c>
      <c r="C29" t="s">
        <v>904</v>
      </c>
      <c r="D29" t="s">
        <v>266</v>
      </c>
      <c r="E29" t="s">
        <v>268</v>
      </c>
      <c r="F29"/>
      <c r="G29" s="3" t="s">
        <v>21</v>
      </c>
      <c r="H29" s="3" t="s">
        <v>109</v>
      </c>
    </row>
    <row r="30" spans="1:8" ht="15" x14ac:dyDescent="0.25">
      <c r="A30" t="s">
        <v>288</v>
      </c>
      <c r="B30" t="s">
        <v>547</v>
      </c>
      <c r="C30" t="s">
        <v>907</v>
      </c>
      <c r="D30" t="s">
        <v>266</v>
      </c>
      <c r="E30" t="s">
        <v>268</v>
      </c>
      <c r="F30"/>
      <c r="G30" s="3" t="s">
        <v>37</v>
      </c>
      <c r="H30" s="3" t="s">
        <v>109</v>
      </c>
    </row>
    <row r="31" spans="1:8" ht="15" x14ac:dyDescent="0.25">
      <c r="A31" t="s">
        <v>289</v>
      </c>
      <c r="B31" t="s">
        <v>547</v>
      </c>
      <c r="C31" t="s">
        <v>904</v>
      </c>
      <c r="D31" t="s">
        <v>266</v>
      </c>
      <c r="E31" t="s">
        <v>268</v>
      </c>
      <c r="F31"/>
      <c r="G31" s="3" t="s">
        <v>77</v>
      </c>
      <c r="H31" s="3" t="s">
        <v>109</v>
      </c>
    </row>
    <row r="32" spans="1:8" ht="15" x14ac:dyDescent="0.25">
      <c r="A32" t="s">
        <v>290</v>
      </c>
      <c r="B32" t="s">
        <v>547</v>
      </c>
      <c r="C32" t="s">
        <v>904</v>
      </c>
      <c r="D32" t="s">
        <v>266</v>
      </c>
      <c r="E32" t="s">
        <v>268</v>
      </c>
      <c r="F32"/>
      <c r="G32" s="3" t="s">
        <v>23</v>
      </c>
      <c r="H32" s="3" t="s">
        <v>109</v>
      </c>
    </row>
    <row r="33" spans="1:8" ht="15" x14ac:dyDescent="0.25">
      <c r="A33" t="s">
        <v>291</v>
      </c>
      <c r="B33" t="s">
        <v>548</v>
      </c>
      <c r="C33" t="s">
        <v>904</v>
      </c>
      <c r="D33" t="s">
        <v>266</v>
      </c>
      <c r="E33" t="s">
        <v>268</v>
      </c>
      <c r="F33"/>
      <c r="G33" s="3" t="s">
        <v>27</v>
      </c>
      <c r="H33" s="3" t="s">
        <v>109</v>
      </c>
    </row>
    <row r="34" spans="1:8" ht="15" x14ac:dyDescent="0.25">
      <c r="A34" t="s">
        <v>292</v>
      </c>
      <c r="B34" t="s">
        <v>548</v>
      </c>
      <c r="C34" t="s">
        <v>907</v>
      </c>
      <c r="D34" t="s">
        <v>266</v>
      </c>
      <c r="E34" t="s">
        <v>268</v>
      </c>
      <c r="F34"/>
      <c r="G34" s="3" t="s">
        <v>59</v>
      </c>
      <c r="H34" s="3" t="s">
        <v>124</v>
      </c>
    </row>
    <row r="35" spans="1:8" ht="15" x14ac:dyDescent="0.25">
      <c r="A35" t="s">
        <v>293</v>
      </c>
      <c r="B35" t="s">
        <v>548</v>
      </c>
      <c r="C35" t="s">
        <v>904</v>
      </c>
      <c r="D35" t="s">
        <v>266</v>
      </c>
      <c r="E35" t="s">
        <v>268</v>
      </c>
      <c r="F35"/>
      <c r="G35" s="3" t="s">
        <v>12</v>
      </c>
      <c r="H35" s="3" t="s">
        <v>124</v>
      </c>
    </row>
    <row r="36" spans="1:8" ht="15" x14ac:dyDescent="0.25">
      <c r="A36" t="s">
        <v>294</v>
      </c>
      <c r="B36" t="s">
        <v>548</v>
      </c>
      <c r="C36" t="s">
        <v>907</v>
      </c>
      <c r="D36" t="s">
        <v>266</v>
      </c>
      <c r="E36" t="s">
        <v>268</v>
      </c>
      <c r="F36"/>
      <c r="G36" s="3" t="s">
        <v>65</v>
      </c>
      <c r="H36" s="3" t="s">
        <v>124</v>
      </c>
    </row>
    <row r="37" spans="1:8" ht="15" x14ac:dyDescent="0.25">
      <c r="A37" t="s">
        <v>295</v>
      </c>
      <c r="B37" t="s">
        <v>548</v>
      </c>
      <c r="C37" t="s">
        <v>904</v>
      </c>
      <c r="D37" t="s">
        <v>266</v>
      </c>
      <c r="E37" t="s">
        <v>268</v>
      </c>
      <c r="F37"/>
      <c r="G37" s="3" t="s">
        <v>61</v>
      </c>
      <c r="H37" s="3" t="s">
        <v>124</v>
      </c>
    </row>
    <row r="38" spans="1:8" ht="15" x14ac:dyDescent="0.25">
      <c r="A38" t="s">
        <v>296</v>
      </c>
      <c r="B38" t="s">
        <v>548</v>
      </c>
      <c r="C38" t="s">
        <v>904</v>
      </c>
      <c r="D38" t="s">
        <v>266</v>
      </c>
      <c r="E38" t="s">
        <v>268</v>
      </c>
      <c r="F38"/>
      <c r="G38" s="3" t="s">
        <v>31</v>
      </c>
      <c r="H38" s="3" t="s">
        <v>124</v>
      </c>
    </row>
    <row r="39" spans="1:8" ht="15" x14ac:dyDescent="0.25">
      <c r="A39" t="s">
        <v>297</v>
      </c>
      <c r="B39" t="s">
        <v>547</v>
      </c>
      <c r="C39" t="s">
        <v>904</v>
      </c>
      <c r="D39" t="s">
        <v>266</v>
      </c>
      <c r="E39" t="s">
        <v>268</v>
      </c>
      <c r="F39"/>
      <c r="G39" s="3" t="s">
        <v>54</v>
      </c>
      <c r="H39" s="3" t="s">
        <v>124</v>
      </c>
    </row>
    <row r="40" spans="1:8" ht="15" x14ac:dyDescent="0.25">
      <c r="A40" t="s">
        <v>298</v>
      </c>
      <c r="B40" t="s">
        <v>548</v>
      </c>
      <c r="C40" t="s">
        <v>904</v>
      </c>
      <c r="D40" t="s">
        <v>266</v>
      </c>
      <c r="E40" t="s">
        <v>268</v>
      </c>
      <c r="F40"/>
      <c r="G40" s="3" t="s">
        <v>70</v>
      </c>
      <c r="H40" s="3" t="s">
        <v>124</v>
      </c>
    </row>
    <row r="41" spans="1:8" ht="15" x14ac:dyDescent="0.25">
      <c r="A41" t="s">
        <v>299</v>
      </c>
      <c r="B41" t="s">
        <v>547</v>
      </c>
      <c r="C41" t="s">
        <v>907</v>
      </c>
      <c r="D41" t="s">
        <v>266</v>
      </c>
      <c r="E41" t="s">
        <v>268</v>
      </c>
      <c r="F41"/>
      <c r="G41" s="3" t="s">
        <v>40</v>
      </c>
      <c r="H41" s="3" t="s">
        <v>124</v>
      </c>
    </row>
    <row r="42" spans="1:8" ht="15" x14ac:dyDescent="0.25">
      <c r="A42" t="s">
        <v>300</v>
      </c>
      <c r="B42" t="s">
        <v>547</v>
      </c>
      <c r="C42" t="s">
        <v>904</v>
      </c>
      <c r="D42" t="s">
        <v>266</v>
      </c>
      <c r="E42" t="s">
        <v>268</v>
      </c>
      <c r="F42"/>
      <c r="G42" s="3" t="s">
        <v>47</v>
      </c>
      <c r="H42" s="3" t="s">
        <v>124</v>
      </c>
    </row>
    <row r="43" spans="1:8" ht="15" x14ac:dyDescent="0.25">
      <c r="A43" t="s">
        <v>301</v>
      </c>
      <c r="B43" t="s">
        <v>547</v>
      </c>
      <c r="C43" t="s">
        <v>907</v>
      </c>
      <c r="D43" t="s">
        <v>266</v>
      </c>
      <c r="E43" t="s">
        <v>268</v>
      </c>
      <c r="F43"/>
    </row>
    <row r="44" spans="1:8" ht="15" x14ac:dyDescent="0.25">
      <c r="A44" t="s">
        <v>302</v>
      </c>
      <c r="B44" t="s">
        <v>547</v>
      </c>
      <c r="C44" t="s">
        <v>904</v>
      </c>
      <c r="D44" t="s">
        <v>266</v>
      </c>
      <c r="E44" t="s">
        <v>268</v>
      </c>
      <c r="F44"/>
    </row>
    <row r="45" spans="1:8" ht="15" x14ac:dyDescent="0.25">
      <c r="A45" t="s">
        <v>303</v>
      </c>
      <c r="B45" t="s">
        <v>547</v>
      </c>
      <c r="C45" t="s">
        <v>904</v>
      </c>
      <c r="D45" t="s">
        <v>266</v>
      </c>
      <c r="E45" t="s">
        <v>268</v>
      </c>
      <c r="F45"/>
    </row>
    <row r="46" spans="1:8" ht="15" x14ac:dyDescent="0.25">
      <c r="A46" t="s">
        <v>304</v>
      </c>
      <c r="B46" t="s">
        <v>547</v>
      </c>
      <c r="C46" t="s">
        <v>904</v>
      </c>
      <c r="D46" t="s">
        <v>266</v>
      </c>
      <c r="E46" t="s">
        <v>268</v>
      </c>
      <c r="F46"/>
    </row>
    <row r="47" spans="1:8" ht="15" x14ac:dyDescent="0.25">
      <c r="A47" t="s">
        <v>305</v>
      </c>
      <c r="B47" t="s">
        <v>547</v>
      </c>
      <c r="C47" t="s">
        <v>904</v>
      </c>
      <c r="D47" t="s">
        <v>266</v>
      </c>
      <c r="E47" t="s">
        <v>268</v>
      </c>
      <c r="F47"/>
    </row>
    <row r="48" spans="1:8" ht="15" x14ac:dyDescent="0.25">
      <c r="A48" t="s">
        <v>306</v>
      </c>
      <c r="B48" t="s">
        <v>547</v>
      </c>
      <c r="C48" t="s">
        <v>904</v>
      </c>
      <c r="D48" t="s">
        <v>266</v>
      </c>
      <c r="E48" t="s">
        <v>268</v>
      </c>
      <c r="F48"/>
    </row>
    <row r="49" spans="1:6" ht="15" x14ac:dyDescent="0.25">
      <c r="A49" t="s">
        <v>398</v>
      </c>
      <c r="B49" t="s">
        <v>547</v>
      </c>
      <c r="C49" t="s">
        <v>907</v>
      </c>
      <c r="D49" t="s">
        <v>266</v>
      </c>
      <c r="E49" t="s">
        <v>268</v>
      </c>
      <c r="F49"/>
    </row>
    <row r="50" spans="1:6" ht="15" x14ac:dyDescent="0.25">
      <c r="A50" t="s">
        <v>399</v>
      </c>
      <c r="B50" t="s">
        <v>547</v>
      </c>
      <c r="C50" t="s">
        <v>904</v>
      </c>
      <c r="D50" t="s">
        <v>266</v>
      </c>
      <c r="E50" t="s">
        <v>268</v>
      </c>
      <c r="F50"/>
    </row>
    <row r="51" spans="1:6" ht="15" x14ac:dyDescent="0.25">
      <c r="A51" t="s">
        <v>549</v>
      </c>
      <c r="B51" t="s">
        <v>547</v>
      </c>
      <c r="C51" t="s">
        <v>904</v>
      </c>
      <c r="D51" t="s">
        <v>266</v>
      </c>
      <c r="E51" t="s">
        <v>268</v>
      </c>
      <c r="F51"/>
    </row>
    <row r="52" spans="1:6" ht="15" x14ac:dyDescent="0.25">
      <c r="A52" t="s">
        <v>400</v>
      </c>
      <c r="B52" t="s">
        <v>547</v>
      </c>
      <c r="C52" t="s">
        <v>907</v>
      </c>
      <c r="D52" t="s">
        <v>266</v>
      </c>
      <c r="E52" t="s">
        <v>268</v>
      </c>
      <c r="F52"/>
    </row>
    <row r="53" spans="1:6" ht="15" x14ac:dyDescent="0.25">
      <c r="A53" t="s">
        <v>401</v>
      </c>
      <c r="B53" t="s">
        <v>548</v>
      </c>
      <c r="C53" t="s">
        <v>904</v>
      </c>
      <c r="D53" t="s">
        <v>266</v>
      </c>
      <c r="E53" t="s">
        <v>268</v>
      </c>
      <c r="F53"/>
    </row>
    <row r="54" spans="1:6" ht="15" x14ac:dyDescent="0.25">
      <c r="A54" t="s">
        <v>402</v>
      </c>
      <c r="B54" t="s">
        <v>548</v>
      </c>
      <c r="C54" t="s">
        <v>907</v>
      </c>
      <c r="D54" t="s">
        <v>266</v>
      </c>
      <c r="E54" t="s">
        <v>268</v>
      </c>
      <c r="F54"/>
    </row>
    <row r="55" spans="1:6" ht="15" x14ac:dyDescent="0.25">
      <c r="A55" t="s">
        <v>403</v>
      </c>
      <c r="B55" t="s">
        <v>548</v>
      </c>
      <c r="C55" t="s">
        <v>904</v>
      </c>
      <c r="D55" t="s">
        <v>266</v>
      </c>
      <c r="E55" t="s">
        <v>268</v>
      </c>
      <c r="F55"/>
    </row>
    <row r="56" spans="1:6" ht="15" x14ac:dyDescent="0.25">
      <c r="A56" t="s">
        <v>267</v>
      </c>
      <c r="B56" t="s">
        <v>547</v>
      </c>
      <c r="C56" t="s">
        <v>904</v>
      </c>
      <c r="D56" t="s">
        <v>266</v>
      </c>
      <c r="E56" t="s">
        <v>268</v>
      </c>
      <c r="F56"/>
    </row>
    <row r="57" spans="1:6" ht="15" x14ac:dyDescent="0.25">
      <c r="A57" t="s">
        <v>269</v>
      </c>
      <c r="B57" t="s">
        <v>547</v>
      </c>
      <c r="C57" t="s">
        <v>907</v>
      </c>
      <c r="D57" t="s">
        <v>266</v>
      </c>
      <c r="E57" t="s">
        <v>268</v>
      </c>
      <c r="F57"/>
    </row>
    <row r="58" spans="1:6" ht="15" x14ac:dyDescent="0.25">
      <c r="A58" t="s">
        <v>404</v>
      </c>
      <c r="B58" t="s">
        <v>547</v>
      </c>
      <c r="C58" t="s">
        <v>904</v>
      </c>
      <c r="D58" t="s">
        <v>266</v>
      </c>
      <c r="E58" t="s">
        <v>268</v>
      </c>
      <c r="F58"/>
    </row>
    <row r="59" spans="1:6" ht="15" x14ac:dyDescent="0.25">
      <c r="A59" t="s">
        <v>405</v>
      </c>
      <c r="B59" t="s">
        <v>547</v>
      </c>
      <c r="C59" t="s">
        <v>907</v>
      </c>
      <c r="D59" t="s">
        <v>266</v>
      </c>
      <c r="E59" t="s">
        <v>268</v>
      </c>
      <c r="F59"/>
    </row>
    <row r="60" spans="1:6" ht="15" x14ac:dyDescent="0.25">
      <c r="A60" t="s">
        <v>406</v>
      </c>
      <c r="B60" t="s">
        <v>547</v>
      </c>
      <c r="C60" t="s">
        <v>907</v>
      </c>
      <c r="D60" t="s">
        <v>266</v>
      </c>
      <c r="E60" t="s">
        <v>268</v>
      </c>
      <c r="F60"/>
    </row>
    <row r="61" spans="1:6" ht="15" x14ac:dyDescent="0.25">
      <c r="A61" t="s">
        <v>407</v>
      </c>
      <c r="B61" t="s">
        <v>547</v>
      </c>
      <c r="C61" t="s">
        <v>904</v>
      </c>
      <c r="D61" t="s">
        <v>266</v>
      </c>
      <c r="E61" t="s">
        <v>268</v>
      </c>
      <c r="F61"/>
    </row>
    <row r="62" spans="1:6" ht="15" x14ac:dyDescent="0.25">
      <c r="A62" t="s">
        <v>408</v>
      </c>
      <c r="B62" t="s">
        <v>548</v>
      </c>
      <c r="C62" t="s">
        <v>907</v>
      </c>
      <c r="D62" t="s">
        <v>266</v>
      </c>
      <c r="E62" t="s">
        <v>268</v>
      </c>
      <c r="F62"/>
    </row>
    <row r="63" spans="1:6" ht="15" x14ac:dyDescent="0.25">
      <c r="A63" t="s">
        <v>409</v>
      </c>
      <c r="B63" t="s">
        <v>548</v>
      </c>
      <c r="C63" t="s">
        <v>904</v>
      </c>
      <c r="D63" t="s">
        <v>266</v>
      </c>
      <c r="E63" t="s">
        <v>268</v>
      </c>
      <c r="F63"/>
    </row>
    <row r="64" spans="1:6" ht="15" x14ac:dyDescent="0.25">
      <c r="A64" t="s">
        <v>410</v>
      </c>
      <c r="B64" t="s">
        <v>548</v>
      </c>
      <c r="C64" t="s">
        <v>904</v>
      </c>
      <c r="D64" t="s">
        <v>266</v>
      </c>
      <c r="E64" t="s">
        <v>268</v>
      </c>
      <c r="F64"/>
    </row>
    <row r="65" spans="1:6" ht="15" x14ac:dyDescent="0.25">
      <c r="A65" t="s">
        <v>411</v>
      </c>
      <c r="B65" t="s">
        <v>547</v>
      </c>
      <c r="C65" t="s">
        <v>907</v>
      </c>
      <c r="D65" t="s">
        <v>266</v>
      </c>
      <c r="E65" t="s">
        <v>268</v>
      </c>
      <c r="F65"/>
    </row>
    <row r="66" spans="1:6" ht="15" x14ac:dyDescent="0.25">
      <c r="A66" t="s">
        <v>412</v>
      </c>
      <c r="B66" t="s">
        <v>547</v>
      </c>
      <c r="C66" t="s">
        <v>904</v>
      </c>
      <c r="D66" t="s">
        <v>266</v>
      </c>
      <c r="E66" t="s">
        <v>268</v>
      </c>
      <c r="F66"/>
    </row>
    <row r="67" spans="1:6" ht="15" x14ac:dyDescent="0.25">
      <c r="A67" t="s">
        <v>413</v>
      </c>
      <c r="B67" t="s">
        <v>547</v>
      </c>
      <c r="C67" t="s">
        <v>904</v>
      </c>
      <c r="D67" t="s">
        <v>266</v>
      </c>
      <c r="E67" t="s">
        <v>268</v>
      </c>
      <c r="F67"/>
    </row>
    <row r="68" spans="1:6" ht="15" x14ac:dyDescent="0.25">
      <c r="A68" t="s">
        <v>414</v>
      </c>
      <c r="B68" t="s">
        <v>547</v>
      </c>
      <c r="C68" t="s">
        <v>904</v>
      </c>
      <c r="D68" t="s">
        <v>266</v>
      </c>
      <c r="E68" t="s">
        <v>268</v>
      </c>
      <c r="F68"/>
    </row>
    <row r="69" spans="1:6" ht="15" x14ac:dyDescent="0.25">
      <c r="A69" t="s">
        <v>415</v>
      </c>
      <c r="B69" t="s">
        <v>547</v>
      </c>
      <c r="C69" t="s">
        <v>904</v>
      </c>
      <c r="D69" t="s">
        <v>266</v>
      </c>
      <c r="E69" t="s">
        <v>268</v>
      </c>
      <c r="F69"/>
    </row>
    <row r="70" spans="1:6" ht="15" x14ac:dyDescent="0.25">
      <c r="A70" t="s">
        <v>416</v>
      </c>
      <c r="B70" t="s">
        <v>547</v>
      </c>
      <c r="C70" t="s">
        <v>904</v>
      </c>
      <c r="D70" t="s">
        <v>266</v>
      </c>
      <c r="E70" t="s">
        <v>268</v>
      </c>
      <c r="F70"/>
    </row>
    <row r="71" spans="1:6" ht="15" x14ac:dyDescent="0.25">
      <c r="A71" t="s">
        <v>232</v>
      </c>
      <c r="B71" t="s">
        <v>547</v>
      </c>
      <c r="C71" t="s">
        <v>907</v>
      </c>
      <c r="D71" t="s">
        <v>261</v>
      </c>
      <c r="E71" t="s">
        <v>395</v>
      </c>
      <c r="F71"/>
    </row>
    <row r="72" spans="1:6" ht="15" x14ac:dyDescent="0.25">
      <c r="A72" t="s">
        <v>186</v>
      </c>
      <c r="B72" t="s">
        <v>547</v>
      </c>
      <c r="C72" t="s">
        <v>904</v>
      </c>
      <c r="D72" t="s">
        <v>261</v>
      </c>
      <c r="E72" t="s">
        <v>905</v>
      </c>
      <c r="F72"/>
    </row>
    <row r="73" spans="1:6" ht="15" x14ac:dyDescent="0.25">
      <c r="A73" t="s">
        <v>187</v>
      </c>
      <c r="B73" t="s">
        <v>547</v>
      </c>
      <c r="C73" t="s">
        <v>904</v>
      </c>
      <c r="D73" t="s">
        <v>266</v>
      </c>
      <c r="E73" t="s">
        <v>905</v>
      </c>
      <c r="F73"/>
    </row>
    <row r="74" spans="1:6" ht="15" x14ac:dyDescent="0.25">
      <c r="A74" t="s">
        <v>86</v>
      </c>
      <c r="B74" t="s">
        <v>547</v>
      </c>
      <c r="C74" t="s">
        <v>904</v>
      </c>
      <c r="D74" t="s">
        <v>261</v>
      </c>
      <c r="E74" t="s">
        <v>905</v>
      </c>
      <c r="F74"/>
    </row>
    <row r="75" spans="1:6" ht="15" x14ac:dyDescent="0.25">
      <c r="A75" t="s">
        <v>63</v>
      </c>
      <c r="B75" t="s">
        <v>547</v>
      </c>
      <c r="C75" t="s">
        <v>904</v>
      </c>
      <c r="D75" t="s">
        <v>261</v>
      </c>
      <c r="E75" t="s">
        <v>905</v>
      </c>
      <c r="F75"/>
    </row>
    <row r="76" spans="1:6" ht="15" x14ac:dyDescent="0.25">
      <c r="A76" t="s">
        <v>307</v>
      </c>
      <c r="B76" t="s">
        <v>547</v>
      </c>
      <c r="C76" t="s">
        <v>904</v>
      </c>
      <c r="D76" t="s">
        <v>261</v>
      </c>
      <c r="E76" t="s">
        <v>905</v>
      </c>
      <c r="F76"/>
    </row>
    <row r="77" spans="1:6" ht="15" x14ac:dyDescent="0.25">
      <c r="A77" t="s">
        <v>60</v>
      </c>
      <c r="B77" t="s">
        <v>547</v>
      </c>
      <c r="C77" t="s">
        <v>904</v>
      </c>
      <c r="D77" t="s">
        <v>261</v>
      </c>
      <c r="E77" t="s">
        <v>905</v>
      </c>
      <c r="F77"/>
    </row>
    <row r="78" spans="1:6" ht="15" x14ac:dyDescent="0.25">
      <c r="A78" t="s">
        <v>238</v>
      </c>
      <c r="B78" t="s">
        <v>547</v>
      </c>
      <c r="C78" t="s">
        <v>904</v>
      </c>
      <c r="D78" t="s">
        <v>261</v>
      </c>
      <c r="E78" t="s">
        <v>905</v>
      </c>
      <c r="F78"/>
    </row>
    <row r="79" spans="1:6" ht="15" x14ac:dyDescent="0.25">
      <c r="A79" t="s">
        <v>308</v>
      </c>
      <c r="B79" t="s">
        <v>547</v>
      </c>
      <c r="C79" t="s">
        <v>904</v>
      </c>
      <c r="D79" t="s">
        <v>261</v>
      </c>
      <c r="E79" t="s">
        <v>905</v>
      </c>
      <c r="F79"/>
    </row>
    <row r="80" spans="1:6" ht="15" x14ac:dyDescent="0.25">
      <c r="A80" t="s">
        <v>142</v>
      </c>
      <c r="B80" t="s">
        <v>547</v>
      </c>
      <c r="C80" t="s">
        <v>907</v>
      </c>
      <c r="D80" t="s">
        <v>261</v>
      </c>
      <c r="E80" t="s">
        <v>395</v>
      </c>
      <c r="F80"/>
    </row>
    <row r="81" spans="1:6" ht="15" x14ac:dyDescent="0.25">
      <c r="A81" t="s">
        <v>188</v>
      </c>
      <c r="B81" t="s">
        <v>547</v>
      </c>
      <c r="C81" t="s">
        <v>904</v>
      </c>
      <c r="D81" t="s">
        <v>261</v>
      </c>
      <c r="E81" t="s">
        <v>905</v>
      </c>
      <c r="F81"/>
    </row>
    <row r="82" spans="1:6" ht="15" x14ac:dyDescent="0.25">
      <c r="A82" t="s">
        <v>239</v>
      </c>
      <c r="B82" t="s">
        <v>547</v>
      </c>
      <c r="C82" t="s">
        <v>904</v>
      </c>
      <c r="D82" t="s">
        <v>261</v>
      </c>
      <c r="E82" t="s">
        <v>905</v>
      </c>
      <c r="F82"/>
    </row>
    <row r="83" spans="1:6" ht="15" x14ac:dyDescent="0.25">
      <c r="A83" t="s">
        <v>168</v>
      </c>
      <c r="B83" t="s">
        <v>547</v>
      </c>
      <c r="C83" t="s">
        <v>904</v>
      </c>
      <c r="D83" t="s">
        <v>261</v>
      </c>
      <c r="E83" t="s">
        <v>905</v>
      </c>
      <c r="F83"/>
    </row>
    <row r="84" spans="1:6" ht="15" x14ac:dyDescent="0.25">
      <c r="A84" t="s">
        <v>244</v>
      </c>
      <c r="B84" t="s">
        <v>547</v>
      </c>
      <c r="C84" t="s">
        <v>904</v>
      </c>
      <c r="D84" t="s">
        <v>261</v>
      </c>
      <c r="E84" t="s">
        <v>905</v>
      </c>
      <c r="F84"/>
    </row>
    <row r="85" spans="1:6" ht="15" x14ac:dyDescent="0.25">
      <c r="A85" t="s">
        <v>87</v>
      </c>
      <c r="B85" t="s">
        <v>547</v>
      </c>
      <c r="C85" t="s">
        <v>904</v>
      </c>
      <c r="D85" t="s">
        <v>261</v>
      </c>
      <c r="E85" t="s">
        <v>905</v>
      </c>
      <c r="F85"/>
    </row>
    <row r="86" spans="1:6" ht="15" x14ac:dyDescent="0.25">
      <c r="A86" t="s">
        <v>240</v>
      </c>
      <c r="B86" t="s">
        <v>547</v>
      </c>
      <c r="C86" t="s">
        <v>904</v>
      </c>
      <c r="D86" t="s">
        <v>261</v>
      </c>
      <c r="E86" t="s">
        <v>905</v>
      </c>
      <c r="F86"/>
    </row>
    <row r="87" spans="1:6" ht="15" x14ac:dyDescent="0.25">
      <c r="A87" t="s">
        <v>417</v>
      </c>
      <c r="B87" t="s">
        <v>547</v>
      </c>
      <c r="C87" t="s">
        <v>904</v>
      </c>
      <c r="D87" t="s">
        <v>261</v>
      </c>
      <c r="E87" t="s">
        <v>905</v>
      </c>
      <c r="F87"/>
    </row>
    <row r="88" spans="1:6" ht="15" x14ac:dyDescent="0.25">
      <c r="A88" t="s">
        <v>418</v>
      </c>
      <c r="B88" t="s">
        <v>547</v>
      </c>
      <c r="C88" t="s">
        <v>904</v>
      </c>
      <c r="D88" t="s">
        <v>261</v>
      </c>
      <c r="E88" t="s">
        <v>905</v>
      </c>
      <c r="F88"/>
    </row>
    <row r="89" spans="1:6" ht="15" x14ac:dyDescent="0.25">
      <c r="A89" t="s">
        <v>233</v>
      </c>
      <c r="B89" t="s">
        <v>547</v>
      </c>
      <c r="C89" t="s">
        <v>904</v>
      </c>
      <c r="D89" t="s">
        <v>261</v>
      </c>
      <c r="E89" t="s">
        <v>905</v>
      </c>
      <c r="F89"/>
    </row>
    <row r="90" spans="1:6" ht="15" x14ac:dyDescent="0.25">
      <c r="A90" t="s">
        <v>241</v>
      </c>
      <c r="B90" t="s">
        <v>547</v>
      </c>
      <c r="C90" t="s">
        <v>904</v>
      </c>
      <c r="D90" t="s">
        <v>261</v>
      </c>
      <c r="E90" t="s">
        <v>905</v>
      </c>
      <c r="F90"/>
    </row>
    <row r="91" spans="1:6" ht="15" x14ac:dyDescent="0.25">
      <c r="A91" t="s">
        <v>91</v>
      </c>
      <c r="B91" t="s">
        <v>547</v>
      </c>
      <c r="C91" t="s">
        <v>904</v>
      </c>
      <c r="D91" t="s">
        <v>261</v>
      </c>
      <c r="E91" t="s">
        <v>905</v>
      </c>
      <c r="F91"/>
    </row>
    <row r="92" spans="1:6" ht="15" x14ac:dyDescent="0.25">
      <c r="A92" t="s">
        <v>80</v>
      </c>
      <c r="B92" t="s">
        <v>547</v>
      </c>
      <c r="C92" t="s">
        <v>904</v>
      </c>
      <c r="D92" t="s">
        <v>261</v>
      </c>
      <c r="E92" t="s">
        <v>905</v>
      </c>
      <c r="F92"/>
    </row>
    <row r="93" spans="1:6" ht="15" x14ac:dyDescent="0.25">
      <c r="A93" t="s">
        <v>92</v>
      </c>
      <c r="B93" t="s">
        <v>547</v>
      </c>
      <c r="C93" t="s">
        <v>907</v>
      </c>
      <c r="D93" t="s">
        <v>266</v>
      </c>
      <c r="E93" t="s">
        <v>395</v>
      </c>
      <c r="F93"/>
    </row>
    <row r="94" spans="1:6" ht="15" x14ac:dyDescent="0.25">
      <c r="A94" t="s">
        <v>112</v>
      </c>
      <c r="B94" t="s">
        <v>547</v>
      </c>
      <c r="C94" t="s">
        <v>907</v>
      </c>
      <c r="D94" t="s">
        <v>261</v>
      </c>
      <c r="E94" t="s">
        <v>395</v>
      </c>
      <c r="F94"/>
    </row>
    <row r="95" spans="1:6" ht="15" x14ac:dyDescent="0.25">
      <c r="A95" t="s">
        <v>309</v>
      </c>
      <c r="B95" t="s">
        <v>547</v>
      </c>
      <c r="C95" t="s">
        <v>904</v>
      </c>
      <c r="D95" t="s">
        <v>261</v>
      </c>
      <c r="E95" t="s">
        <v>905</v>
      </c>
      <c r="F95"/>
    </row>
    <row r="96" spans="1:6" ht="15" x14ac:dyDescent="0.25">
      <c r="A96" t="s">
        <v>242</v>
      </c>
      <c r="B96" t="s">
        <v>548</v>
      </c>
      <c r="C96" t="s">
        <v>907</v>
      </c>
      <c r="D96" t="s">
        <v>261</v>
      </c>
      <c r="E96" t="s">
        <v>395</v>
      </c>
      <c r="F96"/>
    </row>
    <row r="97" spans="1:6" ht="15" x14ac:dyDescent="0.25">
      <c r="A97" t="s">
        <v>245</v>
      </c>
      <c r="B97" t="s">
        <v>548</v>
      </c>
      <c r="C97" t="s">
        <v>904</v>
      </c>
      <c r="D97" t="s">
        <v>266</v>
      </c>
      <c r="E97" t="s">
        <v>905</v>
      </c>
      <c r="F97"/>
    </row>
    <row r="98" spans="1:6" ht="15" x14ac:dyDescent="0.25">
      <c r="A98" t="s">
        <v>234</v>
      </c>
      <c r="B98" t="s">
        <v>547</v>
      </c>
      <c r="C98" t="s">
        <v>904</v>
      </c>
      <c r="D98" t="s">
        <v>261</v>
      </c>
      <c r="E98" t="s">
        <v>905</v>
      </c>
      <c r="F98"/>
    </row>
    <row r="99" spans="1:6" ht="15" x14ac:dyDescent="0.25">
      <c r="A99" t="s">
        <v>310</v>
      </c>
      <c r="B99" t="s">
        <v>547</v>
      </c>
      <c r="C99" t="s">
        <v>904</v>
      </c>
      <c r="D99" t="s">
        <v>261</v>
      </c>
      <c r="E99" t="s">
        <v>905</v>
      </c>
      <c r="F99"/>
    </row>
    <row r="100" spans="1:6" ht="15" x14ac:dyDescent="0.25">
      <c r="A100" t="s">
        <v>123</v>
      </c>
      <c r="B100" t="s">
        <v>547</v>
      </c>
      <c r="C100" t="s">
        <v>904</v>
      </c>
      <c r="D100" t="s">
        <v>261</v>
      </c>
      <c r="E100" t="s">
        <v>905</v>
      </c>
      <c r="F100"/>
    </row>
    <row r="101" spans="1:6" ht="15" x14ac:dyDescent="0.25">
      <c r="A101" t="s">
        <v>311</v>
      </c>
      <c r="B101" t="s">
        <v>547</v>
      </c>
      <c r="C101" t="s">
        <v>907</v>
      </c>
      <c r="D101" t="s">
        <v>419</v>
      </c>
      <c r="E101" t="s">
        <v>906</v>
      </c>
      <c r="F101"/>
    </row>
    <row r="102" spans="1:6" ht="15" x14ac:dyDescent="0.25">
      <c r="A102" t="s">
        <v>420</v>
      </c>
      <c r="B102" t="s">
        <v>547</v>
      </c>
      <c r="C102" t="s">
        <v>907</v>
      </c>
      <c r="D102" t="s">
        <v>419</v>
      </c>
      <c r="E102" t="s">
        <v>906</v>
      </c>
      <c r="F102"/>
    </row>
    <row r="103" spans="1:6" ht="15" x14ac:dyDescent="0.25">
      <c r="A103" t="s">
        <v>189</v>
      </c>
      <c r="B103" t="s">
        <v>547</v>
      </c>
      <c r="C103" t="s">
        <v>907</v>
      </c>
      <c r="D103" t="s">
        <v>261</v>
      </c>
      <c r="E103" t="s">
        <v>395</v>
      </c>
      <c r="F103"/>
    </row>
    <row r="104" spans="1:6" ht="15" x14ac:dyDescent="0.25">
      <c r="A104" t="s">
        <v>84</v>
      </c>
      <c r="B104" t="s">
        <v>548</v>
      </c>
      <c r="C104" t="s">
        <v>908</v>
      </c>
      <c r="D104" t="s">
        <v>261</v>
      </c>
      <c r="E104" t="s">
        <v>422</v>
      </c>
      <c r="F104"/>
    </row>
    <row r="105" spans="1:6" ht="15" x14ac:dyDescent="0.25">
      <c r="A105" t="s">
        <v>145</v>
      </c>
      <c r="B105" t="s">
        <v>547</v>
      </c>
      <c r="C105" t="s">
        <v>907</v>
      </c>
      <c r="D105" t="s">
        <v>261</v>
      </c>
      <c r="E105" t="s">
        <v>395</v>
      </c>
      <c r="F105"/>
    </row>
    <row r="106" spans="1:6" ht="15" x14ac:dyDescent="0.25">
      <c r="A106" t="s">
        <v>72</v>
      </c>
      <c r="B106" t="s">
        <v>547</v>
      </c>
      <c r="C106" t="s">
        <v>904</v>
      </c>
      <c r="D106" t="s">
        <v>261</v>
      </c>
      <c r="E106" t="s">
        <v>905</v>
      </c>
      <c r="F106"/>
    </row>
    <row r="107" spans="1:6" ht="15" x14ac:dyDescent="0.25">
      <c r="A107" t="s">
        <v>76</v>
      </c>
      <c r="B107" t="s">
        <v>547</v>
      </c>
      <c r="C107" t="s">
        <v>907</v>
      </c>
      <c r="D107" t="s">
        <v>261</v>
      </c>
      <c r="E107" t="s">
        <v>395</v>
      </c>
      <c r="F107"/>
    </row>
    <row r="108" spans="1:6" ht="15" x14ac:dyDescent="0.25">
      <c r="A108" t="s">
        <v>423</v>
      </c>
      <c r="B108" t="s">
        <v>547</v>
      </c>
      <c r="C108" t="s">
        <v>904</v>
      </c>
      <c r="D108" t="s">
        <v>261</v>
      </c>
      <c r="E108" t="s">
        <v>905</v>
      </c>
      <c r="F108"/>
    </row>
    <row r="109" spans="1:6" ht="15" x14ac:dyDescent="0.25">
      <c r="A109" t="s">
        <v>424</v>
      </c>
      <c r="B109" t="s">
        <v>547</v>
      </c>
      <c r="C109" t="s">
        <v>904</v>
      </c>
      <c r="D109" t="s">
        <v>266</v>
      </c>
      <c r="E109" t="s">
        <v>268</v>
      </c>
      <c r="F109"/>
    </row>
    <row r="110" spans="1:6" ht="15" x14ac:dyDescent="0.25">
      <c r="A110" t="s">
        <v>425</v>
      </c>
      <c r="B110" t="s">
        <v>548</v>
      </c>
      <c r="C110" t="s">
        <v>904</v>
      </c>
      <c r="D110" t="s">
        <v>266</v>
      </c>
      <c r="E110" t="s">
        <v>268</v>
      </c>
      <c r="F110"/>
    </row>
    <row r="111" spans="1:6" ht="15" x14ac:dyDescent="0.25">
      <c r="A111" t="s">
        <v>426</v>
      </c>
      <c r="B111" t="s">
        <v>547</v>
      </c>
      <c r="C111" t="s">
        <v>904</v>
      </c>
      <c r="D111" t="s">
        <v>266</v>
      </c>
      <c r="E111" t="s">
        <v>268</v>
      </c>
      <c r="F111"/>
    </row>
    <row r="112" spans="1:6" ht="15" x14ac:dyDescent="0.25">
      <c r="A112" t="s">
        <v>146</v>
      </c>
      <c r="B112" t="s">
        <v>547</v>
      </c>
      <c r="C112" t="s">
        <v>904</v>
      </c>
      <c r="D112" t="s">
        <v>266</v>
      </c>
      <c r="E112" t="s">
        <v>905</v>
      </c>
      <c r="F112"/>
    </row>
    <row r="113" spans="1:6" ht="15" x14ac:dyDescent="0.25">
      <c r="A113" t="s">
        <v>190</v>
      </c>
      <c r="B113" t="s">
        <v>547</v>
      </c>
      <c r="C113" t="s">
        <v>904</v>
      </c>
      <c r="D113" t="s">
        <v>266</v>
      </c>
      <c r="E113" t="s">
        <v>905</v>
      </c>
      <c r="F113"/>
    </row>
    <row r="114" spans="1:6" ht="15" x14ac:dyDescent="0.25">
      <c r="A114" t="s">
        <v>73</v>
      </c>
      <c r="B114" t="s">
        <v>547</v>
      </c>
      <c r="C114" t="s">
        <v>904</v>
      </c>
      <c r="D114" t="s">
        <v>266</v>
      </c>
      <c r="E114" t="s">
        <v>905</v>
      </c>
      <c r="F114"/>
    </row>
    <row r="115" spans="1:6" ht="15" x14ac:dyDescent="0.25">
      <c r="A115" t="s">
        <v>67</v>
      </c>
      <c r="B115" t="s">
        <v>547</v>
      </c>
      <c r="C115" t="s">
        <v>904</v>
      </c>
      <c r="D115" t="s">
        <v>266</v>
      </c>
      <c r="E115" t="s">
        <v>905</v>
      </c>
      <c r="F115"/>
    </row>
    <row r="116" spans="1:6" ht="15" x14ac:dyDescent="0.25">
      <c r="A116" t="s">
        <v>191</v>
      </c>
      <c r="B116" t="s">
        <v>547</v>
      </c>
      <c r="C116" t="s">
        <v>904</v>
      </c>
      <c r="D116" t="s">
        <v>266</v>
      </c>
      <c r="E116" t="s">
        <v>905</v>
      </c>
      <c r="F116"/>
    </row>
    <row r="117" spans="1:6" ht="15" x14ac:dyDescent="0.25">
      <c r="A117" t="s">
        <v>427</v>
      </c>
      <c r="B117" t="s">
        <v>547</v>
      </c>
      <c r="C117" t="s">
        <v>904</v>
      </c>
      <c r="D117" t="s">
        <v>266</v>
      </c>
      <c r="E117" t="s">
        <v>905</v>
      </c>
      <c r="F117"/>
    </row>
    <row r="118" spans="1:6" ht="15" x14ac:dyDescent="0.25">
      <c r="A118" t="s">
        <v>428</v>
      </c>
      <c r="B118" t="s">
        <v>547</v>
      </c>
      <c r="C118" t="s">
        <v>904</v>
      </c>
      <c r="D118" t="s">
        <v>266</v>
      </c>
      <c r="E118" t="s">
        <v>905</v>
      </c>
      <c r="F118"/>
    </row>
    <row r="119" spans="1:6" ht="15" x14ac:dyDescent="0.25">
      <c r="A119" t="s">
        <v>312</v>
      </c>
      <c r="B119" t="s">
        <v>547</v>
      </c>
      <c r="C119" t="s">
        <v>904</v>
      </c>
      <c r="D119" t="s">
        <v>266</v>
      </c>
      <c r="E119" t="s">
        <v>905</v>
      </c>
      <c r="F119"/>
    </row>
    <row r="120" spans="1:6" ht="15" x14ac:dyDescent="0.25">
      <c r="A120" t="s">
        <v>66</v>
      </c>
      <c r="B120" t="s">
        <v>547</v>
      </c>
      <c r="C120" t="s">
        <v>904</v>
      </c>
      <c r="D120" t="s">
        <v>266</v>
      </c>
      <c r="E120" t="s">
        <v>905</v>
      </c>
      <c r="F120"/>
    </row>
    <row r="121" spans="1:6" ht="15" x14ac:dyDescent="0.25">
      <c r="A121" t="s">
        <v>82</v>
      </c>
      <c r="B121" t="s">
        <v>547</v>
      </c>
      <c r="C121" t="s">
        <v>904</v>
      </c>
      <c r="D121" t="s">
        <v>266</v>
      </c>
      <c r="E121" t="s">
        <v>905</v>
      </c>
      <c r="F121"/>
    </row>
    <row r="122" spans="1:6" ht="15" x14ac:dyDescent="0.25">
      <c r="A122" t="s">
        <v>313</v>
      </c>
      <c r="B122" t="s">
        <v>547</v>
      </c>
      <c r="C122" t="s">
        <v>904</v>
      </c>
      <c r="D122" t="s">
        <v>261</v>
      </c>
      <c r="E122" t="s">
        <v>905</v>
      </c>
      <c r="F122"/>
    </row>
    <row r="123" spans="1:6" ht="15" x14ac:dyDescent="0.25">
      <c r="A123" t="s">
        <v>315</v>
      </c>
      <c r="B123" t="s">
        <v>547</v>
      </c>
      <c r="C123" t="s">
        <v>904</v>
      </c>
      <c r="D123" t="s">
        <v>261</v>
      </c>
      <c r="E123" t="s">
        <v>905</v>
      </c>
      <c r="F123"/>
    </row>
    <row r="124" spans="1:6" ht="15" x14ac:dyDescent="0.25">
      <c r="A124" t="s">
        <v>314</v>
      </c>
      <c r="B124" t="s">
        <v>547</v>
      </c>
      <c r="C124" t="s">
        <v>904</v>
      </c>
      <c r="D124" t="s">
        <v>266</v>
      </c>
      <c r="E124" t="s">
        <v>905</v>
      </c>
      <c r="F124"/>
    </row>
    <row r="125" spans="1:6" ht="15" x14ac:dyDescent="0.25">
      <c r="A125" t="s">
        <v>202</v>
      </c>
      <c r="B125" t="s">
        <v>547</v>
      </c>
      <c r="C125" t="s">
        <v>904</v>
      </c>
      <c r="D125" t="s">
        <v>261</v>
      </c>
      <c r="E125" t="s">
        <v>905</v>
      </c>
      <c r="F125"/>
    </row>
    <row r="126" spans="1:6" ht="15" x14ac:dyDescent="0.25">
      <c r="A126" t="s">
        <v>429</v>
      </c>
      <c r="B126" t="s">
        <v>547</v>
      </c>
      <c r="C126" t="s">
        <v>904</v>
      </c>
      <c r="D126" t="s">
        <v>266</v>
      </c>
      <c r="E126" t="s">
        <v>905</v>
      </c>
      <c r="F126"/>
    </row>
    <row r="127" spans="1:6" ht="15" x14ac:dyDescent="0.25">
      <c r="A127" t="s">
        <v>46</v>
      </c>
      <c r="B127" t="s">
        <v>547</v>
      </c>
      <c r="C127" t="s">
        <v>907</v>
      </c>
      <c r="D127" t="s">
        <v>261</v>
      </c>
      <c r="E127" t="s">
        <v>395</v>
      </c>
      <c r="F127"/>
    </row>
    <row r="128" spans="1:6" ht="15" x14ac:dyDescent="0.25">
      <c r="A128" t="s">
        <v>316</v>
      </c>
      <c r="B128" t="s">
        <v>547</v>
      </c>
      <c r="C128" t="s">
        <v>904</v>
      </c>
      <c r="D128" t="s">
        <v>261</v>
      </c>
      <c r="E128" t="s">
        <v>905</v>
      </c>
      <c r="F128"/>
    </row>
    <row r="129" spans="1:6" ht="15" x14ac:dyDescent="0.25">
      <c r="A129" t="s">
        <v>430</v>
      </c>
      <c r="B129" t="s">
        <v>547</v>
      </c>
      <c r="C129" t="s">
        <v>904</v>
      </c>
      <c r="D129" t="s">
        <v>261</v>
      </c>
      <c r="E129" t="s">
        <v>905</v>
      </c>
      <c r="F129"/>
    </row>
    <row r="130" spans="1:6" ht="15" x14ac:dyDescent="0.25">
      <c r="A130" t="s">
        <v>317</v>
      </c>
      <c r="B130" t="s">
        <v>547</v>
      </c>
      <c r="C130" t="s">
        <v>904</v>
      </c>
      <c r="D130" t="s">
        <v>261</v>
      </c>
      <c r="E130" t="s">
        <v>905</v>
      </c>
      <c r="F130"/>
    </row>
    <row r="131" spans="1:6" ht="15" x14ac:dyDescent="0.25">
      <c r="A131" t="s">
        <v>318</v>
      </c>
      <c r="B131" t="s">
        <v>547</v>
      </c>
      <c r="C131" t="s">
        <v>907</v>
      </c>
      <c r="D131" t="s">
        <v>261</v>
      </c>
      <c r="E131" t="s">
        <v>395</v>
      </c>
      <c r="F131"/>
    </row>
    <row r="132" spans="1:6" ht="15" x14ac:dyDescent="0.25">
      <c r="A132" t="s">
        <v>319</v>
      </c>
      <c r="B132" t="s">
        <v>548</v>
      </c>
      <c r="C132" t="s">
        <v>907</v>
      </c>
      <c r="D132" t="s">
        <v>261</v>
      </c>
      <c r="E132" t="s">
        <v>395</v>
      </c>
      <c r="F132"/>
    </row>
    <row r="133" spans="1:6" ht="15" x14ac:dyDescent="0.25">
      <c r="A133" t="s">
        <v>431</v>
      </c>
      <c r="B133" t="s">
        <v>548</v>
      </c>
      <c r="C133" t="s">
        <v>904</v>
      </c>
      <c r="D133" t="s">
        <v>261</v>
      </c>
      <c r="E133" t="s">
        <v>905</v>
      </c>
      <c r="F133"/>
    </row>
    <row r="134" spans="1:6" ht="15" x14ac:dyDescent="0.25">
      <c r="A134" t="s">
        <v>192</v>
      </c>
      <c r="B134" t="s">
        <v>548</v>
      </c>
      <c r="C134" t="s">
        <v>904</v>
      </c>
      <c r="D134" t="s">
        <v>261</v>
      </c>
      <c r="E134" t="s">
        <v>905</v>
      </c>
      <c r="F134"/>
    </row>
    <row r="135" spans="1:6" ht="15" x14ac:dyDescent="0.25">
      <c r="A135" t="s">
        <v>432</v>
      </c>
      <c r="B135" t="s">
        <v>548</v>
      </c>
      <c r="C135" t="s">
        <v>904</v>
      </c>
      <c r="D135" t="s">
        <v>261</v>
      </c>
      <c r="E135" t="s">
        <v>905</v>
      </c>
      <c r="F135"/>
    </row>
    <row r="136" spans="1:6" ht="15" x14ac:dyDescent="0.25">
      <c r="A136" t="s">
        <v>243</v>
      </c>
      <c r="B136" t="s">
        <v>548</v>
      </c>
      <c r="C136" t="s">
        <v>904</v>
      </c>
      <c r="D136" t="s">
        <v>261</v>
      </c>
      <c r="E136" t="s">
        <v>905</v>
      </c>
      <c r="F136"/>
    </row>
    <row r="137" spans="1:6" ht="15" x14ac:dyDescent="0.25">
      <c r="A137" t="s">
        <v>320</v>
      </c>
      <c r="B137" t="s">
        <v>548</v>
      </c>
      <c r="C137" t="s">
        <v>904</v>
      </c>
      <c r="D137" t="s">
        <v>261</v>
      </c>
      <c r="E137" t="s">
        <v>905</v>
      </c>
      <c r="F137"/>
    </row>
    <row r="138" spans="1:6" ht="15" x14ac:dyDescent="0.25">
      <c r="A138" t="s">
        <v>193</v>
      </c>
      <c r="B138" t="s">
        <v>548</v>
      </c>
      <c r="C138" t="s">
        <v>907</v>
      </c>
      <c r="D138" t="s">
        <v>261</v>
      </c>
      <c r="E138" t="s">
        <v>395</v>
      </c>
      <c r="F138"/>
    </row>
    <row r="139" spans="1:6" ht="15" x14ac:dyDescent="0.25">
      <c r="A139" t="s">
        <v>169</v>
      </c>
      <c r="B139" t="s">
        <v>548</v>
      </c>
      <c r="C139" t="s">
        <v>904</v>
      </c>
      <c r="D139" t="s">
        <v>261</v>
      </c>
      <c r="E139" t="s">
        <v>905</v>
      </c>
      <c r="F139"/>
    </row>
    <row r="140" spans="1:6" ht="15" x14ac:dyDescent="0.25">
      <c r="A140" t="s">
        <v>213</v>
      </c>
      <c r="B140" t="s">
        <v>548</v>
      </c>
      <c r="C140" t="s">
        <v>904</v>
      </c>
      <c r="D140" t="s">
        <v>261</v>
      </c>
      <c r="E140" t="s">
        <v>905</v>
      </c>
      <c r="F140"/>
    </row>
    <row r="141" spans="1:6" ht="15" x14ac:dyDescent="0.25">
      <c r="A141" t="s">
        <v>321</v>
      </c>
      <c r="B141" t="s">
        <v>548</v>
      </c>
      <c r="C141" t="s">
        <v>904</v>
      </c>
      <c r="D141" t="s">
        <v>266</v>
      </c>
      <c r="E141" t="s">
        <v>905</v>
      </c>
      <c r="F141"/>
    </row>
    <row r="142" spans="1:6" ht="15" x14ac:dyDescent="0.25">
      <c r="A142" t="s">
        <v>214</v>
      </c>
      <c r="B142" t="s">
        <v>548</v>
      </c>
      <c r="C142" t="s">
        <v>904</v>
      </c>
      <c r="D142" t="s">
        <v>261</v>
      </c>
      <c r="E142" t="s">
        <v>905</v>
      </c>
      <c r="F142"/>
    </row>
    <row r="143" spans="1:6" ht="15" x14ac:dyDescent="0.25">
      <c r="A143" t="s">
        <v>194</v>
      </c>
      <c r="B143" t="s">
        <v>548</v>
      </c>
      <c r="C143" t="s">
        <v>907</v>
      </c>
      <c r="D143" t="s">
        <v>261</v>
      </c>
      <c r="E143" t="s">
        <v>395</v>
      </c>
      <c r="F143"/>
    </row>
    <row r="144" spans="1:6" ht="15" x14ac:dyDescent="0.25">
      <c r="A144" t="s">
        <v>322</v>
      </c>
      <c r="B144" t="s">
        <v>548</v>
      </c>
      <c r="C144" t="s">
        <v>904</v>
      </c>
      <c r="D144" t="s">
        <v>261</v>
      </c>
      <c r="E144" t="s">
        <v>905</v>
      </c>
      <c r="F144"/>
    </row>
    <row r="145" spans="1:6" ht="15" x14ac:dyDescent="0.25">
      <c r="A145" t="s">
        <v>323</v>
      </c>
      <c r="B145" t="s">
        <v>548</v>
      </c>
      <c r="C145" t="s">
        <v>904</v>
      </c>
      <c r="D145" t="s">
        <v>261</v>
      </c>
      <c r="E145" t="s">
        <v>905</v>
      </c>
      <c r="F145"/>
    </row>
    <row r="146" spans="1:6" ht="15" x14ac:dyDescent="0.25">
      <c r="A146" t="s">
        <v>195</v>
      </c>
      <c r="B146" t="s">
        <v>548</v>
      </c>
      <c r="C146" t="s">
        <v>904</v>
      </c>
      <c r="D146" t="s">
        <v>261</v>
      </c>
      <c r="E146" t="s">
        <v>905</v>
      </c>
      <c r="F146"/>
    </row>
    <row r="147" spans="1:6" ht="15" x14ac:dyDescent="0.25">
      <c r="A147" t="s">
        <v>56</v>
      </c>
      <c r="B147" t="s">
        <v>548</v>
      </c>
      <c r="C147" t="s">
        <v>904</v>
      </c>
      <c r="D147" t="s">
        <v>266</v>
      </c>
      <c r="E147" t="s">
        <v>905</v>
      </c>
      <c r="F147"/>
    </row>
    <row r="148" spans="1:6" ht="15" x14ac:dyDescent="0.25">
      <c r="A148" t="s">
        <v>433</v>
      </c>
      <c r="B148" t="s">
        <v>548</v>
      </c>
      <c r="C148" t="s">
        <v>904</v>
      </c>
      <c r="D148" t="s">
        <v>261</v>
      </c>
      <c r="E148" t="s">
        <v>905</v>
      </c>
      <c r="F148"/>
    </row>
    <row r="149" spans="1:6" ht="15" x14ac:dyDescent="0.25">
      <c r="A149" t="s">
        <v>53</v>
      </c>
      <c r="B149" t="s">
        <v>548</v>
      </c>
      <c r="C149" t="s">
        <v>904</v>
      </c>
      <c r="D149" t="s">
        <v>261</v>
      </c>
      <c r="E149" t="s">
        <v>905</v>
      </c>
      <c r="F149"/>
    </row>
    <row r="150" spans="1:6" ht="15" x14ac:dyDescent="0.25">
      <c r="A150" t="s">
        <v>88</v>
      </c>
      <c r="B150" t="s">
        <v>548</v>
      </c>
      <c r="C150" t="s">
        <v>904</v>
      </c>
      <c r="D150" t="s">
        <v>261</v>
      </c>
      <c r="E150" t="s">
        <v>905</v>
      </c>
      <c r="F150"/>
    </row>
    <row r="151" spans="1:6" ht="15" x14ac:dyDescent="0.25">
      <c r="A151" t="s">
        <v>196</v>
      </c>
      <c r="B151" t="s">
        <v>548</v>
      </c>
      <c r="C151" t="s">
        <v>904</v>
      </c>
      <c r="D151" t="s">
        <v>261</v>
      </c>
      <c r="E151" t="s">
        <v>905</v>
      </c>
      <c r="F151"/>
    </row>
    <row r="152" spans="1:6" ht="15" x14ac:dyDescent="0.25">
      <c r="A152" t="s">
        <v>204</v>
      </c>
      <c r="B152" t="s">
        <v>548</v>
      </c>
      <c r="C152" t="s">
        <v>904</v>
      </c>
      <c r="D152" t="s">
        <v>266</v>
      </c>
      <c r="E152" t="s">
        <v>905</v>
      </c>
      <c r="F152"/>
    </row>
    <row r="153" spans="1:6" ht="15" x14ac:dyDescent="0.25">
      <c r="A153" t="s">
        <v>246</v>
      </c>
      <c r="B153" t="s">
        <v>548</v>
      </c>
      <c r="C153" t="s">
        <v>904</v>
      </c>
      <c r="D153" t="s">
        <v>261</v>
      </c>
      <c r="E153" t="s">
        <v>905</v>
      </c>
      <c r="F153"/>
    </row>
    <row r="154" spans="1:6" ht="15" x14ac:dyDescent="0.25">
      <c r="A154" t="s">
        <v>247</v>
      </c>
      <c r="B154" t="s">
        <v>548</v>
      </c>
      <c r="C154" t="s">
        <v>904</v>
      </c>
      <c r="D154" t="s">
        <v>266</v>
      </c>
      <c r="E154" t="s">
        <v>905</v>
      </c>
      <c r="F154"/>
    </row>
    <row r="155" spans="1:6" ht="15" x14ac:dyDescent="0.25">
      <c r="A155" t="s">
        <v>147</v>
      </c>
      <c r="B155" t="s">
        <v>548</v>
      </c>
      <c r="C155" t="s">
        <v>904</v>
      </c>
      <c r="D155" t="s">
        <v>266</v>
      </c>
      <c r="E155" t="s">
        <v>905</v>
      </c>
      <c r="F155"/>
    </row>
    <row r="156" spans="1:6" ht="15" x14ac:dyDescent="0.25">
      <c r="A156" t="s">
        <v>248</v>
      </c>
      <c r="B156" t="s">
        <v>548</v>
      </c>
      <c r="C156" t="s">
        <v>907</v>
      </c>
      <c r="D156" t="s">
        <v>266</v>
      </c>
      <c r="E156" t="s">
        <v>395</v>
      </c>
      <c r="F156"/>
    </row>
    <row r="157" spans="1:6" ht="15" x14ac:dyDescent="0.25">
      <c r="A157" t="s">
        <v>57</v>
      </c>
      <c r="B157" t="s">
        <v>548</v>
      </c>
      <c r="C157" t="s">
        <v>907</v>
      </c>
      <c r="D157" t="s">
        <v>261</v>
      </c>
      <c r="E157" t="s">
        <v>395</v>
      </c>
      <c r="F157"/>
    </row>
    <row r="158" spans="1:6" ht="15" x14ac:dyDescent="0.25">
      <c r="A158" t="s">
        <v>324</v>
      </c>
      <c r="B158" t="s">
        <v>548</v>
      </c>
      <c r="C158" t="s">
        <v>904</v>
      </c>
      <c r="D158" t="s">
        <v>261</v>
      </c>
      <c r="E158" t="s">
        <v>905</v>
      </c>
      <c r="F158"/>
    </row>
    <row r="159" spans="1:6" ht="15" x14ac:dyDescent="0.25">
      <c r="A159" t="s">
        <v>48</v>
      </c>
      <c r="B159" t="s">
        <v>548</v>
      </c>
      <c r="C159" t="s">
        <v>904</v>
      </c>
      <c r="D159" t="s">
        <v>261</v>
      </c>
      <c r="E159" t="s">
        <v>905</v>
      </c>
      <c r="F159"/>
    </row>
    <row r="160" spans="1:6" ht="15" x14ac:dyDescent="0.25">
      <c r="A160" t="s">
        <v>17</v>
      </c>
      <c r="B160" t="s">
        <v>548</v>
      </c>
      <c r="C160" t="s">
        <v>904</v>
      </c>
      <c r="D160" t="s">
        <v>261</v>
      </c>
      <c r="E160" t="s">
        <v>905</v>
      </c>
      <c r="F160"/>
    </row>
    <row r="161" spans="1:6" ht="15" x14ac:dyDescent="0.25">
      <c r="A161" t="s">
        <v>215</v>
      </c>
      <c r="B161" t="s">
        <v>548</v>
      </c>
      <c r="C161" t="s">
        <v>904</v>
      </c>
      <c r="D161" t="s">
        <v>261</v>
      </c>
      <c r="E161" t="s">
        <v>905</v>
      </c>
      <c r="F161"/>
    </row>
    <row r="162" spans="1:6" ht="15" x14ac:dyDescent="0.25">
      <c r="A162" t="s">
        <v>325</v>
      </c>
      <c r="B162" t="s">
        <v>548</v>
      </c>
      <c r="C162" t="s">
        <v>904</v>
      </c>
      <c r="D162" t="s">
        <v>261</v>
      </c>
      <c r="E162" t="s">
        <v>905</v>
      </c>
      <c r="F162"/>
    </row>
    <row r="163" spans="1:6" ht="15" x14ac:dyDescent="0.25">
      <c r="A163" t="s">
        <v>326</v>
      </c>
      <c r="B163" t="s">
        <v>548</v>
      </c>
      <c r="C163" t="s">
        <v>904</v>
      </c>
      <c r="D163" t="s">
        <v>261</v>
      </c>
      <c r="E163" t="s">
        <v>905</v>
      </c>
      <c r="F163"/>
    </row>
    <row r="164" spans="1:6" ht="15" x14ac:dyDescent="0.25">
      <c r="A164" t="s">
        <v>434</v>
      </c>
      <c r="B164" t="s">
        <v>548</v>
      </c>
      <c r="C164" t="s">
        <v>904</v>
      </c>
      <c r="D164" t="s">
        <v>261</v>
      </c>
      <c r="E164" t="s">
        <v>905</v>
      </c>
      <c r="F164"/>
    </row>
    <row r="165" spans="1:6" ht="15" x14ac:dyDescent="0.25">
      <c r="A165" t="s">
        <v>435</v>
      </c>
      <c r="B165" t="s">
        <v>548</v>
      </c>
      <c r="C165" t="s">
        <v>904</v>
      </c>
      <c r="D165" t="s">
        <v>261</v>
      </c>
      <c r="E165" t="s">
        <v>905</v>
      </c>
      <c r="F165"/>
    </row>
    <row r="166" spans="1:6" ht="15" x14ac:dyDescent="0.25">
      <c r="A166" t="s">
        <v>436</v>
      </c>
      <c r="B166" t="s">
        <v>548</v>
      </c>
      <c r="C166" t="s">
        <v>904</v>
      </c>
      <c r="D166" t="s">
        <v>261</v>
      </c>
      <c r="E166" t="s">
        <v>905</v>
      </c>
      <c r="F166"/>
    </row>
    <row r="167" spans="1:6" ht="15" x14ac:dyDescent="0.25">
      <c r="A167" t="s">
        <v>327</v>
      </c>
      <c r="B167" t="s">
        <v>548</v>
      </c>
      <c r="C167" t="s">
        <v>904</v>
      </c>
      <c r="D167" t="s">
        <v>261</v>
      </c>
      <c r="E167" t="s">
        <v>905</v>
      </c>
      <c r="F167"/>
    </row>
    <row r="168" spans="1:6" ht="15" x14ac:dyDescent="0.25">
      <c r="A168" t="s">
        <v>328</v>
      </c>
      <c r="B168" t="s">
        <v>548</v>
      </c>
      <c r="C168" t="s">
        <v>904</v>
      </c>
      <c r="D168" t="s">
        <v>261</v>
      </c>
      <c r="E168" t="s">
        <v>905</v>
      </c>
      <c r="F168"/>
    </row>
    <row r="169" spans="1:6" ht="15" x14ac:dyDescent="0.25">
      <c r="A169" t="s">
        <v>83</v>
      </c>
      <c r="B169" t="s">
        <v>548</v>
      </c>
      <c r="C169" t="s">
        <v>904</v>
      </c>
      <c r="D169" t="s">
        <v>266</v>
      </c>
      <c r="E169" t="s">
        <v>905</v>
      </c>
      <c r="F169"/>
    </row>
    <row r="170" spans="1:6" ht="15" x14ac:dyDescent="0.25">
      <c r="A170" t="s">
        <v>68</v>
      </c>
      <c r="B170" t="s">
        <v>548</v>
      </c>
      <c r="C170" t="s">
        <v>904</v>
      </c>
      <c r="D170" t="s">
        <v>266</v>
      </c>
      <c r="E170" t="s">
        <v>905</v>
      </c>
      <c r="F170"/>
    </row>
    <row r="171" spans="1:6" ht="15" x14ac:dyDescent="0.25">
      <c r="A171" t="s">
        <v>216</v>
      </c>
      <c r="B171" t="s">
        <v>548</v>
      </c>
      <c r="C171" t="s">
        <v>904</v>
      </c>
      <c r="D171" t="s">
        <v>266</v>
      </c>
      <c r="E171" t="s">
        <v>905</v>
      </c>
      <c r="F171"/>
    </row>
    <row r="172" spans="1:6" ht="15" x14ac:dyDescent="0.25">
      <c r="A172" t="s">
        <v>79</v>
      </c>
      <c r="B172" t="s">
        <v>548</v>
      </c>
      <c r="C172" t="s">
        <v>907</v>
      </c>
      <c r="D172" t="s">
        <v>261</v>
      </c>
      <c r="E172" t="s">
        <v>395</v>
      </c>
      <c r="F172"/>
    </row>
    <row r="173" spans="1:6" ht="15" x14ac:dyDescent="0.25">
      <c r="A173" t="s">
        <v>170</v>
      </c>
      <c r="B173" t="s">
        <v>548</v>
      </c>
      <c r="C173" t="s">
        <v>904</v>
      </c>
      <c r="D173" t="s">
        <v>266</v>
      </c>
      <c r="E173" t="s">
        <v>905</v>
      </c>
      <c r="F173"/>
    </row>
    <row r="174" spans="1:6" ht="15" x14ac:dyDescent="0.25">
      <c r="A174" t="s">
        <v>217</v>
      </c>
      <c r="B174" t="s">
        <v>548</v>
      </c>
      <c r="C174" t="s">
        <v>904</v>
      </c>
      <c r="D174" t="s">
        <v>266</v>
      </c>
      <c r="E174" t="s">
        <v>905</v>
      </c>
      <c r="F174"/>
    </row>
    <row r="175" spans="1:6" ht="15" x14ac:dyDescent="0.25">
      <c r="A175" t="s">
        <v>171</v>
      </c>
      <c r="B175" t="s">
        <v>548</v>
      </c>
      <c r="C175" t="s">
        <v>904</v>
      </c>
      <c r="D175" t="s">
        <v>261</v>
      </c>
      <c r="E175" t="s">
        <v>905</v>
      </c>
      <c r="F175"/>
    </row>
    <row r="176" spans="1:6" ht="15" x14ac:dyDescent="0.25">
      <c r="A176" t="s">
        <v>218</v>
      </c>
      <c r="B176" t="s">
        <v>548</v>
      </c>
      <c r="C176" t="s">
        <v>904</v>
      </c>
      <c r="D176" t="s">
        <v>261</v>
      </c>
      <c r="E176" t="s">
        <v>905</v>
      </c>
      <c r="F176"/>
    </row>
    <row r="177" spans="1:6" ht="15" x14ac:dyDescent="0.25">
      <c r="A177" t="s">
        <v>90</v>
      </c>
      <c r="B177" t="s">
        <v>548</v>
      </c>
      <c r="C177" t="s">
        <v>904</v>
      </c>
      <c r="D177" t="s">
        <v>261</v>
      </c>
      <c r="E177" t="s">
        <v>905</v>
      </c>
      <c r="F177"/>
    </row>
    <row r="178" spans="1:6" ht="15" x14ac:dyDescent="0.25">
      <c r="A178" t="s">
        <v>249</v>
      </c>
      <c r="B178" t="s">
        <v>548</v>
      </c>
      <c r="C178" t="s">
        <v>904</v>
      </c>
      <c r="D178" t="s">
        <v>261</v>
      </c>
      <c r="E178" t="s">
        <v>905</v>
      </c>
      <c r="F178"/>
    </row>
    <row r="179" spans="1:6" ht="15" x14ac:dyDescent="0.25">
      <c r="A179" t="s">
        <v>437</v>
      </c>
      <c r="B179" t="s">
        <v>548</v>
      </c>
      <c r="C179" t="s">
        <v>904</v>
      </c>
      <c r="D179" t="s">
        <v>261</v>
      </c>
      <c r="E179" t="s">
        <v>905</v>
      </c>
      <c r="F179"/>
    </row>
    <row r="180" spans="1:6" ht="15" x14ac:dyDescent="0.25">
      <c r="A180" t="s">
        <v>69</v>
      </c>
      <c r="B180" t="s">
        <v>548</v>
      </c>
      <c r="C180" t="s">
        <v>907</v>
      </c>
      <c r="D180" t="s">
        <v>261</v>
      </c>
      <c r="E180" t="s">
        <v>395</v>
      </c>
      <c r="F180"/>
    </row>
    <row r="181" spans="1:6" ht="15" x14ac:dyDescent="0.25">
      <c r="A181" t="s">
        <v>163</v>
      </c>
      <c r="B181" t="s">
        <v>548</v>
      </c>
      <c r="C181" t="s">
        <v>904</v>
      </c>
      <c r="D181" t="s">
        <v>261</v>
      </c>
      <c r="E181" t="s">
        <v>905</v>
      </c>
      <c r="F181"/>
    </row>
    <row r="182" spans="1:6" ht="15" x14ac:dyDescent="0.25">
      <c r="A182" t="s">
        <v>219</v>
      </c>
      <c r="B182" t="s">
        <v>548</v>
      </c>
      <c r="C182" t="s">
        <v>904</v>
      </c>
      <c r="D182" t="s">
        <v>261</v>
      </c>
      <c r="E182" t="s">
        <v>905</v>
      </c>
      <c r="F182"/>
    </row>
    <row r="183" spans="1:6" ht="15" x14ac:dyDescent="0.25">
      <c r="A183" t="s">
        <v>50</v>
      </c>
      <c r="B183" t="s">
        <v>548</v>
      </c>
      <c r="C183" t="s">
        <v>904</v>
      </c>
      <c r="D183" t="s">
        <v>261</v>
      </c>
      <c r="E183" t="s">
        <v>905</v>
      </c>
      <c r="F183"/>
    </row>
    <row r="184" spans="1:6" ht="15" x14ac:dyDescent="0.25">
      <c r="A184" t="s">
        <v>220</v>
      </c>
      <c r="B184" t="s">
        <v>548</v>
      </c>
      <c r="C184" t="s">
        <v>904</v>
      </c>
      <c r="D184" t="s">
        <v>261</v>
      </c>
      <c r="E184" t="s">
        <v>905</v>
      </c>
      <c r="F184"/>
    </row>
    <row r="185" spans="1:6" ht="15" x14ac:dyDescent="0.25">
      <c r="A185" t="s">
        <v>329</v>
      </c>
      <c r="B185" t="s">
        <v>548</v>
      </c>
      <c r="C185" t="s">
        <v>904</v>
      </c>
      <c r="D185" t="s">
        <v>261</v>
      </c>
      <c r="E185" t="s">
        <v>905</v>
      </c>
      <c r="F185"/>
    </row>
    <row r="186" spans="1:6" ht="15" x14ac:dyDescent="0.25">
      <c r="A186" t="s">
        <v>330</v>
      </c>
      <c r="B186" t="s">
        <v>548</v>
      </c>
      <c r="C186" t="s">
        <v>904</v>
      </c>
      <c r="D186" t="s">
        <v>261</v>
      </c>
      <c r="E186" t="s">
        <v>905</v>
      </c>
      <c r="F186"/>
    </row>
    <row r="187" spans="1:6" ht="15" x14ac:dyDescent="0.25">
      <c r="A187" t="s">
        <v>148</v>
      </c>
      <c r="B187" t="s">
        <v>548</v>
      </c>
      <c r="C187" t="s">
        <v>904</v>
      </c>
      <c r="D187" t="s">
        <v>261</v>
      </c>
      <c r="E187" t="s">
        <v>905</v>
      </c>
      <c r="F187"/>
    </row>
    <row r="188" spans="1:6" ht="15" x14ac:dyDescent="0.25">
      <c r="A188" t="s">
        <v>55</v>
      </c>
      <c r="B188" t="s">
        <v>548</v>
      </c>
      <c r="C188" t="s">
        <v>904</v>
      </c>
      <c r="D188" t="s">
        <v>261</v>
      </c>
      <c r="E188" t="s">
        <v>905</v>
      </c>
      <c r="F188"/>
    </row>
    <row r="189" spans="1:6" ht="15" x14ac:dyDescent="0.25">
      <c r="A189" t="s">
        <v>52</v>
      </c>
      <c r="B189" t="s">
        <v>548</v>
      </c>
      <c r="C189" t="s">
        <v>904</v>
      </c>
      <c r="D189" t="s">
        <v>261</v>
      </c>
      <c r="E189" t="s">
        <v>905</v>
      </c>
      <c r="F189"/>
    </row>
    <row r="190" spans="1:6" ht="15" x14ac:dyDescent="0.25">
      <c r="A190" t="s">
        <v>197</v>
      </c>
      <c r="B190" t="s">
        <v>548</v>
      </c>
      <c r="C190" t="s">
        <v>904</v>
      </c>
      <c r="D190" t="s">
        <v>261</v>
      </c>
      <c r="E190" t="s">
        <v>905</v>
      </c>
      <c r="F190"/>
    </row>
    <row r="191" spans="1:6" ht="15" x14ac:dyDescent="0.25">
      <c r="A191" t="s">
        <v>438</v>
      </c>
      <c r="B191" t="s">
        <v>548</v>
      </c>
      <c r="C191" t="s">
        <v>904</v>
      </c>
      <c r="D191" t="s">
        <v>261</v>
      </c>
      <c r="E191" t="s">
        <v>905</v>
      </c>
      <c r="F191"/>
    </row>
    <row r="192" spans="1:6" ht="15" x14ac:dyDescent="0.25">
      <c r="A192" t="s">
        <v>89</v>
      </c>
      <c r="B192" t="s">
        <v>548</v>
      </c>
      <c r="C192" t="s">
        <v>904</v>
      </c>
      <c r="D192" t="s">
        <v>266</v>
      </c>
      <c r="E192" t="s">
        <v>905</v>
      </c>
      <c r="F192"/>
    </row>
    <row r="193" spans="1:6" ht="15" x14ac:dyDescent="0.25">
      <c r="A193" t="s">
        <v>62</v>
      </c>
      <c r="B193" t="s">
        <v>548</v>
      </c>
      <c r="C193" t="s">
        <v>904</v>
      </c>
      <c r="D193" t="s">
        <v>261</v>
      </c>
      <c r="E193" t="s">
        <v>905</v>
      </c>
      <c r="F193"/>
    </row>
    <row r="194" spans="1:6" ht="15" x14ac:dyDescent="0.25">
      <c r="A194" t="s">
        <v>198</v>
      </c>
      <c r="B194" t="s">
        <v>547</v>
      </c>
      <c r="C194" t="s">
        <v>904</v>
      </c>
      <c r="D194" t="s">
        <v>261</v>
      </c>
      <c r="E194" t="s">
        <v>905</v>
      </c>
      <c r="F194"/>
    </row>
    <row r="195" spans="1:6" ht="15" x14ac:dyDescent="0.25">
      <c r="A195" t="s">
        <v>199</v>
      </c>
      <c r="B195" t="s">
        <v>547</v>
      </c>
      <c r="C195" t="s">
        <v>904</v>
      </c>
      <c r="D195" t="s">
        <v>266</v>
      </c>
      <c r="E195" t="s">
        <v>905</v>
      </c>
      <c r="F195"/>
    </row>
    <row r="196" spans="1:6" ht="15" x14ac:dyDescent="0.25">
      <c r="A196" t="s">
        <v>439</v>
      </c>
      <c r="B196" t="s">
        <v>547</v>
      </c>
      <c r="C196" t="s">
        <v>904</v>
      </c>
      <c r="D196" t="s">
        <v>261</v>
      </c>
      <c r="E196" t="s">
        <v>905</v>
      </c>
      <c r="F196"/>
    </row>
    <row r="197" spans="1:6" ht="15" x14ac:dyDescent="0.25">
      <c r="A197" t="s">
        <v>200</v>
      </c>
      <c r="B197" t="s">
        <v>547</v>
      </c>
      <c r="C197" t="s">
        <v>904</v>
      </c>
      <c r="D197" t="s">
        <v>261</v>
      </c>
      <c r="E197" t="s">
        <v>905</v>
      </c>
      <c r="F197"/>
    </row>
    <row r="198" spans="1:6" ht="15" x14ac:dyDescent="0.25">
      <c r="A198" t="s">
        <v>221</v>
      </c>
      <c r="B198" t="s">
        <v>547</v>
      </c>
      <c r="C198" t="s">
        <v>904</v>
      </c>
      <c r="D198" t="s">
        <v>261</v>
      </c>
      <c r="E198" t="s">
        <v>905</v>
      </c>
      <c r="F198"/>
    </row>
    <row r="199" spans="1:6" ht="15" x14ac:dyDescent="0.25">
      <c r="A199" t="s">
        <v>331</v>
      </c>
      <c r="B199" t="s">
        <v>547</v>
      </c>
      <c r="C199" t="s">
        <v>904</v>
      </c>
      <c r="D199" t="s">
        <v>261</v>
      </c>
      <c r="E199" t="s">
        <v>905</v>
      </c>
      <c r="F199"/>
    </row>
    <row r="200" spans="1:6" ht="15" x14ac:dyDescent="0.25">
      <c r="A200" t="s">
        <v>165</v>
      </c>
      <c r="B200" t="s">
        <v>547</v>
      </c>
      <c r="C200" t="s">
        <v>904</v>
      </c>
      <c r="D200" t="s">
        <v>261</v>
      </c>
      <c r="E200" t="s">
        <v>905</v>
      </c>
      <c r="F200"/>
    </row>
    <row r="201" spans="1:6" ht="15" x14ac:dyDescent="0.25">
      <c r="A201" t="s">
        <v>129</v>
      </c>
      <c r="B201" t="s">
        <v>547</v>
      </c>
      <c r="C201" t="s">
        <v>904</v>
      </c>
      <c r="D201" t="s">
        <v>261</v>
      </c>
      <c r="E201" t="s">
        <v>905</v>
      </c>
      <c r="F201"/>
    </row>
    <row r="202" spans="1:6" ht="15" x14ac:dyDescent="0.25">
      <c r="A202" t="s">
        <v>201</v>
      </c>
      <c r="B202" t="s">
        <v>547</v>
      </c>
      <c r="C202" t="s">
        <v>904</v>
      </c>
      <c r="D202" t="s">
        <v>261</v>
      </c>
      <c r="E202" t="s">
        <v>905</v>
      </c>
      <c r="F202"/>
    </row>
    <row r="203" spans="1:6" ht="15" x14ac:dyDescent="0.25">
      <c r="A203" t="s">
        <v>440</v>
      </c>
      <c r="B203" t="s">
        <v>547</v>
      </c>
      <c r="C203" t="s">
        <v>904</v>
      </c>
      <c r="D203" t="s">
        <v>261</v>
      </c>
      <c r="E203" t="s">
        <v>905</v>
      </c>
      <c r="F203"/>
    </row>
    <row r="204" spans="1:6" ht="15" x14ac:dyDescent="0.25">
      <c r="A204" t="s">
        <v>441</v>
      </c>
      <c r="B204" t="s">
        <v>548</v>
      </c>
      <c r="C204" t="s">
        <v>904</v>
      </c>
      <c r="D204" t="s">
        <v>261</v>
      </c>
      <c r="E204" t="s">
        <v>905</v>
      </c>
      <c r="F204"/>
    </row>
    <row r="205" spans="1:6" ht="15" x14ac:dyDescent="0.25">
      <c r="A205" t="s">
        <v>203</v>
      </c>
      <c r="B205" t="s">
        <v>547</v>
      </c>
      <c r="C205" t="s">
        <v>904</v>
      </c>
      <c r="D205" t="s">
        <v>261</v>
      </c>
      <c r="E205" t="s">
        <v>442</v>
      </c>
      <c r="F205"/>
    </row>
    <row r="206" spans="1:6" ht="15" x14ac:dyDescent="0.25">
      <c r="A206" t="s">
        <v>149</v>
      </c>
      <c r="B206" t="s">
        <v>547</v>
      </c>
      <c r="C206" t="s">
        <v>904</v>
      </c>
      <c r="D206" t="s">
        <v>261</v>
      </c>
      <c r="E206" t="s">
        <v>905</v>
      </c>
      <c r="F206"/>
    </row>
    <row r="207" spans="1:6" ht="15" x14ac:dyDescent="0.25">
      <c r="A207" t="s">
        <v>11</v>
      </c>
      <c r="B207" t="s">
        <v>547</v>
      </c>
      <c r="C207" t="s">
        <v>904</v>
      </c>
      <c r="D207" t="s">
        <v>261</v>
      </c>
      <c r="E207" t="s">
        <v>905</v>
      </c>
      <c r="F207"/>
    </row>
    <row r="208" spans="1:6" ht="15" x14ac:dyDescent="0.25">
      <c r="A208" t="s">
        <v>15</v>
      </c>
      <c r="B208" t="s">
        <v>547</v>
      </c>
      <c r="C208" t="s">
        <v>904</v>
      </c>
      <c r="D208" t="s">
        <v>261</v>
      </c>
      <c r="E208" t="s">
        <v>905</v>
      </c>
      <c r="F208"/>
    </row>
    <row r="209" spans="1:6" ht="15" x14ac:dyDescent="0.25">
      <c r="A209" t="s">
        <v>205</v>
      </c>
      <c r="B209" t="s">
        <v>547</v>
      </c>
      <c r="C209" t="s">
        <v>904</v>
      </c>
      <c r="D209" t="s">
        <v>261</v>
      </c>
      <c r="E209" t="s">
        <v>905</v>
      </c>
      <c r="F209"/>
    </row>
    <row r="210" spans="1:6" ht="15" x14ac:dyDescent="0.25">
      <c r="A210" t="s">
        <v>332</v>
      </c>
      <c r="B210" t="s">
        <v>547</v>
      </c>
      <c r="C210" t="s">
        <v>904</v>
      </c>
      <c r="D210" t="s">
        <v>261</v>
      </c>
      <c r="E210" t="s">
        <v>905</v>
      </c>
      <c r="F210"/>
    </row>
    <row r="211" spans="1:6" ht="15" x14ac:dyDescent="0.25">
      <c r="A211" t="s">
        <v>257</v>
      </c>
      <c r="B211" t="s">
        <v>547</v>
      </c>
      <c r="C211" t="s">
        <v>904</v>
      </c>
      <c r="D211" t="s">
        <v>261</v>
      </c>
      <c r="E211" t="s">
        <v>905</v>
      </c>
      <c r="F211"/>
    </row>
    <row r="212" spans="1:6" ht="15" x14ac:dyDescent="0.25">
      <c r="A212" t="s">
        <v>443</v>
      </c>
      <c r="B212" t="s">
        <v>547</v>
      </c>
      <c r="C212" t="s">
        <v>904</v>
      </c>
      <c r="D212" t="s">
        <v>261</v>
      </c>
      <c r="E212" t="s">
        <v>905</v>
      </c>
      <c r="F212"/>
    </row>
    <row r="213" spans="1:6" ht="15" x14ac:dyDescent="0.25">
      <c r="A213" t="s">
        <v>444</v>
      </c>
      <c r="B213" t="s">
        <v>548</v>
      </c>
      <c r="C213" t="s">
        <v>904</v>
      </c>
      <c r="D213" t="s">
        <v>261</v>
      </c>
      <c r="E213" t="s">
        <v>905</v>
      </c>
      <c r="F213"/>
    </row>
    <row r="214" spans="1:6" ht="15" x14ac:dyDescent="0.25">
      <c r="A214" t="s">
        <v>445</v>
      </c>
      <c r="B214" t="s">
        <v>547</v>
      </c>
      <c r="C214" t="s">
        <v>904</v>
      </c>
      <c r="D214" t="s">
        <v>261</v>
      </c>
      <c r="E214" t="s">
        <v>905</v>
      </c>
      <c r="F214"/>
    </row>
    <row r="215" spans="1:6" ht="15" x14ac:dyDescent="0.25">
      <c r="A215" t="s">
        <v>446</v>
      </c>
      <c r="B215" t="s">
        <v>547</v>
      </c>
      <c r="C215" t="s">
        <v>904</v>
      </c>
      <c r="D215" t="s">
        <v>261</v>
      </c>
      <c r="E215" t="s">
        <v>905</v>
      </c>
      <c r="F215"/>
    </row>
    <row r="216" spans="1:6" ht="15" x14ac:dyDescent="0.25">
      <c r="A216" t="s">
        <v>447</v>
      </c>
      <c r="B216" t="s">
        <v>547</v>
      </c>
      <c r="C216" t="s">
        <v>904</v>
      </c>
      <c r="D216" t="s">
        <v>261</v>
      </c>
      <c r="E216" t="s">
        <v>905</v>
      </c>
      <c r="F216"/>
    </row>
    <row r="217" spans="1:6" ht="15" x14ac:dyDescent="0.25">
      <c r="A217" t="s">
        <v>448</v>
      </c>
      <c r="B217" t="s">
        <v>547</v>
      </c>
      <c r="C217" t="s">
        <v>904</v>
      </c>
      <c r="D217" t="s">
        <v>261</v>
      </c>
      <c r="E217" t="s">
        <v>905</v>
      </c>
      <c r="F217"/>
    </row>
    <row r="218" spans="1:6" ht="15" x14ac:dyDescent="0.25">
      <c r="A218" t="s">
        <v>449</v>
      </c>
      <c r="B218" t="s">
        <v>547</v>
      </c>
      <c r="C218" t="s">
        <v>904</v>
      </c>
      <c r="D218" t="s">
        <v>261</v>
      </c>
      <c r="E218" t="s">
        <v>905</v>
      </c>
      <c r="F218"/>
    </row>
    <row r="219" spans="1:6" ht="15" x14ac:dyDescent="0.25">
      <c r="A219" t="s">
        <v>450</v>
      </c>
      <c r="B219" t="s">
        <v>547</v>
      </c>
      <c r="C219" t="s">
        <v>907</v>
      </c>
      <c r="D219" t="s">
        <v>261</v>
      </c>
      <c r="E219" t="s">
        <v>395</v>
      </c>
      <c r="F219"/>
    </row>
    <row r="220" spans="1:6" ht="15" x14ac:dyDescent="0.25">
      <c r="A220" t="s">
        <v>451</v>
      </c>
      <c r="B220" t="s">
        <v>547</v>
      </c>
      <c r="C220" t="s">
        <v>904</v>
      </c>
      <c r="D220" t="s">
        <v>261</v>
      </c>
      <c r="E220" t="s">
        <v>905</v>
      </c>
      <c r="F220"/>
    </row>
    <row r="221" spans="1:6" ht="15" x14ac:dyDescent="0.25">
      <c r="A221" t="s">
        <v>452</v>
      </c>
      <c r="B221" t="s">
        <v>547</v>
      </c>
      <c r="C221" t="s">
        <v>904</v>
      </c>
      <c r="D221" t="s">
        <v>261</v>
      </c>
      <c r="E221" t="s">
        <v>905</v>
      </c>
      <c r="F221"/>
    </row>
    <row r="222" spans="1:6" ht="15" x14ac:dyDescent="0.25">
      <c r="A222" t="s">
        <v>453</v>
      </c>
      <c r="B222" t="s">
        <v>548</v>
      </c>
      <c r="C222" t="s">
        <v>904</v>
      </c>
      <c r="D222" t="s">
        <v>261</v>
      </c>
      <c r="E222" t="s">
        <v>905</v>
      </c>
      <c r="F222"/>
    </row>
    <row r="223" spans="1:6" ht="15" x14ac:dyDescent="0.25">
      <c r="A223" t="s">
        <v>454</v>
      </c>
      <c r="B223" t="s">
        <v>547</v>
      </c>
      <c r="C223" t="s">
        <v>904</v>
      </c>
      <c r="D223" t="s">
        <v>261</v>
      </c>
      <c r="E223" t="s">
        <v>905</v>
      </c>
      <c r="F223"/>
    </row>
    <row r="224" spans="1:6" ht="15" x14ac:dyDescent="0.25">
      <c r="A224" t="s">
        <v>455</v>
      </c>
      <c r="B224" t="s">
        <v>547</v>
      </c>
      <c r="C224" t="s">
        <v>904</v>
      </c>
      <c r="D224" t="s">
        <v>261</v>
      </c>
      <c r="E224" t="s">
        <v>905</v>
      </c>
      <c r="F224"/>
    </row>
    <row r="225" spans="1:6" ht="15" x14ac:dyDescent="0.25">
      <c r="A225" t="s">
        <v>333</v>
      </c>
      <c r="B225" t="s">
        <v>547</v>
      </c>
      <c r="C225" t="s">
        <v>904</v>
      </c>
      <c r="D225" t="s">
        <v>261</v>
      </c>
      <c r="E225" t="s">
        <v>905</v>
      </c>
      <c r="F225"/>
    </row>
    <row r="226" spans="1:6" ht="15" x14ac:dyDescent="0.25">
      <c r="A226" t="s">
        <v>334</v>
      </c>
      <c r="B226" t="s">
        <v>547</v>
      </c>
      <c r="C226" t="s">
        <v>904</v>
      </c>
      <c r="D226" t="s">
        <v>261</v>
      </c>
      <c r="E226" t="s">
        <v>905</v>
      </c>
      <c r="F226"/>
    </row>
    <row r="227" spans="1:6" ht="15" x14ac:dyDescent="0.25">
      <c r="A227" t="s">
        <v>456</v>
      </c>
      <c r="B227" t="s">
        <v>547</v>
      </c>
      <c r="C227" t="s">
        <v>904</v>
      </c>
      <c r="D227" t="s">
        <v>261</v>
      </c>
      <c r="E227" t="s">
        <v>905</v>
      </c>
      <c r="F227"/>
    </row>
    <row r="228" spans="1:6" ht="15" x14ac:dyDescent="0.25">
      <c r="A228" t="s">
        <v>457</v>
      </c>
      <c r="B228" t="s">
        <v>548</v>
      </c>
      <c r="C228" t="s">
        <v>904</v>
      </c>
      <c r="D228" t="s">
        <v>261</v>
      </c>
      <c r="E228" t="s">
        <v>905</v>
      </c>
      <c r="F228"/>
    </row>
    <row r="229" spans="1:6" ht="15" x14ac:dyDescent="0.25">
      <c r="A229" t="s">
        <v>458</v>
      </c>
      <c r="B229" t="s">
        <v>548</v>
      </c>
      <c r="C229" t="s">
        <v>904</v>
      </c>
      <c r="D229" t="s">
        <v>261</v>
      </c>
      <c r="E229" t="s">
        <v>905</v>
      </c>
      <c r="F229"/>
    </row>
    <row r="230" spans="1:6" ht="15" x14ac:dyDescent="0.25">
      <c r="A230" t="s">
        <v>459</v>
      </c>
      <c r="B230" t="s">
        <v>547</v>
      </c>
      <c r="C230" t="s">
        <v>904</v>
      </c>
      <c r="D230" t="s">
        <v>261</v>
      </c>
      <c r="E230" t="s">
        <v>905</v>
      </c>
      <c r="F230"/>
    </row>
    <row r="231" spans="1:6" ht="15" x14ac:dyDescent="0.25">
      <c r="A231" t="s">
        <v>460</v>
      </c>
      <c r="B231" t="s">
        <v>547</v>
      </c>
      <c r="C231" t="s">
        <v>904</v>
      </c>
      <c r="D231" t="s">
        <v>261</v>
      </c>
      <c r="E231" t="s">
        <v>905</v>
      </c>
      <c r="F231"/>
    </row>
    <row r="232" spans="1:6" ht="15" x14ac:dyDescent="0.25">
      <c r="A232" t="s">
        <v>461</v>
      </c>
      <c r="B232" t="s">
        <v>547</v>
      </c>
      <c r="C232" t="s">
        <v>904</v>
      </c>
      <c r="D232" t="s">
        <v>261</v>
      </c>
      <c r="E232" t="s">
        <v>905</v>
      </c>
      <c r="F232"/>
    </row>
    <row r="233" spans="1:6" ht="15" x14ac:dyDescent="0.25">
      <c r="A233" t="s">
        <v>462</v>
      </c>
      <c r="B233" t="s">
        <v>547</v>
      </c>
      <c r="C233" t="s">
        <v>904</v>
      </c>
      <c r="D233" t="s">
        <v>261</v>
      </c>
      <c r="E233" t="s">
        <v>905</v>
      </c>
      <c r="F233"/>
    </row>
    <row r="234" spans="1:6" ht="15" x14ac:dyDescent="0.25">
      <c r="A234" t="s">
        <v>463</v>
      </c>
      <c r="B234" t="s">
        <v>547</v>
      </c>
      <c r="C234" t="s">
        <v>904</v>
      </c>
      <c r="D234" t="s">
        <v>261</v>
      </c>
      <c r="E234" t="s">
        <v>905</v>
      </c>
      <c r="F234"/>
    </row>
    <row r="235" spans="1:6" ht="15" x14ac:dyDescent="0.25">
      <c r="A235" t="s">
        <v>464</v>
      </c>
      <c r="B235" t="s">
        <v>547</v>
      </c>
      <c r="C235" t="s">
        <v>904</v>
      </c>
      <c r="D235" t="s">
        <v>261</v>
      </c>
      <c r="E235" t="s">
        <v>905</v>
      </c>
      <c r="F235"/>
    </row>
    <row r="236" spans="1:6" ht="15" x14ac:dyDescent="0.25">
      <c r="A236" t="s">
        <v>465</v>
      </c>
      <c r="B236" t="s">
        <v>547</v>
      </c>
      <c r="C236" t="s">
        <v>904</v>
      </c>
      <c r="D236" t="s">
        <v>261</v>
      </c>
      <c r="E236" t="s">
        <v>905</v>
      </c>
      <c r="F236"/>
    </row>
    <row r="237" spans="1:6" ht="15" x14ac:dyDescent="0.25">
      <c r="A237" t="s">
        <v>466</v>
      </c>
      <c r="B237" t="s">
        <v>548</v>
      </c>
      <c r="C237" t="s">
        <v>904</v>
      </c>
      <c r="D237" t="s">
        <v>261</v>
      </c>
      <c r="E237" t="s">
        <v>905</v>
      </c>
      <c r="F237"/>
    </row>
    <row r="238" spans="1:6" ht="15" x14ac:dyDescent="0.25">
      <c r="A238" t="s">
        <v>335</v>
      </c>
      <c r="B238" t="s">
        <v>547</v>
      </c>
      <c r="C238" t="s">
        <v>904</v>
      </c>
      <c r="D238" t="s">
        <v>261</v>
      </c>
      <c r="E238" t="s">
        <v>905</v>
      </c>
      <c r="F238"/>
    </row>
    <row r="239" spans="1:6" ht="15" x14ac:dyDescent="0.25">
      <c r="A239" t="s">
        <v>467</v>
      </c>
      <c r="B239" t="s">
        <v>547</v>
      </c>
      <c r="C239" t="s">
        <v>904</v>
      </c>
      <c r="D239" t="s">
        <v>261</v>
      </c>
      <c r="E239" t="s">
        <v>905</v>
      </c>
      <c r="F239"/>
    </row>
    <row r="240" spans="1:6" ht="15" x14ac:dyDescent="0.25">
      <c r="A240" t="s">
        <v>468</v>
      </c>
      <c r="B240" t="s">
        <v>547</v>
      </c>
      <c r="C240" t="s">
        <v>904</v>
      </c>
      <c r="D240" t="s">
        <v>261</v>
      </c>
      <c r="E240" t="s">
        <v>905</v>
      </c>
      <c r="F240"/>
    </row>
    <row r="241" spans="1:6" ht="15" x14ac:dyDescent="0.25">
      <c r="A241" t="s">
        <v>469</v>
      </c>
      <c r="B241" t="s">
        <v>547</v>
      </c>
      <c r="C241" t="s">
        <v>904</v>
      </c>
      <c r="D241" t="s">
        <v>261</v>
      </c>
      <c r="E241" t="s">
        <v>905</v>
      </c>
      <c r="F241"/>
    </row>
    <row r="242" spans="1:6" ht="15" x14ac:dyDescent="0.25">
      <c r="A242" t="s">
        <v>470</v>
      </c>
      <c r="B242" t="s">
        <v>547</v>
      </c>
      <c r="C242" t="s">
        <v>904</v>
      </c>
      <c r="D242" t="s">
        <v>261</v>
      </c>
      <c r="E242" t="s">
        <v>905</v>
      </c>
      <c r="F242"/>
    </row>
    <row r="243" spans="1:6" ht="15" x14ac:dyDescent="0.25">
      <c r="A243" t="s">
        <v>336</v>
      </c>
      <c r="B243" t="s">
        <v>547</v>
      </c>
      <c r="C243" t="s">
        <v>904</v>
      </c>
      <c r="D243" t="s">
        <v>261</v>
      </c>
      <c r="E243" t="s">
        <v>905</v>
      </c>
      <c r="F243"/>
    </row>
    <row r="244" spans="1:6" ht="15" x14ac:dyDescent="0.25">
      <c r="A244" t="s">
        <v>337</v>
      </c>
      <c r="B244" t="s">
        <v>547</v>
      </c>
      <c r="C244" t="s">
        <v>904</v>
      </c>
      <c r="D244" t="s">
        <v>261</v>
      </c>
      <c r="E244" t="s">
        <v>905</v>
      </c>
      <c r="F244"/>
    </row>
    <row r="245" spans="1:6" ht="15" x14ac:dyDescent="0.25">
      <c r="A245" t="s">
        <v>338</v>
      </c>
      <c r="B245" t="s">
        <v>547</v>
      </c>
      <c r="C245" t="s">
        <v>904</v>
      </c>
      <c r="D245" t="s">
        <v>261</v>
      </c>
      <c r="E245" t="s">
        <v>905</v>
      </c>
      <c r="F245"/>
    </row>
    <row r="246" spans="1:6" ht="15" x14ac:dyDescent="0.25">
      <c r="A246" t="s">
        <v>339</v>
      </c>
      <c r="B246" t="s">
        <v>547</v>
      </c>
      <c r="C246" t="s">
        <v>904</v>
      </c>
      <c r="D246" t="s">
        <v>261</v>
      </c>
      <c r="E246" t="s">
        <v>905</v>
      </c>
      <c r="F246"/>
    </row>
    <row r="247" spans="1:6" ht="15" x14ac:dyDescent="0.25">
      <c r="A247" t="s">
        <v>471</v>
      </c>
      <c r="B247" t="s">
        <v>547</v>
      </c>
      <c r="C247" t="s">
        <v>904</v>
      </c>
      <c r="D247" t="s">
        <v>261</v>
      </c>
      <c r="E247" t="s">
        <v>905</v>
      </c>
      <c r="F247"/>
    </row>
    <row r="248" spans="1:6" ht="15" x14ac:dyDescent="0.25">
      <c r="A248" t="s">
        <v>340</v>
      </c>
      <c r="B248" t="s">
        <v>547</v>
      </c>
      <c r="C248" t="s">
        <v>904</v>
      </c>
      <c r="D248" t="s">
        <v>261</v>
      </c>
      <c r="E248" t="s">
        <v>905</v>
      </c>
      <c r="F248"/>
    </row>
    <row r="249" spans="1:6" ht="15" x14ac:dyDescent="0.25">
      <c r="A249" t="s">
        <v>472</v>
      </c>
      <c r="B249" t="s">
        <v>547</v>
      </c>
      <c r="C249" t="s">
        <v>904</v>
      </c>
      <c r="D249" t="s">
        <v>261</v>
      </c>
      <c r="E249" t="s">
        <v>905</v>
      </c>
      <c r="F249"/>
    </row>
    <row r="250" spans="1:6" ht="15" x14ac:dyDescent="0.25">
      <c r="A250" t="s">
        <v>341</v>
      </c>
      <c r="B250" t="s">
        <v>547</v>
      </c>
      <c r="C250" t="s">
        <v>904</v>
      </c>
      <c r="D250" t="s">
        <v>261</v>
      </c>
      <c r="E250" t="s">
        <v>905</v>
      </c>
      <c r="F250"/>
    </row>
    <row r="251" spans="1:6" ht="15" x14ac:dyDescent="0.25">
      <c r="A251" t="s">
        <v>342</v>
      </c>
      <c r="B251" t="s">
        <v>547</v>
      </c>
      <c r="C251" t="s">
        <v>904</v>
      </c>
      <c r="D251" t="s">
        <v>261</v>
      </c>
      <c r="E251" t="s">
        <v>905</v>
      </c>
      <c r="F251"/>
    </row>
    <row r="252" spans="1:6" ht="15" x14ac:dyDescent="0.25">
      <c r="A252" t="s">
        <v>343</v>
      </c>
      <c r="B252" t="s">
        <v>547</v>
      </c>
      <c r="C252" t="s">
        <v>904</v>
      </c>
      <c r="D252" t="s">
        <v>261</v>
      </c>
      <c r="E252" t="s">
        <v>905</v>
      </c>
      <c r="F252"/>
    </row>
    <row r="253" spans="1:6" ht="15" x14ac:dyDescent="0.25">
      <c r="A253" t="s">
        <v>473</v>
      </c>
      <c r="B253" t="s">
        <v>547</v>
      </c>
      <c r="C253" t="s">
        <v>904</v>
      </c>
      <c r="D253" t="s">
        <v>261</v>
      </c>
      <c r="E253" t="s">
        <v>905</v>
      </c>
      <c r="F253"/>
    </row>
    <row r="254" spans="1:6" ht="15" x14ac:dyDescent="0.25">
      <c r="A254" t="s">
        <v>164</v>
      </c>
      <c r="B254" t="s">
        <v>547</v>
      </c>
      <c r="C254" t="s">
        <v>904</v>
      </c>
      <c r="D254" t="s">
        <v>261</v>
      </c>
      <c r="E254" t="s">
        <v>905</v>
      </c>
      <c r="F254"/>
    </row>
    <row r="255" spans="1:6" ht="15" x14ac:dyDescent="0.25">
      <c r="A255" t="s">
        <v>344</v>
      </c>
      <c r="B255" t="s">
        <v>547</v>
      </c>
      <c r="C255" t="s">
        <v>904</v>
      </c>
      <c r="D255" t="s">
        <v>261</v>
      </c>
      <c r="E255" t="s">
        <v>905</v>
      </c>
      <c r="F255"/>
    </row>
    <row r="256" spans="1:6" ht="15" x14ac:dyDescent="0.25">
      <c r="A256" t="s">
        <v>150</v>
      </c>
      <c r="B256" t="s">
        <v>547</v>
      </c>
      <c r="C256" t="s">
        <v>904</v>
      </c>
      <c r="D256" t="s">
        <v>261</v>
      </c>
      <c r="E256" t="s">
        <v>905</v>
      </c>
      <c r="F256"/>
    </row>
    <row r="257" spans="1:6" ht="15" x14ac:dyDescent="0.25">
      <c r="A257" t="s">
        <v>474</v>
      </c>
      <c r="B257" t="s">
        <v>547</v>
      </c>
      <c r="C257" t="s">
        <v>904</v>
      </c>
      <c r="D257" t="s">
        <v>261</v>
      </c>
      <c r="E257" t="s">
        <v>905</v>
      </c>
      <c r="F257"/>
    </row>
    <row r="258" spans="1:6" ht="15" x14ac:dyDescent="0.25">
      <c r="A258" t="s">
        <v>475</v>
      </c>
      <c r="B258" t="s">
        <v>547</v>
      </c>
      <c r="C258" t="s">
        <v>904</v>
      </c>
      <c r="D258" t="s">
        <v>261</v>
      </c>
      <c r="E258" t="s">
        <v>905</v>
      </c>
      <c r="F258"/>
    </row>
    <row r="259" spans="1:6" ht="15" x14ac:dyDescent="0.25">
      <c r="A259" t="s">
        <v>345</v>
      </c>
      <c r="B259" t="s">
        <v>547</v>
      </c>
      <c r="C259" t="s">
        <v>904</v>
      </c>
      <c r="D259" t="s">
        <v>261</v>
      </c>
      <c r="E259" t="s">
        <v>905</v>
      </c>
      <c r="F259"/>
    </row>
    <row r="260" spans="1:6" ht="15" x14ac:dyDescent="0.25">
      <c r="A260" t="s">
        <v>172</v>
      </c>
      <c r="B260" t="s">
        <v>547</v>
      </c>
      <c r="C260" t="s">
        <v>904</v>
      </c>
      <c r="D260" t="s">
        <v>266</v>
      </c>
      <c r="E260" t="s">
        <v>905</v>
      </c>
      <c r="F260"/>
    </row>
    <row r="261" spans="1:6" ht="15" x14ac:dyDescent="0.25">
      <c r="A261" t="s">
        <v>206</v>
      </c>
      <c r="B261" t="s">
        <v>547</v>
      </c>
      <c r="C261" t="s">
        <v>904</v>
      </c>
      <c r="D261" t="s">
        <v>266</v>
      </c>
      <c r="E261" t="s">
        <v>905</v>
      </c>
      <c r="F261"/>
    </row>
    <row r="262" spans="1:6" ht="15" x14ac:dyDescent="0.25">
      <c r="A262" t="s">
        <v>167</v>
      </c>
      <c r="B262" t="s">
        <v>547</v>
      </c>
      <c r="C262" t="s">
        <v>904</v>
      </c>
      <c r="D262" t="s">
        <v>261</v>
      </c>
      <c r="E262" t="s">
        <v>905</v>
      </c>
      <c r="F262"/>
    </row>
    <row r="263" spans="1:6" ht="15" x14ac:dyDescent="0.25">
      <c r="A263" t="s">
        <v>207</v>
      </c>
      <c r="B263" t="s">
        <v>547</v>
      </c>
      <c r="C263" t="s">
        <v>904</v>
      </c>
      <c r="D263" t="s">
        <v>261</v>
      </c>
      <c r="E263" t="s">
        <v>905</v>
      </c>
      <c r="F263"/>
    </row>
    <row r="264" spans="1:6" ht="15" x14ac:dyDescent="0.25">
      <c r="A264" t="s">
        <v>476</v>
      </c>
      <c r="B264" t="s">
        <v>547</v>
      </c>
      <c r="C264" t="s">
        <v>904</v>
      </c>
      <c r="D264" t="s">
        <v>261</v>
      </c>
      <c r="E264" t="s">
        <v>905</v>
      </c>
      <c r="F264"/>
    </row>
    <row r="265" spans="1:6" ht="15" x14ac:dyDescent="0.25">
      <c r="A265" t="s">
        <v>346</v>
      </c>
      <c r="B265" t="s">
        <v>547</v>
      </c>
      <c r="C265" t="s">
        <v>904</v>
      </c>
      <c r="D265" t="s">
        <v>261</v>
      </c>
      <c r="E265" t="s">
        <v>905</v>
      </c>
      <c r="F265"/>
    </row>
    <row r="266" spans="1:6" ht="15" x14ac:dyDescent="0.25">
      <c r="A266" t="s">
        <v>477</v>
      </c>
      <c r="B266" t="s">
        <v>548</v>
      </c>
      <c r="C266" t="s">
        <v>904</v>
      </c>
      <c r="D266" t="s">
        <v>261</v>
      </c>
      <c r="E266" t="s">
        <v>905</v>
      </c>
      <c r="F266"/>
    </row>
    <row r="267" spans="1:6" ht="15" x14ac:dyDescent="0.25">
      <c r="A267" t="s">
        <v>478</v>
      </c>
      <c r="B267" t="s">
        <v>547</v>
      </c>
      <c r="C267" t="s">
        <v>904</v>
      </c>
      <c r="D267" t="s">
        <v>261</v>
      </c>
      <c r="E267" t="s">
        <v>905</v>
      </c>
      <c r="F267"/>
    </row>
    <row r="268" spans="1:6" ht="15" x14ac:dyDescent="0.25">
      <c r="A268" t="s">
        <v>479</v>
      </c>
      <c r="B268" t="s">
        <v>547</v>
      </c>
      <c r="C268" t="s">
        <v>904</v>
      </c>
      <c r="D268" t="s">
        <v>261</v>
      </c>
      <c r="E268" t="s">
        <v>909</v>
      </c>
      <c r="F268"/>
    </row>
    <row r="269" spans="1:6" ht="15" x14ac:dyDescent="0.25">
      <c r="A269" t="s">
        <v>550</v>
      </c>
      <c r="B269" t="s">
        <v>547</v>
      </c>
      <c r="C269" t="s">
        <v>904</v>
      </c>
      <c r="D269" t="s">
        <v>261</v>
      </c>
      <c r="E269" t="s">
        <v>909</v>
      </c>
      <c r="F269"/>
    </row>
    <row r="270" spans="1:6" ht="15" x14ac:dyDescent="0.25">
      <c r="A270" t="s">
        <v>347</v>
      </c>
      <c r="B270" t="s">
        <v>548</v>
      </c>
      <c r="C270" t="s">
        <v>904</v>
      </c>
      <c r="D270" t="s">
        <v>261</v>
      </c>
      <c r="E270" t="s">
        <v>905</v>
      </c>
      <c r="F270"/>
    </row>
    <row r="271" spans="1:6" ht="15" x14ac:dyDescent="0.25">
      <c r="A271" t="s">
        <v>480</v>
      </c>
      <c r="B271" t="s">
        <v>547</v>
      </c>
      <c r="C271" t="s">
        <v>904</v>
      </c>
      <c r="D271" t="s">
        <v>261</v>
      </c>
      <c r="E271" t="s">
        <v>905</v>
      </c>
      <c r="F271"/>
    </row>
    <row r="272" spans="1:6" ht="15" x14ac:dyDescent="0.25">
      <c r="A272" t="s">
        <v>481</v>
      </c>
      <c r="B272" t="s">
        <v>548</v>
      </c>
      <c r="C272" t="s">
        <v>904</v>
      </c>
      <c r="D272" t="s">
        <v>261</v>
      </c>
      <c r="E272" t="s">
        <v>905</v>
      </c>
      <c r="F272"/>
    </row>
    <row r="273" spans="1:6" ht="15" x14ac:dyDescent="0.25">
      <c r="A273" t="s">
        <v>482</v>
      </c>
      <c r="B273" t="s">
        <v>548</v>
      </c>
      <c r="C273" t="s">
        <v>904</v>
      </c>
      <c r="D273" t="s">
        <v>261</v>
      </c>
      <c r="E273" t="s">
        <v>905</v>
      </c>
      <c r="F273"/>
    </row>
    <row r="274" spans="1:6" ht="15" x14ac:dyDescent="0.25">
      <c r="A274" t="s">
        <v>151</v>
      </c>
      <c r="B274" t="s">
        <v>547</v>
      </c>
      <c r="C274" t="s">
        <v>904</v>
      </c>
      <c r="D274" t="s">
        <v>261</v>
      </c>
      <c r="E274" t="s">
        <v>905</v>
      </c>
      <c r="F274"/>
    </row>
    <row r="275" spans="1:6" ht="15" x14ac:dyDescent="0.25">
      <c r="A275" t="s">
        <v>222</v>
      </c>
      <c r="B275" t="s">
        <v>547</v>
      </c>
      <c r="C275" t="s">
        <v>907</v>
      </c>
      <c r="D275" t="s">
        <v>261</v>
      </c>
      <c r="E275" t="s">
        <v>395</v>
      </c>
      <c r="F275"/>
    </row>
    <row r="276" spans="1:6" ht="15" x14ac:dyDescent="0.25">
      <c r="A276" t="s">
        <v>250</v>
      </c>
      <c r="B276" t="s">
        <v>547</v>
      </c>
      <c r="C276" t="s">
        <v>904</v>
      </c>
      <c r="D276" t="s">
        <v>261</v>
      </c>
      <c r="E276" t="s">
        <v>905</v>
      </c>
      <c r="F276"/>
    </row>
    <row r="277" spans="1:6" ht="15" x14ac:dyDescent="0.25">
      <c r="A277" t="s">
        <v>251</v>
      </c>
      <c r="B277" t="s">
        <v>547</v>
      </c>
      <c r="C277" t="s">
        <v>910</v>
      </c>
      <c r="D277" t="s">
        <v>261</v>
      </c>
      <c r="E277" t="s">
        <v>905</v>
      </c>
      <c r="F277"/>
    </row>
    <row r="278" spans="1:6" ht="15" x14ac:dyDescent="0.25">
      <c r="A278" t="s">
        <v>348</v>
      </c>
      <c r="B278" t="s">
        <v>547</v>
      </c>
      <c r="C278" t="s">
        <v>904</v>
      </c>
      <c r="D278" t="s">
        <v>261</v>
      </c>
      <c r="E278" t="s">
        <v>905</v>
      </c>
      <c r="F278"/>
    </row>
    <row r="279" spans="1:6" ht="15" x14ac:dyDescent="0.25">
      <c r="A279" t="s">
        <v>99</v>
      </c>
      <c r="B279" t="s">
        <v>547</v>
      </c>
      <c r="C279" t="s">
        <v>904</v>
      </c>
      <c r="D279" t="s">
        <v>261</v>
      </c>
      <c r="E279" t="s">
        <v>905</v>
      </c>
      <c r="F279"/>
    </row>
    <row r="280" spans="1:6" ht="15" x14ac:dyDescent="0.25">
      <c r="A280" t="s">
        <v>101</v>
      </c>
      <c r="B280" t="s">
        <v>547</v>
      </c>
      <c r="C280" t="s">
        <v>904</v>
      </c>
      <c r="D280" t="s">
        <v>261</v>
      </c>
      <c r="E280" t="s">
        <v>905</v>
      </c>
      <c r="F280"/>
    </row>
    <row r="281" spans="1:6" ht="15" x14ac:dyDescent="0.25">
      <c r="A281" t="s">
        <v>102</v>
      </c>
      <c r="B281" t="s">
        <v>547</v>
      </c>
      <c r="C281" t="s">
        <v>904</v>
      </c>
      <c r="D281" t="s">
        <v>261</v>
      </c>
      <c r="E281" t="s">
        <v>905</v>
      </c>
      <c r="F281"/>
    </row>
    <row r="282" spans="1:6" ht="15" x14ac:dyDescent="0.25">
      <c r="A282" t="s">
        <v>103</v>
      </c>
      <c r="B282" t="s">
        <v>547</v>
      </c>
      <c r="C282" t="s">
        <v>904</v>
      </c>
      <c r="D282" t="s">
        <v>261</v>
      </c>
      <c r="E282" t="s">
        <v>905</v>
      </c>
      <c r="F282"/>
    </row>
    <row r="283" spans="1:6" ht="15" x14ac:dyDescent="0.25">
      <c r="A283" t="s">
        <v>235</v>
      </c>
      <c r="B283" t="s">
        <v>547</v>
      </c>
      <c r="C283" t="s">
        <v>907</v>
      </c>
      <c r="D283" t="s">
        <v>261</v>
      </c>
      <c r="E283" t="s">
        <v>395</v>
      </c>
      <c r="F283"/>
    </row>
    <row r="284" spans="1:6" ht="15" x14ac:dyDescent="0.25">
      <c r="A284" t="s">
        <v>135</v>
      </c>
      <c r="B284" t="s">
        <v>547</v>
      </c>
      <c r="C284" t="s">
        <v>907</v>
      </c>
      <c r="D284" t="s">
        <v>261</v>
      </c>
      <c r="E284" t="s">
        <v>395</v>
      </c>
      <c r="F284"/>
    </row>
    <row r="285" spans="1:6" ht="15" x14ac:dyDescent="0.25">
      <c r="A285" t="s">
        <v>152</v>
      </c>
      <c r="B285" t="s">
        <v>547</v>
      </c>
      <c r="C285" t="s">
        <v>904</v>
      </c>
      <c r="D285" t="s">
        <v>261</v>
      </c>
      <c r="E285" t="s">
        <v>905</v>
      </c>
      <c r="F285"/>
    </row>
    <row r="286" spans="1:6" ht="15" x14ac:dyDescent="0.25">
      <c r="A286" t="s">
        <v>71</v>
      </c>
      <c r="B286" t="s">
        <v>547</v>
      </c>
      <c r="C286" t="s">
        <v>904</v>
      </c>
      <c r="D286" t="s">
        <v>261</v>
      </c>
      <c r="E286" t="s">
        <v>905</v>
      </c>
      <c r="F286"/>
    </row>
    <row r="287" spans="1:6" ht="15" x14ac:dyDescent="0.25">
      <c r="A287" t="s">
        <v>104</v>
      </c>
      <c r="B287" t="s">
        <v>547</v>
      </c>
      <c r="C287" t="s">
        <v>904</v>
      </c>
      <c r="D287" t="s">
        <v>261</v>
      </c>
      <c r="E287" t="s">
        <v>905</v>
      </c>
      <c r="F287"/>
    </row>
    <row r="288" spans="1:6" ht="15" x14ac:dyDescent="0.25">
      <c r="A288" t="s">
        <v>105</v>
      </c>
      <c r="B288" t="s">
        <v>547</v>
      </c>
      <c r="C288" t="s">
        <v>904</v>
      </c>
      <c r="D288" t="s">
        <v>261</v>
      </c>
      <c r="E288" t="s">
        <v>905</v>
      </c>
      <c r="F288"/>
    </row>
    <row r="289" spans="1:6" ht="15" x14ac:dyDescent="0.25">
      <c r="A289" t="s">
        <v>74</v>
      </c>
      <c r="B289" t="s">
        <v>547</v>
      </c>
      <c r="C289" t="s">
        <v>904</v>
      </c>
      <c r="D289" t="s">
        <v>261</v>
      </c>
      <c r="E289" t="s">
        <v>905</v>
      </c>
      <c r="F289"/>
    </row>
    <row r="290" spans="1:6" ht="15" x14ac:dyDescent="0.25">
      <c r="A290" t="s">
        <v>106</v>
      </c>
      <c r="B290" t="s">
        <v>547</v>
      </c>
      <c r="C290" t="s">
        <v>904</v>
      </c>
      <c r="D290" t="s">
        <v>261</v>
      </c>
      <c r="E290" t="s">
        <v>905</v>
      </c>
      <c r="F290"/>
    </row>
    <row r="291" spans="1:6" ht="15" x14ac:dyDescent="0.25">
      <c r="A291" t="s">
        <v>107</v>
      </c>
      <c r="B291" t="s">
        <v>547</v>
      </c>
      <c r="C291" t="s">
        <v>904</v>
      </c>
      <c r="D291" t="s">
        <v>261</v>
      </c>
      <c r="E291" t="s">
        <v>905</v>
      </c>
      <c r="F291"/>
    </row>
    <row r="292" spans="1:6" ht="15" x14ac:dyDescent="0.25">
      <c r="A292" t="s">
        <v>136</v>
      </c>
      <c r="B292" t="s">
        <v>547</v>
      </c>
      <c r="C292" t="s">
        <v>907</v>
      </c>
      <c r="D292" t="s">
        <v>261</v>
      </c>
      <c r="E292" t="s">
        <v>395</v>
      </c>
      <c r="F292"/>
    </row>
    <row r="293" spans="1:6" ht="15" x14ac:dyDescent="0.25">
      <c r="A293" t="s">
        <v>108</v>
      </c>
      <c r="B293" t="s">
        <v>547</v>
      </c>
      <c r="C293" t="s">
        <v>904</v>
      </c>
      <c r="D293" t="s">
        <v>261</v>
      </c>
      <c r="E293" t="s">
        <v>905</v>
      </c>
      <c r="F293"/>
    </row>
    <row r="294" spans="1:6" ht="15" x14ac:dyDescent="0.25">
      <c r="A294" t="s">
        <v>153</v>
      </c>
      <c r="B294" t="s">
        <v>547</v>
      </c>
      <c r="C294" t="s">
        <v>904</v>
      </c>
      <c r="D294" t="s">
        <v>266</v>
      </c>
      <c r="E294" t="s">
        <v>905</v>
      </c>
      <c r="F294"/>
    </row>
    <row r="295" spans="1:6" ht="15" x14ac:dyDescent="0.25">
      <c r="A295" t="s">
        <v>154</v>
      </c>
      <c r="B295" t="s">
        <v>547</v>
      </c>
      <c r="C295" t="s">
        <v>904</v>
      </c>
      <c r="D295" t="s">
        <v>261</v>
      </c>
      <c r="E295" t="s">
        <v>905</v>
      </c>
      <c r="F295"/>
    </row>
    <row r="296" spans="1:6" ht="15" x14ac:dyDescent="0.25">
      <c r="A296" t="s">
        <v>110</v>
      </c>
      <c r="B296" t="s">
        <v>547</v>
      </c>
      <c r="C296" t="s">
        <v>904</v>
      </c>
      <c r="D296" t="s">
        <v>261</v>
      </c>
      <c r="E296" t="s">
        <v>905</v>
      </c>
      <c r="F296"/>
    </row>
    <row r="297" spans="1:6" ht="15" x14ac:dyDescent="0.25">
      <c r="A297" t="s">
        <v>137</v>
      </c>
      <c r="B297" t="s">
        <v>547</v>
      </c>
      <c r="C297" t="s">
        <v>907</v>
      </c>
      <c r="D297" t="s">
        <v>261</v>
      </c>
      <c r="E297" t="s">
        <v>395</v>
      </c>
      <c r="F297"/>
    </row>
    <row r="298" spans="1:6" ht="15" x14ac:dyDescent="0.25">
      <c r="A298" t="s">
        <v>173</v>
      </c>
      <c r="B298" t="s">
        <v>547</v>
      </c>
      <c r="C298" t="s">
        <v>904</v>
      </c>
      <c r="D298" t="s">
        <v>261</v>
      </c>
      <c r="E298" t="s">
        <v>905</v>
      </c>
      <c r="F298"/>
    </row>
    <row r="299" spans="1:6" ht="15" x14ac:dyDescent="0.25">
      <c r="A299" t="s">
        <v>113</v>
      </c>
      <c r="B299" t="s">
        <v>547</v>
      </c>
      <c r="C299" t="s">
        <v>904</v>
      </c>
      <c r="D299" t="s">
        <v>261</v>
      </c>
      <c r="E299" t="s">
        <v>905</v>
      </c>
      <c r="F299"/>
    </row>
    <row r="300" spans="1:6" ht="15" x14ac:dyDescent="0.25">
      <c r="A300" t="s">
        <v>114</v>
      </c>
      <c r="B300" t="s">
        <v>547</v>
      </c>
      <c r="C300" t="s">
        <v>904</v>
      </c>
      <c r="D300" t="s">
        <v>261</v>
      </c>
      <c r="E300" t="s">
        <v>905</v>
      </c>
      <c r="F300"/>
    </row>
    <row r="301" spans="1:6" ht="15" x14ac:dyDescent="0.25">
      <c r="A301" t="s">
        <v>115</v>
      </c>
      <c r="B301" t="s">
        <v>547</v>
      </c>
      <c r="C301" t="s">
        <v>904</v>
      </c>
      <c r="D301" t="s">
        <v>261</v>
      </c>
      <c r="E301" t="s">
        <v>905</v>
      </c>
      <c r="F301"/>
    </row>
    <row r="302" spans="1:6" ht="15" x14ac:dyDescent="0.25">
      <c r="A302" t="s">
        <v>138</v>
      </c>
      <c r="B302" t="s">
        <v>547</v>
      </c>
      <c r="C302" t="s">
        <v>907</v>
      </c>
      <c r="D302" t="s">
        <v>261</v>
      </c>
      <c r="E302" t="s">
        <v>395</v>
      </c>
      <c r="F302"/>
    </row>
    <row r="303" spans="1:6" ht="15" x14ac:dyDescent="0.25">
      <c r="A303" t="s">
        <v>116</v>
      </c>
      <c r="B303" t="s">
        <v>547</v>
      </c>
      <c r="C303" t="s">
        <v>904</v>
      </c>
      <c r="D303" t="s">
        <v>261</v>
      </c>
      <c r="E303" t="s">
        <v>905</v>
      </c>
      <c r="F303"/>
    </row>
    <row r="304" spans="1:6" ht="15" x14ac:dyDescent="0.25">
      <c r="A304" t="s">
        <v>117</v>
      </c>
      <c r="B304" t="s">
        <v>547</v>
      </c>
      <c r="C304" t="s">
        <v>904</v>
      </c>
      <c r="D304" t="s">
        <v>261</v>
      </c>
      <c r="E304" t="s">
        <v>905</v>
      </c>
      <c r="F304"/>
    </row>
    <row r="305" spans="1:6" ht="15" x14ac:dyDescent="0.25">
      <c r="A305" t="s">
        <v>118</v>
      </c>
      <c r="B305" t="s">
        <v>547</v>
      </c>
      <c r="C305" t="s">
        <v>904</v>
      </c>
      <c r="D305" t="s">
        <v>261</v>
      </c>
      <c r="E305" t="s">
        <v>905</v>
      </c>
      <c r="F305"/>
    </row>
    <row r="306" spans="1:6" ht="15" x14ac:dyDescent="0.25">
      <c r="A306" t="s">
        <v>139</v>
      </c>
      <c r="B306" t="s">
        <v>547</v>
      </c>
      <c r="C306" t="s">
        <v>907</v>
      </c>
      <c r="D306" t="s">
        <v>261</v>
      </c>
      <c r="E306" t="s">
        <v>395</v>
      </c>
      <c r="F306"/>
    </row>
    <row r="307" spans="1:6" ht="15" x14ac:dyDescent="0.25">
      <c r="A307" t="s">
        <v>119</v>
      </c>
      <c r="B307" t="s">
        <v>547</v>
      </c>
      <c r="C307" t="s">
        <v>904</v>
      </c>
      <c r="D307" t="s">
        <v>261</v>
      </c>
      <c r="E307" t="s">
        <v>905</v>
      </c>
      <c r="F307"/>
    </row>
    <row r="308" spans="1:6" ht="15" x14ac:dyDescent="0.25">
      <c r="A308" t="s">
        <v>120</v>
      </c>
      <c r="B308" t="s">
        <v>547</v>
      </c>
      <c r="C308" t="s">
        <v>904</v>
      </c>
      <c r="D308" t="s">
        <v>261</v>
      </c>
      <c r="E308" t="s">
        <v>905</v>
      </c>
      <c r="F308"/>
    </row>
    <row r="309" spans="1:6" ht="15" x14ac:dyDescent="0.25">
      <c r="A309" t="s">
        <v>140</v>
      </c>
      <c r="B309" t="s">
        <v>547</v>
      </c>
      <c r="C309" t="s">
        <v>907</v>
      </c>
      <c r="D309" t="s">
        <v>261</v>
      </c>
      <c r="E309" t="s">
        <v>395</v>
      </c>
      <c r="F309"/>
    </row>
    <row r="310" spans="1:6" ht="15" x14ac:dyDescent="0.25">
      <c r="A310" t="s">
        <v>155</v>
      </c>
      <c r="B310" t="s">
        <v>547</v>
      </c>
      <c r="C310" t="s">
        <v>904</v>
      </c>
      <c r="D310" t="s">
        <v>266</v>
      </c>
      <c r="E310" t="s">
        <v>905</v>
      </c>
      <c r="F310"/>
    </row>
    <row r="311" spans="1:6" ht="15" x14ac:dyDescent="0.25">
      <c r="A311" t="s">
        <v>236</v>
      </c>
      <c r="B311" t="s">
        <v>547</v>
      </c>
      <c r="C311" t="s">
        <v>907</v>
      </c>
      <c r="D311" t="s">
        <v>266</v>
      </c>
      <c r="E311" t="s">
        <v>395</v>
      </c>
      <c r="F311"/>
    </row>
    <row r="312" spans="1:6" ht="15" x14ac:dyDescent="0.25">
      <c r="A312" t="s">
        <v>141</v>
      </c>
      <c r="B312" t="s">
        <v>547</v>
      </c>
      <c r="C312" t="s">
        <v>907</v>
      </c>
      <c r="D312" t="s">
        <v>261</v>
      </c>
      <c r="E312" t="s">
        <v>395</v>
      </c>
      <c r="F312"/>
    </row>
    <row r="313" spans="1:6" ht="15" x14ac:dyDescent="0.25">
      <c r="A313" t="s">
        <v>349</v>
      </c>
      <c r="B313" t="s">
        <v>547</v>
      </c>
      <c r="C313" t="s">
        <v>907</v>
      </c>
      <c r="D313" t="s">
        <v>261</v>
      </c>
      <c r="E313" t="s">
        <v>395</v>
      </c>
      <c r="F313"/>
    </row>
    <row r="314" spans="1:6" ht="15" x14ac:dyDescent="0.25">
      <c r="A314" t="s">
        <v>121</v>
      </c>
      <c r="B314" t="s">
        <v>547</v>
      </c>
      <c r="C314" t="s">
        <v>907</v>
      </c>
      <c r="D314" t="s">
        <v>266</v>
      </c>
      <c r="E314" t="s">
        <v>395</v>
      </c>
      <c r="F314"/>
    </row>
    <row r="315" spans="1:6" ht="15" x14ac:dyDescent="0.25">
      <c r="A315" t="s">
        <v>122</v>
      </c>
      <c r="B315" t="s">
        <v>547</v>
      </c>
      <c r="C315" t="s">
        <v>904</v>
      </c>
      <c r="D315" t="s">
        <v>261</v>
      </c>
      <c r="E315" t="s">
        <v>905</v>
      </c>
      <c r="F315"/>
    </row>
    <row r="316" spans="1:6" ht="15" x14ac:dyDescent="0.25">
      <c r="A316" t="s">
        <v>125</v>
      </c>
      <c r="B316" t="s">
        <v>547</v>
      </c>
      <c r="C316" t="s">
        <v>904</v>
      </c>
      <c r="D316" t="s">
        <v>266</v>
      </c>
      <c r="E316" t="s">
        <v>905</v>
      </c>
      <c r="F316"/>
    </row>
    <row r="317" spans="1:6" ht="15" x14ac:dyDescent="0.25">
      <c r="A317" t="s">
        <v>126</v>
      </c>
      <c r="B317" t="s">
        <v>547</v>
      </c>
      <c r="C317" t="s">
        <v>904</v>
      </c>
      <c r="D317" t="s">
        <v>266</v>
      </c>
      <c r="E317" t="s">
        <v>905</v>
      </c>
      <c r="F317"/>
    </row>
    <row r="318" spans="1:6" ht="15" x14ac:dyDescent="0.25">
      <c r="A318" t="s">
        <v>156</v>
      </c>
      <c r="B318" t="s">
        <v>547</v>
      </c>
      <c r="C318" t="s">
        <v>904</v>
      </c>
      <c r="D318" t="s">
        <v>266</v>
      </c>
      <c r="E318" t="s">
        <v>905</v>
      </c>
      <c r="F318"/>
    </row>
    <row r="319" spans="1:6" ht="15" x14ac:dyDescent="0.25">
      <c r="A319" t="s">
        <v>157</v>
      </c>
      <c r="B319" t="s">
        <v>547</v>
      </c>
      <c r="C319" t="s">
        <v>904</v>
      </c>
      <c r="D319" t="s">
        <v>266</v>
      </c>
      <c r="E319" t="s">
        <v>905</v>
      </c>
      <c r="F319"/>
    </row>
    <row r="320" spans="1:6" ht="15" x14ac:dyDescent="0.25">
      <c r="A320" t="s">
        <v>75</v>
      </c>
      <c r="B320" t="s">
        <v>547</v>
      </c>
      <c r="C320" t="s">
        <v>904</v>
      </c>
      <c r="D320" t="s">
        <v>261</v>
      </c>
      <c r="E320" t="s">
        <v>905</v>
      </c>
      <c r="F320"/>
    </row>
    <row r="321" spans="1:6" ht="15" x14ac:dyDescent="0.25">
      <c r="A321" t="s">
        <v>127</v>
      </c>
      <c r="B321" t="s">
        <v>547</v>
      </c>
      <c r="C321" t="s">
        <v>904</v>
      </c>
      <c r="D321" t="s">
        <v>261</v>
      </c>
      <c r="E321" t="s">
        <v>905</v>
      </c>
      <c r="F321"/>
    </row>
    <row r="322" spans="1:6" ht="15" x14ac:dyDescent="0.25">
      <c r="A322" t="s">
        <v>128</v>
      </c>
      <c r="B322" t="s">
        <v>547</v>
      </c>
      <c r="C322" t="s">
        <v>904</v>
      </c>
      <c r="D322" t="s">
        <v>261</v>
      </c>
      <c r="E322" t="s">
        <v>905</v>
      </c>
      <c r="F322"/>
    </row>
    <row r="323" spans="1:6" ht="15" x14ac:dyDescent="0.25">
      <c r="A323" t="s">
        <v>130</v>
      </c>
      <c r="B323" t="s">
        <v>547</v>
      </c>
      <c r="C323" t="s">
        <v>904</v>
      </c>
      <c r="D323" t="s">
        <v>261</v>
      </c>
      <c r="E323" t="s">
        <v>905</v>
      </c>
      <c r="F323"/>
    </row>
    <row r="324" spans="1:6" ht="15" x14ac:dyDescent="0.25">
      <c r="A324" t="s">
        <v>131</v>
      </c>
      <c r="B324" t="s">
        <v>547</v>
      </c>
      <c r="C324" t="s">
        <v>904</v>
      </c>
      <c r="D324" t="s">
        <v>261</v>
      </c>
      <c r="E324" t="s">
        <v>905</v>
      </c>
      <c r="F324"/>
    </row>
    <row r="325" spans="1:6" ht="15" x14ac:dyDescent="0.25">
      <c r="A325" t="s">
        <v>132</v>
      </c>
      <c r="B325" t="s">
        <v>547</v>
      </c>
      <c r="C325" t="s">
        <v>904</v>
      </c>
      <c r="D325" t="s">
        <v>261</v>
      </c>
      <c r="E325" t="s">
        <v>905</v>
      </c>
      <c r="F325"/>
    </row>
    <row r="326" spans="1:6" ht="15" x14ac:dyDescent="0.25">
      <c r="A326" t="s">
        <v>133</v>
      </c>
      <c r="B326" t="s">
        <v>547</v>
      </c>
      <c r="C326" t="s">
        <v>904</v>
      </c>
      <c r="D326" t="s">
        <v>261</v>
      </c>
      <c r="E326" t="s">
        <v>905</v>
      </c>
      <c r="F326"/>
    </row>
    <row r="327" spans="1:6" ht="15" x14ac:dyDescent="0.25">
      <c r="A327" t="s">
        <v>134</v>
      </c>
      <c r="B327" t="s">
        <v>547</v>
      </c>
      <c r="C327" t="s">
        <v>904</v>
      </c>
      <c r="D327" t="s">
        <v>261</v>
      </c>
      <c r="E327" t="s">
        <v>905</v>
      </c>
      <c r="F327"/>
    </row>
    <row r="328" spans="1:6" ht="15" x14ac:dyDescent="0.25">
      <c r="A328" t="s">
        <v>483</v>
      </c>
      <c r="B328" t="s">
        <v>547</v>
      </c>
      <c r="C328" t="s">
        <v>904</v>
      </c>
      <c r="D328" t="s">
        <v>266</v>
      </c>
      <c r="E328" t="s">
        <v>905</v>
      </c>
      <c r="F328"/>
    </row>
    <row r="329" spans="1:6" ht="15" x14ac:dyDescent="0.25">
      <c r="A329" t="s">
        <v>484</v>
      </c>
      <c r="B329" t="s">
        <v>547</v>
      </c>
      <c r="C329" t="s">
        <v>904</v>
      </c>
      <c r="D329" t="s">
        <v>266</v>
      </c>
      <c r="E329" t="s">
        <v>905</v>
      </c>
      <c r="F329"/>
    </row>
    <row r="330" spans="1:6" ht="15" x14ac:dyDescent="0.25">
      <c r="A330" t="s">
        <v>485</v>
      </c>
      <c r="B330" t="s">
        <v>547</v>
      </c>
      <c r="C330" t="s">
        <v>904</v>
      </c>
      <c r="D330" t="s">
        <v>266</v>
      </c>
      <c r="E330" t="s">
        <v>268</v>
      </c>
      <c r="F330"/>
    </row>
    <row r="331" spans="1:6" ht="15" x14ac:dyDescent="0.25">
      <c r="A331" t="s">
        <v>486</v>
      </c>
      <c r="B331" t="s">
        <v>547</v>
      </c>
      <c r="C331" t="s">
        <v>904</v>
      </c>
      <c r="D331" t="s">
        <v>266</v>
      </c>
      <c r="E331" t="s">
        <v>268</v>
      </c>
      <c r="F331"/>
    </row>
    <row r="332" spans="1:6" ht="15" x14ac:dyDescent="0.25">
      <c r="A332" t="s">
        <v>487</v>
      </c>
      <c r="B332" t="s">
        <v>547</v>
      </c>
      <c r="C332" t="s">
        <v>904</v>
      </c>
      <c r="D332" t="s">
        <v>261</v>
      </c>
      <c r="E332" t="s">
        <v>905</v>
      </c>
      <c r="F332"/>
    </row>
    <row r="333" spans="1:6" ht="15" x14ac:dyDescent="0.25">
      <c r="A333" t="s">
        <v>488</v>
      </c>
      <c r="B333" t="s">
        <v>547</v>
      </c>
      <c r="C333" t="s">
        <v>904</v>
      </c>
      <c r="D333" t="s">
        <v>261</v>
      </c>
      <c r="E333" t="s">
        <v>905</v>
      </c>
      <c r="F333"/>
    </row>
    <row r="334" spans="1:6" ht="15" x14ac:dyDescent="0.25">
      <c r="A334" t="s">
        <v>489</v>
      </c>
      <c r="B334" t="s">
        <v>547</v>
      </c>
      <c r="C334" t="s">
        <v>904</v>
      </c>
      <c r="D334" t="s">
        <v>261</v>
      </c>
      <c r="E334" t="s">
        <v>905</v>
      </c>
      <c r="F334"/>
    </row>
    <row r="335" spans="1:6" ht="15" x14ac:dyDescent="0.25">
      <c r="A335" t="s">
        <v>490</v>
      </c>
      <c r="B335" t="s">
        <v>547</v>
      </c>
      <c r="C335" t="s">
        <v>904</v>
      </c>
      <c r="D335" t="s">
        <v>261</v>
      </c>
      <c r="E335" t="s">
        <v>905</v>
      </c>
      <c r="F335"/>
    </row>
    <row r="336" spans="1:6" ht="15" x14ac:dyDescent="0.25">
      <c r="A336" t="s">
        <v>491</v>
      </c>
      <c r="B336" t="s">
        <v>547</v>
      </c>
      <c r="C336" t="s">
        <v>904</v>
      </c>
      <c r="D336" t="s">
        <v>261</v>
      </c>
      <c r="E336" t="s">
        <v>905</v>
      </c>
      <c r="F336"/>
    </row>
    <row r="337" spans="1:6" ht="15" x14ac:dyDescent="0.25">
      <c r="A337" t="s">
        <v>492</v>
      </c>
      <c r="B337" t="s">
        <v>547</v>
      </c>
      <c r="C337" t="s">
        <v>904</v>
      </c>
      <c r="D337" t="s">
        <v>261</v>
      </c>
      <c r="E337" t="s">
        <v>905</v>
      </c>
      <c r="F337"/>
    </row>
    <row r="338" spans="1:6" ht="15" x14ac:dyDescent="0.25">
      <c r="A338" t="s">
        <v>493</v>
      </c>
      <c r="B338" t="s">
        <v>547</v>
      </c>
      <c r="C338" t="s">
        <v>904</v>
      </c>
      <c r="D338" t="s">
        <v>261</v>
      </c>
      <c r="E338" t="s">
        <v>905</v>
      </c>
      <c r="F338"/>
    </row>
    <row r="339" spans="1:6" ht="15" x14ac:dyDescent="0.25">
      <c r="A339" t="s">
        <v>494</v>
      </c>
      <c r="B339" t="s">
        <v>547</v>
      </c>
      <c r="C339" t="s">
        <v>904</v>
      </c>
      <c r="D339" t="s">
        <v>266</v>
      </c>
      <c r="E339" t="s">
        <v>268</v>
      </c>
      <c r="F339"/>
    </row>
    <row r="340" spans="1:6" ht="15" x14ac:dyDescent="0.25">
      <c r="A340" t="s">
        <v>495</v>
      </c>
      <c r="B340" t="s">
        <v>547</v>
      </c>
      <c r="C340" t="s">
        <v>904</v>
      </c>
      <c r="D340" t="s">
        <v>261</v>
      </c>
      <c r="E340" t="s">
        <v>905</v>
      </c>
      <c r="F340"/>
    </row>
    <row r="341" spans="1:6" ht="15" x14ac:dyDescent="0.25">
      <c r="A341" t="s">
        <v>496</v>
      </c>
      <c r="B341" t="s">
        <v>547</v>
      </c>
      <c r="C341" t="s">
        <v>904</v>
      </c>
      <c r="D341" t="s">
        <v>261</v>
      </c>
      <c r="E341" t="s">
        <v>905</v>
      </c>
      <c r="F341"/>
    </row>
    <row r="342" spans="1:6" ht="15" x14ac:dyDescent="0.25">
      <c r="A342" t="s">
        <v>497</v>
      </c>
      <c r="B342" t="s">
        <v>547</v>
      </c>
      <c r="C342" t="s">
        <v>904</v>
      </c>
      <c r="D342" t="s">
        <v>261</v>
      </c>
      <c r="E342" t="s">
        <v>905</v>
      </c>
      <c r="F342"/>
    </row>
    <row r="343" spans="1:6" ht="15" x14ac:dyDescent="0.25">
      <c r="A343" t="s">
        <v>498</v>
      </c>
      <c r="B343" t="s">
        <v>547</v>
      </c>
      <c r="C343" t="s">
        <v>904</v>
      </c>
      <c r="D343" t="s">
        <v>266</v>
      </c>
      <c r="E343" t="s">
        <v>905</v>
      </c>
      <c r="F343"/>
    </row>
    <row r="344" spans="1:6" ht="15" x14ac:dyDescent="0.25">
      <c r="A344" t="s">
        <v>499</v>
      </c>
      <c r="B344" t="s">
        <v>547</v>
      </c>
      <c r="C344" t="s">
        <v>904</v>
      </c>
      <c r="D344" t="s">
        <v>266</v>
      </c>
      <c r="E344" t="s">
        <v>905</v>
      </c>
      <c r="F344"/>
    </row>
    <row r="345" spans="1:6" ht="15" x14ac:dyDescent="0.25">
      <c r="A345" t="s">
        <v>500</v>
      </c>
      <c r="B345" t="s">
        <v>547</v>
      </c>
      <c r="C345" t="s">
        <v>904</v>
      </c>
      <c r="D345" t="s">
        <v>266</v>
      </c>
      <c r="E345" t="s">
        <v>905</v>
      </c>
      <c r="F345"/>
    </row>
    <row r="346" spans="1:6" ht="15" x14ac:dyDescent="0.25">
      <c r="A346" t="s">
        <v>501</v>
      </c>
      <c r="B346" t="s">
        <v>547</v>
      </c>
      <c r="C346" t="s">
        <v>904</v>
      </c>
      <c r="D346" t="s">
        <v>266</v>
      </c>
      <c r="E346" t="s">
        <v>905</v>
      </c>
      <c r="F346"/>
    </row>
    <row r="347" spans="1:6" ht="15" x14ac:dyDescent="0.25">
      <c r="A347" t="s">
        <v>502</v>
      </c>
      <c r="B347" t="s">
        <v>547</v>
      </c>
      <c r="C347" t="s">
        <v>904</v>
      </c>
      <c r="D347" t="s">
        <v>261</v>
      </c>
      <c r="E347" t="s">
        <v>905</v>
      </c>
      <c r="F347"/>
    </row>
    <row r="348" spans="1:6" ht="15" x14ac:dyDescent="0.25">
      <c r="A348" t="s">
        <v>503</v>
      </c>
      <c r="B348" t="s">
        <v>547</v>
      </c>
      <c r="C348" t="s">
        <v>904</v>
      </c>
      <c r="D348" t="s">
        <v>261</v>
      </c>
      <c r="E348" t="s">
        <v>905</v>
      </c>
      <c r="F348"/>
    </row>
    <row r="349" spans="1:6" ht="15" x14ac:dyDescent="0.25">
      <c r="A349" t="s">
        <v>504</v>
      </c>
      <c r="B349" t="s">
        <v>548</v>
      </c>
      <c r="C349" t="s">
        <v>904</v>
      </c>
      <c r="D349" t="s">
        <v>266</v>
      </c>
      <c r="E349" t="s">
        <v>268</v>
      </c>
      <c r="F349"/>
    </row>
    <row r="350" spans="1:6" ht="15" x14ac:dyDescent="0.25">
      <c r="A350" t="s">
        <v>505</v>
      </c>
      <c r="B350" t="s">
        <v>548</v>
      </c>
      <c r="C350" t="s">
        <v>907</v>
      </c>
      <c r="D350" t="s">
        <v>266</v>
      </c>
      <c r="E350" t="s">
        <v>268</v>
      </c>
      <c r="F350"/>
    </row>
    <row r="351" spans="1:6" ht="15" x14ac:dyDescent="0.25">
      <c r="A351" t="s">
        <v>506</v>
      </c>
      <c r="B351" t="s">
        <v>548</v>
      </c>
      <c r="C351" t="s">
        <v>904</v>
      </c>
      <c r="D351" t="s">
        <v>266</v>
      </c>
      <c r="E351" t="s">
        <v>268</v>
      </c>
      <c r="F351"/>
    </row>
    <row r="352" spans="1:6" ht="15" x14ac:dyDescent="0.25">
      <c r="A352" t="s">
        <v>507</v>
      </c>
      <c r="B352" t="s">
        <v>548</v>
      </c>
      <c r="C352" t="s">
        <v>904</v>
      </c>
      <c r="D352" t="s">
        <v>261</v>
      </c>
      <c r="E352" t="s">
        <v>905</v>
      </c>
      <c r="F352"/>
    </row>
    <row r="353" spans="1:6" ht="15" x14ac:dyDescent="0.25">
      <c r="A353" t="s">
        <v>508</v>
      </c>
      <c r="B353" t="s">
        <v>548</v>
      </c>
      <c r="C353" t="s">
        <v>904</v>
      </c>
      <c r="D353" t="s">
        <v>261</v>
      </c>
      <c r="E353" t="s">
        <v>905</v>
      </c>
      <c r="F353"/>
    </row>
    <row r="354" spans="1:6" ht="15" x14ac:dyDescent="0.25">
      <c r="A354" t="s">
        <v>509</v>
      </c>
      <c r="B354" t="s">
        <v>548</v>
      </c>
      <c r="C354" t="s">
        <v>904</v>
      </c>
      <c r="D354" t="s">
        <v>266</v>
      </c>
      <c r="E354" t="s">
        <v>268</v>
      </c>
      <c r="F354"/>
    </row>
    <row r="355" spans="1:6" ht="15" x14ac:dyDescent="0.25">
      <c r="A355" t="s">
        <v>510</v>
      </c>
      <c r="B355" t="s">
        <v>548</v>
      </c>
      <c r="C355" t="s">
        <v>907</v>
      </c>
      <c r="D355" t="s">
        <v>266</v>
      </c>
      <c r="E355" t="s">
        <v>268</v>
      </c>
      <c r="F355"/>
    </row>
    <row r="356" spans="1:6" ht="15" x14ac:dyDescent="0.25">
      <c r="A356" t="s">
        <v>511</v>
      </c>
      <c r="B356" t="s">
        <v>548</v>
      </c>
      <c r="C356" t="s">
        <v>904</v>
      </c>
      <c r="D356" t="s">
        <v>266</v>
      </c>
      <c r="E356" t="s">
        <v>905</v>
      </c>
      <c r="F356"/>
    </row>
    <row r="357" spans="1:6" ht="15" x14ac:dyDescent="0.25">
      <c r="A357" t="s">
        <v>512</v>
      </c>
      <c r="B357" t="s">
        <v>548</v>
      </c>
      <c r="C357" t="s">
        <v>904</v>
      </c>
      <c r="D357" t="s">
        <v>261</v>
      </c>
      <c r="E357" t="s">
        <v>905</v>
      </c>
      <c r="F357"/>
    </row>
    <row r="358" spans="1:6" ht="15" x14ac:dyDescent="0.25">
      <c r="A358" t="s">
        <v>513</v>
      </c>
      <c r="B358" t="s">
        <v>548</v>
      </c>
      <c r="C358" t="s">
        <v>904</v>
      </c>
      <c r="D358" t="s">
        <v>266</v>
      </c>
      <c r="E358" t="s">
        <v>442</v>
      </c>
      <c r="F358"/>
    </row>
    <row r="359" spans="1:6" ht="15" x14ac:dyDescent="0.25">
      <c r="A359" t="s">
        <v>514</v>
      </c>
      <c r="B359" t="s">
        <v>548</v>
      </c>
      <c r="C359" t="s">
        <v>904</v>
      </c>
      <c r="D359" t="s">
        <v>266</v>
      </c>
      <c r="E359" t="s">
        <v>268</v>
      </c>
      <c r="F359"/>
    </row>
    <row r="360" spans="1:6" ht="15" x14ac:dyDescent="0.25">
      <c r="A360" t="s">
        <v>515</v>
      </c>
      <c r="B360" t="s">
        <v>548</v>
      </c>
      <c r="C360" t="s">
        <v>907</v>
      </c>
      <c r="D360" t="s">
        <v>266</v>
      </c>
      <c r="E360" t="s">
        <v>268</v>
      </c>
      <c r="F360"/>
    </row>
    <row r="361" spans="1:6" ht="15" x14ac:dyDescent="0.25">
      <c r="A361" t="s">
        <v>516</v>
      </c>
      <c r="B361" t="s">
        <v>548</v>
      </c>
      <c r="C361" t="s">
        <v>904</v>
      </c>
      <c r="D361" t="s">
        <v>266</v>
      </c>
      <c r="E361" t="s">
        <v>905</v>
      </c>
      <c r="F361"/>
    </row>
    <row r="362" spans="1:6" ht="15" x14ac:dyDescent="0.25">
      <c r="A362" t="s">
        <v>517</v>
      </c>
      <c r="B362" t="s">
        <v>548</v>
      </c>
      <c r="C362" t="s">
        <v>904</v>
      </c>
      <c r="D362" t="s">
        <v>261</v>
      </c>
      <c r="E362" t="s">
        <v>905</v>
      </c>
      <c r="F362"/>
    </row>
    <row r="363" spans="1:6" ht="15" x14ac:dyDescent="0.25">
      <c r="A363" t="s">
        <v>518</v>
      </c>
      <c r="B363" t="s">
        <v>548</v>
      </c>
      <c r="C363" t="s">
        <v>904</v>
      </c>
      <c r="D363" t="s">
        <v>266</v>
      </c>
      <c r="E363" t="s">
        <v>905</v>
      </c>
      <c r="F363"/>
    </row>
    <row r="364" spans="1:6" ht="15" x14ac:dyDescent="0.25">
      <c r="A364" t="s">
        <v>519</v>
      </c>
      <c r="B364" t="s">
        <v>547</v>
      </c>
      <c r="C364" t="s">
        <v>904</v>
      </c>
      <c r="D364" t="s">
        <v>261</v>
      </c>
      <c r="E364" t="s">
        <v>905</v>
      </c>
      <c r="F364"/>
    </row>
    <row r="365" spans="1:6" ht="15" x14ac:dyDescent="0.25">
      <c r="A365" t="s">
        <v>520</v>
      </c>
      <c r="B365" t="s">
        <v>548</v>
      </c>
      <c r="C365" t="s">
        <v>904</v>
      </c>
      <c r="D365" t="s">
        <v>266</v>
      </c>
      <c r="E365" t="s">
        <v>268</v>
      </c>
      <c r="F365"/>
    </row>
    <row r="366" spans="1:6" ht="15" x14ac:dyDescent="0.25">
      <c r="A366" t="s">
        <v>521</v>
      </c>
      <c r="B366" t="s">
        <v>548</v>
      </c>
      <c r="C366" t="s">
        <v>904</v>
      </c>
      <c r="D366" t="s">
        <v>266</v>
      </c>
      <c r="E366" t="s">
        <v>268</v>
      </c>
      <c r="F366"/>
    </row>
    <row r="367" spans="1:6" ht="15" x14ac:dyDescent="0.25">
      <c r="A367" t="s">
        <v>522</v>
      </c>
      <c r="B367" t="s">
        <v>548</v>
      </c>
      <c r="C367" t="s">
        <v>904</v>
      </c>
      <c r="D367" t="s">
        <v>266</v>
      </c>
      <c r="E367" t="s">
        <v>268</v>
      </c>
      <c r="F367"/>
    </row>
    <row r="368" spans="1:6" ht="15" x14ac:dyDescent="0.25">
      <c r="A368" t="s">
        <v>523</v>
      </c>
      <c r="B368" t="s">
        <v>548</v>
      </c>
      <c r="C368" t="s">
        <v>904</v>
      </c>
      <c r="D368" t="s">
        <v>261</v>
      </c>
      <c r="E368" t="s">
        <v>905</v>
      </c>
      <c r="F368"/>
    </row>
    <row r="369" spans="1:6" ht="15" x14ac:dyDescent="0.25">
      <c r="A369" t="s">
        <v>524</v>
      </c>
      <c r="B369" t="s">
        <v>547</v>
      </c>
      <c r="C369" t="s">
        <v>904</v>
      </c>
      <c r="D369" t="s">
        <v>266</v>
      </c>
      <c r="E369" t="s">
        <v>905</v>
      </c>
      <c r="F369"/>
    </row>
    <row r="370" spans="1:6" ht="15" x14ac:dyDescent="0.25">
      <c r="A370" t="s">
        <v>525</v>
      </c>
      <c r="B370" t="s">
        <v>547</v>
      </c>
      <c r="C370" t="s">
        <v>904</v>
      </c>
      <c r="D370" t="s">
        <v>261</v>
      </c>
      <c r="E370" t="s">
        <v>905</v>
      </c>
      <c r="F370"/>
    </row>
    <row r="371" spans="1:6" ht="15" x14ac:dyDescent="0.25">
      <c r="A371" t="s">
        <v>526</v>
      </c>
      <c r="B371" t="s">
        <v>547</v>
      </c>
      <c r="C371" t="s">
        <v>904</v>
      </c>
      <c r="D371" t="s">
        <v>266</v>
      </c>
      <c r="E371" t="s">
        <v>905</v>
      </c>
      <c r="F371"/>
    </row>
    <row r="372" spans="1:6" ht="15" x14ac:dyDescent="0.25">
      <c r="A372" t="s">
        <v>527</v>
      </c>
      <c r="B372" t="s">
        <v>547</v>
      </c>
      <c r="C372" t="s">
        <v>904</v>
      </c>
      <c r="D372" t="s">
        <v>261</v>
      </c>
      <c r="E372" t="s">
        <v>442</v>
      </c>
      <c r="F372"/>
    </row>
    <row r="373" spans="1:6" ht="15" x14ac:dyDescent="0.25">
      <c r="A373" t="s">
        <v>528</v>
      </c>
      <c r="B373" t="s">
        <v>547</v>
      </c>
      <c r="C373" t="s">
        <v>904</v>
      </c>
      <c r="D373" t="s">
        <v>261</v>
      </c>
      <c r="E373" t="s">
        <v>905</v>
      </c>
      <c r="F373"/>
    </row>
    <row r="374" spans="1:6" ht="15" x14ac:dyDescent="0.25">
      <c r="A374" t="s">
        <v>529</v>
      </c>
      <c r="B374" t="s">
        <v>547</v>
      </c>
      <c r="C374" t="s">
        <v>904</v>
      </c>
      <c r="D374" t="s">
        <v>261</v>
      </c>
      <c r="E374" t="s">
        <v>905</v>
      </c>
      <c r="F374"/>
    </row>
    <row r="375" spans="1:6" ht="15" x14ac:dyDescent="0.25">
      <c r="A375" s="28" t="s">
        <v>530</v>
      </c>
      <c r="B375" s="28" t="s">
        <v>548</v>
      </c>
      <c r="C375" s="28" t="s">
        <v>904</v>
      </c>
      <c r="D375" s="28" t="s">
        <v>261</v>
      </c>
      <c r="E375" t="s">
        <v>905</v>
      </c>
      <c r="F375"/>
    </row>
    <row r="376" spans="1:6" ht="15" x14ac:dyDescent="0.25">
      <c r="A376" t="s">
        <v>531</v>
      </c>
      <c r="B376" t="s">
        <v>548</v>
      </c>
      <c r="C376" t="s">
        <v>904</v>
      </c>
      <c r="D376" t="s">
        <v>261</v>
      </c>
      <c r="E376" t="s">
        <v>905</v>
      </c>
      <c r="F376"/>
    </row>
    <row r="377" spans="1:6" ht="15" x14ac:dyDescent="0.25">
      <c r="A377" t="s">
        <v>535</v>
      </c>
      <c r="B377" t="s">
        <v>547</v>
      </c>
      <c r="C377" t="s">
        <v>904</v>
      </c>
      <c r="D377" t="s">
        <v>261</v>
      </c>
      <c r="E377" t="s">
        <v>905</v>
      </c>
      <c r="F377"/>
    </row>
    <row r="378" spans="1:6" ht="15" x14ac:dyDescent="0.25">
      <c r="A378" s="28" t="s">
        <v>536</v>
      </c>
      <c r="B378" s="28" t="s">
        <v>547</v>
      </c>
      <c r="C378" s="28" t="s">
        <v>904</v>
      </c>
      <c r="D378" s="28" t="s">
        <v>261</v>
      </c>
      <c r="E378" t="s">
        <v>905</v>
      </c>
      <c r="F378"/>
    </row>
    <row r="379" spans="1:6" ht="15" x14ac:dyDescent="0.25">
      <c r="A379" t="s">
        <v>537</v>
      </c>
      <c r="B379" t="s">
        <v>547</v>
      </c>
      <c r="C379" t="s">
        <v>907</v>
      </c>
      <c r="D379" t="s">
        <v>261</v>
      </c>
      <c r="E379" t="s">
        <v>395</v>
      </c>
      <c r="F379"/>
    </row>
    <row r="380" spans="1:6" ht="15" x14ac:dyDescent="0.25">
      <c r="A380" t="s">
        <v>538</v>
      </c>
      <c r="B380" t="s">
        <v>547</v>
      </c>
      <c r="C380" t="s">
        <v>904</v>
      </c>
      <c r="D380" t="s">
        <v>261</v>
      </c>
      <c r="E380" t="s">
        <v>905</v>
      </c>
      <c r="F380"/>
    </row>
    <row r="381" spans="1:6" ht="15" x14ac:dyDescent="0.25">
      <c r="A381" t="s">
        <v>539</v>
      </c>
      <c r="B381" t="s">
        <v>547</v>
      </c>
      <c r="C381" t="s">
        <v>904</v>
      </c>
      <c r="D381" t="s">
        <v>266</v>
      </c>
      <c r="E381" t="s">
        <v>268</v>
      </c>
      <c r="F381"/>
    </row>
    <row r="382" spans="1:6" ht="15" x14ac:dyDescent="0.25">
      <c r="A382" t="s">
        <v>540</v>
      </c>
      <c r="B382" t="s">
        <v>547</v>
      </c>
      <c r="C382" t="s">
        <v>904</v>
      </c>
      <c r="D382" t="s">
        <v>261</v>
      </c>
      <c r="E382" t="s">
        <v>905</v>
      </c>
      <c r="F382"/>
    </row>
    <row r="383" spans="1:6" ht="15" x14ac:dyDescent="0.25">
      <c r="A383" t="s">
        <v>541</v>
      </c>
      <c r="B383" t="s">
        <v>548</v>
      </c>
      <c r="C383" t="s">
        <v>904</v>
      </c>
      <c r="D383" t="s">
        <v>261</v>
      </c>
      <c r="E383" t="s">
        <v>905</v>
      </c>
      <c r="F383"/>
    </row>
    <row r="384" spans="1:6" ht="15" x14ac:dyDescent="0.25">
      <c r="A384" t="s">
        <v>542</v>
      </c>
      <c r="B384" t="s">
        <v>548</v>
      </c>
      <c r="C384" t="s">
        <v>904</v>
      </c>
      <c r="D384" t="s">
        <v>261</v>
      </c>
      <c r="E384" t="s">
        <v>905</v>
      </c>
      <c r="F384"/>
    </row>
    <row r="385" spans="1:6" ht="15" x14ac:dyDescent="0.25">
      <c r="A385" t="s">
        <v>551</v>
      </c>
      <c r="B385" t="s">
        <v>547</v>
      </c>
      <c r="C385" t="s">
        <v>904</v>
      </c>
      <c r="D385" t="s">
        <v>266</v>
      </c>
      <c r="E385" t="s">
        <v>268</v>
      </c>
      <c r="F385"/>
    </row>
    <row r="386" spans="1:6" ht="15" x14ac:dyDescent="0.25">
      <c r="A386" t="s">
        <v>552</v>
      </c>
      <c r="B386" t="s">
        <v>547</v>
      </c>
      <c r="C386" t="s">
        <v>904</v>
      </c>
      <c r="D386" t="s">
        <v>266</v>
      </c>
      <c r="E386" t="s">
        <v>268</v>
      </c>
      <c r="F386"/>
    </row>
    <row r="387" spans="1:6" ht="15" x14ac:dyDescent="0.25">
      <c r="A387" t="s">
        <v>553</v>
      </c>
      <c r="B387" t="s">
        <v>547</v>
      </c>
      <c r="C387" t="s">
        <v>904</v>
      </c>
      <c r="D387" t="s">
        <v>266</v>
      </c>
      <c r="E387" t="s">
        <v>268</v>
      </c>
      <c r="F387"/>
    </row>
    <row r="388" spans="1:6" ht="15" x14ac:dyDescent="0.25">
      <c r="A388" t="s">
        <v>554</v>
      </c>
      <c r="B388" t="s">
        <v>547</v>
      </c>
      <c r="C388" t="s">
        <v>904</v>
      </c>
      <c r="D388" t="s">
        <v>266</v>
      </c>
      <c r="E388" t="s">
        <v>268</v>
      </c>
      <c r="F388"/>
    </row>
    <row r="389" spans="1:6" ht="15" x14ac:dyDescent="0.25">
      <c r="A389" t="s">
        <v>555</v>
      </c>
      <c r="B389" t="s">
        <v>547</v>
      </c>
      <c r="C389" t="s">
        <v>904</v>
      </c>
      <c r="D389" t="s">
        <v>266</v>
      </c>
      <c r="E389" t="s">
        <v>905</v>
      </c>
      <c r="F389"/>
    </row>
    <row r="390" spans="1:6" ht="15" x14ac:dyDescent="0.25">
      <c r="A390" s="28" t="s">
        <v>556</v>
      </c>
      <c r="B390" s="28" t="s">
        <v>547</v>
      </c>
      <c r="C390" s="28" t="s">
        <v>904</v>
      </c>
      <c r="D390" s="28" t="s">
        <v>261</v>
      </c>
      <c r="E390" t="s">
        <v>905</v>
      </c>
      <c r="F390"/>
    </row>
    <row r="391" spans="1:6" ht="15" x14ac:dyDescent="0.25">
      <c r="A391" t="s">
        <v>557</v>
      </c>
      <c r="B391" t="s">
        <v>547</v>
      </c>
      <c r="C391" t="s">
        <v>904</v>
      </c>
      <c r="D391" t="s">
        <v>261</v>
      </c>
      <c r="E391" t="s">
        <v>905</v>
      </c>
      <c r="F391"/>
    </row>
    <row r="392" spans="1:6" ht="15" x14ac:dyDescent="0.25">
      <c r="A392" t="s">
        <v>558</v>
      </c>
      <c r="B392" t="s">
        <v>548</v>
      </c>
      <c r="C392" t="s">
        <v>904</v>
      </c>
      <c r="D392" t="s">
        <v>266</v>
      </c>
      <c r="E392" t="s">
        <v>268</v>
      </c>
      <c r="F392"/>
    </row>
    <row r="393" spans="1:6" ht="15" x14ac:dyDescent="0.25">
      <c r="A393" t="s">
        <v>559</v>
      </c>
      <c r="B393" t="s">
        <v>548</v>
      </c>
      <c r="C393" t="s">
        <v>907</v>
      </c>
      <c r="D393" t="s">
        <v>266</v>
      </c>
      <c r="E393" t="s">
        <v>268</v>
      </c>
      <c r="F393"/>
    </row>
    <row r="394" spans="1:6" ht="15" x14ac:dyDescent="0.25">
      <c r="A394" t="s">
        <v>560</v>
      </c>
      <c r="B394" t="s">
        <v>548</v>
      </c>
      <c r="C394" t="s">
        <v>904</v>
      </c>
      <c r="D394" t="s">
        <v>266</v>
      </c>
      <c r="E394" t="s">
        <v>268</v>
      </c>
      <c r="F394"/>
    </row>
    <row r="395" spans="1:6" ht="15" x14ac:dyDescent="0.25">
      <c r="A395" t="s">
        <v>561</v>
      </c>
      <c r="B395" t="s">
        <v>548</v>
      </c>
      <c r="C395" t="s">
        <v>907</v>
      </c>
      <c r="D395" t="s">
        <v>266</v>
      </c>
      <c r="E395" t="s">
        <v>268</v>
      </c>
      <c r="F395"/>
    </row>
    <row r="396" spans="1:6" ht="15" x14ac:dyDescent="0.25">
      <c r="A396" t="s">
        <v>562</v>
      </c>
      <c r="B396" t="s">
        <v>547</v>
      </c>
      <c r="C396" t="s">
        <v>904</v>
      </c>
      <c r="D396" t="s">
        <v>261</v>
      </c>
      <c r="E396" t="s">
        <v>905</v>
      </c>
      <c r="F396"/>
    </row>
    <row r="397" spans="1:6" ht="15" x14ac:dyDescent="0.25">
      <c r="A397" t="s">
        <v>563</v>
      </c>
      <c r="B397" t="s">
        <v>547</v>
      </c>
      <c r="C397" t="s">
        <v>904</v>
      </c>
      <c r="D397" t="s">
        <v>261</v>
      </c>
      <c r="E397" t="s">
        <v>905</v>
      </c>
      <c r="F397"/>
    </row>
    <row r="398" spans="1:6" ht="15" x14ac:dyDescent="0.25">
      <c r="A398" t="s">
        <v>564</v>
      </c>
      <c r="B398" t="s">
        <v>547</v>
      </c>
      <c r="C398" t="s">
        <v>904</v>
      </c>
      <c r="D398" t="s">
        <v>266</v>
      </c>
      <c r="E398" t="s">
        <v>268</v>
      </c>
      <c r="F398"/>
    </row>
    <row r="399" spans="1:6" ht="15" x14ac:dyDescent="0.25">
      <c r="A399" t="s">
        <v>565</v>
      </c>
      <c r="B399" t="s">
        <v>547</v>
      </c>
      <c r="C399" t="s">
        <v>904</v>
      </c>
      <c r="D399" t="s">
        <v>266</v>
      </c>
      <c r="E399" t="s">
        <v>268</v>
      </c>
      <c r="F399"/>
    </row>
    <row r="400" spans="1:6" ht="15" x14ac:dyDescent="0.25">
      <c r="A400" t="s">
        <v>566</v>
      </c>
      <c r="B400" t="s">
        <v>547</v>
      </c>
      <c r="C400" t="s">
        <v>904</v>
      </c>
      <c r="D400" t="s">
        <v>261</v>
      </c>
      <c r="E400" t="s">
        <v>442</v>
      </c>
      <c r="F400"/>
    </row>
    <row r="401" spans="1:6" ht="15" x14ac:dyDescent="0.25">
      <c r="A401" t="s">
        <v>911</v>
      </c>
      <c r="B401" t="s">
        <v>547</v>
      </c>
      <c r="C401" t="s">
        <v>904</v>
      </c>
      <c r="D401" t="s">
        <v>266</v>
      </c>
      <c r="E401" t="s">
        <v>268</v>
      </c>
      <c r="F401"/>
    </row>
    <row r="402" spans="1:6" ht="15" x14ac:dyDescent="0.25">
      <c r="A402" t="s">
        <v>912</v>
      </c>
      <c r="B402" t="s">
        <v>548</v>
      </c>
      <c r="C402" t="s">
        <v>907</v>
      </c>
      <c r="D402" t="s">
        <v>266</v>
      </c>
      <c r="E402" t="s">
        <v>268</v>
      </c>
      <c r="F402"/>
    </row>
    <row r="403" spans="1:6" ht="15" x14ac:dyDescent="0.25">
      <c r="A403" t="s">
        <v>913</v>
      </c>
      <c r="B403" t="s">
        <v>548</v>
      </c>
      <c r="C403" t="s">
        <v>904</v>
      </c>
      <c r="D403" t="s">
        <v>266</v>
      </c>
      <c r="E403" t="s">
        <v>268</v>
      </c>
      <c r="F403"/>
    </row>
    <row r="404" spans="1:6" ht="15" x14ac:dyDescent="0.25">
      <c r="A404" t="s">
        <v>914</v>
      </c>
      <c r="B404" t="s">
        <v>548</v>
      </c>
      <c r="C404" t="s">
        <v>904</v>
      </c>
      <c r="D404" t="s">
        <v>266</v>
      </c>
      <c r="E404" t="s">
        <v>268</v>
      </c>
      <c r="F404"/>
    </row>
    <row r="405" spans="1:6" ht="15" x14ac:dyDescent="0.25">
      <c r="A405" t="s">
        <v>915</v>
      </c>
      <c r="B405" t="s">
        <v>547</v>
      </c>
      <c r="C405" t="s">
        <v>904</v>
      </c>
      <c r="D405" t="s">
        <v>266</v>
      </c>
      <c r="E405" t="s">
        <v>906</v>
      </c>
      <c r="F405"/>
    </row>
    <row r="406" spans="1:6" ht="15" x14ac:dyDescent="0.25">
      <c r="A406" t="s">
        <v>916</v>
      </c>
      <c r="B406" t="s">
        <v>547</v>
      </c>
      <c r="C406" t="s">
        <v>904</v>
      </c>
      <c r="D406" t="s">
        <v>266</v>
      </c>
      <c r="E406" t="s">
        <v>906</v>
      </c>
      <c r="F406"/>
    </row>
    <row r="407" spans="1:6" ht="15" x14ac:dyDescent="0.25">
      <c r="A407" t="s">
        <v>917</v>
      </c>
      <c r="B407" t="s">
        <v>548</v>
      </c>
      <c r="C407" t="s">
        <v>904</v>
      </c>
      <c r="D407" t="s">
        <v>266</v>
      </c>
      <c r="E407" t="s">
        <v>268</v>
      </c>
      <c r="F407"/>
    </row>
    <row r="408" spans="1:6" ht="15" x14ac:dyDescent="0.25">
      <c r="A408" t="s">
        <v>918</v>
      </c>
      <c r="B408" t="s">
        <v>547</v>
      </c>
      <c r="C408" t="s">
        <v>904</v>
      </c>
      <c r="D408" t="s">
        <v>266</v>
      </c>
      <c r="E408" t="s">
        <v>268</v>
      </c>
      <c r="F408"/>
    </row>
    <row r="409" spans="1:6" ht="15" x14ac:dyDescent="0.25">
      <c r="A409" t="s">
        <v>567</v>
      </c>
      <c r="B409" t="s">
        <v>547</v>
      </c>
      <c r="C409" t="s">
        <v>904</v>
      </c>
      <c r="D409" t="s">
        <v>261</v>
      </c>
      <c r="E409" t="s">
        <v>442</v>
      </c>
      <c r="F409"/>
    </row>
    <row r="410" spans="1:6" ht="15" x14ac:dyDescent="0.25">
      <c r="A410" s="28" t="s">
        <v>919</v>
      </c>
      <c r="B410" s="28" t="s">
        <v>547</v>
      </c>
      <c r="C410" s="28" t="s">
        <v>904</v>
      </c>
      <c r="D410" s="28" t="s">
        <v>261</v>
      </c>
      <c r="E410" t="s">
        <v>905</v>
      </c>
      <c r="F410"/>
    </row>
    <row r="411" spans="1:6" ht="15" x14ac:dyDescent="0.25">
      <c r="A411" t="s">
        <v>920</v>
      </c>
      <c r="B411" t="s">
        <v>547</v>
      </c>
      <c r="C411" t="s">
        <v>904</v>
      </c>
      <c r="D411" t="s">
        <v>266</v>
      </c>
      <c r="E411" t="s">
        <v>268</v>
      </c>
      <c r="F411"/>
    </row>
    <row r="412" spans="1:6" ht="15" x14ac:dyDescent="0.25">
      <c r="A412" t="s">
        <v>921</v>
      </c>
      <c r="B412" t="s">
        <v>548</v>
      </c>
      <c r="C412" t="s">
        <v>904</v>
      </c>
      <c r="D412" t="s">
        <v>261</v>
      </c>
      <c r="E412" t="s">
        <v>905</v>
      </c>
      <c r="F412"/>
    </row>
    <row r="413" spans="1:6" ht="15" x14ac:dyDescent="0.25">
      <c r="A413" t="s">
        <v>922</v>
      </c>
      <c r="B413" t="s">
        <v>547</v>
      </c>
      <c r="C413" t="s">
        <v>904</v>
      </c>
      <c r="D413" t="s">
        <v>261</v>
      </c>
      <c r="E413" t="s">
        <v>905</v>
      </c>
      <c r="F413"/>
    </row>
    <row r="414" spans="1:6" ht="15" x14ac:dyDescent="0.25">
      <c r="A414" t="s">
        <v>923</v>
      </c>
      <c r="B414" t="s">
        <v>548</v>
      </c>
      <c r="C414" t="s">
        <v>907</v>
      </c>
      <c r="D414" t="s">
        <v>266</v>
      </c>
      <c r="E414" t="s">
        <v>268</v>
      </c>
      <c r="F414"/>
    </row>
    <row r="415" spans="1:6" ht="15" x14ac:dyDescent="0.25">
      <c r="A415" t="s">
        <v>924</v>
      </c>
      <c r="B415" t="s">
        <v>547</v>
      </c>
      <c r="C415" t="s">
        <v>904</v>
      </c>
      <c r="D415" t="s">
        <v>266</v>
      </c>
      <c r="E415" t="s">
        <v>906</v>
      </c>
      <c r="F415"/>
    </row>
    <row r="416" spans="1:6" ht="15" x14ac:dyDescent="0.25">
      <c r="A416" t="s">
        <v>925</v>
      </c>
      <c r="B416" t="s">
        <v>548</v>
      </c>
      <c r="C416" t="s">
        <v>904</v>
      </c>
      <c r="D416" t="s">
        <v>266</v>
      </c>
      <c r="E416" t="s">
        <v>268</v>
      </c>
      <c r="F416"/>
    </row>
    <row r="417" spans="1:6" ht="15" x14ac:dyDescent="0.25">
      <c r="A417" t="s">
        <v>926</v>
      </c>
      <c r="B417" t="s">
        <v>547</v>
      </c>
      <c r="C417" t="s">
        <v>904</v>
      </c>
      <c r="D417" t="s">
        <v>261</v>
      </c>
      <c r="E417" t="s">
        <v>905</v>
      </c>
      <c r="F417"/>
    </row>
    <row r="418" spans="1:6" ht="15" x14ac:dyDescent="0.25">
      <c r="A418" t="s">
        <v>927</v>
      </c>
      <c r="B418" t="s">
        <v>548</v>
      </c>
      <c r="C418" t="s">
        <v>904</v>
      </c>
      <c r="D418" t="s">
        <v>261</v>
      </c>
      <c r="E418" t="s">
        <v>905</v>
      </c>
      <c r="F418"/>
    </row>
    <row r="419" spans="1:6" ht="15" x14ac:dyDescent="0.25">
      <c r="A419" t="s">
        <v>928</v>
      </c>
      <c r="B419" t="s">
        <v>547</v>
      </c>
      <c r="C419" t="s">
        <v>904</v>
      </c>
      <c r="D419" t="s">
        <v>261</v>
      </c>
      <c r="E419" t="s">
        <v>905</v>
      </c>
      <c r="F419"/>
    </row>
    <row r="420" spans="1:6" ht="15" x14ac:dyDescent="0.25">
      <c r="A420" t="s">
        <v>929</v>
      </c>
      <c r="B420" t="s">
        <v>547</v>
      </c>
      <c r="C420" t="s">
        <v>904</v>
      </c>
      <c r="D420" t="s">
        <v>261</v>
      </c>
      <c r="E420" t="s">
        <v>442</v>
      </c>
      <c r="F420"/>
    </row>
    <row r="421" spans="1:6" ht="15" x14ac:dyDescent="0.25">
      <c r="A421" t="s">
        <v>930</v>
      </c>
      <c r="B421" t="s">
        <v>547</v>
      </c>
      <c r="C421" t="s">
        <v>904</v>
      </c>
      <c r="D421" t="s">
        <v>261</v>
      </c>
      <c r="E421" t="s">
        <v>905</v>
      </c>
      <c r="F421"/>
    </row>
    <row r="422" spans="1:6" ht="15" x14ac:dyDescent="0.25">
      <c r="A422" t="s">
        <v>931</v>
      </c>
      <c r="B422" t="s">
        <v>547</v>
      </c>
      <c r="C422" t="s">
        <v>904</v>
      </c>
      <c r="D422" t="s">
        <v>261</v>
      </c>
      <c r="E422" t="s">
        <v>905</v>
      </c>
      <c r="F422"/>
    </row>
    <row r="423" spans="1:6" ht="15" x14ac:dyDescent="0.25">
      <c r="A423" t="s">
        <v>932</v>
      </c>
      <c r="B423" t="s">
        <v>547</v>
      </c>
      <c r="C423" t="s">
        <v>904</v>
      </c>
      <c r="D423" t="s">
        <v>266</v>
      </c>
      <c r="E423" t="s">
        <v>906</v>
      </c>
      <c r="F423"/>
    </row>
    <row r="424" spans="1:6" ht="15" x14ac:dyDescent="0.25">
      <c r="A424" t="s">
        <v>933</v>
      </c>
      <c r="B424" t="s">
        <v>547</v>
      </c>
      <c r="C424" t="s">
        <v>904</v>
      </c>
      <c r="D424" t="s">
        <v>266</v>
      </c>
      <c r="E424" t="s">
        <v>906</v>
      </c>
      <c r="F424"/>
    </row>
    <row r="425" spans="1:6" ht="15" x14ac:dyDescent="0.25">
      <c r="A425" t="s">
        <v>934</v>
      </c>
      <c r="B425" t="s">
        <v>547</v>
      </c>
      <c r="C425" t="s">
        <v>904</v>
      </c>
      <c r="D425" t="s">
        <v>266</v>
      </c>
      <c r="E425" t="s">
        <v>906</v>
      </c>
      <c r="F425"/>
    </row>
    <row r="426" spans="1:6" ht="15" x14ac:dyDescent="0.25">
      <c r="A426" t="s">
        <v>935</v>
      </c>
      <c r="B426" t="s">
        <v>548</v>
      </c>
      <c r="C426" t="s">
        <v>904</v>
      </c>
      <c r="D426" t="s">
        <v>266</v>
      </c>
      <c r="E426" t="s">
        <v>268</v>
      </c>
      <c r="F426"/>
    </row>
    <row r="427" spans="1:6" ht="15" x14ac:dyDescent="0.25">
      <c r="A427" t="s">
        <v>936</v>
      </c>
      <c r="B427" t="s">
        <v>548</v>
      </c>
      <c r="C427" t="s">
        <v>904</v>
      </c>
      <c r="D427" t="s">
        <v>266</v>
      </c>
      <c r="E427" t="s">
        <v>268</v>
      </c>
      <c r="F427"/>
    </row>
    <row r="428" spans="1:6" ht="15" x14ac:dyDescent="0.25">
      <c r="A428" t="s">
        <v>937</v>
      </c>
      <c r="B428" t="s">
        <v>548</v>
      </c>
      <c r="C428" t="s">
        <v>904</v>
      </c>
      <c r="D428" t="s">
        <v>266</v>
      </c>
      <c r="E428" t="s">
        <v>268</v>
      </c>
      <c r="F428"/>
    </row>
    <row r="429" spans="1:6" ht="15" x14ac:dyDescent="0.25">
      <c r="A429" s="28" t="s">
        <v>938</v>
      </c>
      <c r="B429" s="28" t="s">
        <v>547</v>
      </c>
      <c r="C429" s="28" t="s">
        <v>904</v>
      </c>
      <c r="D429" s="28" t="s">
        <v>261</v>
      </c>
      <c r="E429" t="s">
        <v>905</v>
      </c>
      <c r="F429"/>
    </row>
    <row r="430" spans="1:6" ht="15" x14ac:dyDescent="0.25">
      <c r="A430" t="s">
        <v>939</v>
      </c>
      <c r="B430" t="s">
        <v>547</v>
      </c>
      <c r="C430" t="s">
        <v>904</v>
      </c>
      <c r="D430" t="s">
        <v>266</v>
      </c>
      <c r="E430" t="s">
        <v>268</v>
      </c>
      <c r="F430"/>
    </row>
    <row r="431" spans="1:6" ht="15" x14ac:dyDescent="0.25">
      <c r="A431" s="28" t="s">
        <v>940</v>
      </c>
      <c r="B431" s="28" t="s">
        <v>547</v>
      </c>
      <c r="C431" s="28" t="s">
        <v>904</v>
      </c>
      <c r="D431" s="28" t="s">
        <v>261</v>
      </c>
      <c r="E431" t="s">
        <v>905</v>
      </c>
      <c r="F431"/>
    </row>
    <row r="432" spans="1:6" ht="15" x14ac:dyDescent="0.25">
      <c r="A432" t="s">
        <v>941</v>
      </c>
      <c r="B432" t="s">
        <v>547</v>
      </c>
      <c r="C432" t="s">
        <v>907</v>
      </c>
      <c r="D432" t="s">
        <v>419</v>
      </c>
      <c r="E432" t="s">
        <v>906</v>
      </c>
      <c r="F432"/>
    </row>
    <row r="433" spans="1:6" ht="15" x14ac:dyDescent="0.25">
      <c r="A433" t="s">
        <v>942</v>
      </c>
      <c r="B433" t="s">
        <v>547</v>
      </c>
      <c r="C433" t="s">
        <v>904</v>
      </c>
      <c r="D433" t="s">
        <v>261</v>
      </c>
      <c r="E433" t="s">
        <v>905</v>
      </c>
      <c r="F433"/>
    </row>
    <row r="434" spans="1:6" ht="15" x14ac:dyDescent="0.25">
      <c r="A434" t="s">
        <v>943</v>
      </c>
      <c r="B434" t="s">
        <v>547</v>
      </c>
      <c r="C434" t="s">
        <v>904</v>
      </c>
      <c r="D434" t="s">
        <v>261</v>
      </c>
      <c r="E434" t="s">
        <v>905</v>
      </c>
      <c r="F434"/>
    </row>
    <row r="435" spans="1:6" ht="15" x14ac:dyDescent="0.25">
      <c r="A435" t="s">
        <v>944</v>
      </c>
      <c r="B435" t="s">
        <v>547</v>
      </c>
      <c r="C435" t="s">
        <v>904</v>
      </c>
      <c r="D435" t="s">
        <v>261</v>
      </c>
      <c r="E435" t="s">
        <v>905</v>
      </c>
      <c r="F435"/>
    </row>
    <row r="436" spans="1:6" ht="15" x14ac:dyDescent="0.25">
      <c r="A436" t="s">
        <v>945</v>
      </c>
      <c r="B436" t="s">
        <v>548</v>
      </c>
      <c r="C436" t="s">
        <v>904</v>
      </c>
      <c r="D436" t="s">
        <v>261</v>
      </c>
      <c r="E436" t="s">
        <v>905</v>
      </c>
      <c r="F436"/>
    </row>
    <row r="437" spans="1:6" ht="15" x14ac:dyDescent="0.25">
      <c r="A437" t="s">
        <v>946</v>
      </c>
      <c r="B437" t="s">
        <v>548</v>
      </c>
      <c r="C437" t="s">
        <v>904</v>
      </c>
      <c r="D437" t="s">
        <v>261</v>
      </c>
      <c r="E437" t="s">
        <v>905</v>
      </c>
      <c r="F437"/>
    </row>
    <row r="438" spans="1:6" ht="15" x14ac:dyDescent="0.25">
      <c r="A438" t="s">
        <v>947</v>
      </c>
      <c r="B438" t="s">
        <v>548</v>
      </c>
      <c r="C438" t="s">
        <v>904</v>
      </c>
      <c r="D438" t="s">
        <v>266</v>
      </c>
      <c r="E438" t="s">
        <v>268</v>
      </c>
      <c r="F438"/>
    </row>
    <row r="439" spans="1:6" ht="15" x14ac:dyDescent="0.25">
      <c r="A439" s="28" t="s">
        <v>948</v>
      </c>
      <c r="B439" s="28" t="s">
        <v>548</v>
      </c>
      <c r="C439" s="28" t="s">
        <v>904</v>
      </c>
      <c r="D439" s="28" t="s">
        <v>261</v>
      </c>
      <c r="E439" t="s">
        <v>905</v>
      </c>
      <c r="F439"/>
    </row>
    <row r="440" spans="1:6" ht="15" x14ac:dyDescent="0.25">
      <c r="A440" t="s">
        <v>949</v>
      </c>
      <c r="B440" t="s">
        <v>547</v>
      </c>
      <c r="C440" t="s">
        <v>904</v>
      </c>
      <c r="D440" t="s">
        <v>261</v>
      </c>
      <c r="E440" t="s">
        <v>905</v>
      </c>
      <c r="F440"/>
    </row>
    <row r="441" spans="1:6" ht="15" x14ac:dyDescent="0.25">
      <c r="A441" t="s">
        <v>950</v>
      </c>
      <c r="B441" t="s">
        <v>548</v>
      </c>
      <c r="C441" t="s">
        <v>904</v>
      </c>
      <c r="D441" t="s">
        <v>261</v>
      </c>
      <c r="E441" t="s">
        <v>905</v>
      </c>
      <c r="F441"/>
    </row>
    <row r="442" spans="1:6" ht="15" x14ac:dyDescent="0.25">
      <c r="A442" t="s">
        <v>951</v>
      </c>
      <c r="B442" t="s">
        <v>547</v>
      </c>
      <c r="C442" t="s">
        <v>904</v>
      </c>
      <c r="D442" t="s">
        <v>261</v>
      </c>
      <c r="E442" t="s">
        <v>905</v>
      </c>
      <c r="F442"/>
    </row>
    <row r="443" spans="1:6" ht="15" x14ac:dyDescent="0.25">
      <c r="A443" t="s">
        <v>952</v>
      </c>
      <c r="B443" t="s">
        <v>547</v>
      </c>
      <c r="C443" t="s">
        <v>904</v>
      </c>
      <c r="D443" t="s">
        <v>261</v>
      </c>
      <c r="E443" t="s">
        <v>905</v>
      </c>
      <c r="F443"/>
    </row>
    <row r="444" spans="1:6" ht="15" x14ac:dyDescent="0.25">
      <c r="A444" t="s">
        <v>953</v>
      </c>
      <c r="B444" t="s">
        <v>547</v>
      </c>
      <c r="C444" t="s">
        <v>904</v>
      </c>
      <c r="D444" t="s">
        <v>261</v>
      </c>
      <c r="E444" t="s">
        <v>905</v>
      </c>
      <c r="F444"/>
    </row>
    <row r="445" spans="1:6" ht="15" x14ac:dyDescent="0.25">
      <c r="A445" t="s">
        <v>954</v>
      </c>
      <c r="B445" t="s">
        <v>547</v>
      </c>
      <c r="C445" t="s">
        <v>904</v>
      </c>
      <c r="D445" t="s">
        <v>261</v>
      </c>
      <c r="E445" t="s">
        <v>905</v>
      </c>
      <c r="F445"/>
    </row>
    <row r="446" spans="1:6" ht="15" x14ac:dyDescent="0.25">
      <c r="A446" t="s">
        <v>955</v>
      </c>
      <c r="B446" t="s">
        <v>548</v>
      </c>
      <c r="C446" t="s">
        <v>904</v>
      </c>
      <c r="D446" t="s">
        <v>261</v>
      </c>
      <c r="E446" t="s">
        <v>905</v>
      </c>
      <c r="F446"/>
    </row>
    <row r="447" spans="1:6" ht="15" x14ac:dyDescent="0.25">
      <c r="A447" t="s">
        <v>956</v>
      </c>
      <c r="B447" t="s">
        <v>547</v>
      </c>
      <c r="C447" t="s">
        <v>904</v>
      </c>
      <c r="D447" t="s">
        <v>266</v>
      </c>
      <c r="E447" t="s">
        <v>268</v>
      </c>
      <c r="F447"/>
    </row>
    <row r="448" spans="1:6" ht="15" x14ac:dyDescent="0.25">
      <c r="A448" t="s">
        <v>957</v>
      </c>
      <c r="B448" t="s">
        <v>547</v>
      </c>
      <c r="C448" t="s">
        <v>904</v>
      </c>
      <c r="D448" t="s">
        <v>261</v>
      </c>
      <c r="E448" t="s">
        <v>905</v>
      </c>
      <c r="F448"/>
    </row>
    <row r="449" spans="1:6" ht="15" x14ac:dyDescent="0.25">
      <c r="A449" t="s">
        <v>958</v>
      </c>
      <c r="B449" t="s">
        <v>547</v>
      </c>
      <c r="C449" t="s">
        <v>904</v>
      </c>
      <c r="D449" t="s">
        <v>266</v>
      </c>
      <c r="E449" t="s">
        <v>268</v>
      </c>
      <c r="F449"/>
    </row>
    <row r="450" spans="1:6" ht="15" x14ac:dyDescent="0.25">
      <c r="A450" t="s">
        <v>959</v>
      </c>
      <c r="B450" t="s">
        <v>548</v>
      </c>
      <c r="C450" t="s">
        <v>904</v>
      </c>
      <c r="D450" t="s">
        <v>266</v>
      </c>
      <c r="E450" t="s">
        <v>268</v>
      </c>
      <c r="F450"/>
    </row>
    <row r="451" spans="1:6" ht="15" x14ac:dyDescent="0.25">
      <c r="A451" t="s">
        <v>960</v>
      </c>
      <c r="B451" t="s">
        <v>548</v>
      </c>
      <c r="C451" t="s">
        <v>904</v>
      </c>
      <c r="D451" t="s">
        <v>261</v>
      </c>
      <c r="E451" t="s">
        <v>905</v>
      </c>
      <c r="F451"/>
    </row>
    <row r="452" spans="1:6" ht="15" x14ac:dyDescent="0.25">
      <c r="A452" t="s">
        <v>961</v>
      </c>
      <c r="B452" t="s">
        <v>548</v>
      </c>
      <c r="C452" t="s">
        <v>904</v>
      </c>
      <c r="D452" t="s">
        <v>266</v>
      </c>
      <c r="E452" t="s">
        <v>268</v>
      </c>
      <c r="F452"/>
    </row>
    <row r="453" spans="1:6" ht="15" x14ac:dyDescent="0.25">
      <c r="A453" t="s">
        <v>962</v>
      </c>
      <c r="B453" t="s">
        <v>548</v>
      </c>
      <c r="C453" t="s">
        <v>904</v>
      </c>
      <c r="D453" t="s">
        <v>261</v>
      </c>
      <c r="E453" t="s">
        <v>905</v>
      </c>
      <c r="F453"/>
    </row>
    <row r="454" spans="1:6" ht="15" x14ac:dyDescent="0.25">
      <c r="A454" t="s">
        <v>963</v>
      </c>
      <c r="B454" t="s">
        <v>548</v>
      </c>
      <c r="C454" t="s">
        <v>904</v>
      </c>
      <c r="D454" t="s">
        <v>266</v>
      </c>
      <c r="E454" t="s">
        <v>905</v>
      </c>
      <c r="F454"/>
    </row>
    <row r="455" spans="1:6" ht="15" x14ac:dyDescent="0.25">
      <c r="A455" t="s">
        <v>964</v>
      </c>
      <c r="B455" t="s">
        <v>547</v>
      </c>
      <c r="C455" t="s">
        <v>904</v>
      </c>
      <c r="D455" t="s">
        <v>261</v>
      </c>
      <c r="E455" t="s">
        <v>905</v>
      </c>
      <c r="F455"/>
    </row>
    <row r="456" spans="1:6" ht="15" x14ac:dyDescent="0.25">
      <c r="A456" t="s">
        <v>965</v>
      </c>
      <c r="B456" t="s">
        <v>547</v>
      </c>
      <c r="C456" t="s">
        <v>904</v>
      </c>
      <c r="D456" t="s">
        <v>266</v>
      </c>
      <c r="E456" t="s">
        <v>268</v>
      </c>
      <c r="F456"/>
    </row>
    <row r="457" spans="1:6" ht="15" x14ac:dyDescent="0.25">
      <c r="A457" t="s">
        <v>966</v>
      </c>
      <c r="B457" t="s">
        <v>547</v>
      </c>
      <c r="C457" t="s">
        <v>904</v>
      </c>
      <c r="D457" t="s">
        <v>266</v>
      </c>
      <c r="E457" t="s">
        <v>268</v>
      </c>
      <c r="F457"/>
    </row>
    <row r="458" spans="1:6" ht="15" x14ac:dyDescent="0.25">
      <c r="A458" t="s">
        <v>967</v>
      </c>
      <c r="B458" t="s">
        <v>547</v>
      </c>
      <c r="C458" t="s">
        <v>907</v>
      </c>
      <c r="D458" t="s">
        <v>266</v>
      </c>
      <c r="E458" t="s">
        <v>395</v>
      </c>
      <c r="F458"/>
    </row>
    <row r="459" spans="1:6" ht="15" x14ac:dyDescent="0.25">
      <c r="A459" t="s">
        <v>968</v>
      </c>
      <c r="B459" t="s">
        <v>547</v>
      </c>
      <c r="C459" t="s">
        <v>910</v>
      </c>
      <c r="D459" t="s">
        <v>266</v>
      </c>
      <c r="E459" t="s">
        <v>442</v>
      </c>
      <c r="F459"/>
    </row>
    <row r="460" spans="1:6" ht="15" x14ac:dyDescent="0.25">
      <c r="A460" t="s">
        <v>969</v>
      </c>
      <c r="B460" t="s">
        <v>547</v>
      </c>
      <c r="C460" t="s">
        <v>904</v>
      </c>
      <c r="D460" t="s">
        <v>261</v>
      </c>
      <c r="E460" t="s">
        <v>442</v>
      </c>
      <c r="F460"/>
    </row>
    <row r="461" spans="1:6" ht="15" x14ac:dyDescent="0.25">
      <c r="A461" t="s">
        <v>970</v>
      </c>
      <c r="B461" t="s">
        <v>548</v>
      </c>
      <c r="C461" t="s">
        <v>904</v>
      </c>
      <c r="D461" t="s">
        <v>266</v>
      </c>
      <c r="E461" t="s">
        <v>268</v>
      </c>
      <c r="F461"/>
    </row>
    <row r="462" spans="1:6" ht="15" x14ac:dyDescent="0.25">
      <c r="A462" t="s">
        <v>971</v>
      </c>
      <c r="B462" t="s">
        <v>548</v>
      </c>
      <c r="C462" t="s">
        <v>904</v>
      </c>
      <c r="D462" t="s">
        <v>261</v>
      </c>
      <c r="E462" t="s">
        <v>905</v>
      </c>
      <c r="F462"/>
    </row>
    <row r="463" spans="1:6" ht="15" x14ac:dyDescent="0.25">
      <c r="A463" t="s">
        <v>972</v>
      </c>
      <c r="B463" t="s">
        <v>548</v>
      </c>
      <c r="C463" t="s">
        <v>904</v>
      </c>
      <c r="D463" t="s">
        <v>266</v>
      </c>
      <c r="E463" t="s">
        <v>268</v>
      </c>
      <c r="F463"/>
    </row>
    <row r="464" spans="1:6" ht="15" x14ac:dyDescent="0.25">
      <c r="A464" t="s">
        <v>973</v>
      </c>
      <c r="B464" t="s">
        <v>548</v>
      </c>
      <c r="C464" t="s">
        <v>904</v>
      </c>
      <c r="D464" t="s">
        <v>266</v>
      </c>
      <c r="E464" t="s">
        <v>268</v>
      </c>
      <c r="F464"/>
    </row>
    <row r="465" spans="1:6" ht="15" x14ac:dyDescent="0.25">
      <c r="A465" t="s">
        <v>974</v>
      </c>
      <c r="B465" t="s">
        <v>548</v>
      </c>
      <c r="C465" t="s">
        <v>904</v>
      </c>
      <c r="D465" t="s">
        <v>266</v>
      </c>
      <c r="E465" t="s">
        <v>268</v>
      </c>
      <c r="F465"/>
    </row>
    <row r="466" spans="1:6" ht="15" x14ac:dyDescent="0.25">
      <c r="A466" t="s">
        <v>975</v>
      </c>
      <c r="B466" t="s">
        <v>548</v>
      </c>
      <c r="C466" t="s">
        <v>907</v>
      </c>
      <c r="D466" t="s">
        <v>266</v>
      </c>
      <c r="E466" t="s">
        <v>268</v>
      </c>
      <c r="F466"/>
    </row>
    <row r="467" spans="1:6" ht="15" x14ac:dyDescent="0.25">
      <c r="A467" t="s">
        <v>976</v>
      </c>
      <c r="B467" t="s">
        <v>548</v>
      </c>
      <c r="C467" t="s">
        <v>904</v>
      </c>
      <c r="D467" t="s">
        <v>266</v>
      </c>
      <c r="E467" t="s">
        <v>268</v>
      </c>
      <c r="F467"/>
    </row>
    <row r="468" spans="1:6" ht="15" x14ac:dyDescent="0.25">
      <c r="A468" t="s">
        <v>977</v>
      </c>
      <c r="B468" t="s">
        <v>548</v>
      </c>
      <c r="C468" t="s">
        <v>904</v>
      </c>
      <c r="D468" t="s">
        <v>266</v>
      </c>
      <c r="E468" t="s">
        <v>268</v>
      </c>
      <c r="F468"/>
    </row>
    <row r="469" spans="1:6" ht="15" x14ac:dyDescent="0.25">
      <c r="A469" t="s">
        <v>978</v>
      </c>
      <c r="B469" t="s">
        <v>547</v>
      </c>
      <c r="C469" t="s">
        <v>904</v>
      </c>
      <c r="D469" t="s">
        <v>261</v>
      </c>
      <c r="E469" t="s">
        <v>905</v>
      </c>
      <c r="F469"/>
    </row>
    <row r="470" spans="1:6" ht="15" x14ac:dyDescent="0.25">
      <c r="A470" t="s">
        <v>979</v>
      </c>
      <c r="B470" t="s">
        <v>547</v>
      </c>
      <c r="C470" t="s">
        <v>907</v>
      </c>
      <c r="D470" t="s">
        <v>261</v>
      </c>
      <c r="E470" t="s">
        <v>395</v>
      </c>
      <c r="F470"/>
    </row>
    <row r="471" spans="1:6" ht="15" x14ac:dyDescent="0.25">
      <c r="A471" t="s">
        <v>980</v>
      </c>
      <c r="B471" t="s">
        <v>547</v>
      </c>
      <c r="C471" t="s">
        <v>904</v>
      </c>
      <c r="D471" t="s">
        <v>266</v>
      </c>
      <c r="E471" t="s">
        <v>268</v>
      </c>
      <c r="F471"/>
    </row>
    <row r="472" spans="1:6" ht="15" x14ac:dyDescent="0.25">
      <c r="A472" t="s">
        <v>981</v>
      </c>
      <c r="B472" t="s">
        <v>547</v>
      </c>
      <c r="C472" t="s">
        <v>907</v>
      </c>
      <c r="D472" t="s">
        <v>266</v>
      </c>
      <c r="E472" t="s">
        <v>395</v>
      </c>
      <c r="F472"/>
    </row>
    <row r="473" spans="1:6" ht="15" x14ac:dyDescent="0.25">
      <c r="A473" t="s">
        <v>982</v>
      </c>
      <c r="B473" t="s">
        <v>547</v>
      </c>
      <c r="C473" t="s">
        <v>904</v>
      </c>
      <c r="D473" t="s">
        <v>261</v>
      </c>
      <c r="E473" t="s">
        <v>905</v>
      </c>
      <c r="F473"/>
    </row>
    <row r="474" spans="1:6" ht="15" x14ac:dyDescent="0.25">
      <c r="A474" t="s">
        <v>983</v>
      </c>
      <c r="B474" t="s">
        <v>547</v>
      </c>
      <c r="C474" t="s">
        <v>904</v>
      </c>
      <c r="D474" t="s">
        <v>266</v>
      </c>
      <c r="E474" t="s">
        <v>268</v>
      </c>
      <c r="F474"/>
    </row>
    <row r="475" spans="1:6" ht="15" x14ac:dyDescent="0.25">
      <c r="A475" s="28" t="s">
        <v>984</v>
      </c>
      <c r="B475" s="28" t="s">
        <v>547</v>
      </c>
      <c r="C475" s="28" t="s">
        <v>904</v>
      </c>
      <c r="D475" s="28" t="s">
        <v>261</v>
      </c>
      <c r="E475" t="s">
        <v>905</v>
      </c>
      <c r="F475"/>
    </row>
    <row r="476" spans="1:6" ht="15" x14ac:dyDescent="0.25">
      <c r="A476" t="s">
        <v>985</v>
      </c>
      <c r="B476" t="s">
        <v>548</v>
      </c>
      <c r="C476" t="s">
        <v>904</v>
      </c>
      <c r="D476" t="s">
        <v>266</v>
      </c>
      <c r="E476" t="s">
        <v>268</v>
      </c>
      <c r="F476"/>
    </row>
    <row r="477" spans="1:6" ht="15" x14ac:dyDescent="0.25">
      <c r="A477" t="s">
        <v>986</v>
      </c>
      <c r="B477" t="s">
        <v>548</v>
      </c>
      <c r="C477" t="s">
        <v>904</v>
      </c>
      <c r="D477" t="s">
        <v>266</v>
      </c>
      <c r="E477" t="s">
        <v>268</v>
      </c>
      <c r="F477"/>
    </row>
    <row r="478" spans="1:6" ht="15" x14ac:dyDescent="0.25">
      <c r="A478" t="s">
        <v>987</v>
      </c>
      <c r="B478" t="s">
        <v>548</v>
      </c>
      <c r="C478" t="s">
        <v>904</v>
      </c>
      <c r="D478" t="s">
        <v>261</v>
      </c>
      <c r="E478" t="s">
        <v>905</v>
      </c>
      <c r="F478"/>
    </row>
    <row r="479" spans="1:6" ht="15" x14ac:dyDescent="0.25">
      <c r="A479" t="s">
        <v>988</v>
      </c>
      <c r="B479" t="s">
        <v>548</v>
      </c>
      <c r="C479" t="s">
        <v>904</v>
      </c>
      <c r="D479" t="s">
        <v>261</v>
      </c>
      <c r="E479" t="s">
        <v>905</v>
      </c>
      <c r="F479"/>
    </row>
    <row r="480" spans="1:6" ht="15" x14ac:dyDescent="0.25">
      <c r="A480" t="s">
        <v>989</v>
      </c>
      <c r="B480" t="s">
        <v>548</v>
      </c>
      <c r="C480" t="s">
        <v>904</v>
      </c>
      <c r="D480" t="s">
        <v>266</v>
      </c>
      <c r="E480" t="s">
        <v>906</v>
      </c>
      <c r="F480"/>
    </row>
    <row r="481" spans="1:6" ht="15" x14ac:dyDescent="0.25">
      <c r="A481" t="s">
        <v>990</v>
      </c>
      <c r="B481" t="s">
        <v>548</v>
      </c>
      <c r="C481" t="s">
        <v>904</v>
      </c>
      <c r="D481" t="s">
        <v>261</v>
      </c>
      <c r="E481" t="s">
        <v>905</v>
      </c>
      <c r="F481"/>
    </row>
    <row r="482" spans="1:6" ht="15" x14ac:dyDescent="0.25">
      <c r="A482" t="s">
        <v>991</v>
      </c>
      <c r="B482" t="s">
        <v>548</v>
      </c>
      <c r="C482" t="s">
        <v>904</v>
      </c>
      <c r="D482" t="s">
        <v>261</v>
      </c>
      <c r="E482" t="s">
        <v>905</v>
      </c>
      <c r="F482"/>
    </row>
    <row r="483" spans="1:6" ht="15" x14ac:dyDescent="0.25">
      <c r="A483" t="s">
        <v>992</v>
      </c>
      <c r="B483" t="s">
        <v>548</v>
      </c>
      <c r="C483" t="s">
        <v>904</v>
      </c>
      <c r="D483" t="s">
        <v>266</v>
      </c>
      <c r="E483" t="s">
        <v>268</v>
      </c>
      <c r="F483"/>
    </row>
    <row r="484" spans="1:6" ht="15" x14ac:dyDescent="0.25">
      <c r="A484" t="s">
        <v>993</v>
      </c>
      <c r="B484" t="s">
        <v>548</v>
      </c>
      <c r="C484" t="s">
        <v>904</v>
      </c>
      <c r="D484" t="s">
        <v>266</v>
      </c>
      <c r="E484" t="s">
        <v>268</v>
      </c>
      <c r="F484"/>
    </row>
    <row r="485" spans="1:6" ht="15" x14ac:dyDescent="0.25">
      <c r="A485" t="s">
        <v>994</v>
      </c>
      <c r="B485" t="s">
        <v>548</v>
      </c>
      <c r="C485" t="s">
        <v>907</v>
      </c>
      <c r="D485" t="s">
        <v>266</v>
      </c>
      <c r="E485" t="s">
        <v>268</v>
      </c>
      <c r="F485"/>
    </row>
    <row r="486" spans="1:6" ht="15" x14ac:dyDescent="0.25">
      <c r="A486" t="s">
        <v>995</v>
      </c>
      <c r="B486" t="s">
        <v>548</v>
      </c>
      <c r="C486" t="s">
        <v>904</v>
      </c>
      <c r="D486" t="s">
        <v>266</v>
      </c>
      <c r="E486" t="s">
        <v>268</v>
      </c>
      <c r="F486"/>
    </row>
    <row r="487" spans="1:6" ht="15" x14ac:dyDescent="0.25">
      <c r="A487" t="s">
        <v>996</v>
      </c>
      <c r="B487" t="s">
        <v>548</v>
      </c>
      <c r="C487" t="s">
        <v>907</v>
      </c>
      <c r="D487" t="s">
        <v>266</v>
      </c>
      <c r="E487" t="s">
        <v>268</v>
      </c>
      <c r="F487"/>
    </row>
    <row r="488" spans="1:6" ht="15" x14ac:dyDescent="0.25">
      <c r="A488" t="s">
        <v>997</v>
      </c>
      <c r="B488" t="s">
        <v>548</v>
      </c>
      <c r="C488" t="s">
        <v>904</v>
      </c>
      <c r="D488" t="s">
        <v>266</v>
      </c>
      <c r="E488" t="s">
        <v>268</v>
      </c>
      <c r="F488"/>
    </row>
    <row r="489" spans="1:6" ht="15" x14ac:dyDescent="0.25">
      <c r="A489" t="s">
        <v>998</v>
      </c>
      <c r="B489" t="s">
        <v>548</v>
      </c>
      <c r="C489" t="s">
        <v>904</v>
      </c>
      <c r="D489" t="s">
        <v>266</v>
      </c>
      <c r="E489" t="s">
        <v>268</v>
      </c>
      <c r="F489"/>
    </row>
    <row r="490" spans="1:6" ht="15" x14ac:dyDescent="0.25">
      <c r="A490" t="s">
        <v>999</v>
      </c>
      <c r="B490" t="s">
        <v>548</v>
      </c>
      <c r="C490" t="s">
        <v>904</v>
      </c>
      <c r="D490" t="s">
        <v>261</v>
      </c>
      <c r="E490" t="s">
        <v>905</v>
      </c>
      <c r="F490"/>
    </row>
    <row r="491" spans="1:6" ht="15" x14ac:dyDescent="0.25">
      <c r="A491" t="s">
        <v>1000</v>
      </c>
      <c r="B491" t="s">
        <v>548</v>
      </c>
      <c r="C491" t="s">
        <v>904</v>
      </c>
      <c r="D491" t="s">
        <v>261</v>
      </c>
      <c r="E491" t="s">
        <v>905</v>
      </c>
      <c r="F491"/>
    </row>
    <row r="492" spans="1:6" ht="15" x14ac:dyDescent="0.25">
      <c r="A492" t="s">
        <v>1001</v>
      </c>
      <c r="B492" t="s">
        <v>548</v>
      </c>
      <c r="C492" t="s">
        <v>904</v>
      </c>
      <c r="D492" t="s">
        <v>261</v>
      </c>
      <c r="E492" t="s">
        <v>905</v>
      </c>
      <c r="F492"/>
    </row>
    <row r="493" spans="1:6" ht="15" x14ac:dyDescent="0.25">
      <c r="A493" t="s">
        <v>1002</v>
      </c>
      <c r="B493" t="s">
        <v>548</v>
      </c>
      <c r="C493" t="s">
        <v>904</v>
      </c>
      <c r="D493" t="s">
        <v>266</v>
      </c>
      <c r="E493" t="s">
        <v>268</v>
      </c>
      <c r="F493"/>
    </row>
    <row r="494" spans="1:6" ht="15" x14ac:dyDescent="0.25">
      <c r="A494" t="s">
        <v>1003</v>
      </c>
      <c r="B494" t="s">
        <v>548</v>
      </c>
      <c r="C494" t="s">
        <v>904</v>
      </c>
      <c r="D494" t="s">
        <v>266</v>
      </c>
      <c r="E494" t="s">
        <v>268</v>
      </c>
      <c r="F494"/>
    </row>
    <row r="495" spans="1:6" ht="15" x14ac:dyDescent="0.25">
      <c r="A495" t="s">
        <v>1004</v>
      </c>
      <c r="B495" t="s">
        <v>547</v>
      </c>
      <c r="C495" t="s">
        <v>904</v>
      </c>
      <c r="D495" t="s">
        <v>261</v>
      </c>
      <c r="E495" t="s">
        <v>905</v>
      </c>
      <c r="F495"/>
    </row>
    <row r="496" spans="1:6" ht="15" x14ac:dyDescent="0.25">
      <c r="A496" t="s">
        <v>1005</v>
      </c>
      <c r="B496" t="s">
        <v>547</v>
      </c>
      <c r="C496" t="s">
        <v>904</v>
      </c>
      <c r="D496" t="s">
        <v>261</v>
      </c>
      <c r="E496" t="s">
        <v>905</v>
      </c>
      <c r="F496"/>
    </row>
    <row r="497" spans="1:6" ht="15" x14ac:dyDescent="0.25">
      <c r="A497" t="s">
        <v>1006</v>
      </c>
      <c r="B497" t="s">
        <v>547</v>
      </c>
      <c r="C497" t="s">
        <v>904</v>
      </c>
      <c r="D497" t="s">
        <v>261</v>
      </c>
      <c r="E497" t="s">
        <v>905</v>
      </c>
      <c r="F497"/>
    </row>
    <row r="498" spans="1:6" ht="15" x14ac:dyDescent="0.25">
      <c r="A498" t="s">
        <v>1007</v>
      </c>
      <c r="B498" t="s">
        <v>547</v>
      </c>
      <c r="C498" t="s">
        <v>910</v>
      </c>
      <c r="D498" t="s">
        <v>266</v>
      </c>
      <c r="E498" t="s">
        <v>442</v>
      </c>
      <c r="F498"/>
    </row>
    <row r="499" spans="1:6" ht="15" x14ac:dyDescent="0.25">
      <c r="A499" t="s">
        <v>1008</v>
      </c>
      <c r="B499" t="s">
        <v>547</v>
      </c>
      <c r="C499" t="s">
        <v>904</v>
      </c>
      <c r="D499" t="s">
        <v>266</v>
      </c>
      <c r="E499" t="s">
        <v>906</v>
      </c>
      <c r="F499"/>
    </row>
    <row r="500" spans="1:6" ht="15" x14ac:dyDescent="0.25">
      <c r="A500" t="s">
        <v>1009</v>
      </c>
      <c r="B500" t="s">
        <v>547</v>
      </c>
      <c r="C500" t="s">
        <v>904</v>
      </c>
      <c r="D500" t="s">
        <v>266</v>
      </c>
      <c r="E500" t="s">
        <v>906</v>
      </c>
      <c r="F500"/>
    </row>
    <row r="501" spans="1:6" ht="15" x14ac:dyDescent="0.25">
      <c r="A501" t="s">
        <v>1010</v>
      </c>
      <c r="B501" t="s">
        <v>547</v>
      </c>
      <c r="C501" t="s">
        <v>904</v>
      </c>
      <c r="D501" t="s">
        <v>266</v>
      </c>
      <c r="E501" t="s">
        <v>906</v>
      </c>
      <c r="F501"/>
    </row>
    <row r="502" spans="1:6" ht="15" x14ac:dyDescent="0.25">
      <c r="A502" t="s">
        <v>1011</v>
      </c>
      <c r="B502" t="s">
        <v>547</v>
      </c>
      <c r="C502" t="s">
        <v>904</v>
      </c>
      <c r="D502" t="s">
        <v>261</v>
      </c>
      <c r="E502" t="s">
        <v>905</v>
      </c>
      <c r="F502"/>
    </row>
    <row r="503" spans="1:6" ht="15" x14ac:dyDescent="0.25">
      <c r="A503" s="29" t="s">
        <v>1012</v>
      </c>
      <c r="B503" s="29" t="s">
        <v>547</v>
      </c>
      <c r="C503" s="29" t="s">
        <v>904</v>
      </c>
      <c r="D503" s="29" t="s">
        <v>261</v>
      </c>
      <c r="E503" t="s">
        <v>905</v>
      </c>
      <c r="F503"/>
    </row>
    <row r="504" spans="1:6" ht="15" x14ac:dyDescent="0.25">
      <c r="A504" s="29" t="s">
        <v>1013</v>
      </c>
      <c r="B504" s="29" t="s">
        <v>547</v>
      </c>
      <c r="C504" s="29" t="s">
        <v>904</v>
      </c>
      <c r="D504" s="29" t="s">
        <v>261</v>
      </c>
      <c r="E504" t="s">
        <v>905</v>
      </c>
      <c r="F504"/>
    </row>
    <row r="505" spans="1:6" ht="15" x14ac:dyDescent="0.25">
      <c r="A505" t="s">
        <v>1014</v>
      </c>
      <c r="B505" t="s">
        <v>547</v>
      </c>
      <c r="C505" t="s">
        <v>904</v>
      </c>
      <c r="D505" t="s">
        <v>261</v>
      </c>
      <c r="E505" t="s">
        <v>905</v>
      </c>
      <c r="F505"/>
    </row>
    <row r="506" spans="1:6" ht="15" x14ac:dyDescent="0.25">
      <c r="A506" t="s">
        <v>1015</v>
      </c>
      <c r="B506" t="s">
        <v>547</v>
      </c>
      <c r="C506" t="s">
        <v>904</v>
      </c>
      <c r="D506" t="s">
        <v>266</v>
      </c>
      <c r="E506" t="s">
        <v>905</v>
      </c>
      <c r="F506"/>
    </row>
    <row r="507" spans="1:6" ht="15" x14ac:dyDescent="0.25">
      <c r="A507" t="s">
        <v>1016</v>
      </c>
      <c r="B507" t="s">
        <v>547</v>
      </c>
      <c r="C507" t="s">
        <v>904</v>
      </c>
      <c r="D507" t="s">
        <v>266</v>
      </c>
      <c r="E507" t="s">
        <v>268</v>
      </c>
      <c r="F507"/>
    </row>
    <row r="508" spans="1:6" ht="15" x14ac:dyDescent="0.25">
      <c r="A508" t="s">
        <v>1017</v>
      </c>
      <c r="B508" t="s">
        <v>547</v>
      </c>
      <c r="C508" t="s">
        <v>904</v>
      </c>
      <c r="D508" t="s">
        <v>266</v>
      </c>
      <c r="E508" t="s">
        <v>268</v>
      </c>
      <c r="F508"/>
    </row>
    <row r="509" spans="1:6" ht="15" x14ac:dyDescent="0.25">
      <c r="A509" t="s">
        <v>1018</v>
      </c>
      <c r="B509" t="s">
        <v>547</v>
      </c>
      <c r="C509" t="s">
        <v>904</v>
      </c>
      <c r="D509" t="s">
        <v>266</v>
      </c>
      <c r="E509" t="s">
        <v>442</v>
      </c>
      <c r="F509"/>
    </row>
    <row r="510" spans="1:6" ht="15" x14ac:dyDescent="0.25">
      <c r="A510" t="s">
        <v>1019</v>
      </c>
      <c r="B510" t="s">
        <v>547</v>
      </c>
      <c r="C510" t="s">
        <v>904</v>
      </c>
      <c r="D510" t="s">
        <v>266</v>
      </c>
      <c r="E510" t="s">
        <v>442</v>
      </c>
      <c r="F510"/>
    </row>
    <row r="511" spans="1:6" ht="15" x14ac:dyDescent="0.25">
      <c r="A511" t="s">
        <v>1020</v>
      </c>
      <c r="B511" t="s">
        <v>547</v>
      </c>
      <c r="C511" t="s">
        <v>904</v>
      </c>
      <c r="D511" t="s">
        <v>266</v>
      </c>
      <c r="E511" t="s">
        <v>268</v>
      </c>
      <c r="F511"/>
    </row>
    <row r="512" spans="1:6" ht="15" x14ac:dyDescent="0.25">
      <c r="A512" t="s">
        <v>1021</v>
      </c>
      <c r="B512" t="s">
        <v>547</v>
      </c>
      <c r="C512" t="s">
        <v>904</v>
      </c>
      <c r="D512" t="s">
        <v>261</v>
      </c>
      <c r="E512" t="s">
        <v>905</v>
      </c>
      <c r="F512"/>
    </row>
    <row r="513" spans="1:6" ht="15" x14ac:dyDescent="0.25">
      <c r="A513" t="s">
        <v>1022</v>
      </c>
      <c r="B513" t="s">
        <v>547</v>
      </c>
      <c r="C513" t="s">
        <v>904</v>
      </c>
      <c r="D513" t="s">
        <v>261</v>
      </c>
      <c r="E513" t="s">
        <v>905</v>
      </c>
      <c r="F513"/>
    </row>
    <row r="514" spans="1:6" ht="15" x14ac:dyDescent="0.25">
      <c r="A514" t="s">
        <v>1023</v>
      </c>
      <c r="B514" t="s">
        <v>547</v>
      </c>
      <c r="C514" t="s">
        <v>904</v>
      </c>
      <c r="D514" t="s">
        <v>261</v>
      </c>
      <c r="E514" t="s">
        <v>905</v>
      </c>
      <c r="F514"/>
    </row>
    <row r="515" spans="1:6" ht="15" x14ac:dyDescent="0.25">
      <c r="A515" t="s">
        <v>1024</v>
      </c>
      <c r="B515" t="s">
        <v>547</v>
      </c>
      <c r="C515" t="s">
        <v>904</v>
      </c>
      <c r="D515" t="s">
        <v>261</v>
      </c>
      <c r="E515" t="s">
        <v>905</v>
      </c>
      <c r="F515"/>
    </row>
    <row r="516" spans="1:6" ht="15" x14ac:dyDescent="0.25">
      <c r="A516" t="s">
        <v>1025</v>
      </c>
      <c r="B516" t="s">
        <v>547</v>
      </c>
      <c r="C516" t="s">
        <v>904</v>
      </c>
      <c r="D516" t="s">
        <v>261</v>
      </c>
      <c r="E516" t="s">
        <v>905</v>
      </c>
      <c r="F516"/>
    </row>
    <row r="517" spans="1:6" ht="15" x14ac:dyDescent="0.25">
      <c r="A517" t="s">
        <v>1026</v>
      </c>
      <c r="B517" t="s">
        <v>547</v>
      </c>
      <c r="C517" t="s">
        <v>904</v>
      </c>
      <c r="D517" t="s">
        <v>266</v>
      </c>
      <c r="E517" t="s">
        <v>442</v>
      </c>
      <c r="F517"/>
    </row>
    <row r="518" spans="1:6" ht="15" x14ac:dyDescent="0.25">
      <c r="A518" t="s">
        <v>1027</v>
      </c>
      <c r="B518" t="s">
        <v>547</v>
      </c>
      <c r="C518" t="s">
        <v>904</v>
      </c>
      <c r="D518" t="s">
        <v>261</v>
      </c>
      <c r="E518" t="s">
        <v>905</v>
      </c>
      <c r="F518"/>
    </row>
    <row r="519" spans="1:6" ht="15" x14ac:dyDescent="0.25">
      <c r="A519" t="s">
        <v>1028</v>
      </c>
      <c r="B519" t="s">
        <v>547</v>
      </c>
      <c r="C519" t="s">
        <v>904</v>
      </c>
      <c r="D519" t="s">
        <v>261</v>
      </c>
      <c r="E519" t="s">
        <v>905</v>
      </c>
      <c r="F519"/>
    </row>
    <row r="520" spans="1:6" ht="15" x14ac:dyDescent="0.25">
      <c r="A520" t="s">
        <v>1029</v>
      </c>
      <c r="B520" t="s">
        <v>547</v>
      </c>
      <c r="C520" t="s">
        <v>904</v>
      </c>
      <c r="D520" t="s">
        <v>261</v>
      </c>
      <c r="E520" t="s">
        <v>905</v>
      </c>
      <c r="F520"/>
    </row>
    <row r="521" spans="1:6" ht="15" x14ac:dyDescent="0.25">
      <c r="A521" t="s">
        <v>1030</v>
      </c>
      <c r="B521" t="s">
        <v>547</v>
      </c>
      <c r="C521" t="s">
        <v>904</v>
      </c>
      <c r="D521" t="s">
        <v>261</v>
      </c>
      <c r="E521" t="s">
        <v>905</v>
      </c>
      <c r="F521"/>
    </row>
    <row r="522" spans="1:6" ht="15" x14ac:dyDescent="0.25">
      <c r="A522" t="s">
        <v>1031</v>
      </c>
      <c r="B522" t="s">
        <v>547</v>
      </c>
      <c r="C522" t="s">
        <v>904</v>
      </c>
      <c r="D522" t="s">
        <v>266</v>
      </c>
      <c r="E522" t="s">
        <v>906</v>
      </c>
      <c r="F522"/>
    </row>
    <row r="523" spans="1:6" ht="15" x14ac:dyDescent="0.25">
      <c r="A523" t="s">
        <v>1032</v>
      </c>
      <c r="B523" t="s">
        <v>547</v>
      </c>
      <c r="C523" t="s">
        <v>904</v>
      </c>
      <c r="D523" t="s">
        <v>261</v>
      </c>
      <c r="E523" t="s">
        <v>905</v>
      </c>
      <c r="F523"/>
    </row>
    <row r="524" spans="1:6" ht="15" x14ac:dyDescent="0.25">
      <c r="A524" t="s">
        <v>1033</v>
      </c>
      <c r="B524" t="s">
        <v>547</v>
      </c>
      <c r="C524" t="s">
        <v>904</v>
      </c>
      <c r="D524" t="s">
        <v>261</v>
      </c>
      <c r="E524" t="s">
        <v>905</v>
      </c>
      <c r="F524"/>
    </row>
    <row r="525" spans="1:6" ht="15" x14ac:dyDescent="0.25">
      <c r="A525" t="s">
        <v>1034</v>
      </c>
      <c r="B525" t="s">
        <v>548</v>
      </c>
      <c r="C525" t="s">
        <v>904</v>
      </c>
      <c r="D525" t="s">
        <v>261</v>
      </c>
      <c r="E525" t="s">
        <v>905</v>
      </c>
      <c r="F525"/>
    </row>
    <row r="526" spans="1:6" ht="15" x14ac:dyDescent="0.25">
      <c r="A526" t="s">
        <v>1035</v>
      </c>
      <c r="B526" t="s">
        <v>548</v>
      </c>
      <c r="C526" t="s">
        <v>904</v>
      </c>
      <c r="D526" t="s">
        <v>261</v>
      </c>
      <c r="E526" t="s">
        <v>905</v>
      </c>
      <c r="F526"/>
    </row>
    <row r="527" spans="1:6" ht="15" x14ac:dyDescent="0.25">
      <c r="A527" t="s">
        <v>1036</v>
      </c>
      <c r="B527" t="s">
        <v>547</v>
      </c>
      <c r="C527" t="s">
        <v>904</v>
      </c>
      <c r="D527" t="s">
        <v>261</v>
      </c>
      <c r="E527" t="s">
        <v>905</v>
      </c>
      <c r="F527"/>
    </row>
    <row r="528" spans="1:6" ht="15" x14ac:dyDescent="0.25">
      <c r="A528" t="s">
        <v>1037</v>
      </c>
      <c r="B528" t="s">
        <v>547</v>
      </c>
      <c r="C528" t="s">
        <v>904</v>
      </c>
      <c r="D528" t="s">
        <v>261</v>
      </c>
      <c r="E528" t="s">
        <v>905</v>
      </c>
      <c r="F528"/>
    </row>
    <row r="529" spans="1:6" ht="15" x14ac:dyDescent="0.25">
      <c r="A529" t="s">
        <v>1038</v>
      </c>
      <c r="B529" t="s">
        <v>548</v>
      </c>
      <c r="C529" t="s">
        <v>904</v>
      </c>
      <c r="D529" t="s">
        <v>266</v>
      </c>
      <c r="E529" t="s">
        <v>268</v>
      </c>
      <c r="F529"/>
    </row>
    <row r="530" spans="1:6" ht="15" x14ac:dyDescent="0.25">
      <c r="A530" t="s">
        <v>1039</v>
      </c>
      <c r="B530" t="s">
        <v>548</v>
      </c>
      <c r="C530" t="s">
        <v>904</v>
      </c>
      <c r="D530" t="s">
        <v>266</v>
      </c>
      <c r="E530" t="s">
        <v>268</v>
      </c>
      <c r="F530"/>
    </row>
    <row r="531" spans="1:6" ht="15" x14ac:dyDescent="0.25">
      <c r="A531" t="s">
        <v>1040</v>
      </c>
      <c r="B531" t="s">
        <v>547</v>
      </c>
      <c r="C531" t="s">
        <v>904</v>
      </c>
      <c r="D531" t="s">
        <v>261</v>
      </c>
      <c r="E531" t="s">
        <v>905</v>
      </c>
      <c r="F531"/>
    </row>
    <row r="532" spans="1:6" ht="15" x14ac:dyDescent="0.25">
      <c r="A532" t="s">
        <v>1041</v>
      </c>
      <c r="B532" t="s">
        <v>547</v>
      </c>
      <c r="C532" t="s">
        <v>904</v>
      </c>
      <c r="D532" t="s">
        <v>261</v>
      </c>
      <c r="E532" t="s">
        <v>905</v>
      </c>
      <c r="F532"/>
    </row>
    <row r="533" spans="1:6" ht="15" x14ac:dyDescent="0.25">
      <c r="A533" t="s">
        <v>1042</v>
      </c>
      <c r="B533" t="s">
        <v>547</v>
      </c>
      <c r="C533" t="s">
        <v>904</v>
      </c>
      <c r="D533" t="s">
        <v>261</v>
      </c>
      <c r="E533" t="s">
        <v>905</v>
      </c>
      <c r="F533"/>
    </row>
    <row r="534" spans="1:6" ht="15" x14ac:dyDescent="0.25">
      <c r="A534" t="s">
        <v>1043</v>
      </c>
      <c r="B534" t="s">
        <v>548</v>
      </c>
      <c r="C534" t="s">
        <v>904</v>
      </c>
      <c r="D534" t="s">
        <v>261</v>
      </c>
      <c r="E534" t="s">
        <v>905</v>
      </c>
      <c r="F534"/>
    </row>
    <row r="535" spans="1:6" ht="15" x14ac:dyDescent="0.25">
      <c r="A535" t="s">
        <v>1044</v>
      </c>
      <c r="B535" t="s">
        <v>547</v>
      </c>
      <c r="C535" t="s">
        <v>904</v>
      </c>
      <c r="D535" t="s">
        <v>261</v>
      </c>
      <c r="E535" t="s">
        <v>905</v>
      </c>
      <c r="F535"/>
    </row>
    <row r="536" spans="1:6" ht="15" x14ac:dyDescent="0.25">
      <c r="A536" t="s">
        <v>1045</v>
      </c>
      <c r="B536" t="s">
        <v>547</v>
      </c>
      <c r="C536" t="s">
        <v>904</v>
      </c>
      <c r="D536" t="s">
        <v>266</v>
      </c>
      <c r="E536" t="s">
        <v>442</v>
      </c>
      <c r="F536"/>
    </row>
    <row r="537" spans="1:6" ht="15" x14ac:dyDescent="0.25">
      <c r="A537" t="s">
        <v>421</v>
      </c>
      <c r="B537" t="s">
        <v>547</v>
      </c>
      <c r="C537" t="s">
        <v>907</v>
      </c>
      <c r="D537" t="s">
        <v>419</v>
      </c>
      <c r="E537" t="s">
        <v>906</v>
      </c>
      <c r="F537"/>
    </row>
    <row r="538" spans="1:6" ht="15" x14ac:dyDescent="0.25">
      <c r="A538" t="s">
        <v>1046</v>
      </c>
      <c r="B538" t="s">
        <v>548</v>
      </c>
      <c r="C538" t="s">
        <v>904</v>
      </c>
      <c r="D538" t="s">
        <v>261</v>
      </c>
      <c r="E538" t="s">
        <v>905</v>
      </c>
      <c r="F538"/>
    </row>
    <row r="539" spans="1:6" ht="15" x14ac:dyDescent="0.25">
      <c r="A539" t="s">
        <v>1047</v>
      </c>
      <c r="B539" t="s">
        <v>548</v>
      </c>
      <c r="C539" t="s">
        <v>904</v>
      </c>
      <c r="D539" t="s">
        <v>261</v>
      </c>
      <c r="E539" t="s">
        <v>905</v>
      </c>
      <c r="F539"/>
    </row>
    <row r="540" spans="1:6" ht="15" x14ac:dyDescent="0.25">
      <c r="A540" t="s">
        <v>1048</v>
      </c>
      <c r="B540" t="s">
        <v>547</v>
      </c>
      <c r="C540" t="s">
        <v>904</v>
      </c>
      <c r="D540" t="s">
        <v>266</v>
      </c>
      <c r="E540" t="s">
        <v>906</v>
      </c>
      <c r="F540"/>
    </row>
    <row r="541" spans="1:6" ht="15" x14ac:dyDescent="0.25">
      <c r="A541" t="s">
        <v>1049</v>
      </c>
      <c r="B541" t="s">
        <v>548</v>
      </c>
      <c r="C541" t="s">
        <v>904</v>
      </c>
      <c r="D541" t="s">
        <v>266</v>
      </c>
      <c r="E541" t="s">
        <v>268</v>
      </c>
      <c r="F541"/>
    </row>
    <row r="542" spans="1:6" ht="15" x14ac:dyDescent="0.25">
      <c r="A542" t="s">
        <v>1050</v>
      </c>
      <c r="B542" t="s">
        <v>547</v>
      </c>
      <c r="C542" t="s">
        <v>904</v>
      </c>
      <c r="D542" t="s">
        <v>261</v>
      </c>
      <c r="E542" t="s">
        <v>905</v>
      </c>
      <c r="F542"/>
    </row>
    <row r="543" spans="1:6" ht="15" x14ac:dyDescent="0.25">
      <c r="A543" t="s">
        <v>1051</v>
      </c>
      <c r="B543" t="s">
        <v>547</v>
      </c>
      <c r="C543" t="s">
        <v>904</v>
      </c>
      <c r="D543" t="s">
        <v>261</v>
      </c>
      <c r="E543" t="s">
        <v>905</v>
      </c>
      <c r="F543"/>
    </row>
    <row r="544" spans="1:6" ht="15" x14ac:dyDescent="0.25">
      <c r="A544" t="s">
        <v>1052</v>
      </c>
      <c r="B544" t="s">
        <v>548</v>
      </c>
      <c r="C544" t="s">
        <v>904</v>
      </c>
      <c r="D544" t="s">
        <v>261</v>
      </c>
      <c r="E544" t="s">
        <v>905</v>
      </c>
      <c r="F544"/>
    </row>
    <row r="545" spans="1:6" ht="15" x14ac:dyDescent="0.25">
      <c r="A545" t="s">
        <v>1053</v>
      </c>
      <c r="B545" t="s">
        <v>547</v>
      </c>
      <c r="C545" t="s">
        <v>904</v>
      </c>
      <c r="D545" t="s">
        <v>266</v>
      </c>
      <c r="E545" t="s">
        <v>268</v>
      </c>
      <c r="F545"/>
    </row>
    <row r="546" spans="1:6" ht="15" x14ac:dyDescent="0.25">
      <c r="A546" t="s">
        <v>1054</v>
      </c>
      <c r="B546" t="s">
        <v>548</v>
      </c>
      <c r="C546" t="s">
        <v>904</v>
      </c>
      <c r="D546" t="s">
        <v>266</v>
      </c>
      <c r="E546" t="s">
        <v>905</v>
      </c>
      <c r="F546"/>
    </row>
    <row r="547" spans="1:6" ht="15" x14ac:dyDescent="0.25">
      <c r="A547" t="s">
        <v>1055</v>
      </c>
      <c r="B547" t="s">
        <v>547</v>
      </c>
      <c r="C547" t="s">
        <v>904</v>
      </c>
      <c r="D547" t="s">
        <v>266</v>
      </c>
      <c r="E547" t="s">
        <v>906</v>
      </c>
      <c r="F547"/>
    </row>
    <row r="548" spans="1:6" ht="15" x14ac:dyDescent="0.25">
      <c r="A548" t="s">
        <v>1056</v>
      </c>
      <c r="B548" t="s">
        <v>547</v>
      </c>
      <c r="C548" t="s">
        <v>904</v>
      </c>
      <c r="D548" t="s">
        <v>261</v>
      </c>
      <c r="E548" t="s">
        <v>905</v>
      </c>
      <c r="F548"/>
    </row>
    <row r="549" spans="1:6" ht="15" x14ac:dyDescent="0.25">
      <c r="A549" t="s">
        <v>1057</v>
      </c>
      <c r="B549" t="s">
        <v>547</v>
      </c>
      <c r="C549" t="s">
        <v>904</v>
      </c>
      <c r="D549" t="s">
        <v>261</v>
      </c>
      <c r="E549" t="s">
        <v>905</v>
      </c>
      <c r="F549"/>
    </row>
    <row r="550" spans="1:6" ht="15" x14ac:dyDescent="0.25">
      <c r="A550" t="s">
        <v>1058</v>
      </c>
      <c r="B550" t="s">
        <v>548</v>
      </c>
      <c r="C550" t="s">
        <v>904</v>
      </c>
      <c r="D550" t="s">
        <v>261</v>
      </c>
      <c r="E550" t="s">
        <v>905</v>
      </c>
      <c r="F550"/>
    </row>
    <row r="551" spans="1:6" ht="15" x14ac:dyDescent="0.25">
      <c r="A551" t="s">
        <v>1059</v>
      </c>
      <c r="B551" t="s">
        <v>548</v>
      </c>
      <c r="C551" t="s">
        <v>904</v>
      </c>
      <c r="D551" t="s">
        <v>261</v>
      </c>
      <c r="E551" t="s">
        <v>905</v>
      </c>
      <c r="F551"/>
    </row>
    <row r="552" spans="1:6" ht="15" x14ac:dyDescent="0.25">
      <c r="A552" t="s">
        <v>1060</v>
      </c>
      <c r="B552" t="s">
        <v>548</v>
      </c>
      <c r="C552" t="s">
        <v>904</v>
      </c>
      <c r="D552" t="s">
        <v>261</v>
      </c>
      <c r="E552" t="s">
        <v>905</v>
      </c>
      <c r="F552"/>
    </row>
    <row r="553" spans="1:6" ht="15" x14ac:dyDescent="0.25">
      <c r="A553" t="s">
        <v>1061</v>
      </c>
      <c r="B553" t="s">
        <v>547</v>
      </c>
      <c r="C553" t="s">
        <v>904</v>
      </c>
      <c r="D553" t="s">
        <v>261</v>
      </c>
      <c r="E553" t="s">
        <v>905</v>
      </c>
      <c r="F553"/>
    </row>
    <row r="554" spans="1:6" ht="15" x14ac:dyDescent="0.25">
      <c r="A554" t="s">
        <v>1062</v>
      </c>
      <c r="B554" t="s">
        <v>547</v>
      </c>
      <c r="C554" t="s">
        <v>904</v>
      </c>
      <c r="D554" t="s">
        <v>266</v>
      </c>
      <c r="E554" t="s">
        <v>442</v>
      </c>
      <c r="F554"/>
    </row>
    <row r="555" spans="1:6" ht="15" x14ac:dyDescent="0.25">
      <c r="A555" t="s">
        <v>1063</v>
      </c>
      <c r="B555" t="s">
        <v>547</v>
      </c>
      <c r="C555" t="s">
        <v>910</v>
      </c>
      <c r="D555" t="s">
        <v>266</v>
      </c>
      <c r="E555" t="s">
        <v>442</v>
      </c>
      <c r="F555"/>
    </row>
    <row r="556" spans="1:6" ht="15" x14ac:dyDescent="0.25">
      <c r="A556" t="s">
        <v>1064</v>
      </c>
      <c r="B556" t="s">
        <v>547</v>
      </c>
      <c r="C556" t="s">
        <v>904</v>
      </c>
      <c r="D556" t="s">
        <v>261</v>
      </c>
      <c r="E556" t="s">
        <v>905</v>
      </c>
      <c r="F556"/>
    </row>
    <row r="557" spans="1:6" ht="15" x14ac:dyDescent="0.25">
      <c r="A557" t="s">
        <v>1065</v>
      </c>
      <c r="B557" t="s">
        <v>547</v>
      </c>
      <c r="C557" t="s">
        <v>904</v>
      </c>
      <c r="D557" t="s">
        <v>266</v>
      </c>
      <c r="E557" t="s">
        <v>442</v>
      </c>
      <c r="F557"/>
    </row>
    <row r="558" spans="1:6" ht="15" x14ac:dyDescent="0.25">
      <c r="A558" t="s">
        <v>1066</v>
      </c>
      <c r="B558" t="s">
        <v>547</v>
      </c>
      <c r="C558" t="s">
        <v>904</v>
      </c>
      <c r="D558" t="s">
        <v>266</v>
      </c>
      <c r="E558" t="s">
        <v>905</v>
      </c>
      <c r="F558"/>
    </row>
    <row r="559" spans="1:6" ht="15" x14ac:dyDescent="0.25">
      <c r="A559" t="s">
        <v>1067</v>
      </c>
      <c r="B559" t="s">
        <v>547</v>
      </c>
      <c r="C559" t="s">
        <v>904</v>
      </c>
      <c r="D559" t="s">
        <v>266</v>
      </c>
      <c r="E559" t="s">
        <v>268</v>
      </c>
      <c r="F559"/>
    </row>
    <row r="560" spans="1:6" ht="15" x14ac:dyDescent="0.25">
      <c r="A560" t="s">
        <v>1068</v>
      </c>
      <c r="B560" t="s">
        <v>547</v>
      </c>
      <c r="C560" t="s">
        <v>904</v>
      </c>
      <c r="D560" t="s">
        <v>266</v>
      </c>
      <c r="E560" t="s">
        <v>442</v>
      </c>
      <c r="F560"/>
    </row>
    <row r="561" spans="1:6" ht="15" x14ac:dyDescent="0.25">
      <c r="A561" t="s">
        <v>1069</v>
      </c>
      <c r="B561" t="s">
        <v>547</v>
      </c>
      <c r="C561" t="s">
        <v>904</v>
      </c>
      <c r="D561" t="s">
        <v>266</v>
      </c>
      <c r="E561" t="s">
        <v>268</v>
      </c>
      <c r="F561"/>
    </row>
    <row r="562" spans="1:6" ht="15" x14ac:dyDescent="0.25">
      <c r="A562" t="s">
        <v>1070</v>
      </c>
      <c r="B562" t="s">
        <v>548</v>
      </c>
      <c r="C562" t="s">
        <v>904</v>
      </c>
      <c r="D562" t="s">
        <v>261</v>
      </c>
      <c r="E562" t="s">
        <v>905</v>
      </c>
      <c r="F562"/>
    </row>
    <row r="563" spans="1:6" ht="15" x14ac:dyDescent="0.25">
      <c r="A563" t="s">
        <v>1071</v>
      </c>
      <c r="B563" t="s">
        <v>547</v>
      </c>
      <c r="C563" t="s">
        <v>907</v>
      </c>
      <c r="D563" t="s">
        <v>266</v>
      </c>
      <c r="E563" t="s">
        <v>268</v>
      </c>
      <c r="F563"/>
    </row>
    <row r="564" spans="1:6" ht="15" x14ac:dyDescent="0.25">
      <c r="A564" t="s">
        <v>1072</v>
      </c>
      <c r="B564" t="s">
        <v>547</v>
      </c>
      <c r="C564" t="s">
        <v>904</v>
      </c>
      <c r="D564" t="s">
        <v>266</v>
      </c>
      <c r="E564" t="s">
        <v>268</v>
      </c>
      <c r="F564"/>
    </row>
    <row r="565" spans="1:6" ht="15" x14ac:dyDescent="0.25">
      <c r="A565" t="s">
        <v>1073</v>
      </c>
      <c r="B565" t="s">
        <v>547</v>
      </c>
      <c r="C565" t="s">
        <v>907</v>
      </c>
      <c r="D565" t="s">
        <v>266</v>
      </c>
      <c r="E565" t="s">
        <v>268</v>
      </c>
      <c r="F565"/>
    </row>
    <row r="566" spans="1:6" ht="15" x14ac:dyDescent="0.25">
      <c r="A566" t="s">
        <v>1074</v>
      </c>
      <c r="B566" t="s">
        <v>547</v>
      </c>
      <c r="C566" t="s">
        <v>904</v>
      </c>
      <c r="D566" t="s">
        <v>261</v>
      </c>
      <c r="E566" t="s">
        <v>905</v>
      </c>
      <c r="F566"/>
    </row>
    <row r="567" spans="1:6" ht="15" x14ac:dyDescent="0.25">
      <c r="A567" t="s">
        <v>1075</v>
      </c>
      <c r="B567" t="s">
        <v>547</v>
      </c>
      <c r="C567" t="s">
        <v>904</v>
      </c>
      <c r="D567" t="s">
        <v>266</v>
      </c>
      <c r="E567" t="s">
        <v>268</v>
      </c>
      <c r="F567"/>
    </row>
    <row r="568" spans="1:6" ht="15" x14ac:dyDescent="0.25">
      <c r="A568" t="s">
        <v>1076</v>
      </c>
      <c r="B568" t="s">
        <v>547</v>
      </c>
      <c r="C568" t="s">
        <v>904</v>
      </c>
      <c r="D568" t="s">
        <v>261</v>
      </c>
      <c r="E568" t="s">
        <v>442</v>
      </c>
      <c r="F568"/>
    </row>
    <row r="569" spans="1:6" ht="15" x14ac:dyDescent="0.25">
      <c r="A569" t="s">
        <v>1077</v>
      </c>
      <c r="B569" t="s">
        <v>547</v>
      </c>
      <c r="C569" t="s">
        <v>904</v>
      </c>
      <c r="D569" t="s">
        <v>266</v>
      </c>
      <c r="E569" t="s">
        <v>906</v>
      </c>
      <c r="F569"/>
    </row>
    <row r="570" spans="1:6" ht="15" x14ac:dyDescent="0.25">
      <c r="A570" t="s">
        <v>1078</v>
      </c>
      <c r="B570" t="s">
        <v>547</v>
      </c>
      <c r="C570" t="s">
        <v>904</v>
      </c>
      <c r="D570" t="s">
        <v>261</v>
      </c>
      <c r="E570" t="s">
        <v>905</v>
      </c>
      <c r="F570"/>
    </row>
    <row r="571" spans="1:6" ht="15" x14ac:dyDescent="0.25">
      <c r="A571" t="s">
        <v>1079</v>
      </c>
      <c r="B571" t="s">
        <v>547</v>
      </c>
      <c r="C571" t="s">
        <v>904</v>
      </c>
      <c r="D571" t="s">
        <v>261</v>
      </c>
      <c r="E571" t="s">
        <v>905</v>
      </c>
      <c r="F571"/>
    </row>
    <row r="572" spans="1:6" ht="15" x14ac:dyDescent="0.25">
      <c r="A572" t="s">
        <v>1080</v>
      </c>
      <c r="B572" t="s">
        <v>547</v>
      </c>
      <c r="C572" t="s">
        <v>904</v>
      </c>
      <c r="D572" t="s">
        <v>261</v>
      </c>
      <c r="E572" t="s">
        <v>905</v>
      </c>
      <c r="F572"/>
    </row>
    <row r="573" spans="1:6" ht="15" x14ac:dyDescent="0.25">
      <c r="A573" t="s">
        <v>1081</v>
      </c>
      <c r="B573" t="s">
        <v>547</v>
      </c>
      <c r="C573" t="s">
        <v>907</v>
      </c>
      <c r="D573" t="s">
        <v>261</v>
      </c>
      <c r="E573" t="s">
        <v>395</v>
      </c>
      <c r="F573"/>
    </row>
    <row r="574" spans="1:6" ht="15" x14ac:dyDescent="0.25">
      <c r="A574" t="s">
        <v>1082</v>
      </c>
      <c r="B574" t="s">
        <v>547</v>
      </c>
      <c r="C574" t="s">
        <v>904</v>
      </c>
      <c r="D574" t="s">
        <v>261</v>
      </c>
      <c r="E574" t="s">
        <v>905</v>
      </c>
      <c r="F574"/>
    </row>
    <row r="575" spans="1:6" ht="15" x14ac:dyDescent="0.25">
      <c r="A575" t="s">
        <v>1083</v>
      </c>
      <c r="B575" t="s">
        <v>548</v>
      </c>
      <c r="C575" t="s">
        <v>904</v>
      </c>
      <c r="D575" t="s">
        <v>266</v>
      </c>
      <c r="E575" t="s">
        <v>268</v>
      </c>
      <c r="F575"/>
    </row>
    <row r="576" spans="1:6" ht="15" x14ac:dyDescent="0.25">
      <c r="A576" t="s">
        <v>1084</v>
      </c>
      <c r="B576" t="s">
        <v>548</v>
      </c>
      <c r="C576" t="s">
        <v>904</v>
      </c>
      <c r="D576" t="s">
        <v>266</v>
      </c>
      <c r="E576" t="s">
        <v>268</v>
      </c>
      <c r="F576"/>
    </row>
    <row r="577" spans="1:6" ht="15" x14ac:dyDescent="0.25">
      <c r="A577" t="s">
        <v>1085</v>
      </c>
      <c r="B577" t="s">
        <v>547</v>
      </c>
      <c r="C577" t="s">
        <v>904</v>
      </c>
      <c r="D577" t="s">
        <v>266</v>
      </c>
      <c r="E577" t="s">
        <v>909</v>
      </c>
      <c r="F577"/>
    </row>
    <row r="578" spans="1:6" ht="15" x14ac:dyDescent="0.25">
      <c r="A578" t="s">
        <v>1086</v>
      </c>
      <c r="B578" t="s">
        <v>547</v>
      </c>
      <c r="C578" t="s">
        <v>904</v>
      </c>
      <c r="D578" t="s">
        <v>266</v>
      </c>
      <c r="E578" t="s">
        <v>909</v>
      </c>
      <c r="F578"/>
    </row>
    <row r="579" spans="1:6" ht="15" x14ac:dyDescent="0.25">
      <c r="A579" t="s">
        <v>1087</v>
      </c>
      <c r="B579" t="s">
        <v>548</v>
      </c>
      <c r="C579" t="s">
        <v>904</v>
      </c>
      <c r="D579" t="s">
        <v>266</v>
      </c>
      <c r="E579" t="s">
        <v>268</v>
      </c>
      <c r="F579"/>
    </row>
    <row r="580" spans="1:6" ht="15" x14ac:dyDescent="0.25">
      <c r="A580" t="s">
        <v>1088</v>
      </c>
      <c r="B580" t="s">
        <v>547</v>
      </c>
      <c r="C580" t="s">
        <v>904</v>
      </c>
      <c r="D580" t="s">
        <v>261</v>
      </c>
      <c r="E580" t="s">
        <v>905</v>
      </c>
      <c r="F580"/>
    </row>
    <row r="581" spans="1:6" ht="15" x14ac:dyDescent="0.25">
      <c r="A581" t="s">
        <v>1089</v>
      </c>
      <c r="B581" t="s">
        <v>547</v>
      </c>
      <c r="C581" t="s">
        <v>904</v>
      </c>
      <c r="D581" t="s">
        <v>261</v>
      </c>
      <c r="E581" t="s">
        <v>905</v>
      </c>
      <c r="F581"/>
    </row>
    <row r="582" spans="1:6" ht="15" x14ac:dyDescent="0.25">
      <c r="A582" t="s">
        <v>1090</v>
      </c>
      <c r="B582" t="s">
        <v>547</v>
      </c>
      <c r="C582" t="s">
        <v>904</v>
      </c>
      <c r="D582" t="s">
        <v>261</v>
      </c>
      <c r="E582" t="s">
        <v>442</v>
      </c>
      <c r="F582"/>
    </row>
    <row r="583" spans="1:6" ht="15" x14ac:dyDescent="0.25">
      <c r="A583" t="s">
        <v>1091</v>
      </c>
      <c r="B583" t="s">
        <v>547</v>
      </c>
      <c r="C583" t="s">
        <v>904</v>
      </c>
      <c r="D583" t="s">
        <v>266</v>
      </c>
      <c r="E583" t="s">
        <v>268</v>
      </c>
      <c r="F583"/>
    </row>
    <row r="584" spans="1:6" ht="15" x14ac:dyDescent="0.25">
      <c r="A584" t="s">
        <v>1092</v>
      </c>
      <c r="B584" t="s">
        <v>547</v>
      </c>
      <c r="C584" t="s">
        <v>904</v>
      </c>
      <c r="D584" t="s">
        <v>266</v>
      </c>
      <c r="E584" t="s">
        <v>268</v>
      </c>
      <c r="F584"/>
    </row>
    <row r="585" spans="1:6" ht="15" x14ac:dyDescent="0.25">
      <c r="A585" t="s">
        <v>1093</v>
      </c>
      <c r="B585" t="s">
        <v>547</v>
      </c>
      <c r="C585" t="s">
        <v>904</v>
      </c>
      <c r="D585" t="s">
        <v>266</v>
      </c>
      <c r="E585" t="s">
        <v>268</v>
      </c>
      <c r="F585"/>
    </row>
    <row r="586" spans="1:6" ht="15" x14ac:dyDescent="0.25">
      <c r="A586" t="s">
        <v>1094</v>
      </c>
      <c r="B586" t="s">
        <v>547</v>
      </c>
      <c r="C586" t="s">
        <v>904</v>
      </c>
      <c r="D586" t="s">
        <v>266</v>
      </c>
      <c r="E586" t="s">
        <v>268</v>
      </c>
      <c r="F586"/>
    </row>
    <row r="587" spans="1:6" ht="15" x14ac:dyDescent="0.25">
      <c r="A587" t="s">
        <v>1095</v>
      </c>
      <c r="B587" t="s">
        <v>547</v>
      </c>
      <c r="C587" t="s">
        <v>904</v>
      </c>
      <c r="D587" t="s">
        <v>266</v>
      </c>
      <c r="E587" t="s">
        <v>268</v>
      </c>
      <c r="F587"/>
    </row>
    <row r="588" spans="1:6" ht="15" x14ac:dyDescent="0.25">
      <c r="A588" t="s">
        <v>1096</v>
      </c>
      <c r="B588" t="s">
        <v>547</v>
      </c>
      <c r="C588" t="s">
        <v>904</v>
      </c>
      <c r="D588" t="s">
        <v>261</v>
      </c>
      <c r="E588" t="s">
        <v>905</v>
      </c>
      <c r="F588"/>
    </row>
    <row r="589" spans="1:6" ht="15" x14ac:dyDescent="0.25">
      <c r="A589" t="s">
        <v>1097</v>
      </c>
      <c r="B589" t="s">
        <v>548</v>
      </c>
      <c r="C589" t="s">
        <v>904</v>
      </c>
      <c r="D589" t="s">
        <v>266</v>
      </c>
      <c r="E589" t="s">
        <v>906</v>
      </c>
      <c r="F589"/>
    </row>
    <row r="590" spans="1:6" ht="15" x14ac:dyDescent="0.25">
      <c r="A590" t="s">
        <v>1098</v>
      </c>
      <c r="B590" t="s">
        <v>547</v>
      </c>
      <c r="C590" t="s">
        <v>904</v>
      </c>
      <c r="D590" t="s">
        <v>261</v>
      </c>
      <c r="E590" t="s">
        <v>905</v>
      </c>
      <c r="F590"/>
    </row>
    <row r="591" spans="1:6" ht="15" x14ac:dyDescent="0.25">
      <c r="A591" t="s">
        <v>1099</v>
      </c>
      <c r="B591" t="s">
        <v>547</v>
      </c>
      <c r="C591" t="s">
        <v>904</v>
      </c>
      <c r="D591" t="s">
        <v>266</v>
      </c>
      <c r="E591" t="s">
        <v>905</v>
      </c>
      <c r="F591"/>
    </row>
    <row r="592" spans="1:6" ht="15" x14ac:dyDescent="0.25">
      <c r="A592" t="s">
        <v>1100</v>
      </c>
      <c r="B592" t="s">
        <v>547</v>
      </c>
      <c r="C592" t="s">
        <v>904</v>
      </c>
      <c r="D592" t="s">
        <v>266</v>
      </c>
      <c r="E592" t="s">
        <v>268</v>
      </c>
      <c r="F592"/>
    </row>
    <row r="593" spans="1:6" ht="15" x14ac:dyDescent="0.25">
      <c r="A593" t="s">
        <v>1101</v>
      </c>
      <c r="B593" t="s">
        <v>547</v>
      </c>
      <c r="C593" t="s">
        <v>904</v>
      </c>
      <c r="D593" t="s">
        <v>266</v>
      </c>
      <c r="E593" t="s">
        <v>268</v>
      </c>
      <c r="F593"/>
    </row>
    <row r="594" spans="1:6" ht="15" x14ac:dyDescent="0.25">
      <c r="A594" t="s">
        <v>1102</v>
      </c>
      <c r="B594" t="s">
        <v>547</v>
      </c>
      <c r="C594" t="s">
        <v>904</v>
      </c>
      <c r="D594" t="s">
        <v>261</v>
      </c>
      <c r="E594" t="s">
        <v>909</v>
      </c>
      <c r="F594"/>
    </row>
    <row r="595" spans="1:6" ht="15" x14ac:dyDescent="0.25">
      <c r="A595" t="s">
        <v>1103</v>
      </c>
      <c r="B595" t="s">
        <v>547</v>
      </c>
      <c r="C595" t="s">
        <v>904</v>
      </c>
      <c r="D595" t="s">
        <v>261</v>
      </c>
      <c r="E595" t="s">
        <v>905</v>
      </c>
      <c r="F595"/>
    </row>
    <row r="596" spans="1:6" ht="15" x14ac:dyDescent="0.25">
      <c r="A596" t="s">
        <v>1104</v>
      </c>
      <c r="B596" t="s">
        <v>547</v>
      </c>
      <c r="C596" t="s">
        <v>904</v>
      </c>
      <c r="D596" t="s">
        <v>261</v>
      </c>
      <c r="E596" t="s">
        <v>905</v>
      </c>
      <c r="F596"/>
    </row>
    <row r="597" spans="1:6" ht="15" x14ac:dyDescent="0.25">
      <c r="A597" t="s">
        <v>1105</v>
      </c>
      <c r="B597" t="s">
        <v>548</v>
      </c>
      <c r="C597" t="s">
        <v>904</v>
      </c>
      <c r="D597" t="s">
        <v>266</v>
      </c>
      <c r="E597" t="s">
        <v>268</v>
      </c>
      <c r="F597"/>
    </row>
    <row r="598" spans="1:6" ht="15" x14ac:dyDescent="0.25">
      <c r="A598" t="s">
        <v>1106</v>
      </c>
      <c r="B598" t="s">
        <v>548</v>
      </c>
      <c r="C598" t="s">
        <v>904</v>
      </c>
      <c r="D598" t="s">
        <v>266</v>
      </c>
      <c r="E598" t="s">
        <v>268</v>
      </c>
      <c r="F598"/>
    </row>
    <row r="599" spans="1:6" ht="15" x14ac:dyDescent="0.25">
      <c r="A599" t="s">
        <v>1107</v>
      </c>
      <c r="B599" t="s">
        <v>548</v>
      </c>
      <c r="C599" t="s">
        <v>904</v>
      </c>
      <c r="D599" t="s">
        <v>266</v>
      </c>
      <c r="E599" t="s">
        <v>268</v>
      </c>
      <c r="F599"/>
    </row>
    <row r="600" spans="1:6" ht="15" x14ac:dyDescent="0.25">
      <c r="A600" t="s">
        <v>1108</v>
      </c>
      <c r="B600" t="s">
        <v>548</v>
      </c>
      <c r="C600" t="s">
        <v>904</v>
      </c>
      <c r="D600" t="s">
        <v>266</v>
      </c>
      <c r="E600" t="s">
        <v>268</v>
      </c>
      <c r="F600"/>
    </row>
    <row r="601" spans="1:6" ht="15" x14ac:dyDescent="0.25">
      <c r="A601" t="s">
        <v>1109</v>
      </c>
      <c r="B601" t="s">
        <v>547</v>
      </c>
      <c r="C601" t="s">
        <v>904</v>
      </c>
      <c r="D601" t="s">
        <v>266</v>
      </c>
      <c r="E601" t="s">
        <v>268</v>
      </c>
      <c r="F601"/>
    </row>
    <row r="602" spans="1:6" ht="15" x14ac:dyDescent="0.25">
      <c r="A602" t="s">
        <v>1110</v>
      </c>
      <c r="B602" t="s">
        <v>547</v>
      </c>
      <c r="C602" t="s">
        <v>904</v>
      </c>
      <c r="D602" t="s">
        <v>266</v>
      </c>
      <c r="E602" t="s">
        <v>268</v>
      </c>
      <c r="F602"/>
    </row>
    <row r="603" spans="1:6" ht="15" x14ac:dyDescent="0.25">
      <c r="A603" t="s">
        <v>1111</v>
      </c>
      <c r="B603" t="s">
        <v>547</v>
      </c>
      <c r="C603" t="s">
        <v>907</v>
      </c>
      <c r="D603" t="s">
        <v>261</v>
      </c>
      <c r="E603" t="s">
        <v>395</v>
      </c>
      <c r="F603"/>
    </row>
    <row r="604" spans="1:6" ht="15" x14ac:dyDescent="0.25">
      <c r="A604" t="s">
        <v>1112</v>
      </c>
      <c r="B604" t="s">
        <v>547</v>
      </c>
      <c r="C604" t="s">
        <v>904</v>
      </c>
      <c r="D604" t="s">
        <v>266</v>
      </c>
      <c r="E604" t="s">
        <v>442</v>
      </c>
      <c r="F604"/>
    </row>
    <row r="605" spans="1:6" ht="15" x14ac:dyDescent="0.25">
      <c r="A605" t="s">
        <v>1113</v>
      </c>
      <c r="B605" t="s">
        <v>547</v>
      </c>
      <c r="C605" t="s">
        <v>904</v>
      </c>
      <c r="D605" t="s">
        <v>261</v>
      </c>
      <c r="E605" t="s">
        <v>905</v>
      </c>
      <c r="F605"/>
    </row>
    <row r="606" spans="1:6" ht="15" x14ac:dyDescent="0.25">
      <c r="A606" t="s">
        <v>1114</v>
      </c>
      <c r="B606" t="s">
        <v>548</v>
      </c>
      <c r="C606" t="s">
        <v>904</v>
      </c>
      <c r="D606" t="s">
        <v>261</v>
      </c>
      <c r="E606" t="s">
        <v>905</v>
      </c>
      <c r="F606"/>
    </row>
    <row r="607" spans="1:6" ht="15" x14ac:dyDescent="0.25">
      <c r="A607" s="30" t="s">
        <v>1115</v>
      </c>
      <c r="B607" t="s">
        <v>547</v>
      </c>
      <c r="C607" t="s">
        <v>904</v>
      </c>
      <c r="D607" t="s">
        <v>266</v>
      </c>
      <c r="E607" t="s">
        <v>442</v>
      </c>
      <c r="F607"/>
    </row>
    <row r="608" spans="1:6" ht="15" x14ac:dyDescent="0.25">
      <c r="A608" t="s">
        <v>1116</v>
      </c>
      <c r="B608" t="s">
        <v>547</v>
      </c>
      <c r="C608" t="s">
        <v>904</v>
      </c>
      <c r="D608" t="s">
        <v>266</v>
      </c>
      <c r="E608" t="s">
        <v>268</v>
      </c>
      <c r="F608"/>
    </row>
    <row r="609" spans="1:6" ht="15" x14ac:dyDescent="0.25">
      <c r="A609" t="s">
        <v>1117</v>
      </c>
      <c r="B609" t="s">
        <v>547</v>
      </c>
      <c r="C609" t="s">
        <v>904</v>
      </c>
      <c r="D609" t="s">
        <v>261</v>
      </c>
      <c r="E609" t="s">
        <v>905</v>
      </c>
      <c r="F609"/>
    </row>
    <row r="610" spans="1:6" ht="15" x14ac:dyDescent="0.25">
      <c r="A610" t="s">
        <v>1118</v>
      </c>
      <c r="B610" t="s">
        <v>547</v>
      </c>
      <c r="C610" t="s">
        <v>904</v>
      </c>
      <c r="D610" t="s">
        <v>261</v>
      </c>
      <c r="E610" t="s">
        <v>905</v>
      </c>
      <c r="F610"/>
    </row>
    <row r="611" spans="1:6" ht="15" x14ac:dyDescent="0.25">
      <c r="A611" t="s">
        <v>1119</v>
      </c>
      <c r="B611" t="s">
        <v>547</v>
      </c>
      <c r="C611" t="s">
        <v>904</v>
      </c>
      <c r="D611" t="s">
        <v>261</v>
      </c>
      <c r="E611" t="s">
        <v>905</v>
      </c>
      <c r="F611"/>
    </row>
    <row r="612" spans="1:6" ht="15" x14ac:dyDescent="0.25">
      <c r="A612" t="s">
        <v>1120</v>
      </c>
      <c r="B612" t="s">
        <v>547</v>
      </c>
      <c r="C612" t="s">
        <v>904</v>
      </c>
      <c r="D612" t="s">
        <v>261</v>
      </c>
      <c r="E612" t="s">
        <v>905</v>
      </c>
      <c r="F612"/>
    </row>
    <row r="613" spans="1:6" ht="15" x14ac:dyDescent="0.25">
      <c r="A613" t="s">
        <v>1121</v>
      </c>
      <c r="B613" t="s">
        <v>547</v>
      </c>
      <c r="C613" t="s">
        <v>904</v>
      </c>
      <c r="D613" t="s">
        <v>261</v>
      </c>
      <c r="E613" t="s">
        <v>905</v>
      </c>
      <c r="F613"/>
    </row>
    <row r="614" spans="1:6" ht="15" x14ac:dyDescent="0.25">
      <c r="A614" t="s">
        <v>1122</v>
      </c>
      <c r="B614" t="s">
        <v>547</v>
      </c>
      <c r="C614" t="s">
        <v>904</v>
      </c>
      <c r="D614" t="s">
        <v>261</v>
      </c>
      <c r="E614" t="s">
        <v>905</v>
      </c>
      <c r="F614"/>
    </row>
    <row r="615" spans="1:6" ht="15" x14ac:dyDescent="0.25">
      <c r="A615" t="s">
        <v>1123</v>
      </c>
      <c r="B615" t="s">
        <v>547</v>
      </c>
      <c r="C615" t="s">
        <v>904</v>
      </c>
      <c r="D615" t="s">
        <v>261</v>
      </c>
      <c r="E615" t="s">
        <v>905</v>
      </c>
      <c r="F615"/>
    </row>
    <row r="616" spans="1:6" ht="15" x14ac:dyDescent="0.25">
      <c r="A616" t="s">
        <v>1124</v>
      </c>
      <c r="B616" t="s">
        <v>547</v>
      </c>
      <c r="C616" t="s">
        <v>904</v>
      </c>
      <c r="D616" t="s">
        <v>261</v>
      </c>
      <c r="E616" t="s">
        <v>905</v>
      </c>
      <c r="F616"/>
    </row>
    <row r="617" spans="1:6" ht="15" x14ac:dyDescent="0.25">
      <c r="A617" t="s">
        <v>1125</v>
      </c>
      <c r="B617" t="s">
        <v>547</v>
      </c>
      <c r="C617" t="s">
        <v>904</v>
      </c>
      <c r="D617" t="s">
        <v>261</v>
      </c>
      <c r="E617" t="s">
        <v>905</v>
      </c>
      <c r="F617"/>
    </row>
    <row r="618" spans="1:6" ht="15" x14ac:dyDescent="0.25">
      <c r="A618" t="s">
        <v>1126</v>
      </c>
      <c r="B618" t="s">
        <v>547</v>
      </c>
      <c r="C618" t="s">
        <v>904</v>
      </c>
      <c r="D618" t="s">
        <v>266</v>
      </c>
      <c r="E618" t="s">
        <v>268</v>
      </c>
      <c r="F618"/>
    </row>
    <row r="619" spans="1:6" ht="15" x14ac:dyDescent="0.25">
      <c r="A619" t="s">
        <v>1127</v>
      </c>
      <c r="B619" t="s">
        <v>548</v>
      </c>
      <c r="C619" t="s">
        <v>907</v>
      </c>
      <c r="D619" t="s">
        <v>266</v>
      </c>
      <c r="E619" t="s">
        <v>268</v>
      </c>
      <c r="F619"/>
    </row>
    <row r="620" spans="1:6" ht="15" x14ac:dyDescent="0.25">
      <c r="A620" t="s">
        <v>1128</v>
      </c>
      <c r="B620" t="s">
        <v>547</v>
      </c>
      <c r="C620" t="s">
        <v>904</v>
      </c>
      <c r="D620" t="s">
        <v>261</v>
      </c>
      <c r="E620" t="s">
        <v>905</v>
      </c>
      <c r="F620"/>
    </row>
    <row r="621" spans="1:6" ht="15" x14ac:dyDescent="0.25">
      <c r="A621" t="s">
        <v>1129</v>
      </c>
      <c r="B621" t="s">
        <v>547</v>
      </c>
      <c r="C621" t="s">
        <v>904</v>
      </c>
      <c r="D621" t="s">
        <v>261</v>
      </c>
      <c r="E621" t="s">
        <v>905</v>
      </c>
      <c r="F621"/>
    </row>
    <row r="622" spans="1:6" ht="15" x14ac:dyDescent="0.25">
      <c r="A622" t="s">
        <v>1130</v>
      </c>
      <c r="B622" t="s">
        <v>547</v>
      </c>
      <c r="C622" t="s">
        <v>904</v>
      </c>
      <c r="D622" t="s">
        <v>261</v>
      </c>
      <c r="E622" t="s">
        <v>905</v>
      </c>
      <c r="F622"/>
    </row>
    <row r="623" spans="1:6" ht="15" x14ac:dyDescent="0.25">
      <c r="A623" t="s">
        <v>1131</v>
      </c>
      <c r="B623" t="s">
        <v>547</v>
      </c>
      <c r="C623" t="s">
        <v>904</v>
      </c>
      <c r="D623" t="s">
        <v>261</v>
      </c>
      <c r="E623" t="s">
        <v>905</v>
      </c>
      <c r="F623"/>
    </row>
    <row r="624" spans="1:6" ht="15" x14ac:dyDescent="0.25">
      <c r="A624" t="s">
        <v>1132</v>
      </c>
      <c r="B624" t="s">
        <v>547</v>
      </c>
      <c r="C624" t="s">
        <v>904</v>
      </c>
      <c r="D624" t="s">
        <v>261</v>
      </c>
      <c r="E624" t="s">
        <v>909</v>
      </c>
      <c r="F624"/>
    </row>
    <row r="625" spans="1:6" ht="15" x14ac:dyDescent="0.25">
      <c r="A625" t="s">
        <v>1133</v>
      </c>
      <c r="B625" t="s">
        <v>547</v>
      </c>
      <c r="C625" t="s">
        <v>904</v>
      </c>
      <c r="D625" t="s">
        <v>261</v>
      </c>
      <c r="E625" t="s">
        <v>909</v>
      </c>
      <c r="F625"/>
    </row>
    <row r="626" spans="1:6" ht="15" x14ac:dyDescent="0.25">
      <c r="A626" t="s">
        <v>1134</v>
      </c>
      <c r="B626" t="s">
        <v>548</v>
      </c>
      <c r="C626" t="s">
        <v>904</v>
      </c>
      <c r="D626" t="s">
        <v>266</v>
      </c>
      <c r="E626" t="s">
        <v>268</v>
      </c>
      <c r="F626"/>
    </row>
    <row r="627" spans="1:6" ht="15" x14ac:dyDescent="0.25">
      <c r="A627" t="s">
        <v>1135</v>
      </c>
      <c r="B627" t="s">
        <v>548</v>
      </c>
      <c r="C627" t="s">
        <v>904</v>
      </c>
      <c r="D627" t="s">
        <v>261</v>
      </c>
      <c r="E627" t="s">
        <v>905</v>
      </c>
      <c r="F627"/>
    </row>
    <row r="628" spans="1:6" ht="15" x14ac:dyDescent="0.25">
      <c r="A628" t="s">
        <v>1136</v>
      </c>
      <c r="B628" t="s">
        <v>547</v>
      </c>
      <c r="C628" t="s">
        <v>907</v>
      </c>
      <c r="D628" t="s">
        <v>419</v>
      </c>
      <c r="E628" t="s">
        <v>906</v>
      </c>
      <c r="F628"/>
    </row>
    <row r="629" spans="1:6" ht="15" x14ac:dyDescent="0.25">
      <c r="A629" t="s">
        <v>1137</v>
      </c>
      <c r="B629" t="s">
        <v>548</v>
      </c>
      <c r="C629" t="s">
        <v>904</v>
      </c>
      <c r="D629" t="s">
        <v>266</v>
      </c>
      <c r="E629" t="s">
        <v>268</v>
      </c>
      <c r="F629"/>
    </row>
    <row r="630" spans="1:6" ht="15" x14ac:dyDescent="0.25">
      <c r="A630" t="s">
        <v>1138</v>
      </c>
      <c r="B630" t="s">
        <v>547</v>
      </c>
      <c r="C630" t="s">
        <v>904</v>
      </c>
      <c r="D630" t="s">
        <v>261</v>
      </c>
      <c r="E630" t="s">
        <v>905</v>
      </c>
      <c r="F630"/>
    </row>
    <row r="631" spans="1:6" ht="15" x14ac:dyDescent="0.25">
      <c r="A631" t="s">
        <v>1139</v>
      </c>
      <c r="B631" t="s">
        <v>547</v>
      </c>
      <c r="C631" t="s">
        <v>904</v>
      </c>
      <c r="D631" t="s">
        <v>266</v>
      </c>
      <c r="E631" t="s">
        <v>906</v>
      </c>
      <c r="F631"/>
    </row>
    <row r="632" spans="1:6" ht="15" x14ac:dyDescent="0.25">
      <c r="A632" t="s">
        <v>1140</v>
      </c>
      <c r="B632" t="s">
        <v>547</v>
      </c>
      <c r="C632" t="s">
        <v>904</v>
      </c>
      <c r="D632" t="s">
        <v>266</v>
      </c>
      <c r="E632" t="s">
        <v>268</v>
      </c>
      <c r="F632"/>
    </row>
    <row r="633" spans="1:6" ht="15" x14ac:dyDescent="0.25">
      <c r="A633" t="s">
        <v>1141</v>
      </c>
      <c r="B633" t="s">
        <v>548</v>
      </c>
      <c r="C633" t="s">
        <v>904</v>
      </c>
      <c r="D633" t="s">
        <v>266</v>
      </c>
      <c r="E633" t="s">
        <v>268</v>
      </c>
      <c r="F633"/>
    </row>
    <row r="634" spans="1:6" ht="15" x14ac:dyDescent="0.25">
      <c r="A634" t="s">
        <v>1142</v>
      </c>
      <c r="B634" t="s">
        <v>547</v>
      </c>
      <c r="C634" t="s">
        <v>904</v>
      </c>
      <c r="D634" t="s">
        <v>266</v>
      </c>
      <c r="E634" t="s">
        <v>268</v>
      </c>
      <c r="F634"/>
    </row>
    <row r="635" spans="1:6" ht="15" x14ac:dyDescent="0.25">
      <c r="A635" t="s">
        <v>1143</v>
      </c>
      <c r="B635" t="s">
        <v>547</v>
      </c>
      <c r="C635" t="s">
        <v>904</v>
      </c>
      <c r="D635" t="s">
        <v>261</v>
      </c>
      <c r="E635" t="s">
        <v>905</v>
      </c>
      <c r="F635"/>
    </row>
    <row r="636" spans="1:6" ht="15" x14ac:dyDescent="0.25">
      <c r="A636" t="s">
        <v>1144</v>
      </c>
      <c r="B636" t="s">
        <v>547</v>
      </c>
      <c r="C636" t="s">
        <v>904</v>
      </c>
      <c r="D636" t="s">
        <v>261</v>
      </c>
      <c r="E636" t="s">
        <v>905</v>
      </c>
      <c r="F636"/>
    </row>
    <row r="637" spans="1:6" ht="15" x14ac:dyDescent="0.25">
      <c r="A637" t="s">
        <v>1145</v>
      </c>
      <c r="B637" t="s">
        <v>547</v>
      </c>
      <c r="C637" t="s">
        <v>904</v>
      </c>
      <c r="D637" t="s">
        <v>266</v>
      </c>
      <c r="E637" t="s">
        <v>268</v>
      </c>
      <c r="F637"/>
    </row>
    <row r="638" spans="1:6" ht="15" x14ac:dyDescent="0.25">
      <c r="A638" t="s">
        <v>1146</v>
      </c>
      <c r="B638" t="s">
        <v>547</v>
      </c>
      <c r="C638" t="s">
        <v>904</v>
      </c>
      <c r="D638" t="s">
        <v>266</v>
      </c>
      <c r="E638" t="s">
        <v>905</v>
      </c>
      <c r="F638"/>
    </row>
    <row r="639" spans="1:6" ht="15" x14ac:dyDescent="0.25">
      <c r="A639" t="s">
        <v>1147</v>
      </c>
      <c r="B639" t="s">
        <v>547</v>
      </c>
      <c r="C639" t="s">
        <v>904</v>
      </c>
      <c r="D639" t="s">
        <v>266</v>
      </c>
      <c r="E639" t="s">
        <v>905</v>
      </c>
      <c r="F639"/>
    </row>
    <row r="640" spans="1:6" ht="15" x14ac:dyDescent="0.25">
      <c r="A640" t="s">
        <v>1148</v>
      </c>
      <c r="B640" t="s">
        <v>548</v>
      </c>
      <c r="C640" t="s">
        <v>904</v>
      </c>
      <c r="D640" t="s">
        <v>266</v>
      </c>
      <c r="E640" t="s">
        <v>905</v>
      </c>
      <c r="F640"/>
    </row>
    <row r="641" spans="1:6" ht="15" x14ac:dyDescent="0.25">
      <c r="A641" t="s">
        <v>1149</v>
      </c>
      <c r="B641" t="s">
        <v>547</v>
      </c>
      <c r="C641" t="s">
        <v>904</v>
      </c>
      <c r="D641" t="s">
        <v>266</v>
      </c>
      <c r="E641" t="s">
        <v>905</v>
      </c>
      <c r="F641"/>
    </row>
    <row r="642" spans="1:6" ht="15" x14ac:dyDescent="0.25">
      <c r="A642" t="s">
        <v>1150</v>
      </c>
      <c r="B642" t="s">
        <v>547</v>
      </c>
      <c r="C642" t="s">
        <v>904</v>
      </c>
      <c r="D642" t="s">
        <v>266</v>
      </c>
      <c r="E642" t="s">
        <v>268</v>
      </c>
      <c r="F642"/>
    </row>
    <row r="643" spans="1:6" ht="15" x14ac:dyDescent="0.25">
      <c r="A643" t="s">
        <v>1151</v>
      </c>
      <c r="B643" t="s">
        <v>548</v>
      </c>
      <c r="C643" t="s">
        <v>904</v>
      </c>
      <c r="D643" t="s">
        <v>266</v>
      </c>
      <c r="E643" t="s">
        <v>268</v>
      </c>
      <c r="F643"/>
    </row>
    <row r="644" spans="1:6" ht="15" x14ac:dyDescent="0.25">
      <c r="A644" t="s">
        <v>1152</v>
      </c>
      <c r="B644" t="s">
        <v>547</v>
      </c>
      <c r="C644" t="s">
        <v>904</v>
      </c>
      <c r="D644" t="s">
        <v>266</v>
      </c>
      <c r="E644" t="s">
        <v>268</v>
      </c>
      <c r="F644"/>
    </row>
    <row r="645" spans="1:6" ht="15" x14ac:dyDescent="0.25">
      <c r="A645" t="s">
        <v>1153</v>
      </c>
      <c r="B645" t="s">
        <v>547</v>
      </c>
      <c r="C645" t="s">
        <v>904</v>
      </c>
      <c r="D645" t="s">
        <v>261</v>
      </c>
      <c r="E645" t="s">
        <v>905</v>
      </c>
      <c r="F645"/>
    </row>
    <row r="646" spans="1:6" ht="15" x14ac:dyDescent="0.25">
      <c r="A646" t="s">
        <v>1154</v>
      </c>
      <c r="B646" t="s">
        <v>547</v>
      </c>
      <c r="C646" t="s">
        <v>904</v>
      </c>
      <c r="D646" t="s">
        <v>266</v>
      </c>
      <c r="E646" t="s">
        <v>268</v>
      </c>
      <c r="F646"/>
    </row>
    <row r="647" spans="1:6" ht="15" x14ac:dyDescent="0.25">
      <c r="A647" t="s">
        <v>1155</v>
      </c>
      <c r="B647" t="s">
        <v>548</v>
      </c>
      <c r="C647" t="s">
        <v>904</v>
      </c>
      <c r="D647" t="s">
        <v>266</v>
      </c>
      <c r="E647" t="s">
        <v>906</v>
      </c>
      <c r="F647"/>
    </row>
    <row r="648" spans="1:6" ht="15" x14ac:dyDescent="0.25">
      <c r="A648" t="s">
        <v>1156</v>
      </c>
      <c r="B648" t="s">
        <v>547</v>
      </c>
      <c r="C648" t="s">
        <v>904</v>
      </c>
      <c r="D648" t="s">
        <v>266</v>
      </c>
      <c r="E648" t="s">
        <v>906</v>
      </c>
      <c r="F648"/>
    </row>
    <row r="649" spans="1:6" ht="15" x14ac:dyDescent="0.25">
      <c r="A649" t="s">
        <v>1157</v>
      </c>
      <c r="B649" t="s">
        <v>547</v>
      </c>
      <c r="C649" t="s">
        <v>904</v>
      </c>
      <c r="D649" t="s">
        <v>266</v>
      </c>
      <c r="E649" t="s">
        <v>906</v>
      </c>
      <c r="F649"/>
    </row>
    <row r="650" spans="1:6" ht="15" x14ac:dyDescent="0.25">
      <c r="A650" t="s">
        <v>1158</v>
      </c>
      <c r="B650" t="s">
        <v>547</v>
      </c>
      <c r="C650" t="s">
        <v>904</v>
      </c>
      <c r="D650" t="s">
        <v>261</v>
      </c>
      <c r="E650" t="s">
        <v>905</v>
      </c>
      <c r="F650"/>
    </row>
    <row r="651" spans="1:6" ht="15" x14ac:dyDescent="0.25">
      <c r="A651" t="s">
        <v>1159</v>
      </c>
      <c r="B651" t="s">
        <v>547</v>
      </c>
      <c r="C651" t="s">
        <v>904</v>
      </c>
      <c r="D651" t="s">
        <v>261</v>
      </c>
      <c r="E651" t="s">
        <v>905</v>
      </c>
      <c r="F651"/>
    </row>
    <row r="652" spans="1:6" ht="15" x14ac:dyDescent="0.25">
      <c r="A652" t="s">
        <v>1160</v>
      </c>
      <c r="B652" t="s">
        <v>548</v>
      </c>
      <c r="C652" t="s">
        <v>904</v>
      </c>
      <c r="D652" t="s">
        <v>261</v>
      </c>
      <c r="E652" t="s">
        <v>905</v>
      </c>
      <c r="F652"/>
    </row>
    <row r="653" spans="1:6" ht="15" x14ac:dyDescent="0.25">
      <c r="A653" t="s">
        <v>1161</v>
      </c>
      <c r="B653" t="s">
        <v>547</v>
      </c>
      <c r="C653" t="s">
        <v>904</v>
      </c>
      <c r="D653" t="s">
        <v>261</v>
      </c>
      <c r="E653" t="s">
        <v>905</v>
      </c>
      <c r="F653"/>
    </row>
    <row r="654" spans="1:6" ht="15" x14ac:dyDescent="0.25">
      <c r="A654" t="s">
        <v>1162</v>
      </c>
      <c r="B654" t="s">
        <v>548</v>
      </c>
      <c r="C654" t="s">
        <v>904</v>
      </c>
      <c r="D654" t="s">
        <v>261</v>
      </c>
      <c r="E654" t="s">
        <v>905</v>
      </c>
      <c r="F654"/>
    </row>
    <row r="655" spans="1:6" ht="15" x14ac:dyDescent="0.25">
      <c r="A655" t="s">
        <v>1163</v>
      </c>
      <c r="B655" t="s">
        <v>547</v>
      </c>
      <c r="C655" t="s">
        <v>904</v>
      </c>
      <c r="D655" t="s">
        <v>261</v>
      </c>
      <c r="E655" t="s">
        <v>905</v>
      </c>
      <c r="F655"/>
    </row>
    <row r="656" spans="1:6" ht="15" x14ac:dyDescent="0.25">
      <c r="A656" t="s">
        <v>1164</v>
      </c>
      <c r="B656" t="s">
        <v>547</v>
      </c>
      <c r="C656" t="s">
        <v>904</v>
      </c>
      <c r="D656" t="s">
        <v>261</v>
      </c>
      <c r="E656" t="s">
        <v>905</v>
      </c>
      <c r="F656"/>
    </row>
    <row r="657" spans="1:6" ht="15" x14ac:dyDescent="0.25">
      <c r="A657" t="s">
        <v>1165</v>
      </c>
      <c r="B657" t="s">
        <v>547</v>
      </c>
      <c r="C657" t="s">
        <v>904</v>
      </c>
      <c r="D657" t="s">
        <v>266</v>
      </c>
      <c r="E657" t="s">
        <v>268</v>
      </c>
      <c r="F657"/>
    </row>
    <row r="658" spans="1:6" ht="15" x14ac:dyDescent="0.25">
      <c r="A658" t="s">
        <v>1166</v>
      </c>
      <c r="B658" t="s">
        <v>548</v>
      </c>
      <c r="C658" t="s">
        <v>904</v>
      </c>
      <c r="D658" t="s">
        <v>261</v>
      </c>
      <c r="E658" t="s">
        <v>905</v>
      </c>
      <c r="F658"/>
    </row>
    <row r="659" spans="1:6" ht="15" x14ac:dyDescent="0.25">
      <c r="A659" t="s">
        <v>1167</v>
      </c>
      <c r="B659" t="s">
        <v>547</v>
      </c>
      <c r="C659" t="s">
        <v>904</v>
      </c>
      <c r="D659" t="s">
        <v>261</v>
      </c>
      <c r="E659" t="s">
        <v>905</v>
      </c>
      <c r="F659"/>
    </row>
    <row r="660" spans="1:6" ht="15" x14ac:dyDescent="0.25">
      <c r="A660" t="s">
        <v>1168</v>
      </c>
      <c r="B660" t="s">
        <v>547</v>
      </c>
      <c r="C660" t="s">
        <v>904</v>
      </c>
      <c r="D660" t="s">
        <v>261</v>
      </c>
      <c r="E660" t="s">
        <v>905</v>
      </c>
      <c r="F660"/>
    </row>
  </sheetData>
  <conditionalFormatting sqref="A408">
    <cfRule type="duplicateValues" dxfId="19" priority="18"/>
  </conditionalFormatting>
  <conditionalFormatting sqref="A435">
    <cfRule type="duplicateValues" dxfId="18" priority="17"/>
  </conditionalFormatting>
  <conditionalFormatting sqref="A436">
    <cfRule type="duplicateValues" dxfId="17" priority="16"/>
  </conditionalFormatting>
  <conditionalFormatting sqref="A438">
    <cfRule type="duplicateValues" dxfId="16" priority="15"/>
  </conditionalFormatting>
  <conditionalFormatting sqref="A440">
    <cfRule type="duplicateValues" dxfId="15" priority="14"/>
  </conditionalFormatting>
  <conditionalFormatting sqref="A441">
    <cfRule type="duplicateValues" dxfId="14" priority="13"/>
  </conditionalFormatting>
  <conditionalFormatting sqref="A442">
    <cfRule type="duplicateValues" dxfId="13" priority="12"/>
  </conditionalFormatting>
  <conditionalFormatting sqref="A443">
    <cfRule type="duplicateValues" dxfId="12" priority="11"/>
  </conditionalFormatting>
  <conditionalFormatting sqref="A444">
    <cfRule type="duplicateValues" dxfId="11" priority="10"/>
  </conditionalFormatting>
  <conditionalFormatting sqref="A445">
    <cfRule type="duplicateValues" dxfId="10" priority="9"/>
  </conditionalFormatting>
  <conditionalFormatting sqref="A446">
    <cfRule type="duplicateValues" dxfId="9" priority="8"/>
  </conditionalFormatting>
  <conditionalFormatting sqref="A447">
    <cfRule type="duplicateValues" dxfId="8" priority="7"/>
  </conditionalFormatting>
  <conditionalFormatting sqref="A448">
    <cfRule type="duplicateValues" dxfId="7" priority="6"/>
  </conditionalFormatting>
  <conditionalFormatting sqref="A449">
    <cfRule type="duplicateValues" dxfId="6" priority="5"/>
  </conditionalFormatting>
  <conditionalFormatting sqref="A452">
    <cfRule type="duplicateValues" dxfId="5" priority="4"/>
  </conditionalFormatting>
  <conditionalFormatting sqref="A453">
    <cfRule type="duplicateValues" dxfId="4" priority="3"/>
  </conditionalFormatting>
  <conditionalFormatting sqref="A454">
    <cfRule type="duplicateValues" dxfId="3" priority="2"/>
  </conditionalFormatting>
  <conditionalFormatting sqref="A455">
    <cfRule type="duplicateValues" dxfId="2" priority="1"/>
  </conditionalFormatting>
  <conditionalFormatting sqref="A504:A558">
    <cfRule type="duplicateValues" dxfId="1" priority="19"/>
  </conditionalFormatting>
  <conditionalFormatting sqref="A450:A451 A439 A437 A1:A407 A409:A434 A456:A503 A559:A660">
    <cfRule type="duplicateValues" dxfId="0" priority="2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Documentation</vt:lpstr>
      <vt:lpstr>pivot</vt:lpstr>
      <vt:lpstr>pivot (2)</vt:lpstr>
      <vt:lpstr>pivot (3)</vt:lpstr>
      <vt:lpstr>data</vt:lpstr>
      <vt:lpstr>vlookup</vt:lpstr>
      <vt:lpstr>pivot!Print_Area</vt:lpstr>
      <vt:lpstr>'pivot (2)'!Print_Area</vt:lpstr>
      <vt:lpstr>'pivot (3)'!Print_Area</vt:lpstr>
      <vt:lpstr>pivot!Print_Titles</vt:lpstr>
      <vt:lpstr>'pivot (2)'!Print_Titles</vt:lpstr>
      <vt:lpstr>'pivot (3)'!Print_Titles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Sindhu Sunkara</dc:creator>
  <cp:lastModifiedBy>Yu-Sheng Lee</cp:lastModifiedBy>
  <cp:lastPrinted>2019-08-01T01:20:14Z</cp:lastPrinted>
  <dcterms:created xsi:type="dcterms:W3CDTF">2011-12-05T19:50:18Z</dcterms:created>
  <dcterms:modified xsi:type="dcterms:W3CDTF">2024-06-05T17:54:04Z</dcterms:modified>
</cp:coreProperties>
</file>